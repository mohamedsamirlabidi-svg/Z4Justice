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3" i="3" l="1"/>
  <c r="M45" i="3"/>
  <c r="M4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<sst xmlns="http://schemas.openxmlformats.org/spreadsheetml/2006/main" count="89" uniqueCount="72">
  <si>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</si>
  <si>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</si>
  <si>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</si>
  <si>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</si>
  <si>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</si>
  <si>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</si>
  <si>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</si>
  <si>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</si>
  <si>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</si>
  <si>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</si>
  <si>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</si>
  <si>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</si>
  <si>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</si>
  <si>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</si>
  <si>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</si>
  <si>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</si>
  <si>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</si>
  <si>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</si>
  <si>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</si>
  <si>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</si>
  <si>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</si>
  <si>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</si>
  <si>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</si>
  <si>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</si>
  <si>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</si>
  <si>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</si>
  <si>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</si>
  <si>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</si>
  <si>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</si>
  <si>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</si>
  <si>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</si>
  <si>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</si>
  <si>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</si>
  <si>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</si>
  <si>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</si>
  <si>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</si>
  <si>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</si>
  <si>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</si>
  <si>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</si>
  <si>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</si>
  <si>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</si>
  <si>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</si>
  <si>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</si>
  <si>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</si>
  <si>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</si>
  <si>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</si>
  <si>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</si>
  <si>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</si>
  <si>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</si>
  <si>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</si>
  <si>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</si>
  <si>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</si>
  <si>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</si>
  <si>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</si>
  <si>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</si>
  <si>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</si>
  <si>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</si>
  <si>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</si>
  <si>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</si>
  <si>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</si>
  <si>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</si>
  <si>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</si>
  <si>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</si>
  <si>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</si>
  <si>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</si>
  <si>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</si>
  <si>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</si>
  <si>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</si>
  <si>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CH025</t>
  </si>
  <si>
    <t>Facture  N° 2022-055</t>
  </si>
  <si>
    <t>Chaussure de sécurité /DIADORA</t>
  </si>
  <si>
    <t>P40    POUR    MR  TAHAR  BEN NACER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</si>
</sst>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
      <b/>
      <sz val="11"/>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33" fillId="6" borderId="32" xfId="0" applyFont="1" applyFill="1" applyBorder="1"/>
    <xf numFmtId="0" fontId="17" fillId="6" borderId="32" xfId="0" applyFont="1" applyFill="1" applyBorder="1"/>
    <xf numFmtId="49" fontId="32"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3" zoomScale="95" workbookViewId="0">
      <selection activeCell="J30" sqref="J30"/>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4"/>
      <c r="M9" s="145"/>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3" t="s">
        <v>55</v>
      </c>
      <c r="M13" s="154"/>
      <c r="N13" s="3"/>
      <c r="O13" s="8"/>
    </row>
    <row r="14" spans="1:15">
      <c r="A14" s="7"/>
      <c r="B14" s="3"/>
      <c r="C14" s="3"/>
      <c r="D14" s="3"/>
      <c r="E14" s="3"/>
      <c r="F14" s="3"/>
      <c r="G14" s="143"/>
      <c r="H14" s="143"/>
      <c r="I14" s="143"/>
      <c r="J14" s="143"/>
      <c r="K14" s="143"/>
      <c r="L14" s="3"/>
      <c r="M14" s="3"/>
      <c r="N14" s="3"/>
      <c r="O14" s="8"/>
    </row>
    <row r="15" spans="1:15" ht="20.100000000000001" customHeight="1">
      <c r="A15" s="7"/>
      <c r="B15" s="3"/>
      <c r="C15" s="3"/>
      <c r="D15" s="3"/>
      <c r="E15" s="3"/>
      <c r="F15" s="3"/>
      <c r="G15" s="143"/>
      <c r="H15" s="143"/>
      <c r="I15" s="143"/>
      <c r="J15" s="143"/>
      <c r="K15" s="143"/>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7" t="s">
        <v>69</v>
      </c>
      <c r="M17" s="168"/>
      <c r="N17" s="3"/>
      <c r="O17" s="8"/>
    </row>
    <row r="18" spans="1:15" ht="19.5" thickTop="1">
      <c r="A18" s="7"/>
      <c r="B18" s="3"/>
      <c r="C18" s="58"/>
      <c r="D18" s="58"/>
      <c r="E18" s="58"/>
      <c r="F18" s="58"/>
      <c r="G18" s="58"/>
      <c r="H18" s="58"/>
      <c r="I18" s="59"/>
      <c r="J18" s="59"/>
      <c r="K18" s="59"/>
      <c r="L18" s="169"/>
      <c r="M18" s="170"/>
      <c r="N18" s="19"/>
      <c r="O18" s="8"/>
    </row>
    <row r="19" spans="1:15" ht="13.5" thickBot="1">
      <c r="A19" s="7"/>
      <c r="B19" s="3"/>
      <c r="C19" s="3"/>
      <c r="D19" s="3"/>
      <c r="E19" s="3"/>
      <c r="F19" s="3"/>
      <c r="G19" s="3"/>
      <c r="H19" s="3"/>
      <c r="I19" s="3"/>
      <c r="J19" s="3"/>
      <c r="K19" s="3"/>
      <c r="L19" s="171"/>
      <c r="M19" s="172"/>
      <c r="N19" s="3"/>
      <c r="O19" s="8"/>
    </row>
    <row r="20" spans="1:15">
      <c r="A20" s="7"/>
      <c r="B20" s="3"/>
      <c r="C20" s="3"/>
      <c r="D20" s="3"/>
      <c r="E20" s="3"/>
      <c r="F20" s="3"/>
      <c r="G20" s="3"/>
      <c r="H20" s="3"/>
      <c r="I20" s="3"/>
      <c r="J20" s="3"/>
      <c r="K20" s="3"/>
      <c r="L20" s="3"/>
      <c r="M20" s="3"/>
      <c r="N20" s="3"/>
      <c r="O20" s="8"/>
    </row>
    <row r="21" spans="1:15" ht="18">
      <c r="A21" s="7"/>
      <c r="B21" s="3"/>
      <c r="C21" s="82" t="s">
        <v>3</v>
      </c>
      <c r="D21" s="159" t="s">
        <v>57</v>
      </c>
      <c r="E21" s="160"/>
      <c r="F21" s="160"/>
      <c r="G21" s="160"/>
      <c r="H21" s="160"/>
      <c r="I21" s="160"/>
      <c r="J21" s="82"/>
      <c r="K21" s="85" t="s">
        <v>18</v>
      </c>
      <c r="L21" s="148">
        <v>44702</v>
      </c>
      <c r="M21" s="149"/>
      <c r="N21" s="55"/>
      <c r="O21" s="8"/>
    </row>
    <row r="22" spans="1:15">
      <c r="A22" s="7"/>
      <c r="B22" s="3"/>
      <c r="C22" s="82" t="s">
        <v>5</v>
      </c>
      <c r="D22" s="157" t="s">
        <v>58</v>
      </c>
      <c r="E22" s="158"/>
      <c r="F22" s="158"/>
      <c r="G22" s="158"/>
      <c r="H22" s="158"/>
      <c r="I22" s="158"/>
      <c r="J22" s="82"/>
      <c r="K22" s="108" t="s">
        <v>66</v>
      </c>
      <c r="L22" s="109"/>
      <c r="M22" s="89"/>
      <c r="N22" s="56"/>
      <c r="O22" s="8"/>
    </row>
    <row r="23" spans="1:15">
      <c r="A23" s="7"/>
      <c r="B23" s="3"/>
      <c r="C23" s="82" t="s">
        <v>7</v>
      </c>
      <c r="D23" s="90">
        <v>2088</v>
      </c>
      <c r="E23" s="91" t="s">
        <v>8</v>
      </c>
      <c r="F23" s="155" t="s">
        <v>56</v>
      </c>
      <c r="G23" s="156"/>
      <c r="H23" s="92" t="s">
        <v>9</v>
      </c>
      <c r="I23" s="89" t="s">
        <v>52</v>
      </c>
      <c r="J23" s="82"/>
      <c r="K23" s="85" t="s">
        <v>19</v>
      </c>
      <c r="L23" s="150" t="s">
        <v>67</v>
      </c>
      <c r="M23" s="151"/>
      <c r="N23" s="3"/>
      <c r="O23" s="8"/>
    </row>
    <row r="24" spans="1:15">
      <c r="A24" s="7"/>
      <c r="B24" s="3"/>
      <c r="C24" s="82" t="s">
        <v>20</v>
      </c>
      <c r="D24" s="161" t="s">
        <v>59</v>
      </c>
      <c r="E24" s="162"/>
      <c r="F24" s="162"/>
      <c r="G24" s="162"/>
      <c r="H24" s="162"/>
      <c r="I24" s="162"/>
      <c r="J24" s="82"/>
      <c r="K24" s="85" t="s">
        <v>48</v>
      </c>
      <c r="L24" s="152" t="s">
        <v>60</v>
      </c>
      <c r="M24" s="151"/>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73" t="s">
        <v>22</v>
      </c>
      <c r="F26" s="174"/>
      <c r="G26" s="174"/>
      <c r="H26" s="174"/>
      <c r="I26" s="174"/>
      <c r="J26" s="174"/>
      <c r="K26" s="175"/>
      <c r="L26" s="52" t="s">
        <v>54</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c r="D28" s="75"/>
      <c r="E28" s="134"/>
      <c r="F28" s="111"/>
      <c r="G28" s="81"/>
      <c r="H28" s="111"/>
      <c r="I28" s="111"/>
      <c r="J28" s="81"/>
      <c r="K28" s="111"/>
      <c r="L28" s="96"/>
      <c r="M28" s="96"/>
      <c r="N28" s="57"/>
      <c r="O28" s="8"/>
    </row>
    <row r="29" spans="1:15" ht="15">
      <c r="A29" s="7"/>
      <c r="B29" s="3"/>
      <c r="C29" s="110"/>
      <c r="D29" s="75"/>
      <c r="E29" s="116"/>
      <c r="F29" s="111"/>
      <c r="G29" s="81"/>
      <c r="H29" s="111"/>
      <c r="I29" s="111"/>
      <c r="J29" s="81"/>
      <c r="K29" s="111"/>
      <c r="L29" s="96"/>
      <c r="M29" s="96"/>
      <c r="N29" s="57"/>
      <c r="O29" s="8"/>
    </row>
    <row r="30" spans="1:15" ht="15">
      <c r="A30" s="7"/>
      <c r="B30" s="3"/>
      <c r="C30" s="127"/>
      <c r="D30" s="75"/>
      <c r="E30" s="116"/>
      <c r="F30" s="111"/>
      <c r="G30" s="81"/>
      <c r="H30" s="111"/>
      <c r="I30" s="111"/>
      <c r="J30" s="81"/>
      <c r="K30" s="111"/>
      <c r="L30" s="96"/>
      <c r="M30" s="96"/>
      <c r="N30" s="57"/>
      <c r="O30" s="8"/>
    </row>
    <row r="31" spans="1:15" ht="15.75">
      <c r="A31" s="7"/>
      <c r="B31" s="3"/>
      <c r="C31" s="128"/>
      <c r="D31" s="75"/>
      <c r="E31" s="133"/>
      <c r="F31" s="111"/>
      <c r="G31" s="81"/>
      <c r="H31" s="111"/>
      <c r="I31" s="111"/>
      <c r="J31" s="81"/>
      <c r="K31" s="111"/>
      <c r="L31" s="96"/>
      <c r="M31" s="96"/>
      <c r="N31" s="57"/>
      <c r="O31" s="8"/>
    </row>
    <row r="32" spans="1:15" ht="15.75">
      <c r="A32" s="7"/>
      <c r="B32" s="3"/>
      <c r="C32" s="110"/>
      <c r="D32" s="75"/>
      <c r="E32" s="135"/>
      <c r="F32" s="111"/>
      <c r="G32" s="81"/>
      <c r="H32" s="111"/>
      <c r="I32" s="111"/>
      <c r="J32" s="81"/>
      <c r="K32" s="111"/>
      <c r="L32" s="96"/>
      <c r="M32" s="96"/>
      <c r="N32" s="57"/>
      <c r="O32" s="8"/>
    </row>
    <row r="33" spans="1:15" ht="15">
      <c r="A33" s="7"/>
      <c r="B33" s="3"/>
      <c r="C33" s="110"/>
      <c r="D33" s="75"/>
      <c r="E33" s="116"/>
      <c r="F33" s="111"/>
      <c r="G33" s="81"/>
      <c r="H33" s="111"/>
      <c r="I33" s="111"/>
      <c r="J33" s="81"/>
      <c r="K33" s="111"/>
      <c r="L33" s="96"/>
      <c r="M33" s="96"/>
      <c r="N33" s="57"/>
      <c r="O33" s="8"/>
    </row>
    <row r="34" spans="1:15" ht="15.75">
      <c r="A34" s="7"/>
      <c r="B34" s="3"/>
      <c r="C34" s="110" t="s">
        <v>68</v>
      </c>
      <c r="D34" s="75">
        <v>1</v>
      </c>
      <c r="E34" s="134" t="s">
        <v>70</v>
      </c>
      <c r="F34" s="111"/>
      <c r="G34" s="81"/>
      <c r="H34" s="111"/>
      <c r="I34" s="111"/>
      <c r="J34" s="81"/>
      <c r="K34" s="111"/>
      <c r="L34" s="96">
        <v>150</v>
      </c>
      <c r="M34" s="96">
        <v>150</v>
      </c>
      <c r="N34" s="57"/>
      <c r="O34" s="8"/>
    </row>
    <row r="35" spans="1:15" ht="15">
      <c r="A35" s="7"/>
      <c r="B35" s="3"/>
      <c r="C35" s="110"/>
      <c r="D35" s="75"/>
      <c r="E35" s="116" t="s">
        <v>71</v>
      </c>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2"/>
      <c r="D37" s="53"/>
      <c r="E37" s="129"/>
      <c r="F37" s="117"/>
      <c r="G37" s="117"/>
      <c r="H37" s="117"/>
      <c r="I37" s="117"/>
      <c r="J37" s="117"/>
      <c r="K37" s="81"/>
      <c r="L37" s="96"/>
      <c r="M37" s="96"/>
      <c r="N37" s="96"/>
      <c r="O37" s="8"/>
    </row>
    <row r="38" spans="1:15" ht="15">
      <c r="A38" s="7"/>
      <c r="B38" s="3"/>
      <c r="C38" s="94"/>
      <c r="D38" s="53"/>
      <c r="E38" s="125"/>
      <c r="F38" s="117"/>
      <c r="G38" s="117"/>
      <c r="H38" s="117"/>
      <c r="I38" s="117"/>
      <c r="J38" s="117"/>
      <c r="K38" s="81"/>
      <c r="L38" s="96"/>
      <c r="M38" s="96"/>
      <c r="N38" s="57"/>
      <c r="O38" s="8"/>
    </row>
    <row r="39" spans="1:15" ht="15.75">
      <c r="A39" s="7"/>
      <c r="B39" s="3"/>
      <c r="C39" s="132"/>
      <c r="D39" s="53"/>
      <c r="E39" s="134"/>
      <c r="F39" s="130"/>
      <c r="G39" s="117"/>
      <c r="H39" s="117"/>
      <c r="I39" s="117"/>
      <c r="J39" s="117"/>
      <c r="K39" s="81"/>
      <c r="L39" s="96"/>
      <c r="M39" s="96"/>
      <c r="N39" s="57"/>
      <c r="O39" s="8"/>
    </row>
    <row r="40" spans="1:15" ht="15.75">
      <c r="A40" s="7"/>
      <c r="B40" s="3"/>
      <c r="C40" s="94"/>
      <c r="D40" s="53"/>
      <c r="E40" s="129"/>
      <c r="F40" s="130"/>
      <c r="G40" s="117"/>
      <c r="H40" s="117"/>
      <c r="I40" s="117"/>
      <c r="J40" s="117"/>
      <c r="K40" s="81"/>
      <c r="L40" s="96"/>
      <c r="M40" s="96"/>
      <c r="N40" s="57"/>
      <c r="O40" s="8"/>
    </row>
    <row r="41" spans="1:15" ht="15.75">
      <c r="A41" s="7"/>
      <c r="B41" s="3"/>
      <c r="C41" s="132"/>
      <c r="D41" s="53"/>
      <c r="E41" s="129"/>
      <c r="F41" s="117"/>
      <c r="G41" s="117"/>
      <c r="H41" s="117"/>
      <c r="I41" s="117"/>
      <c r="J41" s="117"/>
      <c r="K41" s="81"/>
      <c r="L41" s="96"/>
      <c r="M41" s="96"/>
      <c r="N41" s="57"/>
      <c r="O41" s="8"/>
    </row>
    <row r="42" spans="1:15" ht="15">
      <c r="A42" s="7"/>
      <c r="B42" s="3"/>
      <c r="C42" s="95"/>
      <c r="D42" s="54"/>
      <c r="E42" s="146"/>
      <c r="F42" s="147"/>
      <c r="G42" s="147"/>
      <c r="H42" s="147"/>
      <c r="I42" s="147"/>
      <c r="J42" s="147"/>
      <c r="K42" s="118"/>
      <c r="L42" s="96"/>
      <c r="M42" s="96"/>
      <c r="N42" s="57"/>
      <c r="O42" s="8"/>
    </row>
    <row r="43" spans="1:15" ht="15.75">
      <c r="A43" s="7"/>
      <c r="B43" s="3"/>
      <c r="C43" s="3"/>
      <c r="D43" s="82"/>
      <c r="E43" s="82"/>
      <c r="F43" s="82"/>
      <c r="G43" s="82"/>
      <c r="H43" s="82"/>
      <c r="I43" s="76"/>
      <c r="J43" s="76"/>
      <c r="K43" s="76"/>
      <c r="L43" s="103" t="s">
        <v>24</v>
      </c>
      <c r="M43" s="97">
        <f>SUM(M27:M42)</f>
        <v>150</v>
      </c>
      <c r="N43" s="57"/>
      <c r="O43" s="8"/>
    </row>
    <row r="44" spans="1:15" ht="17.100000000000001" customHeight="1">
      <c r="A44" s="7"/>
      <c r="B44" s="3"/>
      <c r="C44" s="3"/>
      <c r="D44" s="82"/>
      <c r="E44" s="82"/>
      <c r="F44" s="82"/>
      <c r="G44" s="82"/>
      <c r="H44" s="82"/>
      <c r="I44" s="76"/>
      <c r="J44" s="76"/>
      <c r="K44" s="76"/>
      <c r="L44" s="107" t="s">
        <v>47</v>
      </c>
      <c r="M44" s="104">
        <v>0.6</v>
      </c>
      <c r="N44" s="57"/>
      <c r="O44" s="8"/>
    </row>
    <row r="45" spans="1:15" ht="17.100000000000001" customHeight="1">
      <c r="A45" s="7"/>
      <c r="B45" s="3"/>
      <c r="C45" s="3"/>
      <c r="D45" s="84"/>
      <c r="E45" s="108" t="s">
        <v>25</v>
      </c>
      <c r="F45" s="82"/>
      <c r="G45" s="82"/>
      <c r="H45" s="82"/>
      <c r="I45" s="78"/>
      <c r="J45" s="78"/>
      <c r="K45" s="77"/>
      <c r="L45" s="105">
        <v>0.19</v>
      </c>
      <c r="M45" s="104">
        <f>M43*0.19</f>
        <v>28.5</v>
      </c>
      <c r="N45" s="57"/>
      <c r="O45" s="8"/>
    </row>
    <row r="46" spans="1:15" ht="15.75">
      <c r="A46" s="7"/>
      <c r="B46" s="3"/>
      <c r="C46" s="3"/>
      <c r="D46" s="86"/>
      <c r="E46" s="131" t="s">
        <v>26</v>
      </c>
      <c r="F46" s="88"/>
      <c r="G46" s="86"/>
      <c r="H46" s="82"/>
      <c r="I46" s="79"/>
      <c r="J46" s="76"/>
      <c r="K46" s="76"/>
      <c r="L46" s="106" t="s">
        <v>28</v>
      </c>
      <c r="M46" s="97">
        <f>+M43+M44+M45</f>
        <v>179.1</v>
      </c>
      <c r="N46" s="57"/>
      <c r="O46" s="8"/>
    </row>
    <row r="47" spans="1:15" ht="15" customHeight="1">
      <c r="A47" s="7"/>
      <c r="B47" s="3"/>
      <c r="C47" s="3"/>
      <c r="D47" s="86">
        <v>3</v>
      </c>
      <c r="E47" s="108" t="s">
        <v>62</v>
      </c>
      <c r="F47" s="82"/>
      <c r="G47" s="87"/>
      <c r="H47" s="82"/>
      <c r="I47" s="80" t="s">
        <v>27</v>
      </c>
      <c r="J47" s="76"/>
      <c r="K47" s="76"/>
      <c r="L47" s="100"/>
      <c r="M47" s="101"/>
      <c r="N47" s="57"/>
      <c r="O47" s="8"/>
    </row>
    <row r="48" spans="1:15" ht="15" customHeight="1">
      <c r="A48" s="7"/>
      <c r="B48" s="3"/>
      <c r="C48" s="3"/>
      <c r="D48" s="86"/>
      <c r="E48" s="108"/>
      <c r="F48" s="82"/>
      <c r="G48" s="87"/>
      <c r="H48" s="82"/>
      <c r="I48" s="80"/>
      <c r="J48" s="76"/>
      <c r="K48" s="76"/>
      <c r="L48" s="98" t="s">
        <v>63</v>
      </c>
      <c r="M48" s="101"/>
      <c r="N48" s="57"/>
      <c r="O48" s="8"/>
    </row>
    <row r="49" spans="1:15" ht="15" customHeight="1">
      <c r="A49" s="7"/>
      <c r="B49" s="3"/>
      <c r="C49" s="3"/>
      <c r="D49" s="83"/>
      <c r="E49" s="83"/>
      <c r="F49" s="82"/>
      <c r="G49" s="83"/>
      <c r="H49" s="82"/>
      <c r="I49" s="80" t="s">
        <v>27</v>
      </c>
      <c r="J49" s="76"/>
      <c r="K49" s="99"/>
      <c r="L49" s="102"/>
      <c r="M49" s="102"/>
      <c r="N49" s="57"/>
      <c r="O49" s="8"/>
    </row>
    <row r="50" spans="1:15" ht="15">
      <c r="A50" s="7"/>
      <c r="B50" s="176"/>
      <c r="C50" s="176"/>
      <c r="D50" s="176"/>
      <c r="E50" s="176"/>
      <c r="F50" s="176"/>
      <c r="G50" s="176"/>
      <c r="H50" s="176"/>
      <c r="I50" s="176"/>
      <c r="J50" s="176"/>
      <c r="K50" s="176"/>
      <c r="L50" s="99"/>
      <c r="M50" s="101"/>
      <c r="N50" s="57"/>
      <c r="O50" s="8"/>
    </row>
    <row r="51" spans="1:15" ht="15.75">
      <c r="A51" s="7"/>
      <c r="B51" s="3"/>
      <c r="C51" s="3"/>
      <c r="D51" s="18"/>
      <c r="E51" s="163"/>
      <c r="F51" s="163"/>
      <c r="G51" s="163"/>
      <c r="H51" s="163"/>
      <c r="I51" s="78"/>
      <c r="J51" s="99"/>
      <c r="K51" s="98"/>
      <c r="L51" s="98"/>
      <c r="M51" s="98"/>
      <c r="N51" s="57"/>
      <c r="O51" s="8"/>
    </row>
    <row r="52" spans="1:15" ht="15.75">
      <c r="A52" s="7"/>
      <c r="B52" s="3"/>
      <c r="C52" s="3"/>
      <c r="D52" s="18"/>
      <c r="E52" s="126" t="s">
        <v>61</v>
      </c>
      <c r="F52" s="126"/>
      <c r="G52" s="126"/>
      <c r="H52" s="126"/>
      <c r="I52" s="126"/>
      <c r="J52" s="126"/>
      <c r="K52" s="126"/>
      <c r="L52" s="98"/>
      <c r="M52" s="98"/>
      <c r="N52" s="57"/>
      <c r="O52" s="8"/>
    </row>
    <row r="53" spans="1:15" ht="15" customHeight="1">
      <c r="A53" s="7"/>
      <c r="B53" s="3"/>
      <c r="C53" s="3"/>
      <c r="D53" s="121" t="s">
        <v>65</v>
      </c>
      <c r="E53" s="126"/>
      <c r="F53" s="126"/>
      <c r="G53" s="126"/>
      <c r="H53" s="126"/>
      <c r="I53" s="126"/>
      <c r="J53" s="126"/>
      <c r="K53" s="126"/>
      <c r="L53" s="121"/>
      <c r="M53" s="98"/>
      <c r="N53" s="57"/>
      <c r="O53" s="8"/>
    </row>
    <row r="54" spans="1:15" ht="15" customHeight="1">
      <c r="A54" s="7"/>
      <c r="B54" s="3"/>
      <c r="C54" s="3"/>
      <c r="D54" s="18"/>
      <c r="E54" s="126"/>
      <c r="F54" s="126"/>
      <c r="G54" s="126"/>
      <c r="H54" s="126"/>
      <c r="I54" s="126"/>
      <c r="J54" s="126"/>
      <c r="K54" s="126"/>
      <c r="L54" s="98"/>
      <c r="M54" s="98"/>
      <c r="N54" s="57"/>
      <c r="O54" s="8"/>
    </row>
    <row r="55" spans="1:15" ht="12.75" customHeight="1">
      <c r="A55" s="7"/>
      <c r="B55" s="3"/>
      <c r="C55" s="3"/>
      <c r="D55" s="164" t="s">
        <v>64</v>
      </c>
      <c r="E55" s="164"/>
      <c r="F55" s="164"/>
      <c r="G55" s="164"/>
      <c r="H55" s="164"/>
      <c r="I55" s="164"/>
      <c r="J55" s="164"/>
      <c r="K55" s="164"/>
      <c r="L55" s="164"/>
      <c r="M55" s="98"/>
      <c r="N55" s="57"/>
      <c r="O55" s="8"/>
    </row>
    <row r="56" spans="1:15" ht="3" customHeight="1">
      <c r="A56" s="7"/>
      <c r="B56" s="3"/>
      <c r="C56" s="3"/>
      <c r="D56" s="164"/>
      <c r="E56" s="164"/>
      <c r="F56" s="164"/>
      <c r="G56" s="164"/>
      <c r="H56" s="164"/>
      <c r="I56" s="164"/>
      <c r="J56" s="164"/>
      <c r="K56" s="164"/>
      <c r="L56" s="164"/>
      <c r="M56" s="98"/>
      <c r="N56" s="57"/>
      <c r="O56" s="8"/>
    </row>
    <row r="57" spans="1:15" ht="13.5" thickBot="1">
      <c r="A57" s="7"/>
      <c r="B57" s="119"/>
      <c r="C57" s="119"/>
      <c r="D57" s="120"/>
      <c r="E57" s="120"/>
      <c r="F57" s="120"/>
      <c r="G57" s="165"/>
      <c r="H57" s="165"/>
      <c r="I57" s="165"/>
      <c r="J57" s="165"/>
      <c r="K57" s="165"/>
      <c r="L57" s="120"/>
      <c r="M57" s="120"/>
      <c r="N57" s="57"/>
      <c r="O57" s="8"/>
    </row>
    <row r="58" spans="1:15" ht="13.5" thickTop="1">
      <c r="A58" s="58"/>
      <c r="B58" s="58"/>
      <c r="C58" s="58"/>
      <c r="D58" s="58"/>
      <c r="E58" s="58"/>
      <c r="F58" s="58"/>
      <c r="G58" s="58"/>
      <c r="H58" s="58"/>
      <c r="I58" s="58"/>
      <c r="J58" s="58"/>
      <c r="K58" s="58"/>
      <c r="L58" s="58"/>
      <c r="M58" s="58"/>
      <c r="N58" s="57"/>
      <c r="O58" s="8"/>
    </row>
    <row r="59" spans="1:15">
      <c r="A59" s="166"/>
      <c r="B59" s="166"/>
      <c r="C59" s="166"/>
      <c r="D59" s="166"/>
      <c r="E59" s="166"/>
      <c r="F59" s="166"/>
      <c r="G59" s="166"/>
      <c r="H59" s="166"/>
      <c r="I59" s="166"/>
      <c r="J59" s="124"/>
      <c r="K59" s="124"/>
      <c r="L59" s="124"/>
      <c r="M59" s="124"/>
      <c r="N59" s="57"/>
      <c r="O59" s="8"/>
    </row>
    <row r="60" spans="1:15" ht="0.95" customHeight="1">
      <c r="A60" s="165"/>
      <c r="B60" s="165"/>
      <c r="C60" s="165"/>
      <c r="D60" s="165"/>
      <c r="E60" s="165"/>
      <c r="F60" s="165"/>
      <c r="G60" s="165"/>
      <c r="H60" s="165"/>
      <c r="I60" s="165"/>
      <c r="J60" s="123"/>
      <c r="K60" s="123"/>
      <c r="L60" s="123"/>
      <c r="M60" s="123"/>
      <c r="N60" s="119"/>
      <c r="O60" s="8"/>
    </row>
    <row r="61"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8">
    <mergeCell ref="E51:H51"/>
    <mergeCell ref="D55:L56"/>
    <mergeCell ref="G57:K57"/>
    <mergeCell ref="A59:I60"/>
    <mergeCell ref="L17:M19"/>
    <mergeCell ref="E26:K26"/>
    <mergeCell ref="B50:K50"/>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N37">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44702</v>
      </c>
      <c r="D8" s="71" t="str">
        <f>Facture!$D$21</f>
        <v>OMNIACOM</v>
      </c>
      <c r="E8" s="68" t="str">
        <f>Facture!$D$22</f>
        <v xml:space="preserve">POLE TECHNOLOGIQUE DE LA COMMUNICATION ROUTE DE RAOUED </v>
      </c>
      <c r="F8" s="68">
        <f>Facture!$D$23</f>
        <v>2088</v>
      </c>
      <c r="G8" s="71" t="str">
        <f>Facture!$F$23</f>
        <v>ARIANA</v>
      </c>
      <c r="H8" s="71" t="str">
        <f>Facture!$I$23</f>
        <v>TN</v>
      </c>
      <c r="I8" s="68" t="str">
        <f>Facture!$D$24</f>
        <v xml:space="preserve">71 857 740       fax: </v>
      </c>
      <c r="J8" s="72">
        <f>Facture!$M$46</f>
        <v>179.1</v>
      </c>
      <c r="K8" s="68" t="str">
        <f>Facture!$L$23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2022-05-21T08:47:12Z</cp:lastPrinted>
  <dcterms:created xsi:type="dcterms:W3CDTF">1995-05-29T15:50:39Z</dcterms:created>
  <dcterms:modified xsi:type="dcterms:W3CDTF">2022-05-21T08:54:07Z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179.1</vt:r8>
  </property>
</Properties>
</file>