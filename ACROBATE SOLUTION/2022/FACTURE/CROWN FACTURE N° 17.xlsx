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CROWN\2022\acrobate solusti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5" i="3" l="1"/>
  <c r="M36" i="3"/>
  <c r="M37" i="3"/>
  <c r="M34" i="3" l="1"/>
  <c r="M32" i="3" l="1"/>
  <c r="M33" i="3"/>
  <c r="M39" i="3"/>
  <c r="M30" i="3" l="1"/>
  <c r="M31" i="3"/>
  <c r="M42" i="3" l="1"/>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<sst xmlns="http://schemas.openxmlformats.org/spreadsheetml/2006/main" count="90" uniqueCount="80">
  <si>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</si>
  <si>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</si>
  <si>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</si>
  <si>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</si>
  <si>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</si>
  <si>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</si>
  <si>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</si>
  <si>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</si>
  <si>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</si>
  <si>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</si>
  <si>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</si>
  <si>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</si>
  <si>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</si>
  <si>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</si>
  <si>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</si>
  <si>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</si>
  <si>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</si>
  <si>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</si>
  <si>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</si>
  <si>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</si>
  <si>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</si>
  <si>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</si>
  <si>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</si>
  <si>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</si>
  <si>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</si>
  <si>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</si>
  <si>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</si>
  <si>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</si>
  <si>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</si>
  <si>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</si>
  <si>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</si>
  <si>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</si>
  <si>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</si>
  <si>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</si>
  <si>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</si>
  <si>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</si>
  <si>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</si>
  <si>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</si>
  <si>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</si>
  <si>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</si>
  <si>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</si>
  <si>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</si>
  <si>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</si>
  <si>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</si>
  <si>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</si>
  <si>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</si>
  <si>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</si>
  <si>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</si>
  <si>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</si>
  <si>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</si>
  <si>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</si>
  <si>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</si>
  <si>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</si>
  <si>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</si>
  <si>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</si>
  <si>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</si>
  <si>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</si>
  <si>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</si>
  <si>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</si>
  <si>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</si>
  <si>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</si>
  <si>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</si>
  <si>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</si>
  <si>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</si>
  <si>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</si>
  <si>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</si>
  <si>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</si>
  <si>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</si>
  <si>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</si>
  <si>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</si>
  <si>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</si>
  <si>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 Fourniture et pose des lignes de vie </t>
  </si>
  <si>
    <t>pour échelle fixe</t>
  </si>
  <si>
    <t>LDV</t>
  </si>
  <si>
    <t>COBRA 20 - Antichute à rappel automatique EN 360</t>
  </si>
  <si>
    <t xml:space="preserve">Virement </t>
  </si>
  <si>
    <t xml:space="preserve">FOURNITURE ET INSTALLATION LIGNE DE VIE </t>
  </si>
  <si>
    <t>50M</t>
  </si>
  <si>
    <t>21/2242</t>
  </si>
  <si>
    <t>FACTURE N°2022-017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</si>
</sst>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2" fillId="0" borderId="0" xfId="0" applyFont="1" applyFill="1" applyBorder="1" applyAlignment="1">
      <alignment horizontal="left"/>
    </xf>
    <xf numFmtId="0" fontId="42"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9"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49" fontId="4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9"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74" t="s">
        <v>79</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5" t="s">
        <v>53</v>
      </c>
      <c r="E22" s="139" t="s">
        <v>66</v>
      </c>
      <c r="F22" s="139"/>
      <c r="G22" s="138"/>
      <c r="H22" s="138"/>
      <c r="I22" s="164"/>
      <c r="J22" s="164"/>
      <c r="K22" s="137"/>
      <c r="L22" s="135" t="s">
        <v>19</v>
      </c>
      <c r="M22" s="177">
        <v>44604</v>
      </c>
      <c r="N22" s="178"/>
      <c r="O22" s="9"/>
    </row>
    <row r="23" spans="2:15" ht="23.25" x14ac:dyDescent="0.35">
      <c r="B23" s="7"/>
      <c r="C23" s="3"/>
      <c r="D23" s="135" t="s">
        <v>54</v>
      </c>
      <c r="E23" s="138" t="s">
        <v>68</v>
      </c>
      <c r="F23" s="138"/>
      <c r="G23" s="138"/>
      <c r="H23" s="138"/>
      <c r="I23" s="138"/>
      <c r="J23" s="138"/>
      <c r="K23" s="137"/>
      <c r="L23" s="135" t="s">
        <v>64</v>
      </c>
      <c r="M23" s="136" t="s">
        <v>78</v>
      </c>
      <c r="N23" s="136"/>
      <c r="O23" s="9"/>
    </row>
    <row r="24" spans="2:15" ht="23.25" x14ac:dyDescent="0.35">
      <c r="B24" s="7"/>
      <c r="C24" s="3"/>
      <c r="D24" s="135" t="s">
        <v>55</v>
      </c>
      <c r="E24" s="164">
        <v>2051</v>
      </c>
      <c r="F24" s="164"/>
      <c r="G24" s="164"/>
      <c r="H24" s="164"/>
      <c r="I24" s="164" t="s">
        <v>69</v>
      </c>
      <c r="J24" s="164" t="s">
        <v>59</v>
      </c>
      <c r="K24" s="137"/>
      <c r="L24" s="135" t="s">
        <v>20</v>
      </c>
      <c r="M24" s="179" t="s">
        <v>70</v>
      </c>
      <c r="N24" s="179"/>
      <c r="O24" s="9"/>
    </row>
    <row r="25" spans="2:15" ht="23.25" x14ac:dyDescent="0.35">
      <c r="B25" s="7"/>
      <c r="C25" s="3"/>
      <c r="D25" s="135" t="s">
        <v>56</v>
      </c>
      <c r="E25" s="173">
        <v>31358100</v>
      </c>
      <c r="F25" s="173"/>
      <c r="G25" s="138"/>
      <c r="H25" s="138"/>
      <c r="I25" s="138"/>
      <c r="J25" s="138"/>
      <c r="K25" s="137"/>
      <c r="L25" s="135"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65" t="s">
        <v>23</v>
      </c>
      <c r="G27" s="166"/>
      <c r="H27" s="166"/>
      <c r="I27" s="166"/>
      <c r="J27" s="166"/>
      <c r="K27" s="167"/>
      <c r="L27" s="86" t="s">
        <v>24</v>
      </c>
      <c r="M27" s="87" t="s">
        <v>25</v>
      </c>
      <c r="N27" s="88"/>
      <c r="O27" s="9"/>
    </row>
    <row r="28" spans="2:15" ht="30" x14ac:dyDescent="0.4">
      <c r="B28" s="7"/>
      <c r="C28" s="3"/>
      <c r="D28" s="130"/>
      <c r="E28" s="131"/>
      <c r="F28" s="134"/>
      <c r="G28" s="123"/>
      <c r="H28" s="123"/>
      <c r="I28" s="123"/>
      <c r="J28" s="123"/>
      <c r="K28" s="124"/>
      <c r="L28" s="99"/>
      <c r="M28" s="104"/>
      <c r="N28" s="52"/>
      <c r="O28" s="9"/>
    </row>
    <row r="29" spans="2:15" ht="30" x14ac:dyDescent="0.4">
      <c r="B29" s="7"/>
      <c r="C29" s="3"/>
      <c r="D29" s="130"/>
      <c r="E29" s="98"/>
      <c r="F29" s="148"/>
      <c r="G29" s="125"/>
      <c r="H29" s="125"/>
      <c r="I29" s="125"/>
      <c r="J29" s="125"/>
      <c r="K29" s="126"/>
      <c r="L29" s="100"/>
      <c r="M29" s="104"/>
      <c r="N29" s="52"/>
      <c r="O29" s="9"/>
    </row>
    <row r="30" spans="2:15" ht="30" x14ac:dyDescent="0.4">
      <c r="B30" s="7"/>
      <c r="C30" s="3"/>
      <c r="D30" s="130"/>
      <c r="E30" s="98"/>
      <c r="F30" s="108"/>
      <c r="G30" s="125"/>
      <c r="H30" s="125"/>
      <c r="I30" s="125"/>
      <c r="J30" s="125"/>
      <c r="K30" s="126"/>
      <c r="L30" s="100"/>
      <c r="M30" s="104" t="str">
        <f t="shared" ref="M30:M39" si="0">IF(E30&lt;&gt;"",E30*L30,"")</f>
        <v/>
      </c>
      <c r="N30" s="52"/>
      <c r="O30" s="9"/>
    </row>
    <row r="31" spans="2:15" ht="30" x14ac:dyDescent="0.4">
      <c r="B31" s="7"/>
      <c r="C31" s="3"/>
      <c r="D31" s="147" t="s">
        <v>73</v>
      </c>
      <c r="E31" s="98">
        <v>5</v>
      </c>
      <c r="F31" s="108" t="s">
        <v>71</v>
      </c>
      <c r="G31" s="125"/>
      <c r="H31" s="125"/>
      <c r="I31" s="125"/>
      <c r="J31" s="125"/>
      <c r="K31" s="126"/>
      <c r="L31" s="100">
        <v>900</v>
      </c>
      <c r="M31" s="104">
        <f t="shared" si="0"/>
        <v>4500</v>
      </c>
      <c r="N31" s="52"/>
      <c r="O31" s="9"/>
    </row>
    <row r="32" spans="2:15" ht="30" x14ac:dyDescent="0.4">
      <c r="B32" s="7"/>
      <c r="C32" s="3"/>
      <c r="D32" s="130"/>
      <c r="E32" s="98"/>
      <c r="F32" s="108" t="s">
        <v>72</v>
      </c>
      <c r="G32" s="125"/>
      <c r="H32" s="125"/>
      <c r="I32" s="125"/>
      <c r="J32" s="125"/>
      <c r="K32" s="126"/>
      <c r="L32" s="100"/>
      <c r="M32" s="104" t="str">
        <f t="shared" si="0"/>
        <v/>
      </c>
      <c r="N32" s="52"/>
      <c r="O32" s="9"/>
    </row>
    <row r="33" spans="2:15" ht="30" x14ac:dyDescent="0.4">
      <c r="B33" s="7"/>
      <c r="C33" s="3"/>
      <c r="D33" s="130"/>
      <c r="E33" s="98"/>
      <c r="F33" s="108"/>
      <c r="G33" s="125"/>
      <c r="H33" s="125"/>
      <c r="I33" s="125"/>
      <c r="J33" s="125"/>
      <c r="K33" s="126"/>
      <c r="L33" s="100"/>
      <c r="M33" s="104" t="str">
        <f t="shared" si="0"/>
        <v/>
      </c>
      <c r="N33" s="52"/>
      <c r="O33" s="9"/>
    </row>
    <row r="34" spans="2:15" ht="30" x14ac:dyDescent="0.4">
      <c r="B34" s="7"/>
      <c r="C34" s="3"/>
      <c r="D34" s="130">
        <v>2078</v>
      </c>
      <c r="E34" s="98">
        <v>4</v>
      </c>
      <c r="F34" s="150" t="s">
        <v>74</v>
      </c>
      <c r="G34" s="125"/>
      <c r="H34" s="125"/>
      <c r="I34" s="125"/>
      <c r="J34" s="125"/>
      <c r="K34" s="126"/>
      <c r="L34" s="100">
        <v>1592</v>
      </c>
      <c r="M34" s="104">
        <f t="shared" si="0"/>
        <v>6368</v>
      </c>
      <c r="N34" s="52"/>
      <c r="O34" s="9"/>
    </row>
    <row r="35" spans="2:15" ht="30" x14ac:dyDescent="0.4">
      <c r="B35" s="7"/>
      <c r="C35" s="3"/>
      <c r="D35" s="130"/>
      <c r="E35" s="98"/>
      <c r="F35" s="150"/>
      <c r="G35" s="125"/>
      <c r="H35" s="125"/>
      <c r="I35" s="125"/>
      <c r="J35" s="125"/>
      <c r="K35" s="126"/>
      <c r="L35" s="100"/>
      <c r="M35" s="104" t="str">
        <f t="shared" si="0"/>
        <v/>
      </c>
      <c r="N35" s="52"/>
      <c r="O35" s="9"/>
    </row>
    <row r="36" spans="2:15" ht="30" x14ac:dyDescent="0.4">
      <c r="B36" s="7"/>
      <c r="C36" s="3"/>
      <c r="D36" s="130"/>
      <c r="E36" s="98">
        <v>1</v>
      </c>
      <c r="F36" s="181" t="s">
        <v>76</v>
      </c>
      <c r="G36" s="125"/>
      <c r="H36" s="125"/>
      <c r="I36" s="125"/>
      <c r="J36" s="125"/>
      <c r="K36" s="125"/>
      <c r="L36" s="100">
        <v>8055</v>
      </c>
      <c r="M36" s="104">
        <f t="shared" si="0"/>
        <v>8055</v>
      </c>
      <c r="N36" s="52"/>
      <c r="O36" s="9"/>
    </row>
    <row r="37" spans="2:15" ht="30" x14ac:dyDescent="0.4">
      <c r="B37" s="7"/>
      <c r="C37" s="3"/>
      <c r="D37" s="130"/>
      <c r="E37" s="98"/>
      <c r="F37" s="108" t="s">
        <v>77</v>
      </c>
      <c r="G37" s="125"/>
      <c r="H37" s="125"/>
      <c r="I37" s="125"/>
      <c r="J37" s="169"/>
      <c r="K37" s="170"/>
      <c r="L37" s="100"/>
      <c r="M37" s="104" t="str">
        <f t="shared" si="0"/>
        <v/>
      </c>
      <c r="N37" s="52"/>
      <c r="O37" s="9"/>
    </row>
    <row r="38" spans="2:15" ht="30" x14ac:dyDescent="0.4">
      <c r="B38" s="7"/>
      <c r="C38" s="3"/>
      <c r="D38" s="130"/>
      <c r="E38" s="98"/>
      <c r="F38" s="150"/>
      <c r="G38" s="125"/>
      <c r="H38" s="125"/>
      <c r="I38" s="125"/>
      <c r="J38" s="125"/>
      <c r="K38" s="126"/>
      <c r="L38" s="100"/>
      <c r="M38" s="104"/>
      <c r="N38" s="91"/>
      <c r="O38" s="9"/>
    </row>
    <row r="39" spans="2:15" ht="30" x14ac:dyDescent="0.4">
      <c r="B39" s="7"/>
      <c r="C39" s="3"/>
      <c r="D39" s="130"/>
      <c r="E39" s="98"/>
      <c r="F39" s="149"/>
      <c r="G39" s="125"/>
      <c r="H39" s="125"/>
      <c r="I39" s="125"/>
      <c r="J39" s="125"/>
      <c r="K39" s="126"/>
      <c r="L39" s="100"/>
      <c r="M39" s="104" t="str">
        <f t="shared" si="0"/>
        <v/>
      </c>
      <c r="N39" s="91"/>
      <c r="O39" s="9"/>
    </row>
    <row r="40" spans="2:15" ht="30" x14ac:dyDescent="0.4">
      <c r="B40" s="7"/>
      <c r="C40" s="3"/>
      <c r="D40" s="130"/>
      <c r="E40" s="98"/>
      <c r="F40" s="150"/>
      <c r="G40" s="125"/>
      <c r="H40" s="125"/>
      <c r="I40" s="125"/>
      <c r="J40" s="125"/>
      <c r="K40" s="126"/>
      <c r="L40" s="100"/>
      <c r="M40" s="104"/>
      <c r="N40" s="91"/>
      <c r="O40" s="9"/>
    </row>
    <row r="41" spans="2:15" ht="35.25" customHeight="1" x14ac:dyDescent="0.4">
      <c r="B41" s="7"/>
      <c r="C41" s="3"/>
      <c r="D41" s="140"/>
      <c r="E41" s="141"/>
      <c r="F41" s="142"/>
      <c r="G41" s="142"/>
      <c r="H41" s="142"/>
      <c r="I41" s="142"/>
      <c r="J41" s="142"/>
      <c r="K41" s="143"/>
      <c r="L41" s="129"/>
      <c r="M41" s="104"/>
      <c r="N41" s="52"/>
      <c r="O41" s="9"/>
    </row>
    <row r="42" spans="2:15" ht="35.25" x14ac:dyDescent="0.5">
      <c r="B42" s="7"/>
      <c r="C42" s="3"/>
      <c r="D42" s="82"/>
      <c r="E42" s="92"/>
      <c r="F42" s="113"/>
      <c r="G42" s="110"/>
      <c r="H42" s="110"/>
      <c r="I42" s="110"/>
      <c r="J42" s="111"/>
      <c r="K42" s="112"/>
      <c r="L42" s="151" t="s">
        <v>26</v>
      </c>
      <c r="M42" s="154">
        <f>SUM(M28:M41)</f>
        <v>18923</v>
      </c>
      <c r="N42" s="52"/>
      <c r="O42" s="9"/>
    </row>
    <row r="43" spans="2:15" ht="35.25" x14ac:dyDescent="0.5">
      <c r="B43" s="7"/>
      <c r="C43" s="3"/>
      <c r="D43" s="96"/>
      <c r="E43" s="93" t="s">
        <v>57</v>
      </c>
      <c r="F43" s="75"/>
      <c r="G43" s="75"/>
      <c r="H43" s="75"/>
      <c r="I43" s="75"/>
      <c r="J43" s="76"/>
      <c r="K43" s="89"/>
      <c r="L43" s="152" t="s">
        <v>47</v>
      </c>
      <c r="M43" s="154">
        <v>0.6</v>
      </c>
      <c r="N43" s="52"/>
      <c r="O43" s="9"/>
    </row>
    <row r="44" spans="2:15" ht="35.25" x14ac:dyDescent="0.5">
      <c r="B44" s="7"/>
      <c r="C44" s="3"/>
      <c r="D44" s="94"/>
      <c r="E44" s="93" t="s">
        <v>58</v>
      </c>
      <c r="F44" s="75"/>
      <c r="G44" s="75"/>
      <c r="H44" s="75"/>
      <c r="I44" s="75"/>
      <c r="J44" s="78"/>
      <c r="K44" s="90"/>
      <c r="L44" s="153">
        <v>0.19</v>
      </c>
      <c r="M44" s="154">
        <f>(M42)*0.19</f>
        <v>3595.37</v>
      </c>
      <c r="N44" s="52"/>
      <c r="O44" s="9"/>
    </row>
    <row r="45" spans="2:15" ht="35.25" x14ac:dyDescent="0.5">
      <c r="B45" s="7"/>
      <c r="C45" s="3"/>
      <c r="D45" s="94"/>
      <c r="E45" s="93" t="s">
        <v>75</v>
      </c>
      <c r="F45" s="144"/>
      <c r="G45" s="145"/>
      <c r="H45" s="79"/>
      <c r="I45" s="75"/>
      <c r="J45" s="80"/>
      <c r="K45" s="89"/>
      <c r="L45" s="97" t="s">
        <v>28</v>
      </c>
      <c r="M45" s="154">
        <f>+M42+M43+M44</f>
        <v>22518.969999999998</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1"/>
      <c r="D47" s="172"/>
      <c r="E47" s="172"/>
      <c r="F47" s="172"/>
      <c r="G47" s="172"/>
      <c r="H47" s="172"/>
      <c r="I47" s="172"/>
      <c r="J47" s="172"/>
      <c r="K47" s="172"/>
      <c r="L47" s="172"/>
      <c r="M47" s="128"/>
      <c r="N47" s="52"/>
      <c r="O47" s="9"/>
    </row>
    <row r="48" spans="2:15" x14ac:dyDescent="0.2">
      <c r="B48" s="7"/>
      <c r="C48" s="3"/>
      <c r="D48" s="168"/>
      <c r="E48" s="168"/>
      <c r="F48" s="168"/>
      <c r="G48" s="168"/>
      <c r="H48" s="168"/>
      <c r="I48" s="168"/>
      <c r="J48" s="168"/>
      <c r="K48" s="168"/>
      <c r="L48" s="168"/>
      <c r="M48" s="109"/>
      <c r="N48" s="52"/>
      <c r="O48" s="9"/>
    </row>
    <row r="49" spans="2:16" ht="26.25" x14ac:dyDescent="0.4">
      <c r="B49" s="7"/>
      <c r="C49" s="3"/>
      <c r="D49" s="168"/>
      <c r="E49" s="168"/>
      <c r="F49" s="168"/>
      <c r="G49" s="168"/>
      <c r="H49" s="168"/>
      <c r="I49" s="168"/>
      <c r="J49" s="168"/>
      <c r="K49" s="168"/>
      <c r="L49" s="168"/>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63"/>
      <c r="H51" s="163"/>
      <c r="I51" s="163"/>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62" t="s">
        <v>52</v>
      </c>
      <c r="E57" s="162"/>
      <c r="F57" s="162"/>
      <c r="G57" s="162"/>
      <c r="H57" s="162"/>
      <c r="I57" s="162"/>
      <c r="J57" s="162"/>
      <c r="K57" s="162"/>
      <c r="L57" s="162"/>
      <c r="M57" s="84"/>
      <c r="N57" s="88"/>
      <c r="O57" s="9"/>
    </row>
    <row r="58" spans="2:16" ht="18" x14ac:dyDescent="0.25">
      <c r="B58" s="7"/>
      <c r="C58" s="3"/>
      <c r="D58" s="162"/>
      <c r="E58" s="162"/>
      <c r="F58" s="162"/>
      <c r="G58" s="162"/>
      <c r="H58" s="162"/>
      <c r="I58" s="162"/>
      <c r="J58" s="162"/>
      <c r="K58" s="162"/>
      <c r="L58" s="162"/>
      <c r="M58" s="85"/>
      <c r="N58" s="88"/>
      <c r="O58" s="9"/>
    </row>
    <row r="59" spans="2:16" ht="15" x14ac:dyDescent="0.2">
      <c r="B59" s="7"/>
      <c r="C59" s="3"/>
      <c r="D59" s="162"/>
      <c r="E59" s="162"/>
      <c r="F59" s="162"/>
      <c r="G59" s="162"/>
      <c r="H59" s="162"/>
      <c r="I59" s="162"/>
      <c r="J59" s="162"/>
      <c r="K59" s="162"/>
      <c r="L59" s="162"/>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6"/>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22518.969999999998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2022-02-11T15:39:13Z</cp:lastPrinted>
  <dcterms:created xsi:type="dcterms:W3CDTF">1995-05-29T15:50:39Z</dcterms:created>
  <dcterms:modified xsi:type="dcterms:W3CDTF">2022-02-11T15:40:00Z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22518.97</vt:r8>
  </property>
</Properties>
</file>