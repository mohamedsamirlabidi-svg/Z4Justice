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Facture!$F$22</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Facture!$F$47</definedName>
    <definedName name="data67">Facture!$F$48</definedName>
    <definedName name="data68">Facture!$G$52</definedName>
    <definedName name="data69">Facture!$K$52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Facture!$F$47:$I$47</definedName>
    <definedName name="qzqzqz27">Facture!#REF!</definedName>
    <definedName name="qzqzqz28">Facture!$F$48:$I$48</definedName>
    <definedName name="qzqzqz29">Facture!$K$52:$N$52</definedName>
    <definedName name="qzqzqz3">Facture!$E$22:$J$22</definedName>
    <definedName name="qzqzqz30">Facture!$G$52:$I$52</definedName>
    <definedName name="qzqzqz31">Facture!$G$52:$H$52</definedName>
    <definedName name="qzqzqz32">Facture!$K$48:$N$52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Facture!$C$3:$O$60</definedName>
  </definedNames>
  <calcPr calcId="152511"/>
</workbook>
</file>

<file path=xl/calcChain.xml><?xml version="1.0" encoding="utf-8"?>
<calcChain xmlns="http://schemas.openxmlformats.org/spreadsheetml/2006/main">
  <c r="N29" i="3" l="1"/>
  <c r="K8" i="8" l="1"/>
  <c r="I8" i="8"/>
  <c r="H8" i="8"/>
  <c r="G8" i="8"/>
  <c r="F8" i="8"/>
  <c r="E8" i="8"/>
  <c r="D8" i="8"/>
  <c r="C8" i="8"/>
  <c r="B8" i="8"/>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<sst xmlns="http://schemas.openxmlformats.org/spreadsheetml/2006/main" count="86" uniqueCount="69">
  <si>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</si>
  <si>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</si>
  <si>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</si>
  <si>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</si>
  <si>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</si>
  <si>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</si>
  <si>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</si>
  <si>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</si>
  <si>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</si>
  <si>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</si>
  <si>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</si>
  <si>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</si>
  <si>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</si>
  <si>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</si>
  <si>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</si>
  <si>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</si>
  <si>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</si>
  <si>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</si>
  <si>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</si>
  <si>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</si>
  <si>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</si>
  <si>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</si>
  <si>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</si>
  <si>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</si>
  <si>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</si>
  <si>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</si>
  <si>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</si>
  <si>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</si>
  <si>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</si>
  <si>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</si>
  <si>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</si>
  <si>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</si>
  <si>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</si>
  <si>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</si>
  <si>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</si>
  <si>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</si>
  <si>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</si>
  <si>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</si>
  <si>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</si>
  <si>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</si>
  <si>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</si>
  <si>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</si>
  <si>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</si>
  <si>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</si>
  <si>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</si>
  <si>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</si>
  <si>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</si>
  <si>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</si>
  <si>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</si>
  <si>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</si>
  <si>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</si>
  <si>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</si>
  <si>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</si>
  <si>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</si>
  <si>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</si>
  <si>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</si>
  <si>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</si>
  <si>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</si>
  <si>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</si>
  <si>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</si>
  <si>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</si>
  <si>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</si>
  <si>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Harnais orbital </t>
  </si>
  <si>
    <t>id : T0243/0220</t>
  </si>
  <si>
    <t>1469299R/A/M/000</t>
  </si>
  <si>
    <t xml:space="preserve">SBMMPLUS </t>
  </si>
  <si>
    <t xml:space="preserve">51 RUE FARHAT HACHED MEGRINE </t>
  </si>
  <si>
    <t xml:space="preserve">MR  ABDESATAR </t>
  </si>
  <si>
    <t>FACTURE  N° 2022-014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</si>
</sst>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name val="Open Sans"/>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30" fillId="6" borderId="0" xfId="0" applyNumberFormat="1" applyFont="1" applyFill="1" applyAlignment="1">
      <alignment horizontal="center" vertical="center"/>
    </xf>
    <xf numFmtId="49" fontId="7" fillId="0" borderId="32" xfId="0" applyNumberFormat="1" applyFont="1" applyFill="1" applyBorder="1" applyAlignment="1"/>
    <xf numFmtId="0" fontId="32" fillId="6" borderId="32" xfId="0" applyFont="1" applyFill="1" applyBorder="1"/>
    <xf numFmtId="0" fontId="32" fillId="6" borderId="0" xfId="0" applyFont="1" applyFill="1"/>
    <xf numFmtId="0" fontId="1" fillId="6" borderId="0" xfId="0" applyFont="1" applyFill="1" applyBorder="1" applyAlignment="1">
      <alignment horizontal="left"/>
    </xf>
    <xf numFmtId="0" fontId="31" fillId="3" borderId="0" xfId="0" applyFont="1" applyFill="1" applyBorder="1" applyAlignment="1">
      <alignment horizontal="left"/>
    </xf>
    <xf numFmtId="0" fontId="23" fillId="3" borderId="32" xfId="0" applyFont="1" applyFill="1" applyBorder="1" applyAlignment="1">
      <alignment horizontal="center" vertic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6" t="s">
        <v>0</v>
      </c>
      <c r="E4" s="137"/>
      <c r="F4" s="137"/>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8" t="s">
        <v>2</v>
      </c>
      <c r="E10" s="139"/>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0" t="s">
        <v>46</v>
      </c>
      <c r="E19" s="139"/>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1" t="str">
        <f>LOWER(TemplateInformation!B3)</f>
        <v>c:\program files\microsoft office\office\macrolib\factbd.xls</v>
      </c>
      <c r="G33" s="142"/>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8" t="s">
        <v>16</v>
      </c>
      <c r="E36" s="139"/>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zoomScale="95" workbookViewId="0">
      <selection activeCell="M17" sqref="M17:N19"/>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4"/>
      <c r="N9" s="145"/>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53" t="s">
        <v>55</v>
      </c>
      <c r="N13" s="154"/>
      <c r="O13" s="3"/>
      <c r="P13" s="8"/>
    </row>
    <row r="14" spans="2:16">
      <c r="B14" s="7"/>
      <c r="C14" s="3"/>
      <c r="D14" s="3"/>
      <c r="E14" s="3"/>
      <c r="F14" s="3"/>
      <c r="G14" s="3"/>
      <c r="H14" s="143"/>
      <c r="I14" s="143"/>
      <c r="J14" s="143"/>
      <c r="K14" s="143"/>
      <c r="L14" s="143"/>
      <c r="M14" s="3"/>
      <c r="N14" s="3"/>
      <c r="O14" s="3"/>
      <c r="P14" s="8"/>
    </row>
    <row r="15" spans="2:16" ht="20.100000000000001" customHeight="1">
      <c r="B15" s="7"/>
      <c r="C15" s="3"/>
      <c r="D15" s="3"/>
      <c r="E15" s="3"/>
      <c r="F15" s="3"/>
      <c r="G15" s="3"/>
      <c r="H15" s="143"/>
      <c r="I15" s="143"/>
      <c r="J15" s="143"/>
      <c r="K15" s="143"/>
      <c r="L15" s="143"/>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67" t="s">
        <v>68</v>
      </c>
      <c r="N17" s="168"/>
      <c r="O17" s="3"/>
      <c r="P17" s="8"/>
    </row>
    <row r="18" spans="2:16" ht="19.5" thickTop="1">
      <c r="B18" s="7"/>
      <c r="C18" s="3"/>
      <c r="D18" s="58"/>
      <c r="E18" s="58"/>
      <c r="F18" s="58"/>
      <c r="G18" s="58"/>
      <c r="H18" s="58"/>
      <c r="I18" s="58"/>
      <c r="J18" s="59"/>
      <c r="K18" s="59"/>
      <c r="L18" s="59"/>
      <c r="M18" s="169"/>
      <c r="N18" s="170"/>
      <c r="O18" s="19"/>
      <c r="P18" s="8"/>
    </row>
    <row r="19" spans="2:16" ht="13.5" thickBot="1">
      <c r="B19" s="7"/>
      <c r="C19" s="3"/>
      <c r="D19" s="3"/>
      <c r="E19" s="3"/>
      <c r="F19" s="3"/>
      <c r="G19" s="3"/>
      <c r="H19" s="3"/>
      <c r="I19" s="3"/>
      <c r="J19" s="3"/>
      <c r="K19" s="3"/>
      <c r="L19" s="3"/>
      <c r="M19" s="171"/>
      <c r="N19" s="172"/>
      <c r="O19" s="3"/>
      <c r="P19" s="8"/>
    </row>
    <row r="20" spans="2:16">
      <c r="B20" s="7"/>
      <c r="C20" s="3"/>
      <c r="D20" s="3"/>
      <c r="E20" s="3"/>
      <c r="F20" s="3"/>
      <c r="G20" s="3"/>
      <c r="H20" s="3"/>
      <c r="I20" s="3"/>
      <c r="J20" s="3"/>
      <c r="K20" s="3"/>
      <c r="L20" s="3"/>
      <c r="M20" s="3"/>
      <c r="N20" s="3"/>
      <c r="O20" s="3"/>
      <c r="P20" s="8"/>
    </row>
    <row r="21" spans="2:16" ht="18">
      <c r="B21" s="7"/>
      <c r="C21" s="3"/>
      <c r="D21" s="82" t="s">
        <v>3</v>
      </c>
      <c r="E21" s="159" t="s">
        <v>65</v>
      </c>
      <c r="F21" s="160"/>
      <c r="G21" s="160"/>
      <c r="H21" s="160"/>
      <c r="I21" s="160"/>
      <c r="J21" s="160"/>
      <c r="K21" s="82"/>
      <c r="L21" s="85" t="s">
        <v>18</v>
      </c>
      <c r="M21" s="148">
        <v>44599</v>
      </c>
      <c r="N21" s="149"/>
      <c r="O21" s="55"/>
      <c r="P21" s="8"/>
    </row>
    <row r="22" spans="2:16">
      <c r="B22" s="7"/>
      <c r="C22" s="3"/>
      <c r="D22" s="82" t="s">
        <v>5</v>
      </c>
      <c r="E22" s="157" t="s">
        <v>66</v>
      </c>
      <c r="F22" s="158"/>
      <c r="G22" s="158"/>
      <c r="H22" s="158"/>
      <c r="I22" s="158"/>
      <c r="J22" s="158"/>
      <c r="K22" s="82"/>
      <c r="L22" s="108" t="s">
        <v>61</v>
      </c>
      <c r="M22" s="109"/>
      <c r="N22" s="89"/>
      <c r="O22" s="56"/>
      <c r="P22" s="8"/>
    </row>
    <row r="23" spans="2:16">
      <c r="B23" s="7"/>
      <c r="C23" s="3"/>
      <c r="D23" s="82" t="s">
        <v>7</v>
      </c>
      <c r="E23" s="90"/>
      <c r="F23" s="91" t="s">
        <v>8</v>
      </c>
      <c r="G23" s="155"/>
      <c r="H23" s="156"/>
      <c r="I23" s="92" t="s">
        <v>9</v>
      </c>
      <c r="J23" s="89" t="s">
        <v>52</v>
      </c>
      <c r="K23" s="82"/>
      <c r="L23" s="85" t="s">
        <v>19</v>
      </c>
      <c r="M23" s="150" t="s">
        <v>67</v>
      </c>
      <c r="N23" s="151"/>
      <c r="O23" s="3"/>
      <c r="P23" s="8"/>
    </row>
    <row r="24" spans="2:16">
      <c r="B24" s="7"/>
      <c r="C24" s="3"/>
      <c r="D24" s="82" t="s">
        <v>20</v>
      </c>
      <c r="E24" s="161">
        <v>97244219</v>
      </c>
      <c r="F24" s="162"/>
      <c r="G24" s="162"/>
      <c r="H24" s="162"/>
      <c r="I24" s="162"/>
      <c r="J24" s="162"/>
      <c r="K24" s="82"/>
      <c r="L24" s="85" t="s">
        <v>48</v>
      </c>
      <c r="M24" s="152" t="s">
        <v>64</v>
      </c>
      <c r="N24" s="151"/>
      <c r="O24" s="3"/>
      <c r="P24" s="8"/>
    </row>
    <row r="25" spans="2:16">
      <c r="B25" s="7"/>
      <c r="C25" s="3"/>
      <c r="D25" s="82"/>
      <c r="E25" s="82"/>
      <c r="F25" s="82"/>
      <c r="G25" s="82"/>
      <c r="H25" s="82"/>
      <c r="I25" s="82"/>
      <c r="J25" s="82"/>
      <c r="K25" s="82"/>
      <c r="L25" s="82"/>
      <c r="M25" s="82"/>
      <c r="N25" s="82"/>
      <c r="O25" s="3"/>
      <c r="P25" s="8"/>
    </row>
    <row r="26" spans="2:16">
      <c r="B26" s="7"/>
      <c r="C26" s="3"/>
      <c r="D26" s="67" t="s">
        <v>35</v>
      </c>
      <c r="E26" s="51" t="s">
        <v>21</v>
      </c>
      <c r="F26" s="173" t="s">
        <v>22</v>
      </c>
      <c r="G26" s="174"/>
      <c r="H26" s="174"/>
      <c r="I26" s="174"/>
      <c r="J26" s="174"/>
      <c r="K26" s="174"/>
      <c r="L26" s="175"/>
      <c r="M26" s="52" t="s">
        <v>54</v>
      </c>
      <c r="N26" s="115" t="s">
        <v>23</v>
      </c>
      <c r="O26" s="57"/>
      <c r="P26" s="8"/>
    </row>
    <row r="27" spans="2:16" ht="15">
      <c r="B27" s="7"/>
      <c r="C27" s="3"/>
      <c r="D27" s="110"/>
      <c r="E27" s="75"/>
      <c r="F27" s="123"/>
      <c r="G27" s="111"/>
      <c r="H27" s="81"/>
      <c r="I27" s="111"/>
      <c r="J27" s="111"/>
      <c r="K27" s="81"/>
      <c r="L27" s="111"/>
      <c r="M27" s="96"/>
      <c r="N27" s="96"/>
      <c r="O27" s="57"/>
      <c r="P27" s="8"/>
    </row>
    <row r="28" spans="2:16" ht="15.75">
      <c r="B28" s="7"/>
      <c r="C28" s="3"/>
      <c r="D28" s="110"/>
      <c r="E28" s="75"/>
      <c r="F28" s="131"/>
      <c r="G28" s="111"/>
      <c r="H28" s="81"/>
      <c r="I28" s="111"/>
      <c r="J28" s="111"/>
      <c r="K28" s="81"/>
      <c r="L28" s="111"/>
      <c r="M28" s="96"/>
      <c r="N28" s="96"/>
      <c r="O28" s="57"/>
      <c r="P28" s="8"/>
    </row>
    <row r="29" spans="2:16" ht="15.75">
      <c r="B29" s="7"/>
      <c r="C29" s="3"/>
      <c r="D29" s="135">
        <v>2120</v>
      </c>
      <c r="E29" s="53">
        <v>1</v>
      </c>
      <c r="F29" s="132" t="s">
        <v>62</v>
      </c>
      <c r="G29" s="118"/>
      <c r="H29" s="118"/>
      <c r="I29" s="118"/>
      <c r="J29" s="118"/>
      <c r="K29" s="118"/>
      <c r="L29" s="81"/>
      <c r="M29" s="96">
        <v>300</v>
      </c>
      <c r="N29" s="96">
        <f t="shared" ref="N29" si="0">E29*M29</f>
        <v>300</v>
      </c>
      <c r="O29" s="57"/>
      <c r="P29" s="8"/>
    </row>
    <row r="30" spans="2:16" ht="15">
      <c r="B30" s="7"/>
      <c r="C30" s="3"/>
      <c r="D30" s="128"/>
      <c r="E30" s="75"/>
      <c r="F30" s="117" t="s">
        <v>63</v>
      </c>
      <c r="G30" s="111"/>
      <c r="H30" s="81"/>
      <c r="I30" s="111"/>
      <c r="J30" s="111"/>
      <c r="K30" s="81"/>
      <c r="L30" s="111"/>
      <c r="M30" s="96"/>
      <c r="N30" s="96"/>
      <c r="O30" s="57"/>
      <c r="P30" s="8"/>
    </row>
    <row r="31" spans="2:16" ht="15.75">
      <c r="B31" s="7"/>
      <c r="C31" s="3"/>
      <c r="D31" s="129"/>
      <c r="E31" s="75"/>
      <c r="F31" s="131"/>
      <c r="G31" s="111"/>
      <c r="H31" s="81"/>
      <c r="I31" s="111"/>
      <c r="J31" s="111"/>
      <c r="K31" s="81"/>
      <c r="L31" s="111"/>
      <c r="M31" s="96"/>
      <c r="N31" s="96"/>
      <c r="O31" s="57"/>
      <c r="P31" s="8"/>
    </row>
    <row r="32" spans="2:16" ht="15">
      <c r="B32" s="7"/>
      <c r="C32" s="3"/>
      <c r="D32" s="110"/>
      <c r="E32" s="75"/>
      <c r="F32" s="130"/>
      <c r="G32" s="111"/>
      <c r="H32" s="81"/>
      <c r="I32" s="111"/>
      <c r="J32" s="111"/>
      <c r="K32" s="81"/>
      <c r="L32" s="111"/>
      <c r="M32" s="96"/>
      <c r="N32" s="96"/>
      <c r="O32" s="57"/>
      <c r="P32" s="8"/>
    </row>
    <row r="33" spans="2:16" ht="15">
      <c r="B33" s="7"/>
      <c r="C33" s="3"/>
      <c r="D33" s="110"/>
      <c r="E33" s="75"/>
      <c r="F33" s="117"/>
      <c r="G33" s="111"/>
      <c r="H33" s="81"/>
      <c r="I33" s="111"/>
      <c r="J33" s="111"/>
      <c r="K33" s="81"/>
      <c r="L33" s="111"/>
      <c r="M33" s="96"/>
      <c r="N33" s="96"/>
      <c r="O33" s="57"/>
      <c r="P33" s="8"/>
    </row>
    <row r="34" spans="2:16" ht="15.75">
      <c r="B34" s="7"/>
      <c r="C34" s="3"/>
      <c r="D34" s="135"/>
      <c r="E34" s="53"/>
      <c r="F34" s="132"/>
      <c r="G34" s="118"/>
      <c r="H34" s="118"/>
      <c r="I34" s="118"/>
      <c r="J34" s="118"/>
      <c r="K34" s="118"/>
      <c r="L34" s="81"/>
      <c r="M34" s="96"/>
      <c r="N34" s="96"/>
      <c r="O34" s="57"/>
      <c r="P34" s="8"/>
    </row>
    <row r="35" spans="2:16" ht="15">
      <c r="B35" s="7"/>
      <c r="C35" s="3"/>
      <c r="D35" s="94"/>
      <c r="E35" s="53"/>
      <c r="F35" s="126"/>
      <c r="G35" s="118"/>
      <c r="H35" s="118"/>
      <c r="I35" s="118"/>
      <c r="J35" s="118"/>
      <c r="K35" s="118"/>
      <c r="L35" s="81"/>
      <c r="M35" s="96"/>
      <c r="N35" s="96"/>
      <c r="O35" s="57"/>
      <c r="P35" s="8"/>
    </row>
    <row r="36" spans="2:16" ht="15.75">
      <c r="B36" s="7"/>
      <c r="C36" s="3"/>
      <c r="D36" s="135"/>
      <c r="E36" s="53"/>
      <c r="F36" s="132"/>
      <c r="G36" s="133"/>
      <c r="H36" s="118"/>
      <c r="I36" s="118"/>
      <c r="J36" s="118"/>
      <c r="K36" s="118"/>
      <c r="L36" s="81"/>
      <c r="M36" s="96"/>
      <c r="N36" s="96"/>
      <c r="O36" s="57"/>
      <c r="P36" s="8"/>
    </row>
    <row r="37" spans="2:16" ht="15.75">
      <c r="B37" s="7"/>
      <c r="C37" s="3"/>
      <c r="D37" s="94"/>
      <c r="E37" s="53"/>
      <c r="F37" s="132"/>
      <c r="G37" s="133"/>
      <c r="H37" s="118"/>
      <c r="I37" s="118"/>
      <c r="J37" s="118"/>
      <c r="K37" s="118"/>
      <c r="L37" s="81"/>
      <c r="M37" s="96"/>
      <c r="N37" s="96"/>
      <c r="O37" s="57"/>
      <c r="P37" s="8"/>
    </row>
    <row r="38" spans="2:16" ht="15.75">
      <c r="B38" s="7"/>
      <c r="C38" s="3"/>
      <c r="D38" s="135"/>
      <c r="E38" s="53"/>
      <c r="F38" s="132"/>
      <c r="G38" s="118"/>
      <c r="H38" s="118"/>
      <c r="I38" s="118"/>
      <c r="J38" s="118"/>
      <c r="K38" s="118"/>
      <c r="L38" s="81"/>
      <c r="M38" s="96"/>
      <c r="N38" s="96"/>
      <c r="O38" s="57"/>
      <c r="P38" s="8"/>
    </row>
    <row r="39" spans="2:16" ht="15">
      <c r="B39" s="7"/>
      <c r="C39" s="3"/>
      <c r="D39" s="95"/>
      <c r="E39" s="54"/>
      <c r="F39" s="146"/>
      <c r="G39" s="147"/>
      <c r="H39" s="147"/>
      <c r="I39" s="147"/>
      <c r="J39" s="147"/>
      <c r="K39" s="147"/>
      <c r="L39" s="119"/>
      <c r="M39" s="96"/>
      <c r="N39" s="96"/>
      <c r="O39" s="57"/>
      <c r="P39" s="8"/>
    </row>
    <row r="40" spans="2:16" ht="15.75">
      <c r="B40" s="7"/>
      <c r="C40" s="3"/>
      <c r="D40" s="3"/>
      <c r="E40" s="82"/>
      <c r="F40" s="82"/>
      <c r="G40" s="82"/>
      <c r="H40" s="82"/>
      <c r="I40" s="82"/>
      <c r="J40" s="76"/>
      <c r="K40" s="76"/>
      <c r="L40" s="76"/>
      <c r="M40" s="103" t="s">
        <v>24</v>
      </c>
      <c r="N40" s="97">
        <f>SUM(N27:N39)</f>
        <v>300</v>
      </c>
      <c r="O40" s="57"/>
      <c r="P40" s="8"/>
    </row>
    <row r="41" spans="2:16" ht="17.100000000000001" customHeight="1">
      <c r="B41" s="7"/>
      <c r="C41" s="3"/>
      <c r="D41" s="3"/>
      <c r="E41" s="82"/>
      <c r="F41" s="82"/>
      <c r="G41" s="82"/>
      <c r="H41" s="82"/>
      <c r="I41" s="82"/>
      <c r="J41" s="76"/>
      <c r="K41" s="76"/>
      <c r="L41" s="76"/>
      <c r="M41" s="107" t="s">
        <v>47</v>
      </c>
      <c r="N41" s="104">
        <v>0.6</v>
      </c>
      <c r="O41" s="57"/>
      <c r="P41" s="8"/>
    </row>
    <row r="42" spans="2:16" ht="17.100000000000001" customHeight="1">
      <c r="B42" s="7"/>
      <c r="C42" s="3"/>
      <c r="D42" s="3"/>
      <c r="E42" s="84"/>
      <c r="F42" s="108" t="s">
        <v>25</v>
      </c>
      <c r="G42" s="82"/>
      <c r="H42" s="82"/>
      <c r="I42" s="82"/>
      <c r="J42" s="78"/>
      <c r="K42" s="78"/>
      <c r="L42" s="77"/>
      <c r="M42" s="105">
        <v>0.19</v>
      </c>
      <c r="N42" s="104">
        <f>N40*0.19</f>
        <v>57</v>
      </c>
      <c r="O42" s="57"/>
      <c r="P42" s="8"/>
    </row>
    <row r="43" spans="2:16" ht="15.75">
      <c r="B43" s="7"/>
      <c r="C43" s="3"/>
      <c r="D43" s="3"/>
      <c r="E43" s="86"/>
      <c r="F43" s="134" t="s">
        <v>26</v>
      </c>
      <c r="G43" s="88"/>
      <c r="H43" s="86"/>
      <c r="I43" s="82"/>
      <c r="J43" s="79"/>
      <c r="K43" s="76"/>
      <c r="L43" s="76"/>
      <c r="M43" s="106" t="s">
        <v>28</v>
      </c>
      <c r="N43" s="97">
        <f>+N40+N41+N42</f>
        <v>357.6</v>
      </c>
      <c r="O43" s="57"/>
      <c r="P43" s="8"/>
    </row>
    <row r="44" spans="2:16" ht="15" customHeight="1">
      <c r="B44" s="7"/>
      <c r="C44" s="3"/>
      <c r="D44" s="3"/>
      <c r="E44" s="86">
        <v>2</v>
      </c>
      <c r="F44" s="108" t="s">
        <v>57</v>
      </c>
      <c r="G44" s="82"/>
      <c r="H44" s="87"/>
      <c r="I44" s="82"/>
      <c r="J44" s="80" t="s">
        <v>27</v>
      </c>
      <c r="K44" s="76"/>
      <c r="L44" s="76"/>
      <c r="M44" s="100"/>
      <c r="N44" s="101"/>
      <c r="O44" s="57"/>
      <c r="P44" s="8"/>
    </row>
    <row r="45" spans="2:16" ht="15" customHeight="1">
      <c r="B45" s="7"/>
      <c r="C45" s="3"/>
      <c r="D45" s="3"/>
      <c r="E45" s="86"/>
      <c r="F45" s="108"/>
      <c r="G45" s="82"/>
      <c r="H45" s="87"/>
      <c r="I45" s="82"/>
      <c r="J45" s="80"/>
      <c r="K45" s="76"/>
      <c r="L45" s="76"/>
      <c r="M45" s="98" t="s">
        <v>58</v>
      </c>
      <c r="N45" s="101"/>
      <c r="O45" s="57"/>
      <c r="P45" s="8"/>
    </row>
    <row r="46" spans="2:16" ht="15" customHeight="1">
      <c r="B46" s="7"/>
      <c r="C46" s="3"/>
      <c r="D46" s="3"/>
      <c r="E46" s="83"/>
      <c r="F46" s="83"/>
      <c r="G46" s="82"/>
      <c r="H46" s="83"/>
      <c r="I46" s="82"/>
      <c r="J46" s="80" t="s">
        <v>27</v>
      </c>
      <c r="K46" s="76"/>
      <c r="L46" s="99"/>
      <c r="M46" s="102"/>
      <c r="N46" s="102"/>
      <c r="O46" s="57"/>
      <c r="P46" s="8"/>
    </row>
    <row r="47" spans="2:16" ht="15">
      <c r="B47" s="7"/>
      <c r="C47" s="176"/>
      <c r="D47" s="176"/>
      <c r="E47" s="176"/>
      <c r="F47" s="176"/>
      <c r="G47" s="176"/>
      <c r="H47" s="176"/>
      <c r="I47" s="176"/>
      <c r="J47" s="176"/>
      <c r="K47" s="176"/>
      <c r="L47" s="176"/>
      <c r="M47" s="99"/>
      <c r="N47" s="101"/>
      <c r="O47" s="57"/>
      <c r="P47" s="8"/>
    </row>
    <row r="48" spans="2:16" ht="15.75">
      <c r="B48" s="7"/>
      <c r="C48" s="3"/>
      <c r="D48" s="3"/>
      <c r="E48" s="18"/>
      <c r="F48" s="163"/>
      <c r="G48" s="163"/>
      <c r="H48" s="163"/>
      <c r="I48" s="163"/>
      <c r="J48" s="78"/>
      <c r="K48" s="99"/>
      <c r="L48" s="98"/>
      <c r="M48" s="98"/>
      <c r="N48" s="98"/>
      <c r="O48" s="57"/>
      <c r="P48" s="8"/>
    </row>
    <row r="49" spans="1:16" ht="15.75">
      <c r="B49" s="7"/>
      <c r="C49" s="3"/>
      <c r="D49" s="3"/>
      <c r="E49" s="18"/>
      <c r="F49" s="127" t="s">
        <v>56</v>
      </c>
      <c r="G49" s="127"/>
      <c r="H49" s="127"/>
      <c r="I49" s="127"/>
      <c r="J49" s="127"/>
      <c r="K49" s="127"/>
      <c r="L49" s="127"/>
      <c r="M49" s="98"/>
      <c r="N49" s="98"/>
      <c r="O49" s="57"/>
      <c r="P49" s="8"/>
    </row>
    <row r="50" spans="1:16" ht="15" customHeight="1" thickBot="1">
      <c r="B50" s="7"/>
      <c r="C50" s="3"/>
      <c r="D50" s="3"/>
      <c r="E50" s="122" t="s">
        <v>60</v>
      </c>
      <c r="F50" s="127"/>
      <c r="G50" s="127"/>
      <c r="H50" s="127"/>
      <c r="I50" s="127"/>
      <c r="J50" s="127"/>
      <c r="K50" s="127"/>
      <c r="L50" s="127"/>
      <c r="M50" s="122"/>
      <c r="N50" s="98"/>
      <c r="O50" s="57"/>
      <c r="P50" s="8"/>
    </row>
    <row r="51" spans="1:16" ht="15" customHeight="1" thickTop="1">
      <c r="A51" s="116"/>
      <c r="B51" s="7"/>
      <c r="C51" s="3"/>
      <c r="D51" s="3"/>
      <c r="E51" s="18"/>
      <c r="F51" s="127"/>
      <c r="G51" s="127"/>
      <c r="H51" s="127"/>
      <c r="I51" s="127"/>
      <c r="J51" s="127"/>
      <c r="K51" s="127"/>
      <c r="L51" s="127"/>
      <c r="M51" s="98"/>
      <c r="N51" s="98"/>
      <c r="O51" s="57"/>
      <c r="P51" s="8"/>
    </row>
    <row r="52" spans="1:16" ht="12.75" customHeight="1">
      <c r="A52" s="121"/>
      <c r="B52" s="7"/>
      <c r="C52" s="3"/>
      <c r="D52" s="3"/>
      <c r="E52" s="164" t="s">
        <v>59</v>
      </c>
      <c r="F52" s="164"/>
      <c r="G52" s="164"/>
      <c r="H52" s="164"/>
      <c r="I52" s="164"/>
      <c r="J52" s="164"/>
      <c r="K52" s="164"/>
      <c r="L52" s="164"/>
      <c r="M52" s="164"/>
      <c r="N52" s="98"/>
      <c r="O52" s="57"/>
      <c r="P52" s="8"/>
    </row>
    <row r="53" spans="1:16" ht="3" customHeight="1">
      <c r="A53" s="121"/>
      <c r="B53" s="7"/>
      <c r="C53" s="3"/>
      <c r="D53" s="3"/>
      <c r="E53" s="164"/>
      <c r="F53" s="164"/>
      <c r="G53" s="164"/>
      <c r="H53" s="164"/>
      <c r="I53" s="164"/>
      <c r="J53" s="164"/>
      <c r="K53" s="164"/>
      <c r="L53" s="164"/>
      <c r="M53" s="164"/>
      <c r="N53" s="98"/>
      <c r="O53" s="57"/>
      <c r="P53" s="8"/>
    </row>
    <row r="54" spans="1:16" ht="13.5" thickBot="1">
      <c r="A54" s="121"/>
      <c r="B54" s="7"/>
      <c r="C54" s="120"/>
      <c r="D54" s="120"/>
      <c r="E54" s="121"/>
      <c r="F54" s="121"/>
      <c r="G54" s="121"/>
      <c r="H54" s="165"/>
      <c r="I54" s="165"/>
      <c r="J54" s="165"/>
      <c r="K54" s="165"/>
      <c r="L54" s="165"/>
      <c r="M54" s="121"/>
      <c r="N54" s="121"/>
      <c r="O54" s="57"/>
      <c r="P54" s="8"/>
    </row>
    <row r="55" spans="1:16" ht="14.25" thickTop="1" thickBot="1">
      <c r="A55" s="121"/>
      <c r="B55" s="58"/>
      <c r="C55" s="58"/>
      <c r="D55" s="58"/>
      <c r="E55" s="58"/>
      <c r="F55" s="58"/>
      <c r="G55" s="58"/>
      <c r="H55" s="58"/>
      <c r="I55" s="58"/>
      <c r="J55" s="58"/>
      <c r="K55" s="58"/>
      <c r="L55" s="58"/>
      <c r="M55" s="58"/>
      <c r="N55" s="58"/>
      <c r="O55" s="57"/>
      <c r="P55" s="8"/>
    </row>
    <row r="56" spans="1:16" ht="13.5" thickTop="1">
      <c r="A56" s="58"/>
      <c r="B56" s="166"/>
      <c r="C56" s="166"/>
      <c r="D56" s="166"/>
      <c r="E56" s="166"/>
      <c r="F56" s="166"/>
      <c r="G56" s="166"/>
      <c r="H56" s="166"/>
      <c r="I56" s="166"/>
      <c r="J56" s="166"/>
      <c r="K56" s="125"/>
      <c r="L56" s="125"/>
      <c r="M56" s="125"/>
      <c r="N56" s="125"/>
      <c r="O56" s="57"/>
      <c r="P56" s="8"/>
    </row>
    <row r="57" spans="1:16" ht="0.95" customHeight="1" thickBot="1">
      <c r="A57" s="121"/>
      <c r="B57" s="165"/>
      <c r="C57" s="165"/>
      <c r="D57" s="165"/>
      <c r="E57" s="165"/>
      <c r="F57" s="165"/>
      <c r="G57" s="165"/>
      <c r="H57" s="165"/>
      <c r="I57" s="165"/>
      <c r="J57" s="165"/>
      <c r="K57" s="124"/>
      <c r="L57" s="124"/>
      <c r="M57" s="124"/>
      <c r="N57" s="124"/>
      <c r="O57" s="120"/>
      <c r="P57" s="8"/>
    </row>
    <row r="58" spans="1:16" ht="6" customHeight="1" thickTop="1">
      <c r="A58" s="121"/>
      <c r="O58" s="58"/>
    </row>
    <row r="59" spans="1:16">
      <c r="O59" s="125"/>
    </row>
    <row r="60" spans="1:16">
      <c r="O60" s="124"/>
    </row>
    <row r="62"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F48:I48"/>
    <mergeCell ref="E52:M53"/>
    <mergeCell ref="H54:L54"/>
    <mergeCell ref="B56:J57"/>
    <mergeCell ref="M17:N19"/>
    <mergeCell ref="F26:L26"/>
    <mergeCell ref="C47:L47"/>
    <mergeCell ref="H14:L15"/>
    <mergeCell ref="M9:N9"/>
    <mergeCell ref="F39:K39"/>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3">
      <formula1>0</formula1>
      <formula2>0</formula2>
    </dataValidation>
    <dataValidation errorStyle="warning" allowBlank="1" showInputMessage="1" errorTitle="Numéro de carte de crédit" promptTitle="Numéro de carte de crédit" prompt="Tapez ici le numéro de carte de crédit du client" sqref="F48: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5"/>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list" allowBlank="1" showInputMessage="1" showErrorMessage="1" errorTitle="Code TVA" error="Tapez 1, 2, ou 3." sqref="L27:L39">
      <formula1>"1,2,3"</formula1>
    </dataValidation>
    <dataValidation type="decimal" allowBlank="1" showErrorMessage="1" errorTitle="Prix unitaire" error="Tapez un nombre dans cette cellule." promptTitle="Prix unitaire" sqref="N28 M27:M28 M29:N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Facture!$M$21</f>
        <v>44599</v>
      </c>
      <c r="D8" s="71" t="str">
        <f>Facture!$E$21</f>
        <v xml:space="preserve">SBMMPLUS </v>
      </c>
      <c r="E8" s="68" t="str">
        <f>Facture!$E$22</f>
        <v xml:space="preserve">51 RUE FARHAT HACHED MEGRINE </v>
      </c>
      <c r="F8" s="68">
        <f>Facture!$E$23</f>
        <v>0</v>
      </c>
      <c r="G8" s="71">
        <f>Facture!$G$23</f>
        <v>0</v>
      </c>
      <c r="H8" s="71" t="str">
        <f>Facture!$J$23</f>
        <v>TN</v>
      </c>
      <c r="I8" s="68">
        <f>Facture!$E$24</f>
        <v>97244219</v>
      </c>
      <c r="J8" s="72">
        <f>Facture!$N$43</f>
        <v>357.6</v>
      </c>
      <c r="K8" s="68" t="str">
        <f>Facture!$M$23</f>
        <v xml:space="preserve">MR  ABDESATAR </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2022-02-07T12:55:33Z</cp:lastPrinted>
  <dcterms:created xsi:type="dcterms:W3CDTF">1995-05-29T15:50:39Z</dcterms:created>
  <dcterms:modified xsi:type="dcterms:W3CDTF">2022-02-07T12:56:10Z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SBMMPLUS </vt:lpwstr>
  </property>
  <property fmtid="{D5CDD505-2E9C-101B-9397-08002B2CF9AE}" pid="11" name="Montant de la facture" linkTarget="TOT">
    <vt:r8>357.6</vt:r8>
  </property>
</Properties>
</file>