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5" i="3" l="1"/>
  <c r="M32" i="3" l="1"/>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<sst xmlns="http://schemas.openxmlformats.org/spreadsheetml/2006/main" count="88" uniqueCount="78">
  <si>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</si>
  <si>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</si>
  <si>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</si>
  <si>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</si>
  <si>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</si>
  <si>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</si>
  <si>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</si>
  <si>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</si>
  <si>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</si>
  <si>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</si>
  <si>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</si>
  <si>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</si>
  <si>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</si>
  <si>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</si>
  <si>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</si>
  <si>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</si>
  <si>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</si>
  <si>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</si>
  <si>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</si>
  <si>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</si>
  <si>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</si>
  <si>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</si>
  <si>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</si>
  <si>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</si>
  <si>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</si>
  <si>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</si>
  <si>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</si>
  <si>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</si>
  <si>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</si>
  <si>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</si>
  <si>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</si>
  <si>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</si>
  <si>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</si>
  <si>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</si>
  <si>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</si>
  <si>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</si>
  <si>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</si>
  <si>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</si>
  <si>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</si>
  <si>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</si>
  <si>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</si>
  <si>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</si>
  <si>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</si>
  <si>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</si>
  <si>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</si>
  <si>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</si>
  <si>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</si>
  <si>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</si>
  <si>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</si>
  <si>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</si>
  <si>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</si>
  <si>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</si>
  <si>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</si>
  <si>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</si>
  <si>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</si>
  <si>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</si>
  <si>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</si>
  <si>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</si>
  <si>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</si>
  <si>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</si>
  <si>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</si>
  <si>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</si>
  <si>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</si>
  <si>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</si>
  <si>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</si>
  <si>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</si>
  <si>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</si>
  <si>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</si>
  <si>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</si>
  <si>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LONGUEUR 9 M</t>
  </si>
  <si>
    <t>NOVATEL TEl TUNISIA</t>
  </si>
  <si>
    <t>CONFORME EN 353-1: 2014 + A1:2017</t>
  </si>
  <si>
    <t xml:space="preserve">Consultation: </t>
  </si>
  <si>
    <t>LDV9</t>
  </si>
  <si>
    <t>LDV 15</t>
  </si>
  <si>
    <t>LONGUEUR 15 M</t>
  </si>
  <si>
    <t>Facture  N°2022-083</t>
  </si>
  <si>
    <t>Date: 05/08/2022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</si>
</sst>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K31" sqref="K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76</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70</v>
      </c>
      <c r="F22" s="197"/>
      <c r="G22" s="197"/>
      <c r="H22" s="197"/>
      <c r="I22" s="197"/>
      <c r="J22" s="197"/>
      <c r="K22" s="104"/>
      <c r="L22" s="195" t="s">
        <v>77</v>
      </c>
      <c r="M22" s="195"/>
      <c r="N22" s="52"/>
      <c r="O22" s="9"/>
    </row>
    <row r="23" spans="2:15" ht="33.75" x14ac:dyDescent="0.5">
      <c r="B23" s="7"/>
      <c r="C23" s="3"/>
      <c r="D23" s="103" t="s">
        <v>52</v>
      </c>
      <c r="E23" s="202" t="s">
        <v>64</v>
      </c>
      <c r="F23" s="202"/>
      <c r="G23" s="202"/>
      <c r="H23" s="202"/>
      <c r="I23" s="202"/>
      <c r="J23" s="202"/>
      <c r="K23" s="202"/>
      <c r="L23" s="105" t="s">
        <v>72</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73</v>
      </c>
      <c r="E31" s="159">
        <v>1</v>
      </c>
      <c r="F31" s="183" t="s">
        <v>69</v>
      </c>
      <c r="G31" s="143"/>
      <c r="H31" s="143"/>
      <c r="I31" s="143"/>
      <c r="J31" s="167"/>
      <c r="K31" s="170"/>
      <c r="L31" s="174">
        <v>1268</v>
      </c>
      <c r="M31" s="175">
        <f t="shared" ref="M31:M43" si="0">IF(E31&lt;&gt;"",E31*L31,"")</f>
        <v>1268</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t="s">
        <v>74</v>
      </c>
      <c r="E33" s="159">
        <v>1</v>
      </c>
      <c r="F33" s="183" t="s">
        <v>75</v>
      </c>
      <c r="G33" s="143"/>
      <c r="H33" s="143"/>
      <c r="I33" s="143"/>
      <c r="J33" s="167"/>
      <c r="K33" s="170"/>
      <c r="L33" s="174">
        <v>1617</v>
      </c>
      <c r="M33" s="175">
        <f t="shared" si="0"/>
        <v>1617</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2885</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548.15</v>
      </c>
      <c r="N46" s="54"/>
      <c r="O46" s="9"/>
    </row>
    <row r="47" spans="2:15" ht="35.25" x14ac:dyDescent="0.5">
      <c r="B47" s="7"/>
      <c r="C47" s="3"/>
      <c r="D47" s="85"/>
      <c r="E47" s="101"/>
      <c r="F47" s="97"/>
      <c r="G47" s="82"/>
      <c r="H47" s="81"/>
      <c r="I47" s="77"/>
      <c r="J47" s="83"/>
      <c r="K47" s="93"/>
      <c r="L47" s="110" t="s">
        <v>27</v>
      </c>
      <c r="M47" s="109">
        <f>+M44+M45+M46</f>
        <v>3433.75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05/08/2022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3433.75</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2022-08-05T11:42:31Z</cp:lastPrinted>
  <dcterms:created xsi:type="dcterms:W3CDTF">1995-05-29T15:50:39Z</dcterms:created>
  <dcterms:modified xsi:type="dcterms:W3CDTF">2022-08-05T11:57:49Z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3433.75</vt:r8>
  </property>
</Properties>
</file>