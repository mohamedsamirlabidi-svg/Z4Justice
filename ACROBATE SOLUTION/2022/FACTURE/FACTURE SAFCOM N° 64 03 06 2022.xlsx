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Facture!$E$47</definedName>
    <definedName name="data67">Facture!$E$48</definedName>
    <definedName name="data68">Facture!$F$52</definedName>
    <definedName name="data69">Facture!$J$52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Facture!$E$39:$J$39</definedName>
    <definedName name="qzqzqz26">Facture!$E$47:$H$47</definedName>
    <definedName name="qzqzqz27">Facture!#REF!</definedName>
    <definedName name="qzqzqz28">Facture!$E$48:$H$48</definedName>
    <definedName name="qzqzqz29">Facture!$J$52:$M$52</definedName>
    <definedName name="qzqzqz3">Facture!$D$22:$I$22</definedName>
    <definedName name="qzqzqz30">Facture!$F$52:$H$52</definedName>
    <definedName name="qzqzqz31">Facture!$F$52:$G$52</definedName>
    <definedName name="qzqzqz32">Facture!$J$48:$M$52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Facture!$B$3:$N$55</definedName>
  </definedNames>
  <calcPr calcId="152511"/>
</workbook>
</file>

<file path=xl/calcChain.xml><?xml version="1.0" encoding="utf-8"?>
<calcChain xmlns="http://schemas.openxmlformats.org/spreadsheetml/2006/main">
  <c r="M29" i="3" l="1"/>
  <c r="M31" i="3"/>
  <c r="M33" i="3"/>
  <c r="M40" i="3" s="1"/>
  <c r="M42" i="3" s="1"/>
  <c r="M36" i="3"/>
  <c r="M28" i="3"/>
  <c r="M43"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<sst xmlns="http://schemas.openxmlformats.org/spreadsheetml/2006/main" count="94" uniqueCount="77">
  <si>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</si>
  <si>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</si>
  <si>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</si>
  <si>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</si>
  <si>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</si>
  <si>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</si>
  <si>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</si>
  <si>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</si>
  <si>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</si>
  <si>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</si>
  <si>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</si>
  <si>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</si>
  <si>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</si>
  <si>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</si>
  <si>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</si>
  <si>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</si>
  <si>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</si>
  <si>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</si>
  <si>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</si>
  <si>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</si>
  <si>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</si>
  <si>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</si>
  <si>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</si>
  <si>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</si>
  <si>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</si>
  <si>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</si>
  <si>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</si>
  <si>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</si>
  <si>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</si>
  <si>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</si>
  <si>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</si>
  <si>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</si>
  <si>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</si>
  <si>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</si>
  <si>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</si>
  <si>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</si>
  <si>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</si>
  <si>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</si>
  <si>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</si>
  <si>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</si>
  <si>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</si>
  <si>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</si>
  <si>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</si>
  <si>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</si>
  <si>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</si>
  <si>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</si>
  <si>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</si>
  <si>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</si>
  <si>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</si>
  <si>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</si>
  <si>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</si>
  <si>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</si>
  <si>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</si>
  <si>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</si>
  <si>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</si>
  <si>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</si>
  <si>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</si>
  <si>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</si>
  <si>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</si>
  <si>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</si>
  <si>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</si>
  <si>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</si>
  <si>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Casque de sécurité</t>
  </si>
  <si>
    <t>MSA05</t>
  </si>
  <si>
    <t>Gants de Manutention</t>
  </si>
  <si>
    <t xml:space="preserve">Harnais golden top plus alu </t>
  </si>
  <si>
    <t>GANT98</t>
  </si>
  <si>
    <t>SAFCOM</t>
  </si>
  <si>
    <t>MF : 1219048/A/M/000</t>
  </si>
  <si>
    <t xml:space="preserve">Longe de maintien </t>
  </si>
  <si>
    <t>ID : 0818/0302</t>
  </si>
  <si>
    <t>ID : 0818/0324</t>
  </si>
  <si>
    <t xml:space="preserve">Tool bag </t>
  </si>
  <si>
    <t>Tl021</t>
  </si>
  <si>
    <t>L301A</t>
  </si>
  <si>
    <t xml:space="preserve">MR SABER </t>
  </si>
  <si>
    <t>FACTURE N° 2022-064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</si>
</sst>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
      <sz val="14"/>
      <name val="Arial"/>
      <family val="2"/>
    </font>
    <font>
      <b/>
      <sz val="11"/>
      <color rgb="FFFF0000"/>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9" fillId="6" borderId="32" xfId="0" applyFont="1" applyFill="1" applyBorder="1"/>
    <xf numFmtId="0" fontId="32" fillId="6" borderId="0" xfId="0" applyFont="1" applyFill="1" applyBorder="1"/>
    <xf numFmtId="0" fontId="32" fillId="6" borderId="32" xfId="0" applyFont="1" applyFill="1" applyBorder="1"/>
    <xf numFmtId="0" fontId="19" fillId="6" borderId="0" xfId="0" applyFont="1" applyFill="1"/>
    <xf numFmtId="0" fontId="32" fillId="6" borderId="0" xfId="0" applyFont="1" applyFill="1" applyBorder="1" applyAlignment="1">
      <alignment horizontal="left"/>
    </xf>
    <xf numFmtId="0" fontId="16" fillId="6" borderId="0" xfId="0" applyFont="1" applyFill="1"/>
    <xf numFmtId="0" fontId="33" fillId="6" borderId="0" xfId="0" applyFont="1" applyFill="1"/>
    <xf numFmtId="0" fontId="34" fillId="6" borderId="0" xfId="0" applyFont="1" applyFill="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31" fillId="3" borderId="37" xfId="0" applyFont="1" applyFill="1" applyBorder="1" applyAlignment="1">
      <alignment horizontal="center"/>
    </xf>
    <xf numFmtId="0" fontId="7" fillId="3" borderId="37" xfId="0" applyFont="1" applyFill="1" applyBorder="1" applyAlignment="1">
      <alignment horizontal="center"/>
    </xf>
    <xf numFmtId="0" fontId="2"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31" fillId="3" borderId="36" xfId="0" applyNumberFormat="1" applyFont="1" applyFill="1" applyBorder="1" applyAlignment="1">
      <alignment horizontal="center" vertical="center"/>
    </xf>
    <xf numFmtId="0" fontId="31" fillId="2" borderId="36" xfId="0" applyFont="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46</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7"/>
  <sheetViews>
    <sheetView showGridLines="0" showRowColHeaders="0" tabSelected="1" topLeftCell="A13" zoomScale="95" workbookViewId="0">
      <selection activeCell="G41" sqref="G41"/>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7"/>
      <c r="M9" s="158"/>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67" t="s">
        <v>55</v>
      </c>
      <c r="M13" s="168"/>
      <c r="N13" s="3"/>
      <c r="O13" s="8"/>
    </row>
    <row r="14" spans="1:15">
      <c r="A14" s="7"/>
      <c r="B14" s="3"/>
      <c r="C14" s="3"/>
      <c r="D14" s="3"/>
      <c r="E14" s="3"/>
      <c r="F14" s="3"/>
      <c r="G14" s="156"/>
      <c r="H14" s="156"/>
      <c r="I14" s="156"/>
      <c r="J14" s="156"/>
      <c r="K14" s="156"/>
      <c r="L14" s="3"/>
      <c r="M14" s="3"/>
      <c r="N14" s="3"/>
      <c r="O14" s="8"/>
    </row>
    <row r="15" spans="1:15" ht="20.100000000000001" customHeight="1">
      <c r="A15" s="7"/>
      <c r="B15" s="3"/>
      <c r="C15" s="3"/>
      <c r="D15" s="3"/>
      <c r="E15" s="3"/>
      <c r="F15" s="3"/>
      <c r="G15" s="156"/>
      <c r="H15" s="156"/>
      <c r="I15" s="156"/>
      <c r="J15" s="156"/>
      <c r="K15" s="156"/>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46" t="s">
        <v>76</v>
      </c>
      <c r="M17" s="147"/>
      <c r="N17" s="3"/>
      <c r="O17" s="8"/>
    </row>
    <row r="18" spans="1:15" ht="19.5" thickTop="1">
      <c r="A18" s="7"/>
      <c r="B18" s="3"/>
      <c r="C18" s="58"/>
      <c r="D18" s="58"/>
      <c r="E18" s="58"/>
      <c r="F18" s="58"/>
      <c r="G18" s="58"/>
      <c r="H18" s="58"/>
      <c r="I18" s="59"/>
      <c r="J18" s="59"/>
      <c r="K18" s="59"/>
      <c r="L18" s="148"/>
      <c r="M18" s="149"/>
      <c r="N18" s="19"/>
      <c r="O18" s="8"/>
    </row>
    <row r="19" spans="1:15" ht="13.5" thickBot="1">
      <c r="A19" s="7"/>
      <c r="B19" s="3"/>
      <c r="C19" s="3"/>
      <c r="D19" s="3"/>
      <c r="E19" s="3"/>
      <c r="F19" s="3"/>
      <c r="G19" s="3"/>
      <c r="H19" s="3"/>
      <c r="I19" s="3"/>
      <c r="J19" s="3"/>
      <c r="K19" s="3"/>
      <c r="L19" s="150"/>
      <c r="M19" s="151"/>
      <c r="N19" s="3"/>
      <c r="O19" s="8"/>
    </row>
    <row r="20" spans="1:15">
      <c r="A20" s="7"/>
      <c r="B20" s="3"/>
      <c r="C20" s="3"/>
      <c r="D20" s="3"/>
      <c r="E20" s="3"/>
      <c r="F20" s="3"/>
      <c r="G20" s="3"/>
      <c r="H20" s="3"/>
      <c r="I20" s="3"/>
      <c r="J20" s="3"/>
      <c r="K20" s="3"/>
      <c r="L20" s="3"/>
      <c r="M20" s="3"/>
      <c r="N20" s="3"/>
      <c r="O20" s="8"/>
    </row>
    <row r="21" spans="1:15" ht="18">
      <c r="A21" s="7"/>
      <c r="B21" s="3"/>
      <c r="C21" s="82" t="s">
        <v>3</v>
      </c>
      <c r="D21" s="173" t="s">
        <v>67</v>
      </c>
      <c r="E21" s="174"/>
      <c r="F21" s="174"/>
      <c r="G21" s="174"/>
      <c r="H21" s="174"/>
      <c r="I21" s="174"/>
      <c r="J21" s="82"/>
      <c r="K21" s="85" t="s">
        <v>18</v>
      </c>
      <c r="L21" s="161">
        <v>44715</v>
      </c>
      <c r="M21" s="162"/>
      <c r="N21" s="55"/>
      <c r="O21" s="8"/>
    </row>
    <row r="22" spans="1:15">
      <c r="A22" s="7"/>
      <c r="B22" s="3"/>
      <c r="C22" s="82" t="s">
        <v>5</v>
      </c>
      <c r="D22" s="171"/>
      <c r="E22" s="172"/>
      <c r="F22" s="172"/>
      <c r="G22" s="172"/>
      <c r="H22" s="172"/>
      <c r="I22" s="172"/>
      <c r="J22" s="82"/>
      <c r="K22" s="108" t="s">
        <v>61</v>
      </c>
      <c r="L22" s="109"/>
      <c r="M22" s="89"/>
      <c r="N22" s="56"/>
      <c r="O22" s="8"/>
    </row>
    <row r="23" spans="1:15" ht="15">
      <c r="A23" s="7"/>
      <c r="B23" s="3"/>
      <c r="C23" s="82" t="s">
        <v>7</v>
      </c>
      <c r="D23" s="90"/>
      <c r="E23" s="91" t="s">
        <v>8</v>
      </c>
      <c r="F23" s="169"/>
      <c r="G23" s="170"/>
      <c r="H23" s="92" t="s">
        <v>9</v>
      </c>
      <c r="I23" s="89" t="s">
        <v>52</v>
      </c>
      <c r="J23" s="82"/>
      <c r="K23" s="85" t="s">
        <v>19</v>
      </c>
      <c r="L23" s="163" t="s">
        <v>75</v>
      </c>
      <c r="M23" s="164"/>
      <c r="N23" s="3"/>
      <c r="O23" s="8"/>
    </row>
    <row r="24" spans="1:15" ht="15">
      <c r="A24" s="7"/>
      <c r="B24" s="3"/>
      <c r="C24" s="82" t="s">
        <v>20</v>
      </c>
      <c r="D24" s="175">
        <v>27404930</v>
      </c>
      <c r="E24" s="176"/>
      <c r="F24" s="176"/>
      <c r="G24" s="176"/>
      <c r="H24" s="176"/>
      <c r="I24" s="176"/>
      <c r="J24" s="82"/>
      <c r="K24" s="85" t="s">
        <v>48</v>
      </c>
      <c r="L24" s="165" t="s">
        <v>68</v>
      </c>
      <c r="M24" s="166"/>
      <c r="N24" s="3"/>
      <c r="O24" s="8"/>
    </row>
    <row r="25" spans="1:15">
      <c r="A25" s="7"/>
      <c r="B25" s="3"/>
      <c r="C25" s="82"/>
      <c r="D25" s="82"/>
      <c r="E25" s="82"/>
      <c r="F25" s="82"/>
      <c r="G25" s="82"/>
      <c r="H25" s="82"/>
      <c r="I25" s="82"/>
      <c r="J25" s="82"/>
      <c r="K25" s="82"/>
      <c r="L25" s="82"/>
      <c r="M25" s="82"/>
      <c r="N25" s="3"/>
      <c r="O25" s="8"/>
    </row>
    <row r="26" spans="1:15">
      <c r="A26" s="7"/>
      <c r="B26" s="3"/>
      <c r="C26" s="67" t="s">
        <v>35</v>
      </c>
      <c r="D26" s="51" t="s">
        <v>21</v>
      </c>
      <c r="E26" s="152" t="s">
        <v>22</v>
      </c>
      <c r="F26" s="153"/>
      <c r="G26" s="153"/>
      <c r="H26" s="153"/>
      <c r="I26" s="153"/>
      <c r="J26" s="153"/>
      <c r="K26" s="154"/>
      <c r="L26" s="52" t="s">
        <v>54</v>
      </c>
      <c r="M26" s="115" t="s">
        <v>23</v>
      </c>
      <c r="N26" s="57"/>
      <c r="O26" s="8"/>
    </row>
    <row r="27" spans="1:15" ht="15">
      <c r="A27" s="7"/>
      <c r="B27" s="3"/>
      <c r="C27" s="110"/>
      <c r="D27" s="75"/>
      <c r="E27" s="121"/>
      <c r="F27" s="111"/>
      <c r="G27" s="81"/>
      <c r="H27" s="111"/>
      <c r="I27" s="111"/>
      <c r="J27" s="81"/>
      <c r="K27" s="111"/>
      <c r="L27" s="96"/>
      <c r="M27" s="96"/>
      <c r="N27" s="57"/>
      <c r="O27" s="8"/>
    </row>
    <row r="28" spans="1:15" ht="18">
      <c r="A28" s="7"/>
      <c r="B28" s="3"/>
      <c r="C28" s="110" t="s">
        <v>73</v>
      </c>
      <c r="D28" s="75">
        <v>1</v>
      </c>
      <c r="E28" s="128" t="s">
        <v>72</v>
      </c>
      <c r="F28" s="111"/>
      <c r="G28" s="81"/>
      <c r="H28" s="111"/>
      <c r="I28" s="111"/>
      <c r="J28" s="81"/>
      <c r="K28" s="111"/>
      <c r="L28" s="96">
        <v>32</v>
      </c>
      <c r="M28" s="96">
        <f>+L28*D28</f>
        <v>32</v>
      </c>
      <c r="N28" s="57"/>
      <c r="O28" s="8"/>
    </row>
    <row r="29" spans="1:15" ht="18">
      <c r="A29" s="7"/>
      <c r="B29" s="3"/>
      <c r="C29" s="123" t="s">
        <v>63</v>
      </c>
      <c r="D29" s="75">
        <v>4</v>
      </c>
      <c r="E29" s="128" t="s">
        <v>62</v>
      </c>
      <c r="F29" s="129"/>
      <c r="G29" s="81"/>
      <c r="H29" s="111"/>
      <c r="I29" s="111"/>
      <c r="J29" s="81"/>
      <c r="K29" s="111"/>
      <c r="L29" s="96">
        <v>55</v>
      </c>
      <c r="M29" s="96">
        <f t="shared" ref="M29:M36" si="0">+L29*D29</f>
        <v>220</v>
      </c>
      <c r="N29" s="57"/>
      <c r="O29" s="8"/>
    </row>
    <row r="30" spans="1:15" ht="18">
      <c r="A30" s="7"/>
      <c r="B30" s="3"/>
      <c r="C30" s="123"/>
      <c r="D30" s="75"/>
      <c r="E30" s="128"/>
      <c r="F30" s="129"/>
      <c r="G30" s="81"/>
      <c r="H30" s="111"/>
      <c r="I30" s="111"/>
      <c r="J30" s="81"/>
      <c r="K30" s="111"/>
      <c r="L30" s="96"/>
      <c r="M30" s="96"/>
      <c r="N30" s="57"/>
      <c r="O30" s="8"/>
    </row>
    <row r="31" spans="1:15" ht="18">
      <c r="A31" s="7"/>
      <c r="B31" s="3"/>
      <c r="C31" s="127" t="s">
        <v>66</v>
      </c>
      <c r="D31" s="53">
        <v>4</v>
      </c>
      <c r="E31" s="131" t="s">
        <v>64</v>
      </c>
      <c r="F31" s="132"/>
      <c r="G31" s="116"/>
      <c r="H31" s="116"/>
      <c r="I31" s="116"/>
      <c r="J31" s="116"/>
      <c r="K31" s="81"/>
      <c r="L31" s="96">
        <v>12.5</v>
      </c>
      <c r="M31" s="96">
        <f t="shared" si="0"/>
        <v>50</v>
      </c>
      <c r="N31" s="57"/>
      <c r="O31" s="8"/>
    </row>
    <row r="32" spans="1:15" ht="18">
      <c r="A32" s="7"/>
      <c r="B32" s="3"/>
      <c r="C32" s="110"/>
      <c r="D32" s="75"/>
      <c r="E32" s="130"/>
      <c r="F32" s="129"/>
      <c r="G32" s="81"/>
      <c r="H32" s="111"/>
      <c r="I32" s="111"/>
      <c r="J32" s="81"/>
      <c r="K32" s="111"/>
      <c r="L32" s="96"/>
      <c r="M32" s="96"/>
      <c r="N32" s="57"/>
      <c r="O32" s="8"/>
    </row>
    <row r="33" spans="1:15" ht="18">
      <c r="A33" s="7"/>
      <c r="B33" s="3"/>
      <c r="C33" s="127">
        <v>94111</v>
      </c>
      <c r="D33" s="53">
        <v>2</v>
      </c>
      <c r="E33" s="131" t="s">
        <v>65</v>
      </c>
      <c r="F33" s="132"/>
      <c r="G33" s="116"/>
      <c r="H33" s="116"/>
      <c r="I33" s="116"/>
      <c r="J33" s="116"/>
      <c r="K33" s="81"/>
      <c r="L33" s="96">
        <v>580</v>
      </c>
      <c r="M33" s="96">
        <f t="shared" si="0"/>
        <v>1160</v>
      </c>
      <c r="N33" s="57"/>
      <c r="O33" s="8"/>
    </row>
    <row r="34" spans="1:15" ht="18">
      <c r="A34" s="7"/>
      <c r="B34" s="3"/>
      <c r="C34" s="127"/>
      <c r="D34" s="53"/>
      <c r="E34" s="133" t="s">
        <v>70</v>
      </c>
      <c r="F34" s="132"/>
      <c r="G34" s="116"/>
      <c r="H34" s="116"/>
      <c r="I34" s="116"/>
      <c r="J34" s="116"/>
      <c r="K34" s="81"/>
      <c r="L34" s="96"/>
      <c r="M34" s="96"/>
      <c r="N34" s="57"/>
      <c r="O34" s="8"/>
    </row>
    <row r="35" spans="1:15" ht="15">
      <c r="A35" s="7"/>
      <c r="B35" s="3"/>
      <c r="C35" s="94"/>
      <c r="D35" s="53"/>
      <c r="E35" s="133" t="s">
        <v>71</v>
      </c>
      <c r="F35" s="116"/>
      <c r="G35" s="116"/>
      <c r="H35" s="116"/>
      <c r="I35" s="116"/>
      <c r="J35" s="116"/>
      <c r="K35" s="81"/>
      <c r="L35" s="96"/>
      <c r="M35" s="96"/>
      <c r="N35" s="57"/>
      <c r="O35" s="8"/>
    </row>
    <row r="36" spans="1:15" ht="18">
      <c r="A36" s="7"/>
      <c r="B36" s="3"/>
      <c r="C36" s="127" t="s">
        <v>74</v>
      </c>
      <c r="D36" s="53">
        <v>1</v>
      </c>
      <c r="E36" s="135" t="s">
        <v>69</v>
      </c>
      <c r="F36" s="125"/>
      <c r="G36" s="116"/>
      <c r="H36" s="116"/>
      <c r="I36" s="116"/>
      <c r="J36" s="116"/>
      <c r="K36" s="81"/>
      <c r="L36" s="96">
        <v>230</v>
      </c>
      <c r="M36" s="96">
        <f t="shared" si="0"/>
        <v>230</v>
      </c>
      <c r="N36" s="57"/>
      <c r="O36" s="8"/>
    </row>
    <row r="37" spans="1:15" ht="15.75">
      <c r="A37" s="7"/>
      <c r="B37" s="3"/>
      <c r="C37" s="94"/>
      <c r="D37" s="53"/>
      <c r="E37" s="124"/>
      <c r="F37" s="125"/>
      <c r="G37" s="116"/>
      <c r="H37" s="116"/>
      <c r="I37" s="116"/>
      <c r="J37" s="116"/>
      <c r="K37" s="81"/>
      <c r="L37" s="96"/>
      <c r="M37" s="96"/>
      <c r="N37" s="57"/>
      <c r="O37" s="8"/>
    </row>
    <row r="38" spans="1:15" ht="15.75">
      <c r="A38" s="7"/>
      <c r="B38" s="3"/>
      <c r="C38" s="127"/>
      <c r="D38" s="53"/>
      <c r="E38" s="134"/>
      <c r="F38" s="125"/>
      <c r="G38" s="116"/>
      <c r="H38" s="116"/>
      <c r="I38" s="116"/>
      <c r="J38" s="116"/>
      <c r="K38" s="81"/>
      <c r="L38" s="96"/>
      <c r="M38" s="96"/>
      <c r="N38" s="57"/>
      <c r="O38" s="8"/>
    </row>
    <row r="39" spans="1:15" ht="15">
      <c r="A39" s="7"/>
      <c r="B39" s="3"/>
      <c r="C39" s="95"/>
      <c r="D39" s="54"/>
      <c r="E39" s="159"/>
      <c r="F39" s="160"/>
      <c r="G39" s="160"/>
      <c r="H39" s="160"/>
      <c r="I39" s="160"/>
      <c r="J39" s="160"/>
      <c r="K39" s="117"/>
      <c r="L39" s="96"/>
      <c r="M39" s="96"/>
      <c r="N39" s="57"/>
      <c r="O39" s="8"/>
    </row>
    <row r="40" spans="1:15" ht="15.75">
      <c r="A40" s="7"/>
      <c r="B40" s="3"/>
      <c r="C40" s="3"/>
      <c r="D40" s="82"/>
      <c r="E40" s="82"/>
      <c r="F40" s="82"/>
      <c r="G40" s="82"/>
      <c r="H40" s="82"/>
      <c r="I40" s="76"/>
      <c r="J40" s="76"/>
      <c r="K40" s="76"/>
      <c r="L40" s="103" t="s">
        <v>24</v>
      </c>
      <c r="M40" s="97">
        <f>SUM(M28:M37)</f>
        <v>1692</v>
      </c>
      <c r="N40" s="57"/>
      <c r="O40" s="8"/>
    </row>
    <row r="41" spans="1:15" ht="17.100000000000001" customHeight="1">
      <c r="A41" s="7"/>
      <c r="B41" s="3"/>
      <c r="C41" s="3"/>
      <c r="D41" s="82"/>
      <c r="E41" s="82"/>
      <c r="F41" s="82"/>
      <c r="G41" s="82"/>
      <c r="H41" s="82"/>
      <c r="I41" s="76"/>
      <c r="J41" s="76"/>
      <c r="K41" s="76"/>
      <c r="L41" s="107" t="s">
        <v>47</v>
      </c>
      <c r="M41" s="104">
        <v>0.6</v>
      </c>
      <c r="N41" s="57"/>
      <c r="O41" s="8"/>
    </row>
    <row r="42" spans="1:15" ht="17.100000000000001" customHeight="1">
      <c r="A42" s="7"/>
      <c r="B42" s="3"/>
      <c r="C42" s="3"/>
      <c r="D42" s="84"/>
      <c r="E42" s="108" t="s">
        <v>25</v>
      </c>
      <c r="F42" s="82"/>
      <c r="G42" s="82"/>
      <c r="H42" s="82"/>
      <c r="I42" s="78"/>
      <c r="J42" s="78"/>
      <c r="K42" s="77"/>
      <c r="L42" s="105">
        <v>0.19</v>
      </c>
      <c r="M42" s="104">
        <f>M40*0.19</f>
        <v>321.48</v>
      </c>
      <c r="N42" s="57"/>
      <c r="O42" s="8"/>
    </row>
    <row r="43" spans="1:15" ht="15.75">
      <c r="A43" s="7"/>
      <c r="B43" s="3"/>
      <c r="C43" s="3"/>
      <c r="D43" s="86"/>
      <c r="E43" s="126" t="s">
        <v>26</v>
      </c>
      <c r="F43" s="88"/>
      <c r="G43" s="86"/>
      <c r="H43" s="82"/>
      <c r="I43" s="79"/>
      <c r="J43" s="76"/>
      <c r="K43" s="76"/>
      <c r="L43" s="106" t="s">
        <v>28</v>
      </c>
      <c r="M43" s="97">
        <f>SUM(M40:M42)</f>
        <v>2014.08</v>
      </c>
      <c r="N43" s="57"/>
      <c r="O43" s="8"/>
    </row>
    <row r="44" spans="1:15" ht="15" customHeight="1">
      <c r="A44" s="7"/>
      <c r="B44" s="3"/>
      <c r="C44" s="3"/>
      <c r="D44" s="86">
        <v>3</v>
      </c>
      <c r="E44" s="108" t="s">
        <v>57</v>
      </c>
      <c r="F44" s="82"/>
      <c r="G44" s="87"/>
      <c r="H44" s="82"/>
      <c r="I44" s="80" t="s">
        <v>27</v>
      </c>
      <c r="J44" s="76"/>
      <c r="K44" s="76"/>
      <c r="L44" s="100"/>
      <c r="M44" s="101"/>
      <c r="N44" s="57"/>
      <c r="O44" s="8"/>
    </row>
    <row r="45" spans="1:15" ht="15" customHeight="1">
      <c r="A45" s="7"/>
      <c r="B45" s="3"/>
      <c r="C45" s="3"/>
      <c r="D45" s="86"/>
      <c r="E45" s="108"/>
      <c r="F45" s="82"/>
      <c r="G45" s="87"/>
      <c r="H45" s="82"/>
      <c r="I45" s="80"/>
      <c r="J45" s="76"/>
      <c r="K45" s="76"/>
      <c r="L45" s="98" t="s">
        <v>58</v>
      </c>
      <c r="M45" s="101"/>
      <c r="N45" s="57"/>
      <c r="O45" s="8"/>
    </row>
    <row r="46" spans="1:15" ht="15" customHeight="1">
      <c r="A46" s="7"/>
      <c r="B46" s="3"/>
      <c r="C46" s="3"/>
      <c r="D46" s="83"/>
      <c r="E46" s="83"/>
      <c r="F46" s="82"/>
      <c r="G46" s="83"/>
      <c r="H46" s="82"/>
      <c r="I46" s="80" t="s">
        <v>27</v>
      </c>
      <c r="J46" s="76"/>
      <c r="K46" s="99"/>
      <c r="L46" s="102"/>
      <c r="M46" s="102"/>
      <c r="N46" s="57"/>
      <c r="O46" s="8"/>
    </row>
    <row r="47" spans="1:15" ht="15">
      <c r="A47" s="7"/>
      <c r="B47" s="155"/>
      <c r="C47" s="155"/>
      <c r="D47" s="155"/>
      <c r="E47" s="155"/>
      <c r="F47" s="155"/>
      <c r="G47" s="155"/>
      <c r="H47" s="155"/>
      <c r="I47" s="155"/>
      <c r="J47" s="155"/>
      <c r="K47" s="155"/>
      <c r="L47" s="99"/>
      <c r="M47" s="101"/>
      <c r="N47" s="57"/>
      <c r="O47" s="8"/>
    </row>
    <row r="48" spans="1:15" ht="15.75">
      <c r="A48" s="7"/>
      <c r="B48" s="3"/>
      <c r="C48" s="3"/>
      <c r="D48" s="18"/>
      <c r="E48" s="143"/>
      <c r="F48" s="143"/>
      <c r="G48" s="143"/>
      <c r="H48" s="143"/>
      <c r="I48" s="78"/>
      <c r="J48" s="99"/>
      <c r="K48" s="98"/>
      <c r="L48" s="98"/>
      <c r="M48" s="98"/>
      <c r="N48" s="57"/>
      <c r="O48" s="8"/>
    </row>
    <row r="49" spans="1:15" ht="15.75">
      <c r="A49" s="7"/>
      <c r="B49" s="3"/>
      <c r="C49" s="3"/>
      <c r="D49" s="18"/>
      <c r="E49" s="122" t="s">
        <v>56</v>
      </c>
      <c r="F49" s="122"/>
      <c r="G49" s="122"/>
      <c r="H49" s="122"/>
      <c r="I49" s="122"/>
      <c r="J49" s="122"/>
      <c r="K49" s="122"/>
      <c r="L49" s="98"/>
      <c r="M49" s="98"/>
      <c r="N49" s="57"/>
      <c r="O49" s="8"/>
    </row>
    <row r="50" spans="1:15" ht="15" customHeight="1">
      <c r="A50" s="7"/>
      <c r="B50" s="3"/>
      <c r="C50" s="3"/>
      <c r="D50" s="120" t="s">
        <v>60</v>
      </c>
      <c r="E50" s="122"/>
      <c r="F50" s="122"/>
      <c r="G50" s="122"/>
      <c r="H50" s="122"/>
      <c r="I50" s="122"/>
      <c r="J50" s="122"/>
      <c r="K50" s="122"/>
      <c r="L50" s="120"/>
      <c r="M50" s="98"/>
      <c r="N50" s="57"/>
      <c r="O50" s="8"/>
    </row>
    <row r="51" spans="1:15" ht="15" customHeight="1">
      <c r="A51" s="7"/>
      <c r="B51" s="3"/>
      <c r="C51" s="3"/>
      <c r="D51" s="18"/>
      <c r="E51" s="122"/>
      <c r="F51" s="122"/>
      <c r="G51" s="122"/>
      <c r="H51" s="122"/>
      <c r="I51" s="122"/>
      <c r="J51" s="122"/>
      <c r="K51" s="122"/>
      <c r="L51" s="98"/>
      <c r="M51" s="98"/>
      <c r="N51" s="57"/>
      <c r="O51" s="8"/>
    </row>
    <row r="52" spans="1:15" ht="12.75" customHeight="1">
      <c r="A52" s="7"/>
      <c r="B52" s="3"/>
      <c r="C52" s="3"/>
      <c r="D52" s="144" t="s">
        <v>59</v>
      </c>
      <c r="E52" s="144"/>
      <c r="F52" s="144"/>
      <c r="G52" s="144"/>
      <c r="H52" s="144"/>
      <c r="I52" s="144"/>
      <c r="J52" s="144"/>
      <c r="K52" s="144"/>
      <c r="L52" s="144"/>
      <c r="M52" s="98"/>
      <c r="N52" s="57"/>
      <c r="O52" s="8"/>
    </row>
    <row r="53" spans="1:15" ht="3" customHeight="1">
      <c r="A53" s="7"/>
      <c r="B53" s="3"/>
      <c r="C53" s="3"/>
      <c r="D53" s="144"/>
      <c r="E53" s="144"/>
      <c r="F53" s="144"/>
      <c r="G53" s="144"/>
      <c r="H53" s="144"/>
      <c r="I53" s="144"/>
      <c r="J53" s="144"/>
      <c r="K53" s="144"/>
      <c r="L53" s="144"/>
      <c r="M53" s="98"/>
      <c r="N53" s="57"/>
      <c r="O53" s="8"/>
    </row>
    <row r="54" spans="1:15" ht="13.5" thickBot="1">
      <c r="A54" s="7"/>
      <c r="B54" s="118"/>
      <c r="C54" s="118"/>
      <c r="D54" s="119"/>
      <c r="E54" s="119"/>
      <c r="F54" s="119"/>
      <c r="G54" s="145"/>
      <c r="H54" s="145"/>
      <c r="I54" s="145"/>
      <c r="J54" s="145"/>
      <c r="K54" s="145"/>
      <c r="L54" s="119"/>
      <c r="M54" s="119"/>
      <c r="N54" s="57"/>
      <c r="O54" s="8"/>
    </row>
    <row r="55" spans="1:15" ht="13.5" thickTop="1">
      <c r="A55" s="58"/>
      <c r="B55" s="58"/>
      <c r="C55" s="58"/>
      <c r="D55" s="58"/>
      <c r="E55" s="58"/>
      <c r="F55" s="58"/>
      <c r="G55" s="58"/>
      <c r="H55" s="58"/>
      <c r="I55" s="58"/>
      <c r="J55" s="58"/>
      <c r="K55" s="58"/>
      <c r="L55" s="58"/>
      <c r="M55" s="58"/>
      <c r="N55" s="57"/>
      <c r="O55" s="8"/>
    </row>
    <row r="57"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G14:K15"/>
    <mergeCell ref="L9:M9"/>
    <mergeCell ref="E39:J39"/>
    <mergeCell ref="L21:M21"/>
    <mergeCell ref="L23:M23"/>
    <mergeCell ref="L24:M24"/>
    <mergeCell ref="L13:M13"/>
    <mergeCell ref="F23:G23"/>
    <mergeCell ref="D22:I22"/>
    <mergeCell ref="D21:I21"/>
    <mergeCell ref="D24:I24"/>
    <mergeCell ref="E48:H48"/>
    <mergeCell ref="D52:L53"/>
    <mergeCell ref="G54:K54"/>
    <mergeCell ref="L17:M19"/>
    <mergeCell ref="E26:K26"/>
    <mergeCell ref="B47:K4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4: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3">
      <formula1>0</formula1>
      <formula2>0</formula2>
    </dataValidation>
    <dataValidation errorStyle="warning" allowBlank="1" showInputMessage="1" errorTitle="Numéro de carte de crédit" promptTitle="Numéro de carte de crédit" prompt="Tapez ici le numéro de carte de crédit du client" sqref="E48:E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decimal" allowBlank="1" showErrorMessage="1" errorTitle="Prix unitaire" error="Tapez un nombre dans cette cellule." promptTitle="Prix unitaire" sqref="L27:L39 M28:M39">
      <formula1>0</formula1>
      <formula2>1000000000</formula2>
    </dataValidation>
    <dataValidation type="list" allowBlank="1" showInputMessage="1" showErrorMessage="1" errorTitle="Code TVA" error="Tapez 1, 2, ou 3." sqref="K27:K39">
      <formula1>"1,2,3"</formula1>
    </dataValidation>
    <dataValidation type="whole" errorStyle="warning" allowBlank="1" showErrorMessage="1" errorTitle="Quantité" error="Tapez un nombre dans cette cellule." promptTitle="Quantité" sqref="D27:D39">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Facture!$L$21</f>
        <v>44715</v>
      </c>
      <c r="D8" s="71" t="str">
        <f>Facture!$D$21</f>
        <v>SAFCOM</v>
      </c>
      <c r="E8" s="68">
        <f>Facture!$D$22</f>
        <v>0</v>
      </c>
      <c r="F8" s="68">
        <f>Facture!$D$23</f>
        <v>0</v>
      </c>
      <c r="G8" s="71">
        <f>Facture!$F$23</f>
        <v>0</v>
      </c>
      <c r="H8" s="71" t="str">
        <f>Facture!$I$23</f>
        <v>TN</v>
      </c>
      <c r="I8" s="68">
        <f>Facture!$D$24</f>
        <v>27404930</v>
      </c>
      <c r="J8" s="72">
        <f>Facture!$M$43</f>
        <v>2014.08</v>
      </c>
      <c r="K8" s="68" t="str">
        <f>Facture!$L$23</f>
        <v xml:space="preserve">MR SABER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2022-06-03T15:02:21Z</cp:lastPrinted>
  <dcterms:created xsi:type="dcterms:W3CDTF">1995-05-29T15:50:39Z</dcterms:created>
  <dcterms:modified xsi:type="dcterms:W3CDTF">2023-03-30T10:35:42Z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SAFCOM</vt:lpwstr>
  </property>
  <property fmtid="{D5CDD505-2E9C-101B-9397-08002B2CF9AE}" pid="11" name="Montant de la facture" linkTarget="TOT">
    <vt:r8>2014.08</vt:r8>
  </property>
</Properties>
</file>