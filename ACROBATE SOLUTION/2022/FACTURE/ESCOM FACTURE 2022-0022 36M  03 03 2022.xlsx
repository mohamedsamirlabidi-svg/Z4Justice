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31" i="3"/>
  <c r="M32" i="3"/>
  <c r="M33" i="3"/>
  <c r="M42" i="3"/>
  <c r="M43" i="3"/>
  <c r="M44" i="3" l="1"/>
  <c r="M46" i="3"/>
  <c r="M47" i="3"/>
  <c r="M28" i="3"/>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<sst xmlns="http://schemas.openxmlformats.org/spreadsheetml/2006/main" count="90" uniqueCount="80">
  <si>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</si>
  <si>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</si>
  <si>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</si>
  <si>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</si>
  <si>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</si>
  <si>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</si>
  <si>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</si>
  <si>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</si>
  <si>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</si>
  <si>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</si>
  <si>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</si>
  <si>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</si>
  <si>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</si>
  <si>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</si>
  <si>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</si>
  <si>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</si>
  <si>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</si>
  <si>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</si>
  <si>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</si>
  <si>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</si>
  <si>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</si>
  <si>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</si>
  <si>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</si>
  <si>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</si>
  <si>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</si>
  <si>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</si>
  <si>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</si>
  <si>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</si>
  <si>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</si>
  <si>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</si>
  <si>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</si>
  <si>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</si>
  <si>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</si>
  <si>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</si>
  <si>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</si>
  <si>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</si>
  <si>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</si>
  <si>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</si>
  <si>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</si>
  <si>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</si>
  <si>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</si>
  <si>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</si>
  <si>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</si>
  <si>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</si>
  <si>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</si>
  <si>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</si>
  <si>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</si>
  <si>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</si>
  <si>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</si>
  <si>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</si>
  <si>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</si>
  <si>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</si>
  <si>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</si>
  <si>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</si>
  <si>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</si>
  <si>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</si>
  <si>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</si>
  <si>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</si>
  <si>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</si>
  <si>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</si>
  <si>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</si>
  <si>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</si>
  <si>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</si>
  <si>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ESCOM</t>
  </si>
  <si>
    <t xml:space="preserve"> 26 51 60 04</t>
  </si>
  <si>
    <t xml:space="preserve">IMMEUBLE AL BADR LES BERGES DU LAC </t>
  </si>
  <si>
    <t>TUNIS</t>
  </si>
  <si>
    <t xml:space="preserve">Responsable: HASNA JELLALI </t>
  </si>
  <si>
    <t xml:space="preserve">VIREMENT </t>
  </si>
  <si>
    <t>MF: 802838C/A/M/000</t>
  </si>
  <si>
    <t xml:space="preserve">ARRETE LA PRESENTE FACTURE A LA SOMME DE: TROIS MILLE HUIT  DINARS ET 920 MILLIMES </t>
  </si>
  <si>
    <t>LONGUEUR  36 M</t>
  </si>
  <si>
    <t xml:space="preserve">LIGNE DE VIE QUICKSET </t>
  </si>
  <si>
    <t>CONFORME EN 353-1: 2014</t>
  </si>
  <si>
    <t>LDV 36M</t>
  </si>
  <si>
    <t xml:space="preserve">SITE ORANGE </t>
  </si>
  <si>
    <t>Consultation: FBC220126</t>
  </si>
  <si>
    <t>Date: 03/03/2022</t>
  </si>
  <si>
    <t>FACTURE  N° 2022-022</t>
  </si>
  <si>
    <t>EL KSOUR 02 KEF 061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</si>
</sst>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xf>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23" fillId="0" borderId="28" xfId="0" applyNumberFormat="1" applyFont="1" applyFill="1" applyBorder="1" applyAlignment="1">
      <alignment horizontal="left" vertical="top"/>
    </xf>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45</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21" zoomScale="60" zoomScaleNormal="60" workbookViewId="0">
      <selection activeCell="I34" sqref="I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2" t="s">
        <v>78</v>
      </c>
      <c r="M18" s="3"/>
      <c r="N18" s="3"/>
      <c r="O18" s="9"/>
    </row>
    <row r="19" spans="2:15" ht="21.95" customHeight="1" thickTop="1" x14ac:dyDescent="0.3">
      <c r="B19" s="7"/>
      <c r="C19" s="3"/>
      <c r="D19" s="55"/>
      <c r="E19" s="55"/>
      <c r="F19" s="55"/>
      <c r="G19" s="55"/>
      <c r="H19" s="55"/>
      <c r="I19" s="55"/>
      <c r="J19" s="56"/>
      <c r="K19" s="56"/>
      <c r="L19" s="193"/>
      <c r="M19" s="56"/>
      <c r="N19" s="20"/>
      <c r="O19" s="9"/>
    </row>
    <row r="20" spans="2:15" ht="21.95" customHeight="1" thickBot="1" x14ac:dyDescent="0.25">
      <c r="B20" s="7"/>
      <c r="C20" s="3"/>
      <c r="D20" s="3"/>
      <c r="E20" s="3"/>
      <c r="F20" s="3"/>
      <c r="G20" s="3"/>
      <c r="H20" s="3"/>
      <c r="I20" s="3"/>
      <c r="J20" s="3"/>
      <c r="K20" s="3"/>
      <c r="L20" s="19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7" t="s">
        <v>63</v>
      </c>
      <c r="F22" s="197"/>
      <c r="G22" s="197"/>
      <c r="H22" s="197"/>
      <c r="I22" s="197"/>
      <c r="J22" s="197"/>
      <c r="K22" s="104"/>
      <c r="L22" s="195" t="s">
        <v>77</v>
      </c>
      <c r="M22" s="195"/>
      <c r="N22" s="52"/>
      <c r="O22" s="9"/>
    </row>
    <row r="23" spans="2:15" ht="33.75" x14ac:dyDescent="0.5">
      <c r="B23" s="7"/>
      <c r="C23" s="3"/>
      <c r="D23" s="103" t="s">
        <v>52</v>
      </c>
      <c r="E23" s="202" t="s">
        <v>65</v>
      </c>
      <c r="F23" s="202"/>
      <c r="G23" s="202"/>
      <c r="H23" s="202"/>
      <c r="I23" s="202"/>
      <c r="J23" s="202"/>
      <c r="K23" s="202"/>
      <c r="L23" s="105" t="s">
        <v>76</v>
      </c>
      <c r="M23" s="105"/>
      <c r="N23" s="53"/>
      <c r="O23" s="9"/>
    </row>
    <row r="24" spans="2:15" ht="33.75" x14ac:dyDescent="0.5">
      <c r="B24" s="7"/>
      <c r="C24" s="3"/>
      <c r="D24" s="103" t="s">
        <v>53</v>
      </c>
      <c r="E24" s="116">
        <v>2045</v>
      </c>
      <c r="F24" s="106" t="s">
        <v>8</v>
      </c>
      <c r="G24" s="203" t="s">
        <v>66</v>
      </c>
      <c r="H24" s="203"/>
      <c r="I24" s="107" t="s">
        <v>9</v>
      </c>
      <c r="J24" s="108" t="s">
        <v>56</v>
      </c>
      <c r="K24" s="104"/>
      <c r="L24" s="196" t="s">
        <v>67</v>
      </c>
      <c r="M24" s="196"/>
      <c r="N24" s="3"/>
      <c r="O24" s="9"/>
    </row>
    <row r="25" spans="2:15" ht="33.75" x14ac:dyDescent="0.5">
      <c r="B25" s="7"/>
      <c r="C25" s="3"/>
      <c r="D25" s="103" t="s">
        <v>54</v>
      </c>
      <c r="E25" s="198" t="s">
        <v>64</v>
      </c>
      <c r="F25" s="199"/>
      <c r="G25" s="199"/>
      <c r="H25" s="199"/>
      <c r="I25" s="199"/>
      <c r="J25" s="199"/>
      <c r="K25" s="104"/>
      <c r="L25" s="196" t="s">
        <v>69</v>
      </c>
      <c r="M25" s="19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204" t="s">
        <v>23</v>
      </c>
      <c r="G27" s="205"/>
      <c r="H27" s="205"/>
      <c r="I27" s="205"/>
      <c r="J27" s="205"/>
      <c r="K27" s="206"/>
      <c r="L27" s="90" t="s">
        <v>61</v>
      </c>
      <c r="M27" s="91" t="s">
        <v>24</v>
      </c>
      <c r="N27" s="92"/>
      <c r="O27" s="9"/>
    </row>
    <row r="28" spans="2:15" ht="30" x14ac:dyDescent="0.4">
      <c r="B28" s="7"/>
      <c r="C28" s="3"/>
      <c r="D28" s="153"/>
      <c r="E28" s="151"/>
      <c r="F28" s="162" t="s">
        <v>72</v>
      </c>
      <c r="G28" s="163"/>
      <c r="H28" s="163"/>
      <c r="I28" s="163"/>
      <c r="J28" s="154"/>
      <c r="K28" s="155"/>
      <c r="L28" s="112"/>
      <c r="M28" s="112" t="str">
        <f>IF(E28&lt;&gt;"",E28*L28,"")</f>
        <v/>
      </c>
      <c r="N28" s="54"/>
      <c r="O28" s="9"/>
    </row>
    <row r="29" spans="2:15" ht="30" x14ac:dyDescent="0.4">
      <c r="B29" s="7"/>
      <c r="C29" s="3"/>
      <c r="D29" s="160"/>
      <c r="E29" s="151"/>
      <c r="F29" s="164" t="s">
        <v>73</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t="str">
        <f>IF(E30&lt;&gt;"",E30*L30,"")</f>
        <v/>
      </c>
      <c r="N30" s="54"/>
      <c r="O30" s="9"/>
    </row>
    <row r="31" spans="2:15" ht="30" x14ac:dyDescent="0.4">
      <c r="B31" s="7"/>
      <c r="C31" s="3"/>
      <c r="D31" s="160" t="s">
        <v>74</v>
      </c>
      <c r="E31" s="159">
        <v>1</v>
      </c>
      <c r="F31" s="183" t="s">
        <v>71</v>
      </c>
      <c r="G31" s="143"/>
      <c r="H31" s="143"/>
      <c r="I31" s="143"/>
      <c r="J31" s="167"/>
      <c r="K31" s="170"/>
      <c r="L31" s="174">
        <v>2528</v>
      </c>
      <c r="M31" s="175">
        <f t="shared" ref="M31:M43" si="0">IF(E31&lt;&gt;"",E31*L31,"")</f>
        <v>2528</v>
      </c>
      <c r="N31" s="54"/>
      <c r="O31" s="9"/>
    </row>
    <row r="32" spans="2:15" ht="30" x14ac:dyDescent="0.4">
      <c r="B32" s="7"/>
      <c r="C32" s="3"/>
      <c r="D32" s="160"/>
      <c r="E32" s="151"/>
      <c r="F32" s="184" t="s">
        <v>75</v>
      </c>
      <c r="G32" s="143"/>
      <c r="H32" s="143"/>
      <c r="I32" s="143"/>
      <c r="J32" s="167"/>
      <c r="K32" s="170"/>
      <c r="L32" s="174"/>
      <c r="M32" s="176" t="str">
        <f t="shared" si="0"/>
        <v/>
      </c>
      <c r="N32" s="54"/>
      <c r="O32" s="9"/>
    </row>
    <row r="33" spans="2:15" ht="30" x14ac:dyDescent="0.4">
      <c r="B33" s="7"/>
      <c r="C33" s="3"/>
      <c r="D33" s="160"/>
      <c r="E33" s="159"/>
      <c r="F33" s="164" t="s">
        <v>79</v>
      </c>
      <c r="G33" s="143"/>
      <c r="H33" s="143"/>
      <c r="I33" s="143"/>
      <c r="J33" s="167"/>
      <c r="K33" s="170"/>
      <c r="L33" s="174"/>
      <c r="M33" s="176" t="str">
        <f t="shared" si="0"/>
        <v/>
      </c>
      <c r="N33" s="95"/>
      <c r="O33" s="9"/>
    </row>
    <row r="34" spans="2:15" ht="30" x14ac:dyDescent="0.4">
      <c r="B34" s="7"/>
      <c r="C34" s="3"/>
      <c r="D34" s="160"/>
      <c r="E34" s="159"/>
      <c r="F34" s="120"/>
      <c r="G34" s="143"/>
      <c r="H34" s="143"/>
      <c r="I34" s="143"/>
      <c r="J34" s="167"/>
      <c r="K34" s="170"/>
      <c r="L34" s="174"/>
      <c r="M34" s="176"/>
      <c r="N34" s="95"/>
      <c r="O34" s="9"/>
    </row>
    <row r="35" spans="2:15" ht="30" x14ac:dyDescent="0.4">
      <c r="B35" s="7"/>
      <c r="C35" s="3"/>
      <c r="D35" s="160"/>
      <c r="E35" s="159"/>
      <c r="F35" s="120"/>
      <c r="G35" s="143"/>
      <c r="H35" s="143"/>
      <c r="I35" s="143"/>
      <c r="J35" s="167"/>
      <c r="K35" s="170"/>
      <c r="L35" s="174"/>
      <c r="M35" s="176"/>
      <c r="N35" s="95"/>
      <c r="O35" s="9"/>
    </row>
    <row r="36" spans="2:15" ht="30" x14ac:dyDescent="0.4">
      <c r="B36" s="7"/>
      <c r="C36" s="3"/>
      <c r="D36" s="160"/>
      <c r="E36" s="159"/>
      <c r="F36" s="181"/>
      <c r="G36" s="143"/>
      <c r="H36" s="143"/>
      <c r="I36" s="143"/>
      <c r="J36" s="167"/>
      <c r="K36" s="170"/>
      <c r="L36" s="174"/>
      <c r="M36" s="176"/>
      <c r="N36" s="95"/>
      <c r="O36" s="9"/>
    </row>
    <row r="37" spans="2:15" ht="30" x14ac:dyDescent="0.4">
      <c r="B37" s="7"/>
      <c r="C37" s="3"/>
      <c r="D37" s="160"/>
      <c r="E37" s="159"/>
      <c r="F37" s="120"/>
      <c r="G37" s="143"/>
      <c r="H37" s="143"/>
      <c r="I37" s="143"/>
      <c r="J37" s="143"/>
      <c r="K37" s="144"/>
      <c r="L37" s="174"/>
      <c r="M37" s="177"/>
      <c r="N37" s="54"/>
      <c r="O37" s="9"/>
    </row>
    <row r="38" spans="2:15" ht="30" x14ac:dyDescent="0.4">
      <c r="B38" s="7"/>
      <c r="C38" s="3"/>
      <c r="D38" s="160"/>
      <c r="E38" s="159"/>
      <c r="F38" s="182"/>
      <c r="G38" s="143"/>
      <c r="H38" s="143"/>
      <c r="I38" s="143"/>
      <c r="J38" s="143"/>
      <c r="K38" s="144"/>
      <c r="L38" s="174"/>
      <c r="M38" s="177"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2528</v>
      </c>
      <c r="N44" s="54"/>
      <c r="O44" s="9"/>
    </row>
    <row r="45" spans="2:15" ht="35.25" x14ac:dyDescent="0.5">
      <c r="B45" s="7"/>
      <c r="C45" s="3"/>
      <c r="D45" s="102"/>
      <c r="E45" s="98" t="s">
        <v>68</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480.32</v>
      </c>
      <c r="N46" s="54"/>
      <c r="O46" s="9"/>
    </row>
    <row r="47" spans="2:15" ht="35.25" x14ac:dyDescent="0.5">
      <c r="B47" s="7"/>
      <c r="C47" s="3"/>
      <c r="D47" s="85"/>
      <c r="E47" s="101"/>
      <c r="F47" s="97"/>
      <c r="G47" s="82"/>
      <c r="H47" s="81"/>
      <c r="I47" s="77"/>
      <c r="J47" s="83"/>
      <c r="K47" s="93"/>
      <c r="L47" s="110" t="s">
        <v>27</v>
      </c>
      <c r="M47" s="109">
        <f>+M44+M45+M46</f>
        <v>3008.92</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207" t="s">
        <v>70</v>
      </c>
      <c r="E50" s="207"/>
      <c r="F50" s="207"/>
      <c r="G50" s="207"/>
      <c r="H50" s="207"/>
      <c r="I50" s="207"/>
      <c r="J50" s="207"/>
      <c r="K50" s="207"/>
      <c r="L50" s="207"/>
      <c r="M50" s="122"/>
      <c r="N50" s="54"/>
      <c r="O50" s="9"/>
    </row>
    <row r="51" spans="1:16" ht="26.25" x14ac:dyDescent="0.4">
      <c r="B51" s="7"/>
      <c r="C51" s="3"/>
      <c r="D51" s="208"/>
      <c r="E51" s="208"/>
      <c r="F51" s="208"/>
      <c r="G51" s="208"/>
      <c r="H51" s="208"/>
      <c r="I51" s="208"/>
      <c r="J51" s="208"/>
      <c r="K51" s="208"/>
      <c r="L51" s="208"/>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201"/>
      <c r="H53" s="201"/>
      <c r="I53" s="201"/>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200" t="s">
        <v>62</v>
      </c>
      <c r="E59" s="200"/>
      <c r="F59" s="200"/>
      <c r="G59" s="200"/>
      <c r="H59" s="200"/>
      <c r="I59" s="200"/>
      <c r="J59" s="200"/>
      <c r="K59" s="200"/>
      <c r="L59" s="200"/>
      <c r="M59" s="88"/>
      <c r="N59" s="92"/>
      <c r="O59" s="9"/>
    </row>
    <row r="60" spans="1:16" ht="15" customHeight="1" x14ac:dyDescent="0.2">
      <c r="B60" s="7"/>
      <c r="C60" s="3"/>
      <c r="D60" s="200"/>
      <c r="E60" s="200"/>
      <c r="F60" s="200"/>
      <c r="G60" s="200"/>
      <c r="H60" s="200"/>
      <c r="I60" s="200"/>
      <c r="J60" s="200"/>
      <c r="K60" s="200"/>
      <c r="L60" s="200"/>
      <c r="M60" s="89"/>
      <c r="N60" s="54"/>
      <c r="O60" s="9"/>
    </row>
    <row r="61" spans="1:16" ht="20.100000000000001" customHeight="1" x14ac:dyDescent="0.2">
      <c r="B61" s="7"/>
      <c r="C61" s="3"/>
      <c r="D61" s="200"/>
      <c r="E61" s="200"/>
      <c r="F61" s="200"/>
      <c r="G61" s="200"/>
      <c r="H61" s="200"/>
      <c r="I61" s="200"/>
      <c r="J61" s="200"/>
      <c r="K61" s="200"/>
      <c r="L61" s="200"/>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03/03/2022</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3008.92</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2022-03-03T10:02:01Z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3008.92</vt:r8>
  </property>
</Properties>
</file>