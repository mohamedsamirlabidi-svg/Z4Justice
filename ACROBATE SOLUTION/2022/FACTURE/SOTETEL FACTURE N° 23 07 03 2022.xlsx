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42" i="3"/>
  <c r="M43" i="3"/>
  <c r="M44" i="3" l="1"/>
  <c r="M46" i="3"/>
  <c r="M47" i="3"/>
  <c r="M28" i="3"/>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<sst xmlns="http://schemas.openxmlformats.org/spreadsheetml/2006/main" count="87" uniqueCount="77">
  <si>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</si>
  <si>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</si>
  <si>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</si>
  <si>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</si>
  <si>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</si>
  <si>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</si>
  <si>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</si>
  <si>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</si>
  <si>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</si>
  <si>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</si>
  <si>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</si>
  <si>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</si>
  <si>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</si>
  <si>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</si>
  <si>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</si>
  <si>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</si>
  <si>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</si>
  <si>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</si>
  <si>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</si>
  <si>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</si>
  <si>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</si>
  <si>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</si>
  <si>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</si>
  <si>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</si>
  <si>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</si>
  <si>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</si>
  <si>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</si>
  <si>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</si>
  <si>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</si>
  <si>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</si>
  <si>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</si>
  <si>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</si>
  <si>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</si>
  <si>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</si>
  <si>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</si>
  <si>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</si>
  <si>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</si>
  <si>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</si>
  <si>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</si>
  <si>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</si>
  <si>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</si>
  <si>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</si>
  <si>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</si>
  <si>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</si>
  <si>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</si>
  <si>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</si>
  <si>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</si>
  <si>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</si>
  <si>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</si>
  <si>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</si>
  <si>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</si>
  <si>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</si>
  <si>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</si>
  <si>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</si>
  <si>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</si>
  <si>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</si>
  <si>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</si>
  <si>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</si>
  <si>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</si>
  <si>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</si>
  <si>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</si>
  <si>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</si>
  <si>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</si>
  <si>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</si>
  <si>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LIGNE DE VIE QUICKSET </t>
  </si>
  <si>
    <t>CONFORME EN 353-1: 2014</t>
  </si>
  <si>
    <t xml:space="preserve">SOTETEL </t>
  </si>
  <si>
    <t>FACTURE  N° 2022-023</t>
  </si>
  <si>
    <t>MF: 13889X/A/M/000</t>
  </si>
  <si>
    <t>LDV 30M</t>
  </si>
  <si>
    <t>LONGUEUR  30 M</t>
  </si>
  <si>
    <t>Date: 07/03/2022</t>
  </si>
  <si>
    <t>Consultation: 2027763</t>
  </si>
  <si>
    <t xml:space="preserve">Responsable: SERVICE ACHAT </t>
  </si>
  <si>
    <t xml:space="preserve">ARRETE LA PRESENTE FACTURE A LA SOMME DE : TROIS  MILLE QUATRE CENT QUATRE VINGT SEIZE  DINARS ET 225 MILLIMES </t>
  </si>
  <si>
    <t>Rue des entrepreneurs ZI Charguia II Aeroport BP 640</t>
  </si>
  <si>
    <t>71 941 100         Fax:71 940 584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</si>
</sst>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1" fillId="3" borderId="0" xfId="0" applyFont="1" applyFill="1" applyBorder="1" applyAlignment="1">
      <alignment shrinkToFit="1"/>
    </xf>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2079626</xdr:colOff>
      <xdr:row>50</xdr:row>
      <xdr:rowOff>174625</xdr:rowOff>
    </xdr:from>
    <xdr:to>
      <xdr:col>13</xdr:col>
      <xdr:colOff>174626</xdr:colOff>
      <xdr:row>58</xdr:row>
      <xdr:rowOff>146050</xdr:rowOff>
    </xdr:to>
    <xdr:pic>
      <xdr:nvPicPr>
        <xdr:cNvPr id="12" name="Image 1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318751" y="14763750"/>
          <a:ext cx="3270250"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6"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0" t="s">
        <v>67</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5" t="s">
        <v>66</v>
      </c>
      <c r="F22" s="205"/>
      <c r="G22" s="205"/>
      <c r="H22" s="205"/>
      <c r="I22" s="205"/>
      <c r="J22" s="205"/>
      <c r="K22" s="104"/>
      <c r="L22" s="203" t="s">
        <v>71</v>
      </c>
      <c r="M22" s="203"/>
      <c r="N22" s="52"/>
      <c r="O22" s="9"/>
    </row>
    <row r="23" spans="2:15" ht="33.75" x14ac:dyDescent="0.5">
      <c r="B23" s="7"/>
      <c r="C23" s="3"/>
      <c r="D23" s="103" t="s">
        <v>52</v>
      </c>
      <c r="E23" s="194" t="s">
        <v>75</v>
      </c>
      <c r="F23" s="194"/>
      <c r="G23" s="194"/>
      <c r="H23" s="194"/>
      <c r="I23" s="194"/>
      <c r="J23" s="194"/>
      <c r="K23" s="194"/>
      <c r="L23" s="105" t="s">
        <v>72</v>
      </c>
      <c r="M23" s="105"/>
      <c r="N23" s="53"/>
      <c r="O23" s="9"/>
    </row>
    <row r="24" spans="2:15" ht="33.75" x14ac:dyDescent="0.5">
      <c r="B24" s="7"/>
      <c r="C24" s="3"/>
      <c r="D24" s="103" t="s">
        <v>53</v>
      </c>
      <c r="E24" s="116"/>
      <c r="F24" s="106" t="s">
        <v>8</v>
      </c>
      <c r="G24" s="195"/>
      <c r="H24" s="195"/>
      <c r="I24" s="107" t="s">
        <v>9</v>
      </c>
      <c r="J24" s="108" t="s">
        <v>56</v>
      </c>
      <c r="K24" s="104"/>
      <c r="L24" s="204" t="s">
        <v>73</v>
      </c>
      <c r="M24" s="204"/>
      <c r="N24" s="3"/>
      <c r="O24" s="9"/>
    </row>
    <row r="25" spans="2:15" ht="33.75" x14ac:dyDescent="0.5">
      <c r="B25" s="7"/>
      <c r="C25" s="3"/>
      <c r="D25" s="103" t="s">
        <v>54</v>
      </c>
      <c r="E25" s="207" t="s">
        <v>76</v>
      </c>
      <c r="F25" s="207"/>
      <c r="G25" s="207"/>
      <c r="H25" s="207"/>
      <c r="I25" s="207"/>
      <c r="J25" s="207"/>
      <c r="K25" s="104"/>
      <c r="L25" s="204" t="s">
        <v>68</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61</v>
      </c>
      <c r="M27" s="91" t="s">
        <v>24</v>
      </c>
      <c r="N27" s="92"/>
      <c r="O27" s="9"/>
    </row>
    <row r="28" spans="2:15" ht="30" x14ac:dyDescent="0.4">
      <c r="B28" s="7"/>
      <c r="C28" s="3"/>
      <c r="D28" s="153"/>
      <c r="E28" s="151"/>
      <c r="F28" s="162" t="s">
        <v>64</v>
      </c>
      <c r="G28" s="163"/>
      <c r="H28" s="163"/>
      <c r="I28" s="163"/>
      <c r="J28" s="154"/>
      <c r="K28" s="155"/>
      <c r="L28" s="112"/>
      <c r="M28" s="112" t="str">
        <f>IF(E28&lt;&gt;"",E28*L28,"")</f>
        <v/>
      </c>
      <c r="N28" s="54"/>
      <c r="O28" s="9"/>
    </row>
    <row r="29" spans="2:15" ht="30" x14ac:dyDescent="0.4">
      <c r="B29" s="7"/>
      <c r="C29" s="3"/>
      <c r="D29" s="160"/>
      <c r="E29" s="151"/>
      <c r="F29" s="164" t="s">
        <v>65</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69</v>
      </c>
      <c r="E31" s="159">
        <v>1</v>
      </c>
      <c r="F31" s="183" t="s">
        <v>70</v>
      </c>
      <c r="G31" s="143"/>
      <c r="H31" s="143"/>
      <c r="I31" s="143"/>
      <c r="J31" s="167"/>
      <c r="K31" s="170"/>
      <c r="L31" s="174">
        <v>2937.5</v>
      </c>
      <c r="M31" s="175">
        <f t="shared" ref="M31:M43" si="0">IF(E31&lt;&gt;"",E31*L31,"")</f>
        <v>2937.5</v>
      </c>
      <c r="N31" s="54"/>
      <c r="O31" s="9"/>
    </row>
    <row r="32" spans="2:15" ht="30" x14ac:dyDescent="0.4">
      <c r="B32" s="7"/>
      <c r="C32" s="3"/>
      <c r="D32" s="160"/>
      <c r="E32" s="151"/>
      <c r="F32" s="184"/>
      <c r="G32" s="143"/>
      <c r="H32" s="143"/>
      <c r="I32" s="143"/>
      <c r="J32" s="167"/>
      <c r="K32" s="170"/>
      <c r="L32" s="174"/>
      <c r="M32" s="176" t="str">
        <f t="shared" si="0"/>
        <v/>
      </c>
      <c r="N32" s="54"/>
      <c r="O32" s="9"/>
    </row>
    <row r="33" spans="2:15" ht="30" x14ac:dyDescent="0.4">
      <c r="B33" s="7"/>
      <c r="C33" s="3"/>
      <c r="D33" s="160"/>
      <c r="E33" s="159"/>
      <c r="F33" s="164"/>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2937.5</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558.125</v>
      </c>
      <c r="N46" s="54"/>
      <c r="O46" s="9"/>
    </row>
    <row r="47" spans="2:15" ht="35.25" x14ac:dyDescent="0.5">
      <c r="B47" s="7"/>
      <c r="C47" s="3"/>
      <c r="D47" s="85"/>
      <c r="E47" s="101"/>
      <c r="F47" s="97"/>
      <c r="G47" s="82"/>
      <c r="H47" s="81"/>
      <c r="I47" s="77"/>
      <c r="J47" s="83"/>
      <c r="K47" s="93"/>
      <c r="L47" s="110" t="s">
        <v>27</v>
      </c>
      <c r="M47" s="109">
        <f>+M44+M45+M46</f>
        <v>3496.2249999999999</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8" x14ac:dyDescent="0.25">
      <c r="B50" s="7"/>
      <c r="C50" s="3"/>
      <c r="D50" s="206" t="s">
        <v>74</v>
      </c>
      <c r="E50" s="206"/>
      <c r="F50" s="206"/>
      <c r="G50" s="206"/>
      <c r="H50" s="206"/>
      <c r="I50" s="206"/>
      <c r="J50" s="206"/>
      <c r="K50" s="206"/>
      <c r="L50" s="206"/>
      <c r="M50" s="122"/>
      <c r="N50" s="54"/>
      <c r="O50" s="9"/>
    </row>
    <row r="51" spans="1:16" ht="26.25" x14ac:dyDescent="0.4">
      <c r="B51" s="7"/>
      <c r="C51" s="3"/>
      <c r="D51" s="199"/>
      <c r="E51" s="199"/>
      <c r="F51" s="199"/>
      <c r="G51" s="199"/>
      <c r="H51" s="199"/>
      <c r="I51" s="199"/>
      <c r="J51" s="199"/>
      <c r="K51" s="199"/>
      <c r="L51" s="19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62</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07/03/2022</v>
      </c>
      <c r="D8" s="67" t="str">
        <f>Facture!$E$22</f>
        <v xml:space="preserve">SOTETEL </v>
      </c>
      <c r="E8" s="64" t="str">
        <f>Facture!$E$23</f>
        <v>Rue des entrepreneurs ZI Charguia II Aeroport BP 640</v>
      </c>
      <c r="F8" s="64">
        <f>Facture!$E$24</f>
        <v>0</v>
      </c>
      <c r="G8" s="67">
        <f>Facture!$G$24</f>
        <v>0</v>
      </c>
      <c r="H8" s="67" t="str">
        <f>Facture!$J$24</f>
        <v>TN</v>
      </c>
      <c r="I8" s="64" t="str">
        <f>Facture!$E$25</f>
        <v>71 941 100         Fax:71 940 584</v>
      </c>
      <c r="J8" s="68">
        <f>Facture!$M$47</f>
        <v>3496.2249999999999</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2022-03-07T14:43:32Z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3496.225</vt:r8>
  </property>
</Properties>
</file>