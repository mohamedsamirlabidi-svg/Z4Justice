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47" i="3" l="1"/>
  <c r="N49" i="3"/>
  <c r="N50"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<sst xmlns="http://schemas.openxmlformats.org/spreadsheetml/2006/main" count="90" uniqueCount="73">
  <si>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</si>
  <si>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</si>
  <si>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</si>
  <si>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</si>
  <si>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</si>
  <si>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</si>
  <si>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</si>
  <si>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</si>
  <si>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</si>
  <si>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</si>
  <si>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</si>
  <si>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</si>
  <si>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</si>
  <si>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</si>
  <si>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</si>
  <si>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</si>
  <si>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</si>
  <si>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</si>
  <si>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</si>
  <si>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</si>
  <si>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</si>
  <si>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</si>
  <si>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</si>
  <si>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</si>
  <si>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</si>
  <si>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</si>
  <si>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</si>
  <si>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</si>
  <si>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</si>
  <si>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</si>
  <si>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</si>
  <si>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</si>
  <si>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</si>
  <si>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</si>
  <si>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</si>
  <si>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</si>
  <si>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</si>
  <si>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</si>
  <si>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</si>
  <si>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</si>
  <si>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</si>
  <si>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</si>
  <si>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</si>
  <si>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</si>
  <si>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</si>
  <si>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</si>
  <si>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</si>
  <si>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</si>
  <si>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</si>
  <si>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</si>
  <si>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</si>
  <si>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</si>
  <si>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</si>
  <si>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</si>
  <si>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</si>
  <si>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</si>
  <si>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</si>
  <si>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</si>
  <si>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</si>
  <si>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</si>
  <si>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</si>
  <si>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</si>
  <si>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</si>
  <si>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</si>
  <si>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</si>
  <si>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BC273593</t>
  </si>
  <si>
    <t>601515S/A/M/000</t>
  </si>
  <si>
    <t xml:space="preserve">VITALAIT </t>
  </si>
  <si>
    <t xml:space="preserve">DKHILA  MAHDIA </t>
  </si>
  <si>
    <t xml:space="preserve">SERVICE ACHAT </t>
  </si>
  <si>
    <t>CERT02</t>
  </si>
  <si>
    <t xml:space="preserve">CARTOUCHE POUR GILET GON </t>
  </si>
  <si>
    <r>
      <rPr>
        <b/>
        <sz val="14"/>
        <rFont val="Arial"/>
        <family val="2"/>
      </rPr>
      <t>Facture</t>
    </r>
    <r>
      <rPr>
        <b/>
        <sz val="10"/>
        <rFont val="Arial"/>
        <family val="2"/>
      </rPr>
      <t xml:space="preserve">  N°2022-004</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</si>
</sst>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4" zoomScale="95" workbookViewId="0">
      <selection activeCell="I37" sqref="I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72</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89" t="s">
        <v>67</v>
      </c>
      <c r="F21" s="190"/>
      <c r="G21" s="190"/>
      <c r="H21" s="190"/>
      <c r="I21" s="190"/>
      <c r="J21" s="190"/>
      <c r="K21" s="82"/>
      <c r="L21" s="84" t="s">
        <v>18</v>
      </c>
      <c r="M21" s="178">
        <v>44572</v>
      </c>
      <c r="N21" s="179"/>
      <c r="O21" s="55"/>
      <c r="P21" s="8"/>
    </row>
    <row r="22" spans="1:16" ht="14.25" x14ac:dyDescent="0.2">
      <c r="B22" s="7"/>
      <c r="C22" s="3"/>
      <c r="D22" s="82" t="s">
        <v>5</v>
      </c>
      <c r="E22" s="187" t="s">
        <v>68</v>
      </c>
      <c r="F22" s="188"/>
      <c r="G22" s="188"/>
      <c r="H22" s="188"/>
      <c r="I22" s="188"/>
      <c r="J22" s="188"/>
      <c r="K22" s="82"/>
      <c r="L22" s="125" t="s">
        <v>60</v>
      </c>
      <c r="M22" s="169" t="s">
        <v>65</v>
      </c>
      <c r="N22" s="170"/>
      <c r="O22" s="56"/>
      <c r="P22" s="8"/>
    </row>
    <row r="23" spans="1:16" x14ac:dyDescent="0.2">
      <c r="B23" s="7"/>
      <c r="C23" s="3"/>
      <c r="D23" s="82" t="s">
        <v>7</v>
      </c>
      <c r="E23" s="89">
        <v>5100</v>
      </c>
      <c r="F23" s="90" t="s">
        <v>8</v>
      </c>
      <c r="G23" s="185"/>
      <c r="H23" s="186"/>
      <c r="I23" s="91" t="s">
        <v>9</v>
      </c>
      <c r="J23" s="88" t="s">
        <v>51</v>
      </c>
      <c r="K23" s="82"/>
      <c r="L23" s="84" t="s">
        <v>19</v>
      </c>
      <c r="M23" s="180" t="s">
        <v>69</v>
      </c>
      <c r="N23" s="181"/>
      <c r="O23" s="3"/>
      <c r="P23" s="8"/>
    </row>
    <row r="24" spans="1:16" ht="15" x14ac:dyDescent="0.2">
      <c r="B24" s="7"/>
      <c r="C24" s="3"/>
      <c r="D24" s="82" t="s">
        <v>20</v>
      </c>
      <c r="E24" s="191">
        <v>36277000</v>
      </c>
      <c r="F24" s="192"/>
      <c r="G24" s="192"/>
      <c r="H24" s="192"/>
      <c r="I24" s="192"/>
      <c r="J24" s="192"/>
      <c r="K24" s="82"/>
      <c r="L24" s="84" t="s">
        <v>47</v>
      </c>
      <c r="M24" s="182" t="s">
        <v>66</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30"/>
      <c r="M27" s="129"/>
      <c r="N27" s="96" t="str">
        <f t="shared" ref="N27" si="0">IF(E27&lt;&gt;"",E27*M27,"")</f>
        <v/>
      </c>
      <c r="O27" s="57"/>
      <c r="P27" s="8"/>
    </row>
    <row r="28" spans="1:16" ht="15.75" customHeight="1" x14ac:dyDescent="0.25">
      <c r="B28" s="7"/>
      <c r="C28" s="3"/>
      <c r="D28" s="143" t="s">
        <v>70</v>
      </c>
      <c r="E28" s="75">
        <v>1</v>
      </c>
      <c r="F28" s="141" t="s">
        <v>71</v>
      </c>
      <c r="G28" s="142"/>
      <c r="H28" s="142"/>
      <c r="I28" s="142"/>
      <c r="J28" s="142"/>
      <c r="K28" s="142"/>
      <c r="L28" s="144"/>
      <c r="M28" s="129">
        <v>175</v>
      </c>
      <c r="N28" s="129">
        <v>175</v>
      </c>
      <c r="O28" s="57"/>
      <c r="P28" s="8"/>
    </row>
    <row r="29" spans="1:16" ht="15.75" customHeight="1" x14ac:dyDescent="0.25">
      <c r="B29" s="7"/>
      <c r="C29" s="3"/>
      <c r="D29" s="143"/>
      <c r="E29" s="75"/>
      <c r="F29" s="141"/>
      <c r="G29" s="142"/>
      <c r="H29" s="142"/>
      <c r="I29" s="142"/>
      <c r="J29" s="142"/>
      <c r="K29" s="142"/>
      <c r="L29" s="144"/>
      <c r="M29" s="129"/>
      <c r="N29" s="96"/>
      <c r="O29" s="57"/>
      <c r="P29" s="8"/>
    </row>
    <row r="30" spans="1:16" ht="15.75" x14ac:dyDescent="0.25">
      <c r="B30" s="7"/>
      <c r="C30" s="3"/>
      <c r="D30" s="143"/>
      <c r="E30" s="75"/>
      <c r="F30" s="138"/>
      <c r="G30" s="139"/>
      <c r="H30" s="81"/>
      <c r="I30" s="132"/>
      <c r="J30" s="132"/>
      <c r="K30" s="81"/>
      <c r="L30" s="131"/>
      <c r="M30" s="116"/>
      <c r="N30" s="96"/>
      <c r="O30" s="57"/>
      <c r="P30" s="8"/>
    </row>
    <row r="31" spans="1:16" ht="15.75" x14ac:dyDescent="0.25">
      <c r="A31" s="99" t="s">
        <v>55</v>
      </c>
      <c r="B31" s="7"/>
      <c r="C31" s="3"/>
      <c r="D31" s="108"/>
      <c r="E31" s="75"/>
      <c r="F31" s="138"/>
      <c r="G31" s="139"/>
      <c r="H31" s="81"/>
      <c r="I31" s="132"/>
      <c r="J31" s="132"/>
      <c r="K31" s="81"/>
      <c r="L31" s="131"/>
      <c r="M31" s="116"/>
      <c r="N31" s="96"/>
      <c r="O31" s="57"/>
      <c r="P31" s="8"/>
    </row>
    <row r="32" spans="1:16" ht="15.75" x14ac:dyDescent="0.25">
      <c r="A32" s="99"/>
      <c r="B32" s="7"/>
      <c r="C32" s="3"/>
      <c r="D32" s="108"/>
      <c r="E32" s="75"/>
      <c r="F32" s="138"/>
      <c r="G32" s="139"/>
      <c r="H32" s="81"/>
      <c r="I32" s="132"/>
      <c r="J32" s="132"/>
      <c r="K32" s="81"/>
      <c r="L32" s="131"/>
      <c r="M32" s="116"/>
      <c r="N32" s="96"/>
      <c r="O32" s="57"/>
      <c r="P32" s="8"/>
    </row>
    <row r="33" spans="2:16" ht="15.75" x14ac:dyDescent="0.25">
      <c r="B33" s="7"/>
      <c r="C33" s="3"/>
      <c r="D33" s="108"/>
      <c r="E33" s="75"/>
      <c r="F33" s="138"/>
      <c r="G33" s="139"/>
      <c r="H33" s="81"/>
      <c r="I33" s="132"/>
      <c r="J33" s="132"/>
      <c r="K33" s="81"/>
      <c r="L33" s="131"/>
      <c r="M33" s="116"/>
      <c r="N33" s="96"/>
      <c r="O33" s="57"/>
      <c r="P33" s="8"/>
    </row>
    <row r="34" spans="2:16" ht="15.75" x14ac:dyDescent="0.25">
      <c r="B34" s="7"/>
      <c r="C34" s="3"/>
      <c r="D34" s="108"/>
      <c r="E34" s="75"/>
      <c r="F34" s="140"/>
      <c r="G34" s="139"/>
      <c r="H34" s="81"/>
      <c r="I34" s="132"/>
      <c r="J34" s="81"/>
      <c r="K34" s="81"/>
      <c r="L34" s="131"/>
      <c r="M34" s="116"/>
      <c r="N34" s="96"/>
      <c r="O34" s="57"/>
      <c r="P34" s="8"/>
    </row>
    <row r="35" spans="2:16" ht="15.75" x14ac:dyDescent="0.25">
      <c r="B35" s="7"/>
      <c r="C35" s="3"/>
      <c r="D35" s="108"/>
      <c r="E35" s="75"/>
      <c r="F35" s="138"/>
      <c r="G35" s="139"/>
      <c r="H35" s="81"/>
      <c r="I35" s="132"/>
      <c r="J35" s="81"/>
      <c r="K35" s="81"/>
      <c r="L35" s="109"/>
      <c r="M35" s="116"/>
      <c r="N35" s="96"/>
      <c r="O35" s="57"/>
      <c r="P35" s="8"/>
    </row>
    <row r="36" spans="2:16" ht="15.75" x14ac:dyDescent="0.25">
      <c r="B36" s="7"/>
      <c r="C36" s="3"/>
      <c r="D36" s="108"/>
      <c r="E36" s="75"/>
      <c r="F36" s="138"/>
      <c r="G36" s="139"/>
      <c r="H36" s="81"/>
      <c r="I36" s="132"/>
      <c r="J36" s="132"/>
      <c r="K36" s="81"/>
      <c r="L36" s="109"/>
      <c r="M36" s="116"/>
      <c r="N36" s="96"/>
      <c r="O36" s="57"/>
      <c r="P36" s="8"/>
    </row>
    <row r="37" spans="2:16" ht="18" x14ac:dyDescent="0.25">
      <c r="B37" s="7"/>
      <c r="C37" s="3"/>
      <c r="D37" s="108"/>
      <c r="E37" s="75"/>
      <c r="F37" s="81"/>
      <c r="G37" s="124"/>
      <c r="H37" s="81"/>
      <c r="I37" s="109"/>
      <c r="J37" s="81"/>
      <c r="K37" s="81"/>
      <c r="L37" s="109"/>
      <c r="M37" s="96"/>
      <c r="N37" s="96"/>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76"/>
      <c r="G46" s="177"/>
      <c r="H46" s="177"/>
      <c r="I46" s="177"/>
      <c r="J46" s="177"/>
      <c r="K46" s="177"/>
      <c r="L46" s="118"/>
      <c r="M46" s="96"/>
      <c r="N46" s="96"/>
      <c r="O46" s="57"/>
      <c r="P46" s="8"/>
    </row>
    <row r="47" spans="2:16" ht="15" customHeight="1" x14ac:dyDescent="0.25">
      <c r="B47" s="7"/>
      <c r="C47" s="3"/>
      <c r="D47" s="3"/>
      <c r="E47" s="82"/>
      <c r="F47" s="82"/>
      <c r="G47" s="82"/>
      <c r="H47" s="82"/>
      <c r="I47" s="82"/>
      <c r="J47" s="76"/>
      <c r="K47" s="76"/>
      <c r="L47" s="76"/>
      <c r="M47" s="103" t="s">
        <v>24</v>
      </c>
      <c r="N47" s="97">
        <f>SUM(N27:N45)</f>
        <v>175</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33.25</v>
      </c>
      <c r="O49" s="57"/>
      <c r="P49" s="8"/>
    </row>
    <row r="50" spans="1:16" ht="15.75" x14ac:dyDescent="0.25">
      <c r="B50" s="7"/>
      <c r="C50" s="3"/>
      <c r="D50" s="3"/>
      <c r="E50" s="85"/>
      <c r="F50" s="135" t="s">
        <v>62</v>
      </c>
      <c r="G50" s="87"/>
      <c r="H50" s="85"/>
      <c r="I50" s="82"/>
      <c r="J50" s="79"/>
      <c r="K50" s="76"/>
      <c r="L50" s="76"/>
      <c r="M50" s="172" t="s">
        <v>27</v>
      </c>
      <c r="N50" s="152">
        <f>SUM(N47:N49)</f>
        <v>208.85</v>
      </c>
      <c r="O50" s="57"/>
      <c r="P50" s="8"/>
    </row>
    <row r="51" spans="1:16" ht="15" x14ac:dyDescent="0.2">
      <c r="B51" s="7"/>
      <c r="C51" s="3"/>
      <c r="D51" s="3"/>
      <c r="E51" s="85">
        <v>3</v>
      </c>
      <c r="F51" s="107" t="s">
        <v>57</v>
      </c>
      <c r="G51" s="82"/>
      <c r="H51" s="86"/>
      <c r="I51" s="82"/>
      <c r="J51" s="80" t="s">
        <v>26</v>
      </c>
      <c r="K51" s="76"/>
      <c r="L51" s="76"/>
      <c r="M51" s="172"/>
      <c r="N51" s="153"/>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6"/>
      <c r="D56" s="137" t="s">
        <v>63</v>
      </c>
      <c r="E56" s="136"/>
      <c r="F56" s="125"/>
      <c r="G56" s="125"/>
      <c r="H56" s="125"/>
      <c r="I56" s="125"/>
      <c r="J56" s="125"/>
      <c r="K56" s="125"/>
      <c r="L56" s="125"/>
      <c r="M56" s="102"/>
      <c r="N56" s="102"/>
      <c r="O56" s="57"/>
      <c r="P56" s="8"/>
    </row>
    <row r="57" spans="1:16" ht="15.75" customHeight="1" x14ac:dyDescent="0.2">
      <c r="B57" s="7"/>
      <c r="C57" s="171" t="s">
        <v>64</v>
      </c>
      <c r="D57" s="171"/>
      <c r="E57" s="171"/>
      <c r="F57" s="134"/>
      <c r="G57" s="134"/>
      <c r="H57" s="134"/>
      <c r="I57" s="134"/>
      <c r="J57" s="134"/>
      <c r="K57" s="134"/>
      <c r="L57" s="134"/>
      <c r="M57" s="100"/>
      <c r="N57" s="101"/>
      <c r="O57" s="57"/>
      <c r="P57" s="8"/>
    </row>
    <row r="58" spans="1:16" ht="15.75" customHeight="1" x14ac:dyDescent="0.2">
      <c r="B58" s="7"/>
      <c r="C58" s="3"/>
      <c r="D58" s="3"/>
      <c r="E58" s="164" t="s">
        <v>59</v>
      </c>
      <c r="F58" s="165"/>
      <c r="G58" s="165"/>
      <c r="H58" s="165"/>
      <c r="I58" s="165"/>
      <c r="J58" s="165"/>
      <c r="K58" s="165"/>
      <c r="L58" s="165"/>
      <c r="M58" s="165"/>
      <c r="N58" s="165"/>
      <c r="O58" s="57"/>
      <c r="P58" s="8"/>
    </row>
    <row r="59" spans="1:16" ht="0.95" customHeight="1" x14ac:dyDescent="0.2">
      <c r="B59" s="7"/>
      <c r="C59" s="3"/>
      <c r="D59" s="3"/>
      <c r="E59" s="165"/>
      <c r="F59" s="165"/>
      <c r="G59" s="165"/>
      <c r="H59" s="165"/>
      <c r="I59" s="165"/>
      <c r="J59" s="165"/>
      <c r="K59" s="165"/>
      <c r="L59" s="165"/>
      <c r="M59" s="165"/>
      <c r="N59" s="165"/>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62" t="s">
        <v>56</v>
      </c>
      <c r="G61" s="162"/>
      <c r="H61" s="162"/>
      <c r="I61" s="162"/>
      <c r="J61" s="162"/>
      <c r="K61" s="162"/>
      <c r="L61" s="162"/>
      <c r="M61" s="98"/>
      <c r="N61" s="98"/>
      <c r="O61" s="57"/>
      <c r="P61" s="8"/>
    </row>
    <row r="62" spans="1:16" ht="16.5" thickTop="1" x14ac:dyDescent="0.2">
      <c r="A62" s="120"/>
      <c r="B62" s="58"/>
      <c r="C62" s="3"/>
      <c r="D62" s="3"/>
      <c r="E62" s="163" t="s">
        <v>58</v>
      </c>
      <c r="F62" s="163"/>
      <c r="G62" s="163"/>
      <c r="H62" s="163"/>
      <c r="I62" s="163"/>
      <c r="J62" s="163"/>
      <c r="K62" s="163"/>
      <c r="L62" s="163"/>
      <c r="M62" s="163"/>
      <c r="N62" s="98"/>
      <c r="O62" s="57"/>
    </row>
    <row r="63" spans="1:16" ht="15.75" x14ac:dyDescent="0.2">
      <c r="A63" s="120"/>
      <c r="B63" s="123"/>
      <c r="C63" s="3"/>
      <c r="D63" s="3"/>
      <c r="E63" s="163"/>
      <c r="F63" s="163"/>
      <c r="G63" s="163"/>
      <c r="H63" s="163"/>
      <c r="I63" s="163"/>
      <c r="J63" s="163"/>
      <c r="K63" s="163"/>
      <c r="L63" s="163"/>
      <c r="M63" s="163"/>
      <c r="N63" s="98"/>
      <c r="O63" s="57"/>
    </row>
    <row r="64" spans="1:16" ht="12.75" customHeight="1" thickBot="1" x14ac:dyDescent="0.25">
      <c r="A64" s="120"/>
      <c r="B64" s="122"/>
      <c r="C64" s="119"/>
      <c r="D64" s="119"/>
      <c r="E64" s="120"/>
      <c r="F64" s="120"/>
      <c r="G64" s="120"/>
      <c r="H64" s="161"/>
      <c r="I64" s="161"/>
      <c r="J64" s="161"/>
      <c r="K64" s="161"/>
      <c r="L64" s="161"/>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60"/>
      <c r="L66" s="160"/>
      <c r="M66" s="160"/>
      <c r="N66" s="160"/>
      <c r="O66" s="160"/>
    </row>
    <row r="67" spans="1:15" x14ac:dyDescent="0.2">
      <c r="A67" s="120"/>
      <c r="C67" s="122"/>
      <c r="D67" s="122"/>
      <c r="E67" s="122"/>
      <c r="F67" s="122"/>
      <c r="G67" s="122"/>
      <c r="H67" s="122"/>
      <c r="I67" s="122"/>
      <c r="J67" s="122"/>
      <c r="K67" s="161"/>
      <c r="L67" s="161"/>
      <c r="M67" s="161"/>
      <c r="N67" s="161"/>
      <c r="O67" s="161"/>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31:L46 L27">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28">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29: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44572</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208.85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2022-01-11T09:07:14Z</cp:lastPrinted>
  <dcterms:created xsi:type="dcterms:W3CDTF">1995-05-29T15:50:39Z</dcterms:created>
  <dcterms:modified xsi:type="dcterms:W3CDTF">2022-01-11T09:12:28Z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208.85</vt:r8>
  </property>
</Properties>
</file>