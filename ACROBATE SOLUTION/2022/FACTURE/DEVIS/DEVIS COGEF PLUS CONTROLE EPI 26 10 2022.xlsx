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2\DEVIS\"/>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Facture!$L$49</definedName>
    <definedName name="_Tax3">Facture!#REF!</definedName>
    <definedName name="_tax4">Facture!#REF!</definedName>
    <definedName name="_xlnm.Auto_Open21">'AutoOpen Stub Data'!$A$1</definedName>
    <definedName name="boxes">Facture!$E$47:$E$48</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Facture!$E$47</definedName>
    <definedName name="data63">Facture!$E$48</definedName>
    <definedName name="data64">Facture!$E$49</definedName>
    <definedName name="data65">Facture!$H$50</definedName>
    <definedName name="data66">Facture!#REF!</definedName>
    <definedName name="data67">Facture!$F$56</definedName>
    <definedName name="data68">Facture!$G$56</definedName>
    <definedName name="data69">Facture!$K$56</definedName>
    <definedName name="data7">Facture!$H$24</definedName>
    <definedName name="data70">Facture!$K$57</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Facture!$C$3:$N$62</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Facture!$F$52:$I$52</definedName>
    <definedName name="qzqzqz27">Facture!#REF!</definedName>
    <definedName name="qzqzqz28">Facture!$F$55:$I$55</definedName>
    <definedName name="qzqzqz29">Facture!$L$55:$M$57</definedName>
    <definedName name="qzqzqz3">Facture!$E$23:$J$23</definedName>
    <definedName name="qzqzqz30">Facture!$G$56:$I$56</definedName>
    <definedName name="qzqzqz31">Facture!$G$56:$H$56</definedName>
    <definedName name="qzqzqz32">Facture!$L$54:$M$56</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Facture!$M$50</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Facture!$A$1:$N$66</definedName>
  </definedNames>
  <calcPr calcId="152511"/>
</workbook>
</file>

<file path=xl/calcChain.xml><?xml version="1.0" encoding="utf-8"?>
<calcChain xmlns="http://schemas.openxmlformats.org/spreadsheetml/2006/main">
  <c r="M46" i="3" l="1"/>
  <c r="M45" i="3"/>
  <c r="M44" i="3"/>
  <c r="M43" i="3"/>
  <c r="M42" i="3"/>
  <c r="M41" i="3"/>
  <c r="M39" i="3"/>
  <c r="M33" i="3"/>
  <c r="M32" i="3"/>
  <c r="M31" i="3"/>
  <c r="M29" i="3"/>
  <c r="M47" i="3" l="1"/>
  <c r="M49" i="3" l="1"/>
  <c r="M50" i="3" s="1"/>
  <c r="F33" i="2"/>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L25" authorId="0" shapeId="0">
      <text>
        <r>
          <rPr>
            <sz val="8"/>
            <color indexed="81"/>
            <rFont val="Tahoma"/>
            <family val="2"/>
          </rPr>
          <t>FAB signifie franco à bord. Il s'agit du lieu de chargement: par exemple, si vous passez une commande en Inde, mais que le chargement a lieu à Boston, vous taperez Boston.</t>
        </r>
      </text>
    </comment>
  </commentList>
</comments>
</file>

<file path=xl/sharedStrings.xml><?xml version="1.0" encoding="utf-8"?>
<sst xmlns="http://schemas.openxmlformats.org/spreadsheetml/2006/main" count="87" uniqueCount="76">
  <si>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</si>
  <si>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</si>
  <si>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</si>
  <si>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</si>
  <si>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</si>
  <si>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</si>
  <si>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</si>
  <si>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</si>
  <si>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</si>
  <si>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</si>
  <si>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</si>
  <si>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</si>
  <si>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</si>
  <si>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</si>
  <si>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</si>
  <si>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</si>
  <si>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</si>
  <si>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</si>
  <si>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</si>
  <si>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</si>
  <si>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</si>
  <si>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</si>
  <si>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</si>
  <si>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</si>
  <si>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</si>
  <si>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</si>
  <si>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</si>
  <si>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</si>
  <si>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</si>
  <si>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</si>
  <si>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</si>
  <si>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</si>
  <si>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</si>
  <si>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</si>
  <si>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</si>
  <si>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</si>
  <si>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</si>
  <si>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</si>
  <si>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</si>
  <si>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</si>
  <si>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</si>
  <si>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</si>
  <si>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</si>
  <si>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</si>
  <si>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</si>
  <si>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</si>
  <si>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</si>
  <si>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</si>
  <si>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</si>
  <si>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</si>
  <si>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</si>
  <si>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</si>
  <si>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TOUS NOS PRODUITS SONT CONFORMES AUX NORMES DE SÉCURITÉ "CEE"  ET PRESENTENT LE CERTIFICAT DE CONFORMITE</t>
  </si>
  <si>
    <t>Nom:</t>
  </si>
  <si>
    <t>Adresse:</t>
  </si>
  <si>
    <t>Code postal:</t>
  </si>
  <si>
    <t>Téléphone:</t>
  </si>
  <si>
    <t>Comptant</t>
  </si>
  <si>
    <t>Chèque</t>
  </si>
  <si>
    <t>TN</t>
  </si>
  <si>
    <t>RIB: 10 000 000 080746 3788 95</t>
  </si>
  <si>
    <t>STB THAMEUR</t>
  </si>
  <si>
    <t>RC:B161701999  MF:645 267 KMA 000</t>
  </si>
  <si>
    <t>SIGNATURE :</t>
  </si>
  <si>
    <t xml:space="preserve">N° Commande </t>
  </si>
  <si>
    <t>MF</t>
  </si>
  <si>
    <t xml:space="preserve">COGEF PLUS </t>
  </si>
  <si>
    <t xml:space="preserve">MR AHMED </t>
  </si>
  <si>
    <t>764907H/A/M/000</t>
  </si>
  <si>
    <t>CONTRÔLE DE CONFORMITE :</t>
  </si>
  <si>
    <t xml:space="preserve">Harnais </t>
  </si>
  <si>
    <t xml:space="preserve">Longe double </t>
  </si>
  <si>
    <t xml:space="preserve">Longe de maintien </t>
  </si>
  <si>
    <t xml:space="preserve">POUR CHAQUE EPI CONTRÔLE UN RAPPORT SERA REDIGE ET TRANSMIS </t>
  </si>
  <si>
    <t xml:space="preserve">IL CONVIENDRA DE CONSERVER CE RAPPORT DANS UN REGISTRE DE SECURITE </t>
  </si>
  <si>
    <t>DEVIS  N° 2022-4871</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</si>
</sst>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49"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b/>
      <sz val="20"/>
      <name val="Times New Roman"/>
      <family val="1"/>
    </font>
    <font>
      <b/>
      <sz val="28"/>
      <name val="Arial"/>
      <family val="2"/>
    </font>
    <font>
      <b/>
      <sz val="28"/>
      <color indexed="8"/>
      <name val="Arial"/>
      <family val="2"/>
    </font>
    <font>
      <sz val="28"/>
      <color indexed="8"/>
      <name val="Arial"/>
      <family val="2"/>
    </font>
    <font>
      <sz val="24"/>
      <name val="Arial"/>
      <family val="2"/>
    </font>
    <font>
      <u/>
      <sz val="24"/>
      <name val="Arial"/>
      <family val="2"/>
    </font>
    <font>
      <b/>
      <sz val="20"/>
      <name val="Arial"/>
      <family val="2"/>
    </font>
    <font>
      <b/>
      <sz val="16"/>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sz val="20"/>
      <color rgb="FF000000"/>
      <name val="Arial"/>
      <family val="2"/>
    </font>
    <font>
      <b/>
      <sz val="22"/>
      <name val="Arial"/>
      <family val="2"/>
    </font>
    <font>
      <b/>
      <sz val="18"/>
      <name val="Arial"/>
      <family val="2"/>
    </font>
    <font>
      <b/>
      <sz val="24"/>
      <name val="Arial"/>
      <family val="2"/>
    </font>
    <font>
      <b/>
      <u/>
      <sz val="24"/>
      <color theme="3" tint="0.39997558519241921"/>
      <name val="Times New Roman"/>
      <family val="1"/>
    </font>
    <font>
      <b/>
      <sz val="16"/>
      <color theme="1"/>
      <name val="Arial"/>
      <family val="2"/>
    </font>
    <font>
      <sz val="22"/>
      <name val="Arial"/>
      <family val="2"/>
    </font>
    <font>
      <sz val="12"/>
      <color rgb="FFFF0000"/>
      <name val="Arial"/>
      <family val="2"/>
    </font>
    <font>
      <sz val="20"/>
      <color theme="1"/>
      <name val="Arial"/>
      <family val="2"/>
    </font>
    <font>
      <b/>
      <u/>
      <sz val="14"/>
      <color rgb="FFFF0000"/>
      <name val="Arial"/>
      <family val="2"/>
    </font>
    <font>
      <u/>
      <sz val="14"/>
      <color theme="1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4">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hair">
        <color indexed="64"/>
      </left>
      <right style="hair">
        <color indexed="64"/>
      </right>
      <top/>
      <bottom style="thin">
        <color indexed="64"/>
      </bottom>
      <diagonal/>
    </border>
    <border>
      <left/>
      <right style="hair">
        <color indexed="64"/>
      </right>
      <top style="hair">
        <color indexed="64"/>
      </top>
      <bottom/>
      <diagonal/>
    </border>
    <border>
      <left/>
      <right/>
      <top/>
      <bottom style="thin">
        <color indexed="64"/>
      </bottom>
      <diagonal/>
    </border>
    <border>
      <left/>
      <right style="hair">
        <color indexed="64"/>
      </right>
      <top/>
      <bottom style="thin">
        <color indexed="64"/>
      </bottom>
      <diagonal/>
    </border>
    <border>
      <left/>
      <right/>
      <top style="hair">
        <color indexed="64"/>
      </top>
      <bottom/>
      <diagonal/>
    </border>
    <border>
      <left/>
      <right/>
      <top/>
      <bottom style="hair">
        <color indexed="64"/>
      </bottom>
      <diagonal/>
    </border>
    <border>
      <left style="hair">
        <color indexed="64"/>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36" fillId="2" borderId="0" applyNumberFormat="0" applyFill="0" applyBorder="0" applyAlignment="0" applyProtection="0"/>
  </cellStyleXfs>
  <cellXfs count="190">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quotePrefix="1" applyFont="1" applyFill="1" applyBorder="1" applyAlignment="1">
      <alignment horizontal="right"/>
    </xf>
    <xf numFmtId="0" fontId="18" fillId="0" borderId="0" xfId="0" applyFont="1" applyFill="1"/>
    <xf numFmtId="167" fontId="4" fillId="0" borderId="0" xfId="0" applyNumberFormat="1" applyFont="1" applyFill="1" applyBorder="1"/>
    <xf numFmtId="0" fontId="4" fillId="0" borderId="0" xfId="0" applyFont="1" applyFill="1" applyBorder="1" applyAlignment="1">
      <alignment vertical="top"/>
    </xf>
    <xf numFmtId="9" fontId="19" fillId="0" borderId="0" xfId="0" applyNumberFormat="1" applyFont="1" applyFill="1" applyBorder="1"/>
    <xf numFmtId="0" fontId="18" fillId="0" borderId="0" xfId="0" quotePrefix="1" applyFont="1" applyFill="1" applyBorder="1"/>
    <xf numFmtId="0" fontId="21"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0" xfId="0" applyFont="1" applyFill="1" applyBorder="1" applyAlignment="1">
      <alignment horizontal="center"/>
    </xf>
    <xf numFmtId="0" fontId="21" fillId="3" borderId="32"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167" fontId="23" fillId="0" borderId="0" xfId="0" quotePrefix="1" applyNumberFormat="1" applyFont="1" applyFill="1" applyBorder="1"/>
    <xf numFmtId="0" fontId="23" fillId="0" borderId="0" xfId="0" applyFont="1" applyFill="1" applyBorder="1" applyAlignment="1">
      <alignment horizontal="left"/>
    </xf>
    <xf numFmtId="0" fontId="23" fillId="3" borderId="0" xfId="0" applyFont="1" applyFill="1" applyBorder="1" applyAlignment="1">
      <alignment horizontal="left"/>
    </xf>
    <xf numFmtId="167" fontId="23" fillId="3" borderId="0" xfId="0" applyNumberFormat="1" applyFont="1" applyFill="1" applyBorder="1"/>
    <xf numFmtId="0" fontId="23" fillId="3" borderId="0" xfId="0" applyFont="1" applyFill="1" applyBorder="1" applyAlignment="1">
      <alignment vertical="top"/>
    </xf>
    <xf numFmtId="0" fontId="23" fillId="0" borderId="0" xfId="0" applyFont="1" applyFill="1"/>
    <xf numFmtId="167" fontId="23" fillId="3" borderId="0" xfId="0" quotePrefix="1" applyNumberFormat="1" applyFont="1" applyFill="1" applyBorder="1" applyAlignment="1">
      <alignment horizontal="center"/>
    </xf>
    <xf numFmtId="0" fontId="25" fillId="0" borderId="0" xfId="0" applyFont="1" applyFill="1" applyBorder="1" applyAlignment="1">
      <alignment horizontal="right"/>
    </xf>
    <xf numFmtId="1" fontId="28" fillId="0" borderId="29" xfId="0" applyNumberFormat="1" applyFont="1" applyFill="1" applyBorder="1" applyAlignment="1">
      <alignment horizontal="center"/>
    </xf>
    <xf numFmtId="168" fontId="28" fillId="0" borderId="29" xfId="0" applyNumberFormat="1" applyFont="1" applyFill="1" applyBorder="1" applyAlignment="1">
      <alignment shrinkToFit="1"/>
    </xf>
    <xf numFmtId="168" fontId="28" fillId="0" borderId="29" xfId="0" applyNumberFormat="1" applyFont="1" applyFill="1" applyBorder="1" applyAlignment="1"/>
    <xf numFmtId="0" fontId="30" fillId="3" borderId="0" xfId="0" applyFont="1" applyFill="1" applyBorder="1"/>
    <xf numFmtId="0" fontId="18" fillId="6" borderId="0" xfId="0" applyFont="1" applyFill="1" applyBorder="1" applyAlignment="1">
      <alignment vertical="top"/>
    </xf>
    <xf numFmtId="0" fontId="21" fillId="3" borderId="0" xfId="0" applyFont="1" applyFill="1" applyBorder="1"/>
    <xf numFmtId="168" fontId="30" fillId="0" borderId="29" xfId="0" applyNumberFormat="1" applyFont="1" applyFill="1" applyBorder="1" applyAlignment="1">
      <alignment horizontal="center" vertical="center" shrinkToFit="1"/>
    </xf>
    <xf numFmtId="0" fontId="31" fillId="0" borderId="0" xfId="0" applyFont="1" applyFill="1" applyBorder="1"/>
    <xf numFmtId="0" fontId="34" fillId="0" borderId="0" xfId="0" applyFont="1" applyFill="1" applyBorder="1" applyAlignment="1">
      <alignment wrapText="1"/>
    </xf>
    <xf numFmtId="0" fontId="33" fillId="6" borderId="0" xfId="0" applyFont="1" applyFill="1" applyBorder="1" applyAlignment="1">
      <alignment horizontal="left" vertical="center" wrapText="1"/>
    </xf>
    <xf numFmtId="49" fontId="32" fillId="0" borderId="28" xfId="0" applyNumberFormat="1" applyFont="1" applyFill="1" applyBorder="1" applyAlignment="1"/>
    <xf numFmtId="0" fontId="4" fillId="0" borderId="0" xfId="0" applyFont="1" applyFill="1" applyBorder="1" applyAlignment="1"/>
    <xf numFmtId="0" fontId="0" fillId="0" borderId="0" xfId="0"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29" fillId="6" borderId="0" xfId="0" applyNumberFormat="1" applyFont="1" applyFill="1" applyBorder="1" applyAlignment="1"/>
    <xf numFmtId="0" fontId="5" fillId="6" borderId="39" xfId="0" applyFont="1" applyFill="1" applyBorder="1" applyAlignment="1">
      <alignment horizontal="center" vertical="center"/>
    </xf>
    <xf numFmtId="0" fontId="0" fillId="6" borderId="0" xfId="0" applyFill="1" applyBorder="1"/>
    <xf numFmtId="0" fontId="30" fillId="0" borderId="0" xfId="0" applyFont="1" applyFill="1" applyBorder="1" applyAlignment="1">
      <alignment horizontal="left"/>
    </xf>
    <xf numFmtId="0" fontId="18" fillId="6" borderId="0" xfId="0" applyFont="1" applyFill="1" applyAlignment="1">
      <alignment vertical="top"/>
    </xf>
    <xf numFmtId="0" fontId="18" fillId="6" borderId="49"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49" fontId="36" fillId="0" borderId="48" xfId="5" applyNumberFormat="1" applyFill="1" applyBorder="1" applyAlignment="1"/>
    <xf numFmtId="49" fontId="36" fillId="0" borderId="45" xfId="5" applyNumberFormat="1" applyFill="1" applyBorder="1" applyAlignment="1"/>
    <xf numFmtId="49" fontId="36" fillId="0" borderId="0" xfId="5" applyNumberFormat="1" applyFill="1" applyBorder="1" applyAlignment="1"/>
    <xf numFmtId="49" fontId="36" fillId="0" borderId="38" xfId="5" applyNumberFormat="1" applyFill="1" applyBorder="1" applyAlignment="1"/>
    <xf numFmtId="0" fontId="0" fillId="6" borderId="0" xfId="0" applyFill="1"/>
    <xf numFmtId="168" fontId="27" fillId="0" borderId="0" xfId="0" applyNumberFormat="1" applyFont="1" applyFill="1" applyBorder="1" applyAlignment="1">
      <alignment shrinkToFit="1"/>
    </xf>
    <xf numFmtId="0" fontId="23" fillId="0" borderId="28" xfId="0" applyFont="1" applyFill="1" applyBorder="1" applyAlignment="1">
      <alignment horizontal="center"/>
    </xf>
    <xf numFmtId="1" fontId="32" fillId="0" borderId="29" xfId="0" applyNumberFormat="1" applyFont="1" applyFill="1" applyBorder="1" applyAlignment="1">
      <alignment horizontal="center"/>
    </xf>
    <xf numFmtId="0" fontId="37" fillId="6" borderId="0" xfId="0" applyFont="1" applyFill="1" applyBorder="1" applyAlignment="1">
      <alignment vertical="top"/>
    </xf>
    <xf numFmtId="0" fontId="34" fillId="0" borderId="0" xfId="0" applyFont="1" applyFill="1" applyBorder="1"/>
    <xf numFmtId="0" fontId="38" fillId="6" borderId="0" xfId="0" applyFont="1" applyFill="1"/>
    <xf numFmtId="0" fontId="40" fillId="3" borderId="0" xfId="0" applyFont="1" applyFill="1" applyBorder="1" applyAlignment="1">
      <alignment horizontal="left"/>
    </xf>
    <xf numFmtId="49" fontId="31" fillId="3" borderId="33" xfId="0" applyNumberFormat="1" applyFont="1" applyFill="1" applyBorder="1" applyAlignment="1">
      <alignment horizontal="left"/>
    </xf>
    <xf numFmtId="0" fontId="40" fillId="3" borderId="34" xfId="0" applyFont="1" applyFill="1" applyBorder="1" applyAlignment="1">
      <alignment horizontal="left"/>
    </xf>
    <xf numFmtId="0" fontId="40" fillId="3" borderId="34" xfId="0" applyFont="1" applyFill="1" applyBorder="1" applyAlignment="1"/>
    <xf numFmtId="0" fontId="39" fillId="3" borderId="34" xfId="0" applyFont="1" applyFill="1" applyBorder="1" applyAlignment="1"/>
    <xf numFmtId="0" fontId="23" fillId="0" borderId="50" xfId="0" applyFont="1" applyFill="1" applyBorder="1" applyAlignment="1">
      <alignment horizontal="center"/>
    </xf>
    <xf numFmtId="49" fontId="36" fillId="0" borderId="46" xfId="5" applyNumberFormat="1" applyFill="1" applyBorder="1" applyAlignment="1"/>
    <xf numFmtId="49" fontId="36" fillId="0" borderId="47" xfId="5" applyNumberFormat="1" applyFill="1" applyBorder="1" applyAlignment="1"/>
    <xf numFmtId="0" fontId="21" fillId="3" borderId="0" xfId="0" applyFont="1" applyFill="1" applyBorder="1" applyAlignment="1"/>
    <xf numFmtId="0" fontId="21" fillId="3" borderId="38" xfId="0" applyFont="1" applyFill="1" applyBorder="1" applyAlignment="1"/>
    <xf numFmtId="49" fontId="34" fillId="0" borderId="0" xfId="0" applyNumberFormat="1" applyFont="1" applyFill="1" applyBorder="1" applyAlignment="1"/>
    <xf numFmtId="49" fontId="34" fillId="0" borderId="38" xfId="0" applyNumberFormat="1" applyFont="1" applyFill="1" applyBorder="1" applyAlignment="1"/>
    <xf numFmtId="1" fontId="41" fillId="0" borderId="29" xfId="0" applyNumberFormat="1" applyFont="1" applyFill="1" applyBorder="1" applyAlignment="1">
      <alignment horizontal="center"/>
    </xf>
    <xf numFmtId="0" fontId="13" fillId="3" borderId="35" xfId="0" applyFont="1" applyFill="1" applyBorder="1" applyAlignment="1"/>
    <xf numFmtId="0" fontId="0" fillId="2" borderId="35"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6" xfId="0" applyNumberFormat="1" applyFill="1" applyBorder="1" applyAlignment="1"/>
    <xf numFmtId="0" fontId="0" fillId="2" borderId="37" xfId="0" applyBorder="1" applyAlignment="1"/>
    <xf numFmtId="0" fontId="20" fillId="0" borderId="0" xfId="0" applyFont="1" applyFill="1" applyBorder="1" applyAlignment="1">
      <alignment horizontal="center" vertical="center" wrapText="1"/>
    </xf>
    <xf numFmtId="14" fontId="18" fillId="0" borderId="0" xfId="0" applyNumberFormat="1" applyFont="1" applyFill="1" applyBorder="1" applyAlignment="1"/>
    <xf numFmtId="0" fontId="40" fillId="3" borderId="34" xfId="0" applyFont="1" applyFill="1" applyBorder="1" applyAlignment="1">
      <alignment horizontal="left"/>
    </xf>
    <xf numFmtId="0" fontId="21" fillId="3" borderId="30" xfId="0" applyFont="1" applyFill="1" applyBorder="1" applyAlignment="1"/>
    <xf numFmtId="0" fontId="21" fillId="3" borderId="31" xfId="0" applyFont="1" applyFill="1" applyBorder="1" applyAlignment="1"/>
    <xf numFmtId="0" fontId="21" fillId="3" borderId="43" xfId="0" applyFont="1" applyFill="1" applyBorder="1" applyAlignment="1"/>
    <xf numFmtId="0" fontId="2" fillId="3" borderId="0" xfId="0" applyFont="1" applyFill="1" applyBorder="1" applyAlignment="1">
      <alignment shrinkToFit="1"/>
    </xf>
    <xf numFmtId="49" fontId="40" fillId="3" borderId="34" xfId="0" applyNumberFormat="1" applyFont="1" applyFill="1" applyBorder="1" applyAlignment="1">
      <alignment horizontal="center"/>
    </xf>
    <xf numFmtId="0" fontId="24" fillId="3" borderId="40" xfId="0" applyFont="1" applyFill="1" applyBorder="1" applyAlignment="1">
      <alignment horizontal="center" vertical="center" wrapText="1" shrinkToFit="1"/>
    </xf>
    <xf numFmtId="0" fontId="24" fillId="3" borderId="41" xfId="0" applyFont="1" applyFill="1" applyBorder="1" applyAlignment="1">
      <alignment horizontal="center" vertical="center" wrapText="1" shrinkToFit="1"/>
    </xf>
    <xf numFmtId="0" fontId="24" fillId="3" borderId="42" xfId="0" applyFont="1" applyFill="1" applyBorder="1" applyAlignment="1">
      <alignment horizontal="center" vertical="center" wrapText="1" shrinkToFit="1"/>
    </xf>
    <xf numFmtId="14" fontId="31" fillId="3" borderId="33" xfId="0" applyNumberFormat="1" applyFont="1" applyFill="1" applyBorder="1" applyAlignment="1">
      <alignment horizontal="left"/>
    </xf>
    <xf numFmtId="14" fontId="31" fillId="3" borderId="33" xfId="0" quotePrefix="1" applyNumberFormat="1" applyFont="1" applyFill="1" applyBorder="1" applyAlignment="1">
      <alignment horizontal="left"/>
    </xf>
    <xf numFmtId="0" fontId="19" fillId="3" borderId="34" xfId="0" applyFont="1" applyFill="1" applyBorder="1" applyAlignment="1">
      <alignment horizontal="left"/>
    </xf>
    <xf numFmtId="0" fontId="31" fillId="3" borderId="34" xfId="0" applyFont="1" applyFill="1" applyBorder="1" applyAlignment="1">
      <alignment horizontal="left"/>
    </xf>
    <xf numFmtId="49" fontId="42" fillId="3" borderId="28" xfId="0" applyNumberFormat="1" applyFont="1" applyFill="1" applyBorder="1" applyAlignment="1"/>
    <xf numFmtId="49" fontId="43" fillId="0" borderId="28" xfId="0" applyNumberFormat="1" applyFont="1" applyFill="1" applyBorder="1" applyAlignment="1"/>
    <xf numFmtId="49" fontId="31" fillId="0" borderId="28" xfId="0" applyNumberFormat="1" applyFont="1" applyFill="1" applyBorder="1" applyAlignment="1"/>
    <xf numFmtId="1" fontId="44" fillId="0" borderId="29" xfId="0" applyNumberFormat="1" applyFont="1" applyFill="1" applyBorder="1" applyAlignment="1">
      <alignment horizontal="center"/>
    </xf>
    <xf numFmtId="49" fontId="45" fillId="0" borderId="28" xfId="0" applyNumberFormat="1" applyFont="1" applyFill="1" applyBorder="1" applyAlignment="1"/>
    <xf numFmtId="49" fontId="46" fillId="0" borderId="28" xfId="0" applyNumberFormat="1" applyFont="1" applyFill="1" applyBorder="1" applyAlignment="1"/>
    <xf numFmtId="1" fontId="21" fillId="0" borderId="29" xfId="0" applyNumberFormat="1" applyFont="1" applyFill="1" applyBorder="1" applyAlignment="1">
      <alignment horizontal="center"/>
    </xf>
    <xf numFmtId="49" fontId="47" fillId="0" borderId="28" xfId="0" applyNumberFormat="1" applyFont="1" applyFill="1" applyBorder="1" applyAlignment="1"/>
    <xf numFmtId="49" fontId="48" fillId="0" borderId="0" xfId="5" applyNumberFormat="1" applyFont="1" applyFill="1" applyBorder="1" applyAlignment="1"/>
    <xf numFmtId="49" fontId="48" fillId="0" borderId="38" xfId="5" applyNumberFormat="1" applyFont="1" applyFill="1" applyBorder="1" applyAlignment="1"/>
    <xf numFmtId="168" fontId="23" fillId="0" borderId="29" xfId="0" applyNumberFormat="1" applyFont="1" applyFill="1" applyBorder="1" applyAlignment="1"/>
    <xf numFmtId="168" fontId="21" fillId="0" borderId="29" xfId="0" applyNumberFormat="1" applyFont="1" applyFill="1" applyBorder="1" applyAlignment="1">
      <alignment horizontal="center" vertical="center" shrinkToFit="1"/>
    </xf>
    <xf numFmtId="0" fontId="25" fillId="0" borderId="52" xfId="0" quotePrefix="1" applyFont="1" applyFill="1" applyBorder="1" applyAlignment="1">
      <alignment horizontal="right"/>
    </xf>
    <xf numFmtId="0" fontId="25" fillId="0" borderId="52" xfId="0" applyFont="1" applyFill="1" applyBorder="1" applyAlignment="1">
      <alignment horizontal="right"/>
    </xf>
    <xf numFmtId="10" fontId="25" fillId="0" borderId="52" xfId="0" quotePrefix="1" applyNumberFormat="1" applyFont="1" applyFill="1" applyBorder="1" applyAlignment="1">
      <alignment horizontal="center"/>
    </xf>
    <xf numFmtId="168" fontId="26" fillId="0" borderId="51" xfId="0" applyNumberFormat="1" applyFont="1" applyFill="1" applyBorder="1" applyAlignment="1">
      <alignment shrinkToFit="1"/>
    </xf>
    <xf numFmtId="1" fontId="44" fillId="0" borderId="44" xfId="0" applyNumberFormat="1" applyFont="1" applyFill="1" applyBorder="1" applyAlignment="1">
      <alignment horizontal="center"/>
    </xf>
    <xf numFmtId="49" fontId="40" fillId="0" borderId="50" xfId="5" applyNumberFormat="1" applyFont="1" applyFill="1" applyBorder="1" applyAlignment="1"/>
    <xf numFmtId="0" fontId="4" fillId="6" borderId="53" xfId="0" applyFont="1" applyFill="1" applyBorder="1"/>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48</xdr:row>
          <xdr:rowOff>114300</xdr:rowOff>
        </xdr:from>
        <xdr:to>
          <xdr:col>3</xdr:col>
          <xdr:colOff>1838325</xdr:colOff>
          <xdr:row>48</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47</xdr:row>
          <xdr:rowOff>95250</xdr:rowOff>
        </xdr:from>
        <xdr:to>
          <xdr:col>3</xdr:col>
          <xdr:colOff>1885950</xdr:colOff>
          <xdr:row>47</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3</xdr:row>
      <xdr:rowOff>47624</xdr:rowOff>
    </xdr:from>
    <xdr:to>
      <xdr:col>7</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301624"/>
          <a:ext cx="4794250" cy="1412875"/>
        </a:xfrm>
        <a:prstGeom prst="rect">
          <a:avLst/>
        </a:prstGeom>
        <a:noFill/>
        <a:ln>
          <a:noFill/>
        </a:ln>
      </xdr:spPr>
    </xdr:pic>
    <xdr:clientData/>
  </xdr:twoCellAnchor>
  <xdr:twoCellAnchor editAs="oneCell">
    <xdr:from>
      <xdr:col>7</xdr:col>
      <xdr:colOff>476249</xdr:colOff>
      <xdr:row>3</xdr:row>
      <xdr:rowOff>190499</xdr:rowOff>
    </xdr:from>
    <xdr:to>
      <xdr:col>13</xdr:col>
      <xdr:colOff>63500</xdr:colOff>
      <xdr:row>15</xdr:row>
      <xdr:rowOff>79374</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206999" y="444499"/>
          <a:ext cx="8270876" cy="1952625"/>
        </a:xfrm>
        <a:prstGeom prst="rect">
          <a:avLst/>
        </a:prstGeom>
      </xdr:spPr>
    </xdr:pic>
    <xdr:clientData/>
  </xdr:twoCellAnchor>
  <xdr:twoCellAnchor>
    <xdr:from>
      <xdr:col>11</xdr:col>
      <xdr:colOff>0</xdr:colOff>
      <xdr:row>21</xdr:row>
      <xdr:rowOff>0</xdr:rowOff>
    </xdr:from>
    <xdr:to>
      <xdr:col>13</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omments" Target="../comments2.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49" t="s">
        <v>0</v>
      </c>
      <c r="E4" s="150"/>
      <c r="F4" s="150"/>
      <c r="G4" s="3"/>
      <c r="H4" s="3"/>
      <c r="I4" s="3"/>
      <c r="J4" s="9"/>
    </row>
    <row r="5" spans="2:10" ht="3" customHeight="1" thickTop="1" x14ac:dyDescent="0.2">
      <c r="B5" s="2"/>
      <c r="C5" s="53"/>
      <c r="D5" s="53"/>
      <c r="E5" s="53"/>
      <c r="F5" s="53"/>
      <c r="G5" s="53"/>
      <c r="H5" s="53"/>
      <c r="I5" s="53"/>
      <c r="J5" s="1"/>
    </row>
    <row r="6" spans="2:10" ht="12.75" customHeight="1" x14ac:dyDescent="0.3">
      <c r="B6" s="7"/>
      <c r="C6" s="3"/>
      <c r="D6" s="20"/>
      <c r="E6" s="3"/>
      <c r="F6" s="3"/>
      <c r="G6" s="3"/>
      <c r="H6" s="3"/>
      <c r="I6" s="3"/>
      <c r="J6" s="9"/>
    </row>
    <row r="7" spans="2:10" x14ac:dyDescent="0.2">
      <c r="B7" s="7"/>
      <c r="C7" s="3"/>
      <c r="D7" s="3"/>
      <c r="E7" s="3"/>
      <c r="F7" s="3"/>
      <c r="G7" s="59" t="s">
        <v>45</v>
      </c>
      <c r="H7" s="3"/>
      <c r="I7" s="3"/>
      <c r="J7" s="9"/>
    </row>
    <row r="8" spans="2:10" x14ac:dyDescent="0.2">
      <c r="B8" s="7"/>
      <c r="C8" s="3"/>
      <c r="D8" s="3"/>
      <c r="E8" s="3"/>
      <c r="F8" s="3"/>
      <c r="G8" s="59" t="s">
        <v>1</v>
      </c>
      <c r="H8" s="3"/>
      <c r="I8" s="3"/>
      <c r="J8" s="9"/>
    </row>
    <row r="9" spans="2:10" x14ac:dyDescent="0.2">
      <c r="B9" s="7"/>
      <c r="C9" s="3"/>
      <c r="D9" s="21"/>
      <c r="E9" s="3"/>
      <c r="F9" s="3"/>
      <c r="G9" s="43"/>
      <c r="H9" s="3"/>
      <c r="I9" s="3"/>
      <c r="J9" s="9"/>
    </row>
    <row r="10" spans="2:10" ht="13.5" thickBot="1" x14ac:dyDescent="0.25">
      <c r="B10" s="7"/>
      <c r="C10" s="3"/>
      <c r="D10" s="151" t="s">
        <v>2</v>
      </c>
      <c r="E10" s="152"/>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49</v>
      </c>
      <c r="F12" s="60" t="s">
        <v>4</v>
      </c>
      <c r="G12" s="17"/>
      <c r="H12" s="26"/>
      <c r="I12" s="3"/>
      <c r="J12" s="9"/>
    </row>
    <row r="13" spans="2:10" ht="13.5" thickBot="1" x14ac:dyDescent="0.25">
      <c r="B13" s="7"/>
      <c r="C13" s="3"/>
      <c r="D13" s="33" t="s">
        <v>5</v>
      </c>
      <c r="E13" s="14" t="s">
        <v>48</v>
      </c>
      <c r="F13" s="60" t="s">
        <v>6</v>
      </c>
      <c r="G13" s="18"/>
      <c r="H13" s="26"/>
      <c r="I13" s="3"/>
      <c r="J13" s="9"/>
    </row>
    <row r="14" spans="2:10" x14ac:dyDescent="0.2">
      <c r="B14" s="7"/>
      <c r="C14" s="3"/>
      <c r="D14" s="33" t="s">
        <v>7</v>
      </c>
      <c r="E14" s="15" t="s">
        <v>50</v>
      </c>
      <c r="F14" s="27"/>
      <c r="G14" s="28"/>
      <c r="H14" s="26"/>
      <c r="I14" s="3"/>
      <c r="J14" s="9"/>
    </row>
    <row r="15" spans="2:10" x14ac:dyDescent="0.2">
      <c r="B15" s="7"/>
      <c r="C15" s="3"/>
      <c r="D15" s="33" t="s">
        <v>8</v>
      </c>
      <c r="E15" s="14" t="s">
        <v>51</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53" t="s">
        <v>46</v>
      </c>
      <c r="E19" s="152"/>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34</v>
      </c>
      <c r="F21" s="34"/>
      <c r="G21" s="42" t="s">
        <v>10</v>
      </c>
      <c r="H21" s="26"/>
      <c r="I21" s="3"/>
      <c r="J21" s="9"/>
    </row>
    <row r="22" spans="2:10" x14ac:dyDescent="0.2">
      <c r="B22" s="7"/>
      <c r="C22" s="3"/>
      <c r="D22" s="33">
        <v>1</v>
      </c>
      <c r="E22" s="67">
        <v>0.1</v>
      </c>
      <c r="F22" s="34"/>
      <c r="G22" s="37"/>
      <c r="H22" s="26"/>
      <c r="I22" s="3"/>
      <c r="J22" s="9"/>
    </row>
    <row r="23" spans="2:10" x14ac:dyDescent="0.2">
      <c r="B23" s="7"/>
      <c r="C23" s="3"/>
      <c r="D23" s="35">
        <v>2</v>
      </c>
      <c r="E23" s="61">
        <v>0.18</v>
      </c>
      <c r="F23" s="34"/>
      <c r="G23" s="38"/>
      <c r="H23" s="26"/>
      <c r="I23" s="3"/>
      <c r="J23" s="9"/>
    </row>
    <row r="24" spans="2:10" ht="13.5" thickBot="1" x14ac:dyDescent="0.25">
      <c r="B24" s="7"/>
      <c r="C24" s="3"/>
      <c r="D24" s="35">
        <v>3</v>
      </c>
      <c r="E24" s="57">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47</v>
      </c>
      <c r="G27" s="68">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6"/>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54" t="str">
        <f>LOWER(TemplateInformation!B3)</f>
        <v>c:\program files\microsoft office\office\macrolib\factbd.xls</v>
      </c>
      <c r="G33" s="155"/>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51" t="s">
        <v>16</v>
      </c>
      <c r="E36" s="152"/>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0"/>
      <c r="G38" s="46"/>
      <c r="H38" s="47"/>
      <c r="I38" s="55"/>
      <c r="J38" s="22"/>
    </row>
    <row r="39" spans="2:10" ht="14.25" x14ac:dyDescent="0.2">
      <c r="B39" s="7"/>
      <c r="C39" s="3"/>
      <c r="D39" s="45"/>
      <c r="E39" s="46"/>
      <c r="F39" s="48"/>
      <c r="G39" s="46"/>
      <c r="H39" s="47"/>
      <c r="I39" s="55"/>
      <c r="J39" s="22"/>
    </row>
    <row r="40" spans="2:10" ht="14.25" x14ac:dyDescent="0.2">
      <c r="B40" s="7"/>
      <c r="C40" s="3"/>
      <c r="D40" s="45"/>
      <c r="E40" s="46"/>
      <c r="F40" s="46"/>
      <c r="G40" s="46"/>
      <c r="H40" s="47"/>
      <c r="I40" s="55"/>
      <c r="J40" s="22"/>
    </row>
    <row r="41" spans="2:10" ht="14.25" x14ac:dyDescent="0.2">
      <c r="B41" s="7"/>
      <c r="C41" s="3"/>
      <c r="D41" s="45"/>
      <c r="E41" s="46"/>
      <c r="F41" s="46"/>
      <c r="G41" s="46"/>
      <c r="H41" s="47"/>
      <c r="I41" s="55"/>
      <c r="J41" s="22"/>
    </row>
    <row r="42" spans="2:10" ht="20.100000000000001" customHeight="1" x14ac:dyDescent="0.2">
      <c r="B42" s="7"/>
      <c r="C42" s="3"/>
      <c r="D42" s="45"/>
      <c r="E42" s="46"/>
      <c r="F42" s="46"/>
      <c r="G42" s="46"/>
      <c r="H42" s="47"/>
      <c r="I42" s="55"/>
      <c r="J42" s="22"/>
    </row>
    <row r="43" spans="2:10" ht="14.25" x14ac:dyDescent="0.2">
      <c r="B43" s="7"/>
      <c r="C43" s="3"/>
      <c r="D43" s="45"/>
      <c r="E43" s="46"/>
      <c r="F43" s="46"/>
      <c r="G43" s="46"/>
      <c r="H43" s="47"/>
      <c r="I43" s="55"/>
      <c r="J43" s="22"/>
    </row>
    <row r="44" spans="2:10" ht="26.25" customHeight="1" thickBot="1" x14ac:dyDescent="0.25">
      <c r="B44" s="7"/>
      <c r="C44" s="3"/>
      <c r="D44" s="49"/>
      <c r="E44" s="50"/>
      <c r="F44" s="50"/>
      <c r="G44" s="50"/>
      <c r="H44" s="51"/>
      <c r="I44" s="55"/>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58">
        <v>0</v>
      </c>
    </row>
    <row r="49" spans="5:5" x14ac:dyDescent="0.2">
      <c r="E49" s="58" t="b">
        <v>0</v>
      </c>
    </row>
    <row r="50" spans="5:5" x14ac:dyDescent="0.2">
      <c r="E50" s="58" t="b">
        <v>0</v>
      </c>
    </row>
    <row r="51" spans="5:5" x14ac:dyDescent="0.2">
      <c r="E51" s="58" t="s">
        <v>17</v>
      </c>
    </row>
    <row r="52" spans="5:5" x14ac:dyDescent="0.2">
      <c r="E52" s="58"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66"/>
  <sheetViews>
    <sheetView showGridLines="0" showRowColHeaders="0" tabSelected="1" topLeftCell="C7" zoomScale="60" zoomScaleNormal="60" workbookViewId="0">
      <selection activeCell="I33" sqref="I33"/>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s>
  <sheetData>
    <row r="1" spans="1:15" ht="6" customHeight="1" thickBot="1" x14ac:dyDescent="0.25">
      <c r="A1" s="72"/>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69"/>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06"/>
      <c r="K9" s="106"/>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04" t="s">
        <v>62</v>
      </c>
      <c r="E18" s="73"/>
      <c r="F18" s="73"/>
      <c r="G18" s="73"/>
      <c r="H18" s="3"/>
      <c r="I18" s="3"/>
      <c r="J18" s="3"/>
      <c r="K18" s="3"/>
      <c r="L18" s="164" t="s">
        <v>75</v>
      </c>
      <c r="M18" s="3"/>
      <c r="N18" s="3"/>
      <c r="O18" s="9"/>
    </row>
    <row r="19" spans="2:15" ht="21.95" customHeight="1" thickTop="1" x14ac:dyDescent="0.3">
      <c r="B19" s="7"/>
      <c r="C19" s="3"/>
      <c r="D19" s="53"/>
      <c r="E19" s="53"/>
      <c r="F19" s="53"/>
      <c r="G19" s="53"/>
      <c r="H19" s="53"/>
      <c r="I19" s="53"/>
      <c r="J19" s="54"/>
      <c r="K19" s="54"/>
      <c r="L19" s="165"/>
      <c r="M19" s="54"/>
      <c r="N19" s="20"/>
      <c r="O19" s="9"/>
    </row>
    <row r="20" spans="2:15" ht="21.95" customHeight="1" thickBot="1" x14ac:dyDescent="0.25">
      <c r="B20" s="7"/>
      <c r="C20" s="3"/>
      <c r="D20" s="3"/>
      <c r="E20" s="3"/>
      <c r="F20" s="3"/>
      <c r="G20" s="3"/>
      <c r="H20" s="3"/>
      <c r="I20" s="3"/>
      <c r="J20" s="3"/>
      <c r="K20" s="3"/>
      <c r="L20" s="166"/>
      <c r="M20" s="3"/>
      <c r="N20" s="3"/>
      <c r="O20" s="9"/>
    </row>
    <row r="21" spans="2:15" ht="13.5" thickTop="1" x14ac:dyDescent="0.2">
      <c r="B21" s="7"/>
      <c r="C21" s="3"/>
      <c r="D21" s="3"/>
      <c r="E21" s="3"/>
      <c r="F21" s="3"/>
      <c r="G21" s="3"/>
      <c r="H21" s="3"/>
      <c r="I21" s="3"/>
      <c r="J21" s="3"/>
      <c r="K21" s="3"/>
      <c r="L21" s="3"/>
      <c r="M21" s="3"/>
      <c r="N21" s="3"/>
      <c r="O21" s="9"/>
    </row>
    <row r="22" spans="2:15" ht="27.75" x14ac:dyDescent="0.4">
      <c r="B22" s="7"/>
      <c r="C22" s="3"/>
      <c r="D22" s="136" t="s">
        <v>53</v>
      </c>
      <c r="E22" s="140" t="s">
        <v>66</v>
      </c>
      <c r="F22" s="140"/>
      <c r="G22" s="139"/>
      <c r="H22" s="139"/>
      <c r="I22" s="158"/>
      <c r="J22" s="158"/>
      <c r="K22" s="138"/>
      <c r="L22" s="136" t="s">
        <v>19</v>
      </c>
      <c r="M22" s="167">
        <v>44860</v>
      </c>
      <c r="N22" s="168"/>
      <c r="O22" s="9"/>
    </row>
    <row r="23" spans="2:15" ht="23.25" x14ac:dyDescent="0.35">
      <c r="B23" s="7"/>
      <c r="C23" s="3"/>
      <c r="D23" s="136" t="s">
        <v>54</v>
      </c>
      <c r="E23" s="139"/>
      <c r="F23" s="139"/>
      <c r="G23" s="139"/>
      <c r="H23" s="139"/>
      <c r="I23" s="139"/>
      <c r="J23" s="139"/>
      <c r="K23" s="138"/>
      <c r="L23" s="136" t="s">
        <v>64</v>
      </c>
      <c r="M23" s="137"/>
      <c r="N23" s="137"/>
      <c r="O23" s="9"/>
    </row>
    <row r="24" spans="2:15" ht="23.25" x14ac:dyDescent="0.35">
      <c r="B24" s="7"/>
      <c r="C24" s="3"/>
      <c r="D24" s="136" t="s">
        <v>55</v>
      </c>
      <c r="E24" s="158"/>
      <c r="F24" s="158"/>
      <c r="G24" s="158"/>
      <c r="H24" s="158"/>
      <c r="I24" s="158" t="s">
        <v>9</v>
      </c>
      <c r="J24" s="158" t="s">
        <v>59</v>
      </c>
      <c r="K24" s="138"/>
      <c r="L24" s="136" t="s">
        <v>20</v>
      </c>
      <c r="M24" s="169" t="s">
        <v>67</v>
      </c>
      <c r="N24" s="169"/>
      <c r="O24" s="9"/>
    </row>
    <row r="25" spans="2:15" ht="23.25" x14ac:dyDescent="0.35">
      <c r="B25" s="7"/>
      <c r="C25" s="3"/>
      <c r="D25" s="136" t="s">
        <v>56</v>
      </c>
      <c r="E25" s="163">
        <v>28273958</v>
      </c>
      <c r="F25" s="163"/>
      <c r="G25" s="139"/>
      <c r="H25" s="139"/>
      <c r="I25" s="139"/>
      <c r="J25" s="139"/>
      <c r="K25" s="138"/>
      <c r="L25" s="136" t="s">
        <v>65</v>
      </c>
      <c r="M25" s="170" t="s">
        <v>68</v>
      </c>
      <c r="N25" s="170"/>
      <c r="O25" s="9"/>
    </row>
    <row r="26" spans="2:15" x14ac:dyDescent="0.2">
      <c r="B26" s="7"/>
      <c r="C26" s="3"/>
      <c r="D26" s="71"/>
      <c r="E26" s="71"/>
      <c r="F26" s="71"/>
      <c r="G26" s="71"/>
      <c r="H26" s="71"/>
      <c r="I26" s="71"/>
      <c r="J26" s="71"/>
      <c r="K26" s="71"/>
      <c r="L26" s="71"/>
      <c r="M26" s="71"/>
      <c r="N26" s="3"/>
      <c r="O26" s="9"/>
    </row>
    <row r="27" spans="2:15" ht="18" x14ac:dyDescent="0.25">
      <c r="B27" s="7"/>
      <c r="C27" s="3"/>
      <c r="D27" s="88" t="s">
        <v>35</v>
      </c>
      <c r="E27" s="88" t="s">
        <v>22</v>
      </c>
      <c r="F27" s="159" t="s">
        <v>23</v>
      </c>
      <c r="G27" s="160"/>
      <c r="H27" s="160"/>
      <c r="I27" s="160"/>
      <c r="J27" s="160"/>
      <c r="K27" s="161"/>
      <c r="L27" s="88" t="s">
        <v>24</v>
      </c>
      <c r="M27" s="89" t="s">
        <v>25</v>
      </c>
      <c r="N27" s="90"/>
      <c r="O27" s="9"/>
    </row>
    <row r="28" spans="2:15" ht="30" x14ac:dyDescent="0.4">
      <c r="B28" s="7"/>
      <c r="C28" s="3"/>
      <c r="D28" s="131"/>
      <c r="E28" s="132"/>
      <c r="F28" s="135"/>
      <c r="G28" s="125"/>
      <c r="H28" s="125"/>
      <c r="I28" s="125"/>
      <c r="J28" s="125"/>
      <c r="K28" s="126"/>
      <c r="L28" s="102"/>
      <c r="M28" s="107"/>
      <c r="N28" s="52"/>
      <c r="O28" s="9"/>
    </row>
    <row r="29" spans="2:15" ht="30" x14ac:dyDescent="0.4">
      <c r="B29" s="7"/>
      <c r="C29" s="3"/>
      <c r="D29" s="131"/>
      <c r="E29" s="132"/>
      <c r="F29" s="171" t="s">
        <v>69</v>
      </c>
      <c r="G29" s="127"/>
      <c r="H29" s="127"/>
      <c r="I29" s="144"/>
      <c r="J29" s="144"/>
      <c r="K29" s="145"/>
      <c r="L29" s="102"/>
      <c r="M29" s="107" t="str">
        <f t="shared" ref="M29:M39" si="0">IF(E29&lt;&gt;"",E29*L29,"")</f>
        <v/>
      </c>
      <c r="N29" s="52"/>
      <c r="O29" s="9"/>
    </row>
    <row r="30" spans="2:15" ht="30" x14ac:dyDescent="0.4">
      <c r="B30" s="7"/>
      <c r="C30" s="3"/>
      <c r="D30" s="131"/>
      <c r="E30" s="132"/>
      <c r="F30" s="172"/>
      <c r="G30" s="127"/>
      <c r="H30" s="127"/>
      <c r="I30" s="144"/>
      <c r="J30" s="144"/>
      <c r="K30" s="145"/>
      <c r="L30" s="102"/>
      <c r="M30" s="107"/>
      <c r="N30" s="52"/>
      <c r="O30" s="9"/>
    </row>
    <row r="31" spans="2:15" ht="30" x14ac:dyDescent="0.4">
      <c r="B31" s="7"/>
      <c r="C31" s="3"/>
      <c r="D31" s="131"/>
      <c r="E31" s="132">
        <v>1</v>
      </c>
      <c r="F31" s="172" t="s">
        <v>70</v>
      </c>
      <c r="G31" s="127"/>
      <c r="H31" s="127"/>
      <c r="I31" s="144"/>
      <c r="J31" s="144"/>
      <c r="K31" s="145"/>
      <c r="L31" s="102">
        <v>30</v>
      </c>
      <c r="M31" s="107">
        <f t="shared" ref="M31:M37" si="1">IF(E31&lt;&gt;"",E31*L31,"")</f>
        <v>30</v>
      </c>
      <c r="N31" s="52"/>
      <c r="O31" s="9"/>
    </row>
    <row r="32" spans="2:15" ht="30" x14ac:dyDescent="0.4">
      <c r="B32" s="7"/>
      <c r="C32" s="3"/>
      <c r="D32" s="131"/>
      <c r="E32" s="132">
        <v>1</v>
      </c>
      <c r="F32" s="173" t="s">
        <v>71</v>
      </c>
      <c r="G32" s="127"/>
      <c r="H32" s="127"/>
      <c r="I32" s="144"/>
      <c r="J32" s="144"/>
      <c r="K32" s="145"/>
      <c r="L32" s="102">
        <v>20</v>
      </c>
      <c r="M32" s="107">
        <f t="shared" si="1"/>
        <v>20</v>
      </c>
      <c r="N32" s="52"/>
      <c r="O32" s="9"/>
    </row>
    <row r="33" spans="2:15" ht="30" x14ac:dyDescent="0.4">
      <c r="B33" s="7"/>
      <c r="C33" s="3"/>
      <c r="D33" s="131"/>
      <c r="E33" s="132">
        <v>1</v>
      </c>
      <c r="F33" s="173" t="s">
        <v>72</v>
      </c>
      <c r="G33" s="127"/>
      <c r="H33" s="127"/>
      <c r="I33" s="144"/>
      <c r="J33" s="144"/>
      <c r="K33" s="145"/>
      <c r="L33" s="102">
        <v>20</v>
      </c>
      <c r="M33" s="107">
        <f t="shared" si="1"/>
        <v>20</v>
      </c>
      <c r="N33" s="52"/>
      <c r="O33" s="9"/>
    </row>
    <row r="34" spans="2:15" ht="30" x14ac:dyDescent="0.4">
      <c r="B34" s="7"/>
      <c r="C34" s="3"/>
      <c r="D34" s="131"/>
      <c r="E34" s="132"/>
      <c r="F34" s="173"/>
      <c r="G34" s="146"/>
      <c r="H34" s="146"/>
      <c r="I34" s="146"/>
      <c r="J34" s="146"/>
      <c r="K34" s="147"/>
      <c r="L34" s="102"/>
      <c r="M34" s="107"/>
      <c r="N34" s="52"/>
      <c r="O34" s="9"/>
    </row>
    <row r="35" spans="2:15" ht="30" x14ac:dyDescent="0.4">
      <c r="B35" s="7"/>
      <c r="C35" s="3"/>
      <c r="D35" s="131"/>
      <c r="E35" s="132"/>
      <c r="F35" s="173"/>
      <c r="G35" s="127"/>
      <c r="H35" s="144"/>
      <c r="I35" s="144"/>
      <c r="J35" s="144"/>
      <c r="K35" s="145"/>
      <c r="L35" s="102"/>
      <c r="M35" s="107"/>
      <c r="N35" s="52"/>
      <c r="O35" s="9"/>
    </row>
    <row r="36" spans="2:15" ht="30" x14ac:dyDescent="0.4">
      <c r="B36" s="7"/>
      <c r="C36" s="3"/>
      <c r="D36" s="131"/>
      <c r="E36" s="132"/>
      <c r="F36" s="173"/>
      <c r="G36" s="127"/>
      <c r="H36" s="144"/>
      <c r="I36" s="144"/>
      <c r="J36" s="144"/>
      <c r="K36" s="145"/>
      <c r="L36" s="102"/>
      <c r="M36" s="107"/>
      <c r="N36" s="52"/>
      <c r="O36" s="9"/>
    </row>
    <row r="37" spans="2:15" ht="30" x14ac:dyDescent="0.4">
      <c r="B37" s="7"/>
      <c r="C37" s="3"/>
      <c r="D37" s="131"/>
      <c r="E37" s="132"/>
      <c r="F37" s="173"/>
      <c r="G37" s="127"/>
      <c r="H37" s="127"/>
      <c r="I37" s="127"/>
      <c r="J37" s="127"/>
      <c r="K37" s="128"/>
      <c r="L37" s="102"/>
      <c r="M37" s="107"/>
      <c r="N37" s="52"/>
      <c r="O37" s="9"/>
    </row>
    <row r="38" spans="2:15" ht="30" x14ac:dyDescent="0.4">
      <c r="B38" s="7"/>
      <c r="C38" s="3"/>
      <c r="D38" s="131"/>
      <c r="E38" s="101"/>
      <c r="F38" s="111"/>
      <c r="G38" s="127"/>
      <c r="H38" s="127"/>
      <c r="I38" s="127"/>
      <c r="J38" s="127"/>
      <c r="K38" s="128"/>
      <c r="L38" s="103"/>
      <c r="M38" s="107"/>
      <c r="N38" s="52"/>
      <c r="O38" s="9"/>
    </row>
    <row r="39" spans="2:15" ht="30" x14ac:dyDescent="0.4">
      <c r="B39" s="7"/>
      <c r="C39" s="3"/>
      <c r="D39" s="131"/>
      <c r="E39" s="174"/>
      <c r="F39" s="175"/>
      <c r="G39" s="127"/>
      <c r="H39" s="127"/>
      <c r="I39" s="127"/>
      <c r="J39" s="127"/>
      <c r="K39" s="128"/>
      <c r="L39" s="103"/>
      <c r="M39" s="107" t="str">
        <f t="shared" si="0"/>
        <v/>
      </c>
      <c r="N39" s="52"/>
      <c r="O39" s="9"/>
    </row>
    <row r="40" spans="2:15" ht="30" x14ac:dyDescent="0.4">
      <c r="B40" s="7"/>
      <c r="C40" s="3"/>
      <c r="D40" s="131"/>
      <c r="E40" s="101"/>
      <c r="F40" s="111"/>
      <c r="G40" s="127"/>
      <c r="H40" s="127"/>
      <c r="I40" s="127"/>
      <c r="J40" s="127"/>
      <c r="K40" s="128"/>
      <c r="L40" s="103"/>
      <c r="M40" s="107"/>
      <c r="N40" s="52"/>
      <c r="O40" s="9"/>
    </row>
    <row r="41" spans="2:15" ht="30" x14ac:dyDescent="0.4">
      <c r="B41" s="7"/>
      <c r="C41" s="3"/>
      <c r="D41" s="131"/>
      <c r="E41" s="148"/>
      <c r="F41" s="176"/>
      <c r="G41" s="127"/>
      <c r="H41" s="127"/>
      <c r="I41" s="127"/>
      <c r="J41" s="127"/>
      <c r="K41" s="128"/>
      <c r="L41" s="103"/>
      <c r="M41" s="107" t="str">
        <f t="shared" ref="M41:M46" si="2">IF(E41&lt;&gt;"",E41*L41,"")</f>
        <v/>
      </c>
      <c r="N41" s="52"/>
      <c r="O41" s="9"/>
    </row>
    <row r="42" spans="2:15" ht="30" x14ac:dyDescent="0.4">
      <c r="B42" s="7"/>
      <c r="C42" s="3"/>
      <c r="D42" s="131"/>
      <c r="E42" s="148"/>
      <c r="F42" s="178" t="s">
        <v>73</v>
      </c>
      <c r="G42" s="179"/>
      <c r="H42" s="179"/>
      <c r="I42" s="179"/>
      <c r="J42" s="179"/>
      <c r="K42" s="180"/>
      <c r="L42" s="181"/>
      <c r="M42" s="107" t="str">
        <f t="shared" si="2"/>
        <v/>
      </c>
      <c r="N42" s="52"/>
      <c r="O42" s="9"/>
    </row>
    <row r="43" spans="2:15" ht="27" x14ac:dyDescent="0.35">
      <c r="B43" s="7"/>
      <c r="C43" s="3"/>
      <c r="D43" s="131"/>
      <c r="E43" s="174"/>
      <c r="F43" s="178" t="s">
        <v>74</v>
      </c>
      <c r="G43" s="179"/>
      <c r="H43" s="179"/>
      <c r="I43" s="179"/>
      <c r="J43" s="179"/>
      <c r="K43" s="180"/>
      <c r="L43" s="181"/>
      <c r="M43" s="107" t="str">
        <f t="shared" si="2"/>
        <v/>
      </c>
      <c r="N43" s="52"/>
      <c r="O43" s="9"/>
    </row>
    <row r="44" spans="2:15" ht="18" x14ac:dyDescent="0.25">
      <c r="B44" s="7"/>
      <c r="C44" s="3"/>
      <c r="D44" s="131"/>
      <c r="E44" s="177"/>
      <c r="F44" s="178"/>
      <c r="G44" s="179"/>
      <c r="H44" s="179"/>
      <c r="I44" s="179"/>
      <c r="J44" s="179"/>
      <c r="K44" s="180"/>
      <c r="L44" s="181"/>
      <c r="M44" s="182" t="str">
        <f t="shared" si="2"/>
        <v/>
      </c>
      <c r="N44" s="52"/>
      <c r="O44" s="9"/>
    </row>
    <row r="45" spans="2:15" ht="18" x14ac:dyDescent="0.25">
      <c r="B45" s="7"/>
      <c r="C45" s="3"/>
      <c r="D45" s="131"/>
      <c r="E45" s="177"/>
      <c r="F45" s="178"/>
      <c r="G45" s="179"/>
      <c r="H45" s="179"/>
      <c r="I45" s="179"/>
      <c r="J45" s="179"/>
      <c r="K45" s="180"/>
      <c r="L45" s="181"/>
      <c r="M45" s="182" t="str">
        <f t="shared" si="2"/>
        <v/>
      </c>
      <c r="N45" s="52"/>
      <c r="O45" s="9"/>
    </row>
    <row r="46" spans="2:15" ht="30" x14ac:dyDescent="0.4">
      <c r="B46" s="7"/>
      <c r="C46" s="3"/>
      <c r="D46" s="141"/>
      <c r="E46" s="187"/>
      <c r="F46" s="188"/>
      <c r="G46" s="127"/>
      <c r="H46" s="142"/>
      <c r="I46" s="142"/>
      <c r="J46" s="142"/>
      <c r="K46" s="143"/>
      <c r="L46" s="103"/>
      <c r="M46" s="107" t="str">
        <f t="shared" si="2"/>
        <v/>
      </c>
      <c r="N46" s="52"/>
      <c r="O46" s="9"/>
    </row>
    <row r="47" spans="2:15" ht="35.25" x14ac:dyDescent="0.5">
      <c r="B47" s="7"/>
      <c r="C47" s="3"/>
      <c r="D47" s="83"/>
      <c r="E47" s="93"/>
      <c r="F47" s="117"/>
      <c r="G47" s="189"/>
      <c r="H47" s="114"/>
      <c r="I47" s="114"/>
      <c r="J47" s="115"/>
      <c r="K47" s="116"/>
      <c r="L47" s="183" t="s">
        <v>26</v>
      </c>
      <c r="M47" s="186">
        <f>SUM(M28:M46)</f>
        <v>70</v>
      </c>
      <c r="N47" s="52"/>
      <c r="O47" s="9"/>
    </row>
    <row r="48" spans="2:15" ht="35.25" x14ac:dyDescent="0.5">
      <c r="B48" s="7"/>
      <c r="C48" s="3"/>
      <c r="D48" s="99"/>
      <c r="E48" s="95" t="s">
        <v>57</v>
      </c>
      <c r="F48" s="75"/>
      <c r="G48" s="75"/>
      <c r="H48" s="75"/>
      <c r="I48" s="75"/>
      <c r="J48" s="76"/>
      <c r="K48" s="91"/>
      <c r="L48" s="184" t="s">
        <v>47</v>
      </c>
      <c r="M48" s="186">
        <v>0.6</v>
      </c>
      <c r="N48" s="105"/>
      <c r="O48" s="9"/>
    </row>
    <row r="49" spans="2:15" ht="35.25" x14ac:dyDescent="0.5">
      <c r="B49" s="7"/>
      <c r="C49" s="3"/>
      <c r="D49" s="96"/>
      <c r="E49" s="95" t="s">
        <v>58</v>
      </c>
      <c r="F49" s="75"/>
      <c r="G49" s="75"/>
      <c r="H49" s="75"/>
      <c r="I49" s="75"/>
      <c r="J49" s="78"/>
      <c r="K49" s="92"/>
      <c r="L49" s="185">
        <v>0.19</v>
      </c>
      <c r="M49" s="186">
        <f>(M47)*0.19</f>
        <v>13.3</v>
      </c>
      <c r="N49" s="105"/>
      <c r="O49" s="9"/>
    </row>
    <row r="50" spans="2:15" ht="35.25" x14ac:dyDescent="0.5">
      <c r="B50" s="7"/>
      <c r="C50" s="3"/>
      <c r="D50" s="83"/>
      <c r="E50" s="98"/>
      <c r="F50" s="94"/>
      <c r="G50" s="80"/>
      <c r="H50" s="79"/>
      <c r="I50" s="75"/>
      <c r="J50" s="81"/>
      <c r="K50" s="91"/>
      <c r="L50" s="100" t="s">
        <v>28</v>
      </c>
      <c r="M50" s="186">
        <f>SUM(M47:M49)</f>
        <v>83.899999999999991</v>
      </c>
      <c r="N50" s="105"/>
      <c r="O50" s="9"/>
    </row>
    <row r="51" spans="2:15" ht="18" x14ac:dyDescent="0.2">
      <c r="B51" s="7"/>
      <c r="C51" s="3"/>
      <c r="D51" s="74"/>
      <c r="E51" s="84"/>
      <c r="F51" s="97"/>
      <c r="G51" s="75"/>
      <c r="H51" s="62"/>
      <c r="I51" s="75"/>
      <c r="J51" s="82" t="s">
        <v>27</v>
      </c>
      <c r="K51" s="76"/>
      <c r="L51" s="129"/>
      <c r="M51" s="129"/>
      <c r="N51" s="52"/>
      <c r="O51" s="9"/>
    </row>
    <row r="52" spans="2:15" ht="35.25" x14ac:dyDescent="0.5">
      <c r="B52" s="7"/>
      <c r="C52" s="3"/>
      <c r="D52" s="113"/>
      <c r="E52" s="113"/>
      <c r="F52" s="98"/>
      <c r="G52" s="112"/>
      <c r="H52" s="112"/>
      <c r="I52" s="112"/>
      <c r="J52" s="85"/>
      <c r="K52" s="85"/>
      <c r="L52" s="100"/>
      <c r="M52" s="130"/>
      <c r="N52" s="52"/>
      <c r="O52" s="9"/>
    </row>
    <row r="53" spans="2:15" ht="18" x14ac:dyDescent="0.25">
      <c r="B53" s="7"/>
      <c r="C53" s="3"/>
      <c r="D53" s="162"/>
      <c r="E53" s="162"/>
      <c r="F53" s="162"/>
      <c r="G53" s="162"/>
      <c r="H53" s="162"/>
      <c r="I53" s="162"/>
      <c r="J53" s="162"/>
      <c r="K53" s="162"/>
      <c r="L53" s="162"/>
      <c r="M53" s="113"/>
      <c r="N53" s="90"/>
      <c r="O53" s="9"/>
    </row>
    <row r="54" spans="2:15" ht="26.25" x14ac:dyDescent="0.4">
      <c r="B54" s="7"/>
      <c r="C54" s="3"/>
      <c r="D54" s="162"/>
      <c r="E54" s="162"/>
      <c r="F54" s="162"/>
      <c r="G54" s="162"/>
      <c r="H54" s="162"/>
      <c r="I54" s="162"/>
      <c r="J54" s="162"/>
      <c r="K54" s="162"/>
      <c r="L54" s="162"/>
      <c r="M54" s="120"/>
      <c r="N54" s="90"/>
      <c r="O54" s="9"/>
    </row>
    <row r="55" spans="2:15" ht="26.25" x14ac:dyDescent="0.4">
      <c r="B55" s="7"/>
      <c r="C55" s="3"/>
      <c r="D55" s="113"/>
      <c r="E55" s="113"/>
      <c r="F55" s="120"/>
      <c r="G55" s="123"/>
      <c r="H55" s="123"/>
      <c r="I55" s="123"/>
      <c r="J55" s="76"/>
      <c r="K55" s="110"/>
      <c r="L55" s="133" t="s">
        <v>63</v>
      </c>
      <c r="M55" s="133"/>
      <c r="N55" s="90"/>
      <c r="O55" s="121"/>
    </row>
    <row r="56" spans="2:15" ht="23.25" x14ac:dyDescent="0.25">
      <c r="B56" s="7"/>
      <c r="C56" s="3"/>
      <c r="D56" s="113"/>
      <c r="E56" s="113"/>
      <c r="F56" s="124"/>
      <c r="G56" s="157"/>
      <c r="H56" s="157"/>
      <c r="I56" s="157"/>
      <c r="J56" s="76"/>
      <c r="K56" s="110"/>
      <c r="L56" s="105"/>
      <c r="M56" s="105"/>
      <c r="N56" s="52"/>
      <c r="O56" s="122"/>
    </row>
    <row r="57" spans="2:15" ht="23.25" x14ac:dyDescent="0.2">
      <c r="B57" s="7"/>
      <c r="C57" s="3"/>
      <c r="D57" s="113"/>
      <c r="E57" s="113"/>
      <c r="F57" s="77"/>
      <c r="G57" s="76"/>
      <c r="H57" s="76"/>
      <c r="I57" s="76"/>
      <c r="J57" s="76"/>
      <c r="K57" s="110"/>
      <c r="L57" s="105"/>
      <c r="M57" s="105"/>
      <c r="N57" s="52"/>
      <c r="O57" s="9"/>
    </row>
    <row r="58" spans="2:15" ht="15" x14ac:dyDescent="0.2">
      <c r="B58" s="7"/>
      <c r="C58" s="3"/>
      <c r="D58" s="113"/>
      <c r="E58" s="113"/>
      <c r="F58" s="76"/>
      <c r="G58" s="76"/>
      <c r="H58" s="76"/>
      <c r="I58" s="76"/>
      <c r="J58" s="76"/>
      <c r="K58" s="105"/>
      <c r="L58" s="105"/>
      <c r="M58" s="105"/>
      <c r="N58" s="52"/>
      <c r="O58" s="9"/>
    </row>
    <row r="59" spans="2:15" ht="20.25" x14ac:dyDescent="0.3">
      <c r="B59" s="7"/>
      <c r="C59" s="119"/>
      <c r="D59" s="108" t="s">
        <v>60</v>
      </c>
      <c r="E59" s="134"/>
      <c r="F59" s="76"/>
      <c r="G59" s="76"/>
      <c r="H59" s="76"/>
      <c r="I59" s="76"/>
      <c r="J59" s="76"/>
      <c r="K59" s="86"/>
      <c r="L59" s="86"/>
      <c r="M59" s="87"/>
      <c r="N59" s="52"/>
      <c r="O59" s="9"/>
    </row>
    <row r="60" spans="2:15" ht="20.25" x14ac:dyDescent="0.3">
      <c r="B60" s="7"/>
      <c r="C60" s="119"/>
      <c r="D60" s="109" t="s">
        <v>61</v>
      </c>
      <c r="E60" s="109"/>
      <c r="F60" s="76"/>
      <c r="G60" s="76"/>
      <c r="H60" s="76"/>
      <c r="I60" s="76"/>
      <c r="J60" s="78"/>
      <c r="K60" s="86"/>
      <c r="L60" s="86"/>
      <c r="M60" s="86"/>
      <c r="N60" s="52"/>
      <c r="O60" s="9"/>
    </row>
    <row r="61" spans="2:15" ht="15" x14ac:dyDescent="0.2">
      <c r="B61" s="7"/>
      <c r="C61" s="119"/>
      <c r="D61" s="74"/>
      <c r="E61" s="74"/>
      <c r="F61" s="76"/>
      <c r="G61" s="76"/>
      <c r="H61" s="76"/>
      <c r="I61" s="76"/>
      <c r="J61" s="78"/>
      <c r="K61" s="86"/>
      <c r="L61" s="86"/>
      <c r="M61" s="86"/>
      <c r="N61" s="129"/>
      <c r="O61" s="9"/>
    </row>
    <row r="62" spans="2:15" ht="15" x14ac:dyDescent="0.2">
      <c r="B62" s="7"/>
      <c r="C62" s="119"/>
      <c r="D62" s="156" t="s">
        <v>52</v>
      </c>
      <c r="E62" s="156"/>
      <c r="F62" s="156"/>
      <c r="G62" s="156"/>
      <c r="H62" s="156"/>
      <c r="I62" s="156"/>
      <c r="J62" s="156"/>
      <c r="K62" s="156"/>
      <c r="L62" s="156"/>
      <c r="M62" s="86"/>
      <c r="N62" s="129"/>
      <c r="O62" s="9"/>
    </row>
    <row r="63" spans="2:15" ht="15" x14ac:dyDescent="0.2">
      <c r="B63" s="7"/>
      <c r="C63" s="118"/>
      <c r="D63" s="156"/>
      <c r="E63" s="156"/>
      <c r="F63" s="156"/>
      <c r="G63" s="156"/>
      <c r="H63" s="156"/>
      <c r="I63" s="156"/>
      <c r="J63" s="156"/>
      <c r="K63" s="156"/>
      <c r="L63" s="156"/>
      <c r="M63" s="87"/>
      <c r="N63" s="129"/>
      <c r="O63" s="9"/>
    </row>
    <row r="64" spans="2:15" ht="15" x14ac:dyDescent="0.2">
      <c r="B64" s="7"/>
      <c r="C64" s="129"/>
      <c r="D64" s="156"/>
      <c r="E64" s="156"/>
      <c r="F64" s="156"/>
      <c r="G64" s="156"/>
      <c r="H64" s="156"/>
      <c r="I64" s="156"/>
      <c r="J64" s="156"/>
      <c r="K64" s="156"/>
      <c r="L64" s="156"/>
      <c r="M64" s="87"/>
      <c r="N64" s="129"/>
    </row>
    <row r="65" spans="2:14" ht="13.5" thickBot="1" x14ac:dyDescent="0.25">
      <c r="B65" s="7"/>
      <c r="C65" s="129"/>
      <c r="D65" s="3"/>
      <c r="E65" s="3"/>
      <c r="F65" s="3"/>
      <c r="G65" s="3"/>
      <c r="H65" s="3"/>
      <c r="I65" s="3"/>
      <c r="J65" s="3"/>
      <c r="K65" s="3"/>
      <c r="L65" s="3"/>
      <c r="M65" s="3"/>
      <c r="N65" s="129"/>
    </row>
    <row r="66" spans="2:14" ht="18" customHeight="1" thickTop="1" x14ac:dyDescent="0.2">
      <c r="B66" s="7"/>
      <c r="C66" s="129"/>
      <c r="D66" s="53"/>
      <c r="E66" s="53"/>
      <c r="F66" s="53"/>
      <c r="G66" s="53"/>
      <c r="H66" s="53"/>
      <c r="I66" s="53"/>
      <c r="J66" s="53"/>
      <c r="K66" s="53"/>
      <c r="L66" s="53"/>
      <c r="M66" s="53"/>
      <c r="N66" s="129"/>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4">
    <mergeCell ref="L18:L20"/>
    <mergeCell ref="M22:N22"/>
    <mergeCell ref="M24:N24"/>
    <mergeCell ref="M25:N25"/>
    <mergeCell ref="I22:J22"/>
    <mergeCell ref="D62:L64"/>
    <mergeCell ref="G56:I56"/>
    <mergeCell ref="G24:H24"/>
    <mergeCell ref="F27:K27"/>
    <mergeCell ref="D53:L53"/>
    <mergeCell ref="D54:L54"/>
    <mergeCell ref="E24:F24"/>
    <mergeCell ref="I24:J24"/>
    <mergeCell ref="E25:F25"/>
  </mergeCells>
  <phoneticPr fontId="0" type="noConversion"/>
  <dataValidations xWindow="574" yWindow="401" count="12">
    <dataValidation errorStyle="warning" allowBlank="1" showInputMessage="1" errorTitle="Numéro de carte de crédit" promptTitle="Numéro de carte de crédit" prompt="Tapez ici le numéro de carte de crédit du client" sqref="F56"/>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62"/>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5:M56"/>
    <dataValidation type="textLength" errorStyle="warning" allowBlank="1" showErrorMessage="1" errorTitle="T.V.A." error="Les cellules ombrées contiennent des formules et sont calculées automatiquement par Excel. N'y tapez aucune information." promptTitle="T.V.A." sqref="L49">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8">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9">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47">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52 M50">
      <formula1>0</formula1>
      <formula2>0</formula2>
    </dataValidation>
    <dataValidation type="decimal" allowBlank="1" showErrorMessage="1" errorTitle="Prix unitaire" error="Tapez un nombre dans cette cellule." promptTitle="Prix unitaire" sqref="L28 L38:L46">
      <formula1>0</formula1>
      <formula2>1000000000</formula2>
    </dataValidation>
    <dataValidation type="whole" errorStyle="warning" allowBlank="1" showErrorMessage="1" errorTitle="Quantité" error="Tapez un nombre dans cette cellule." promptTitle="Quantité" sqref="E28:E46">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8:M46">
      <formula1>0</formula1>
      <formula2>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48</xdr:row>
                    <xdr:rowOff>114300</xdr:rowOff>
                  </from>
                  <to>
                    <xdr:col>3</xdr:col>
                    <xdr:colOff>1838325</xdr:colOff>
                    <xdr:row>48</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47</xdr:row>
                    <xdr:rowOff>95250</xdr:rowOff>
                  </from>
                  <to>
                    <xdr:col>3</xdr:col>
                    <xdr:colOff>1885950</xdr:colOff>
                    <xdr:row>47</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2"/>
  </cols>
  <sheetData>
    <row r="1" spans="1:11" x14ac:dyDescent="0.2">
      <c r="A1" s="62" t="s">
        <v>29</v>
      </c>
    </row>
    <row r="2" spans="1:11" x14ac:dyDescent="0.2">
      <c r="A2" s="62" t="s">
        <v>36</v>
      </c>
      <c r="B2" s="62" t="s">
        <v>30</v>
      </c>
    </row>
    <row r="3" spans="1:11" x14ac:dyDescent="0.2">
      <c r="A3" s="62" t="s">
        <v>37</v>
      </c>
      <c r="B3" s="62" t="s">
        <v>44</v>
      </c>
    </row>
    <row r="4" spans="1:11" x14ac:dyDescent="0.2">
      <c r="A4" s="62" t="s">
        <v>31</v>
      </c>
    </row>
    <row r="5" spans="1:11" x14ac:dyDescent="0.2">
      <c r="A5" s="62" t="s">
        <v>38</v>
      </c>
      <c r="B5" s="62">
        <v>1</v>
      </c>
    </row>
    <row r="6" spans="1:11" x14ac:dyDescent="0.2">
      <c r="A6" s="62">
        <v>1</v>
      </c>
      <c r="B6" s="62" t="s">
        <v>39</v>
      </c>
      <c r="C6" s="62" t="s">
        <v>43</v>
      </c>
      <c r="D6" s="62" t="s">
        <v>40</v>
      </c>
      <c r="E6" s="62">
        <v>10</v>
      </c>
      <c r="G6" s="62">
        <v>1197261567</v>
      </c>
    </row>
    <row r="7" spans="1:11" x14ac:dyDescent="0.2">
      <c r="A7" s="62" t="s">
        <v>41</v>
      </c>
      <c r="B7" s="62" t="s">
        <v>32</v>
      </c>
      <c r="C7" s="62" t="s">
        <v>19</v>
      </c>
      <c r="D7" s="62" t="s">
        <v>3</v>
      </c>
      <c r="E7" s="62" t="s">
        <v>5</v>
      </c>
      <c r="F7" s="62" t="s">
        <v>7</v>
      </c>
      <c r="G7" s="62" t="s">
        <v>8</v>
      </c>
      <c r="H7" s="62" t="s">
        <v>9</v>
      </c>
      <c r="I7" s="62" t="s">
        <v>21</v>
      </c>
      <c r="J7" s="62" t="s">
        <v>33</v>
      </c>
      <c r="K7" s="62" t="s">
        <v>20</v>
      </c>
    </row>
    <row r="8" spans="1:11" x14ac:dyDescent="0.2">
      <c r="A8" s="62" t="s">
        <v>42</v>
      </c>
      <c r="B8" s="63" t="str">
        <f>Facture!$M$4</f>
        <v/>
      </c>
      <c r="C8" s="64" t="str">
        <f>Facture!$L$22</f>
        <v>Date</v>
      </c>
      <c r="D8" s="65" t="str">
        <f>Facture!$E$22</f>
        <v xml:space="preserve">COGEF PLUS </v>
      </c>
      <c r="E8" s="62">
        <f>Facture!$E$23</f>
        <v>0</v>
      </c>
      <c r="F8" s="62">
        <f>Facture!$E$24</f>
        <v>0</v>
      </c>
      <c r="G8" s="65">
        <f>Facture!$G$24</f>
        <v>0</v>
      </c>
      <c r="H8" s="65" t="str">
        <f>Facture!$J$24</f>
        <v>TN</v>
      </c>
      <c r="I8" s="62">
        <f>Facture!$E$25</f>
        <v>28273958</v>
      </c>
      <c r="J8" s="66">
        <f>Facture!$M$50</f>
        <v>83.899999999999991</v>
      </c>
      <c r="K8" s="62" t="str">
        <f>Facture!$L$24</f>
        <v>Responsable</v>
      </c>
    </row>
    <row r="9" spans="1:11" x14ac:dyDescent="0.2">
      <c r="A9" s="62" t="s">
        <v>31</v>
      </c>
    </row>
    <row r="10" spans="1:11" x14ac:dyDescent="0.2">
      <c r="G10" s="62">
        <v>733575679</v>
      </c>
    </row>
    <row r="14" spans="1:11" x14ac:dyDescent="0.2">
      <c r="G14" s="62">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62</vt:i4>
      </vt:variant>
    </vt:vector>
  </HeadingPairs>
  <TitlesOfParts>
    <vt:vector size="66"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data65</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2022-04-13T10:26:54Z</cp:lastPrinted>
  <dcterms:created xsi:type="dcterms:W3CDTF">1995-05-29T15:50:39Z</dcterms:created>
  <dcterms:modified xsi:type="dcterms:W3CDTF">2022-10-26T08:09:05Z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COGEF PLUS </vt:lpwstr>
  </property>
  <property fmtid="{D5CDD505-2E9C-101B-9397-08002B2CF9AE}" pid="11" name="Montant de la facture" linkTarget="TOT">
    <vt:r8>83.9</vt:r8>
  </property>
</Properties>
</file>