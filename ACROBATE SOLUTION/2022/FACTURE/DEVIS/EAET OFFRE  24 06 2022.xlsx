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Facture!$D$46</definedName>
    <definedName name="data6">Facture!$E$17</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Facture!$E$53</definedName>
    <definedName name="data67">Facture!$E$55</definedName>
    <definedName name="data68">Facture!$F$56</definedName>
    <definedName name="data69">Facture!$J$56</definedName>
    <definedName name="data7">Facture!$G$18</definedName>
    <definedName name="data70">Facture!$J$57</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Facture!$E$46:$J$46</definedName>
    <definedName name="qzqzqz26">Facture!$E$53:$H$53</definedName>
    <definedName name="qzqzqz27">Facture!$E$54:$H$54</definedName>
    <definedName name="qzqzqz28">Facture!$E$55:$H$55</definedName>
    <definedName name="qzqzqz29">Facture!$J$55:$M$57</definedName>
    <definedName name="qzqzqz3">Facture!$D$17:$I$17</definedName>
    <definedName name="qzqzqz30">Facture!$F$56:$H$56</definedName>
    <definedName name="qzqzqz31">Facture!$F$56:$G$56</definedName>
    <definedName name="qzqzqz32">Facture!$J$54:$M$56</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41" i="3" l="1"/>
  <c r="M26" i="3" l="1"/>
  <c r="M27" i="3"/>
  <c r="M28" i="3"/>
  <c r="M29" i="3"/>
  <c r="M30" i="3"/>
  <c r="M31" i="3"/>
  <c r="M32" i="3"/>
  <c r="M33" i="3"/>
  <c r="M34" i="3"/>
  <c r="M35" i="3"/>
  <c r="M36" i="3"/>
  <c r="M37" i="3"/>
  <c r="M38" i="3"/>
  <c r="M39" i="3"/>
  <c r="M40" i="3"/>
  <c r="M25" i="3"/>
  <c r="L49" i="3" l="1"/>
  <c r="M22" i="3" l="1"/>
  <c r="M23" i="3"/>
  <c r="M24" i="3"/>
  <c r="M45" i="3"/>
  <c r="M46" i="3"/>
  <c r="M47" i="3" l="1"/>
  <c r="M49" i="3" s="1"/>
  <c r="M50"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<sst xmlns="http://schemas.openxmlformats.org/spreadsheetml/2006/main" count="94" uniqueCount="77">
  <si>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</si>
  <si>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</si>
  <si>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</si>
  <si>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</si>
  <si>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</si>
  <si>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</si>
  <si>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</si>
  <si>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</si>
  <si>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</si>
  <si>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</si>
  <si>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</si>
  <si>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</si>
  <si>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</si>
  <si>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</si>
  <si>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</si>
  <si>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</si>
  <si>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</si>
  <si>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</si>
  <si>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</si>
  <si>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</si>
  <si>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</si>
  <si>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</si>
  <si>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</si>
  <si>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</si>
  <si>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</si>
  <si>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</si>
  <si>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</si>
  <si>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</si>
  <si>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</si>
  <si>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</si>
  <si>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</si>
  <si>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</si>
  <si>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</si>
  <si>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</si>
  <si>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</si>
  <si>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</si>
  <si>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</si>
  <si>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</si>
  <si>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</si>
  <si>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</si>
  <si>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</si>
  <si>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</si>
  <si>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</si>
  <si>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</si>
  <si>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</si>
  <si>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</si>
  <si>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</si>
  <si>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</si>
  <si>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</si>
  <si>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</si>
  <si>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</si>
  <si>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</si>
  <si>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</si>
  <si>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</si>
  <si>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</si>
  <si>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</si>
  <si>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</si>
  <si>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</si>
  <si>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</si>
  <si>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</si>
  <si>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</si>
  <si>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</si>
  <si>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</si>
  <si>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</si>
  <si>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</si>
  <si>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</si>
  <si>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</si>
  <si>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Aymen </t>
  </si>
  <si>
    <t xml:space="preserve">Sangle </t>
  </si>
  <si>
    <t xml:space="preserve">Harnais - ORBITAL </t>
  </si>
  <si>
    <t xml:space="preserve">Harnais Golden Top Plus </t>
  </si>
  <si>
    <t>Gobline</t>
  </si>
  <si>
    <t xml:space="preserve">Selette de travail </t>
  </si>
  <si>
    <t>ENROULEUR 20M</t>
  </si>
  <si>
    <t xml:space="preserve">mousqueton </t>
  </si>
  <si>
    <t>OFFRE DE PRIX   N° 2022-1658</t>
  </si>
  <si>
    <t>ENROULEUR 30M</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</si>
</sst>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
      <b/>
      <sz val="12"/>
      <name val="Arial Black"/>
      <family val="2"/>
    </font>
    <font>
      <sz val="12"/>
      <name val="Arial Black"/>
      <family val="2"/>
    </font>
    <font>
      <b/>
      <sz val="11"/>
      <name val="Arial"/>
      <family val="2"/>
    </font>
    <font>
      <sz val="14"/>
      <name val="Arial Black"/>
      <family val="2"/>
    </font>
    <font>
      <sz val="14"/>
      <name val="Times New Roman"/>
      <family val="1"/>
    </font>
    <font>
      <sz val="20"/>
      <name val="Times New Roman"/>
      <family val="1"/>
    </font>
    <font>
      <sz val="9"/>
      <name val="Times New Roman"/>
      <family val="1"/>
    </font>
    <font>
      <sz val="10"/>
      <color theme="1"/>
      <name val="Arial"/>
      <family val="2"/>
    </font>
    <font>
      <sz val="10"/>
      <name val="Arial Black"/>
      <family val="2"/>
    </font>
    <font>
      <sz val="9"/>
      <color theme="1"/>
      <name val="Arial"/>
      <family val="2"/>
    </font>
    <font>
      <sz val="12"/>
      <color theme="1"/>
      <name val="Arial"/>
      <family val="2"/>
    </font>
    <font>
      <sz val="10"/>
      <color theme="1"/>
      <name val="Arial Black"/>
      <family val="2"/>
    </font>
    <font>
      <b/>
      <sz val="12"/>
      <color theme="1"/>
      <name val="Arial Black"/>
      <family val="2"/>
    </font>
    <font>
      <sz val="12"/>
      <color theme="1"/>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2" fillId="0" borderId="44" xfId="0" applyNumberFormat="1" applyFont="1" applyFill="1" applyBorder="1"/>
    <xf numFmtId="49" fontId="35" fillId="0" borderId="34" xfId="0" applyNumberFormat="1" applyFont="1" applyFill="1" applyBorder="1" applyAlignment="1">
      <alignment horizontal="left" shrinkToFit="1"/>
    </xf>
    <xf numFmtId="0" fontId="25" fillId="3" borderId="32" xfId="0" applyFont="1" applyFill="1" applyBorder="1" applyAlignment="1">
      <alignment horizontal="center" vertical="center"/>
    </xf>
    <xf numFmtId="0" fontId="41" fillId="3" borderId="27" xfId="0" applyFont="1" applyFill="1" applyBorder="1" applyAlignment="1">
      <alignment horizontal="center"/>
    </xf>
    <xf numFmtId="168" fontId="44" fillId="3" borderId="27" xfId="0" applyNumberFormat="1" applyFont="1" applyFill="1" applyBorder="1" applyAlignment="1"/>
    <xf numFmtId="49" fontId="46" fillId="0" borderId="32" xfId="0" applyNumberFormat="1" applyFont="1" applyFill="1" applyBorder="1" applyAlignment="1">
      <alignment horizontal="left"/>
    </xf>
    <xf numFmtId="0" fontId="45" fillId="0" borderId="0" xfId="0" applyFont="1" applyFill="1" applyAlignment="1">
      <alignment horizontal="left"/>
    </xf>
    <xf numFmtId="0" fontId="45" fillId="0" borderId="34" xfId="0" applyFont="1" applyFill="1" applyBorder="1" applyAlignment="1">
      <alignment horizontal="left"/>
    </xf>
    <xf numFmtId="0" fontId="47" fillId="3" borderId="34" xfId="0" applyFont="1" applyFill="1" applyBorder="1" applyAlignment="1"/>
    <xf numFmtId="49" fontId="35" fillId="0" borderId="32" xfId="0" applyNumberFormat="1" applyFont="1" applyFill="1" applyBorder="1" applyAlignment="1">
      <alignment horizontal="left"/>
    </xf>
    <xf numFmtId="0" fontId="43" fillId="3" borderId="32" xfId="0" applyFont="1" applyFill="1" applyBorder="1" applyAlignment="1">
      <alignment horizontal="center" vertical="center"/>
    </xf>
    <xf numFmtId="0" fontId="25" fillId="0" borderId="32" xfId="0" applyFont="1" applyFill="1" applyBorder="1" applyAlignment="1">
      <alignment horizontal="center" vertical="center"/>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34" fillId="0" borderId="32" xfId="0" applyNumberFormat="1" applyFont="1" applyFill="1" applyBorder="1" applyAlignment="1">
      <alignment horizontal="left" shrinkToFit="1"/>
    </xf>
    <xf numFmtId="49" fontId="34" fillId="0" borderId="0"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36"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38" fillId="0" borderId="32" xfId="0" applyNumberFormat="1" applyFont="1" applyFill="1" applyBorder="1" applyAlignment="1">
      <alignment horizontal="left" shrinkToFit="1"/>
    </xf>
    <xf numFmtId="49" fontId="37" fillId="0" borderId="0" xfId="0" applyNumberFormat="1" applyFont="1" applyFill="1" applyBorder="1" applyAlignment="1">
      <alignment horizontal="left" shrinkToFit="1"/>
    </xf>
    <xf numFmtId="49" fontId="37" fillId="0" borderId="34" xfId="0" applyNumberFormat="1" applyFont="1" applyFill="1" applyBorder="1" applyAlignment="1">
      <alignment horizontal="left" shrinkToFit="1"/>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5" fillId="0" borderId="32" xfId="0" applyNumberFormat="1" applyFont="1" applyFill="1" applyBorder="1" applyAlignment="1">
      <alignment horizontal="left"/>
    </xf>
    <xf numFmtId="0" fontId="42" fillId="0" borderId="0" xfId="0" applyFont="1" applyFill="1" applyAlignment="1">
      <alignment horizontal="left"/>
    </xf>
    <xf numFmtId="0" fontId="42" fillId="0" borderId="34" xfId="0" applyFont="1" applyFill="1" applyBorder="1" applyAlignment="1">
      <alignment horizontal="left"/>
    </xf>
    <xf numFmtId="49" fontId="29"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0" fontId="4" fillId="3" borderId="0" xfId="0" applyFont="1" applyFill="1" applyBorder="1" applyAlignment="1"/>
    <xf numFmtId="0" fontId="4" fillId="2" borderId="0" xfId="0" applyFont="1" applyBorder="1" applyAlignment="1"/>
    <xf numFmtId="49" fontId="34"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9" fillId="0" borderId="32" xfId="0" applyNumberFormat="1" applyFont="1" applyFill="1" applyBorder="1" applyAlignment="1">
      <alignment horizontal="left" vertical="center" shrinkToFit="1"/>
    </xf>
    <xf numFmtId="49" fontId="39" fillId="0" borderId="0" xfId="0" applyNumberFormat="1" applyFont="1" applyFill="1" applyBorder="1" applyAlignment="1">
      <alignment horizontal="left" vertical="center" shrinkToFit="1"/>
    </xf>
    <xf numFmtId="49" fontId="39" fillId="0" borderId="34" xfId="0" applyNumberFormat="1" applyFont="1" applyFill="1" applyBorder="1" applyAlignment="1">
      <alignment horizontal="left" vertical="center" shrinkToFit="1"/>
    </xf>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8" fillId="0" borderId="32" xfId="0" applyNumberFormat="1" applyFont="1" applyFill="1" applyBorder="1" applyAlignment="1">
      <alignment shrinkToFit="1"/>
    </xf>
    <xf numFmtId="49" fontId="37" fillId="0" borderId="0" xfId="0" applyNumberFormat="1" applyFont="1" applyFill="1" applyBorder="1" applyAlignment="1">
      <alignment shrinkToFit="1"/>
    </xf>
    <xf numFmtId="49" fontId="37" fillId="0" borderId="34" xfId="0" applyNumberFormat="1" applyFont="1" applyFill="1" applyBorder="1" applyAlignment="1">
      <alignment shrinkToFit="1"/>
    </xf>
    <xf numFmtId="49" fontId="17" fillId="3" borderId="0" xfId="0" applyNumberFormat="1" applyFont="1" applyFill="1" applyBorder="1" applyAlignment="1"/>
    <xf numFmtId="0" fontId="17" fillId="2" borderId="0" xfId="0" applyFont="1" applyBorder="1" applyAlignment="1"/>
    <xf numFmtId="169" fontId="40" fillId="0" borderId="32" xfId="0" applyNumberFormat="1" applyFont="1" applyFill="1" applyBorder="1" applyAlignment="1">
      <alignment horizontal="center" vertical="center"/>
    </xf>
    <xf numFmtId="0" fontId="25" fillId="0" borderId="0" xfId="0" applyFont="1" applyFill="1" applyAlignment="1">
      <alignment horizontal="center" vertical="center"/>
    </xf>
    <xf numFmtId="0" fontId="25" fillId="0" borderId="34" xfId="0" applyFont="1" applyFill="1" applyBorder="1" applyAlignment="1">
      <alignment horizontal="center" vertical="center"/>
    </xf>
    <xf numFmtId="0" fontId="35" fillId="0" borderId="0" xfId="0" applyFont="1" applyFill="1" applyAlignment="1">
      <alignment horizontal="left"/>
    </xf>
    <xf numFmtId="0" fontId="35" fillId="0" borderId="34" xfId="0" applyFont="1" applyFill="1" applyBorder="1" applyAlignment="1">
      <alignment horizontal="left"/>
    </xf>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35" fillId="0" borderId="0" xfId="0" applyNumberFormat="1" applyFont="1" applyFill="1" applyBorder="1" applyAlignment="1">
      <alignment horizontal="left"/>
    </xf>
    <xf numFmtId="49" fontId="35"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5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9" t="s">
        <v>0</v>
      </c>
      <c r="E4" s="140"/>
      <c r="F4" s="14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1" t="s">
        <v>2</v>
      </c>
      <c r="E10" s="14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3" t="s">
        <v>47</v>
      </c>
      <c r="E19" s="14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4" t="str">
        <f>LOWER(TemplateInformation!B3)</f>
        <v>c:\program files\microsoft office\office\macrolib\factbd.xls</v>
      </c>
      <c r="G33" s="14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1" t="s">
        <v>16</v>
      </c>
      <c r="E36" s="14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9" zoomScale="95" workbookViewId="0">
      <selection activeCell="E33" sqref="E33:J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85"/>
      <c r="M9" s="185"/>
      <c r="N9" s="3"/>
      <c r="O9" s="9"/>
    </row>
    <row r="10" spans="1:15" x14ac:dyDescent="0.2">
      <c r="A10" s="7"/>
      <c r="B10" s="3"/>
      <c r="C10" s="3"/>
      <c r="D10" s="3"/>
      <c r="E10" s="3"/>
      <c r="F10" s="3"/>
      <c r="G10" s="3"/>
      <c r="H10" s="3"/>
      <c r="I10" s="3"/>
      <c r="J10" s="3"/>
      <c r="K10" s="3"/>
      <c r="L10" s="184"/>
      <c r="M10" s="184"/>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205" t="s">
        <v>75</v>
      </c>
      <c r="M13" s="205"/>
      <c r="N13" s="3"/>
      <c r="O13" s="9"/>
    </row>
    <row r="14" spans="1:15" ht="3" customHeight="1" thickTop="1" x14ac:dyDescent="0.3">
      <c r="A14" s="7"/>
      <c r="B14" s="3"/>
      <c r="C14" s="60"/>
      <c r="D14" s="60"/>
      <c r="E14" s="60"/>
      <c r="F14" s="60"/>
      <c r="G14" s="60"/>
      <c r="H14" s="60"/>
      <c r="I14" s="61"/>
      <c r="J14" s="61"/>
      <c r="K14" s="61"/>
      <c r="L14" s="205"/>
      <c r="M14" s="205"/>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206" t="s">
        <v>64</v>
      </c>
      <c r="E16" s="207"/>
      <c r="F16" s="207"/>
      <c r="G16" s="207"/>
      <c r="H16" s="207"/>
      <c r="I16" s="207"/>
      <c r="J16" s="88"/>
      <c r="K16" s="91" t="s">
        <v>18</v>
      </c>
      <c r="L16" s="204">
        <v>44739</v>
      </c>
      <c r="M16" s="204"/>
      <c r="N16" s="57"/>
      <c r="O16" s="9"/>
    </row>
    <row r="17" spans="1:15" x14ac:dyDescent="0.2">
      <c r="A17" s="7"/>
      <c r="B17" s="3"/>
      <c r="C17" s="88" t="s">
        <v>5</v>
      </c>
      <c r="D17" s="155"/>
      <c r="E17" s="156"/>
      <c r="F17" s="156"/>
      <c r="G17" s="156"/>
      <c r="H17" s="156"/>
      <c r="I17" s="156"/>
      <c r="J17" s="88"/>
      <c r="K17" s="120" t="s">
        <v>59</v>
      </c>
      <c r="L17" s="154"/>
      <c r="M17" s="154"/>
      <c r="N17" s="58"/>
      <c r="O17" s="9"/>
    </row>
    <row r="18" spans="1:15" ht="15" x14ac:dyDescent="0.25">
      <c r="A18" s="7"/>
      <c r="B18" s="3"/>
      <c r="C18" s="88" t="s">
        <v>7</v>
      </c>
      <c r="D18" s="96"/>
      <c r="E18" s="97" t="s">
        <v>8</v>
      </c>
      <c r="F18" s="159" t="s">
        <v>58</v>
      </c>
      <c r="G18" s="160"/>
      <c r="H18" s="98" t="s">
        <v>9</v>
      </c>
      <c r="I18" s="95" t="s">
        <v>53</v>
      </c>
      <c r="J18" s="88"/>
      <c r="K18" s="91" t="s">
        <v>19</v>
      </c>
      <c r="L18" s="157" t="s">
        <v>67</v>
      </c>
      <c r="M18" s="157"/>
      <c r="N18" s="3"/>
      <c r="O18" s="9"/>
    </row>
    <row r="19" spans="1:15" x14ac:dyDescent="0.2">
      <c r="A19" s="7"/>
      <c r="B19" s="3"/>
      <c r="C19" s="88" t="s">
        <v>20</v>
      </c>
      <c r="D19" s="208"/>
      <c r="E19" s="209"/>
      <c r="F19" s="209"/>
      <c r="G19" s="209"/>
      <c r="H19" s="209"/>
      <c r="I19" s="209"/>
      <c r="J19" s="88"/>
      <c r="K19" s="91" t="s">
        <v>49</v>
      </c>
      <c r="L19" s="158" t="s">
        <v>66</v>
      </c>
      <c r="M19" s="158"/>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46" t="s">
        <v>22</v>
      </c>
      <c r="F21" s="147"/>
      <c r="G21" s="147"/>
      <c r="H21" s="147"/>
      <c r="I21" s="147"/>
      <c r="J21" s="148"/>
      <c r="K21" s="70" t="s">
        <v>36</v>
      </c>
      <c r="L21" s="53" t="s">
        <v>57</v>
      </c>
      <c r="M21" s="54" t="s">
        <v>23</v>
      </c>
      <c r="N21" s="59"/>
      <c r="O21" s="9"/>
    </row>
    <row r="22" spans="1:15" ht="15.75" x14ac:dyDescent="0.25">
      <c r="A22" s="7"/>
      <c r="B22" s="3"/>
      <c r="C22" s="101"/>
      <c r="D22" s="79"/>
      <c r="E22" s="149"/>
      <c r="F22" s="150"/>
      <c r="G22" s="150"/>
      <c r="H22" s="150"/>
      <c r="I22" s="150"/>
      <c r="J22" s="151"/>
      <c r="K22" s="80"/>
      <c r="L22" s="107"/>
      <c r="M22" s="105" t="str">
        <f t="shared" ref="M22:M46" si="0">IF(D22&lt;&gt;"",D22*L22,"")</f>
        <v/>
      </c>
      <c r="N22" s="59"/>
      <c r="O22" s="9"/>
    </row>
    <row r="23" spans="1:15" ht="15.75" x14ac:dyDescent="0.25">
      <c r="A23" s="7"/>
      <c r="B23" s="3"/>
      <c r="C23" s="129"/>
      <c r="D23" s="79"/>
      <c r="E23" s="172"/>
      <c r="F23" s="173"/>
      <c r="G23" s="173"/>
      <c r="H23" s="173"/>
      <c r="I23" s="173"/>
      <c r="J23" s="174"/>
      <c r="K23" s="80"/>
      <c r="L23" s="107"/>
      <c r="M23" s="105" t="str">
        <f t="shared" si="0"/>
        <v/>
      </c>
      <c r="N23" s="59"/>
      <c r="O23" s="9"/>
    </row>
    <row r="24" spans="1:15" ht="15.75" x14ac:dyDescent="0.25">
      <c r="A24" s="7"/>
      <c r="B24" s="3"/>
      <c r="C24" s="129"/>
      <c r="D24" s="79"/>
      <c r="E24" s="172"/>
      <c r="F24" s="173"/>
      <c r="G24" s="173"/>
      <c r="H24" s="173"/>
      <c r="I24" s="173"/>
      <c r="J24" s="174"/>
      <c r="K24" s="109"/>
      <c r="L24" s="107"/>
      <c r="M24" s="105" t="str">
        <f t="shared" si="0"/>
        <v/>
      </c>
      <c r="N24" s="59"/>
      <c r="O24" s="9"/>
    </row>
    <row r="25" spans="1:15" ht="19.5" x14ac:dyDescent="0.4">
      <c r="A25" s="7"/>
      <c r="B25" s="3"/>
      <c r="C25" s="129">
        <v>2120</v>
      </c>
      <c r="D25" s="79">
        <v>1</v>
      </c>
      <c r="E25" s="152" t="s">
        <v>69</v>
      </c>
      <c r="F25" s="153"/>
      <c r="G25" s="153"/>
      <c r="H25" s="153"/>
      <c r="I25" s="153"/>
      <c r="J25" s="177"/>
      <c r="K25" s="115"/>
      <c r="L25" s="107">
        <v>300</v>
      </c>
      <c r="M25" s="105">
        <f t="shared" si="0"/>
        <v>300</v>
      </c>
      <c r="N25" s="59"/>
      <c r="O25" s="9"/>
    </row>
    <row r="26" spans="1:15" ht="22.5" x14ac:dyDescent="0.45">
      <c r="A26" s="7"/>
      <c r="B26" s="3"/>
      <c r="C26" s="129"/>
      <c r="D26" s="79"/>
      <c r="E26" s="189"/>
      <c r="F26" s="190"/>
      <c r="G26" s="190"/>
      <c r="H26" s="190"/>
      <c r="I26" s="190"/>
      <c r="J26" s="191"/>
      <c r="K26" s="80"/>
      <c r="L26" s="107"/>
      <c r="M26" s="105" t="str">
        <f t="shared" si="0"/>
        <v/>
      </c>
      <c r="N26" s="59"/>
      <c r="O26" s="9"/>
    </row>
    <row r="27" spans="1:15" ht="19.5" x14ac:dyDescent="0.4">
      <c r="A27" s="7"/>
      <c r="B27" s="3"/>
      <c r="C27" s="129">
        <v>94111</v>
      </c>
      <c r="D27" s="79">
        <v>1</v>
      </c>
      <c r="E27" s="152" t="s">
        <v>70</v>
      </c>
      <c r="F27" s="153"/>
      <c r="G27" s="153"/>
      <c r="H27" s="153"/>
      <c r="I27" s="153"/>
      <c r="J27" s="177"/>
      <c r="K27" s="80"/>
      <c r="L27" s="107">
        <v>580</v>
      </c>
      <c r="M27" s="105">
        <f t="shared" si="0"/>
        <v>580</v>
      </c>
      <c r="N27" s="59"/>
      <c r="O27" s="9"/>
    </row>
    <row r="28" spans="1:15" ht="22.5" x14ac:dyDescent="0.45">
      <c r="A28" s="7"/>
      <c r="B28" s="3"/>
      <c r="C28" s="129"/>
      <c r="D28" s="79"/>
      <c r="E28" s="161"/>
      <c r="F28" s="162"/>
      <c r="G28" s="162"/>
      <c r="H28" s="162"/>
      <c r="I28" s="162"/>
      <c r="J28" s="163"/>
      <c r="K28" s="80"/>
      <c r="L28" s="107"/>
      <c r="M28" s="105" t="str">
        <f t="shared" si="0"/>
        <v/>
      </c>
      <c r="N28" s="59"/>
      <c r="O28" s="9"/>
    </row>
    <row r="29" spans="1:15" ht="19.5" x14ac:dyDescent="0.4">
      <c r="A29" s="7"/>
      <c r="B29" s="3"/>
      <c r="C29" s="129">
        <v>2034080</v>
      </c>
      <c r="D29" s="79">
        <v>1</v>
      </c>
      <c r="E29" s="152" t="s">
        <v>68</v>
      </c>
      <c r="F29" s="153"/>
      <c r="G29" s="153"/>
      <c r="H29" s="153"/>
      <c r="I29" s="153"/>
      <c r="J29" s="177"/>
      <c r="K29" s="80"/>
      <c r="L29" s="107">
        <v>35</v>
      </c>
      <c r="M29" s="105">
        <f t="shared" si="0"/>
        <v>35</v>
      </c>
      <c r="N29" s="59"/>
      <c r="O29" s="9"/>
    </row>
    <row r="30" spans="1:15" ht="26.25" x14ac:dyDescent="0.2">
      <c r="A30" s="7"/>
      <c r="B30" s="3"/>
      <c r="C30" s="129"/>
      <c r="D30" s="79"/>
      <c r="E30" s="181"/>
      <c r="F30" s="182"/>
      <c r="G30" s="182"/>
      <c r="H30" s="182"/>
      <c r="I30" s="182"/>
      <c r="J30" s="183"/>
      <c r="K30" s="80"/>
      <c r="L30" s="107"/>
      <c r="M30" s="105" t="str">
        <f t="shared" si="0"/>
        <v/>
      </c>
      <c r="N30" s="59"/>
      <c r="O30" s="9"/>
    </row>
    <row r="31" spans="1:15" ht="19.5" x14ac:dyDescent="0.4">
      <c r="A31" s="7"/>
      <c r="B31" s="3"/>
      <c r="C31" s="129">
        <v>2075</v>
      </c>
      <c r="D31" s="79">
        <v>1</v>
      </c>
      <c r="E31" s="152" t="s">
        <v>76</v>
      </c>
      <c r="F31" s="153"/>
      <c r="G31" s="153"/>
      <c r="H31" s="153"/>
      <c r="I31" s="153"/>
      <c r="J31" s="128"/>
      <c r="K31" s="80"/>
      <c r="L31" s="107">
        <v>2940</v>
      </c>
      <c r="M31" s="105">
        <f t="shared" si="0"/>
        <v>2940</v>
      </c>
      <c r="N31" s="59"/>
      <c r="O31" s="9"/>
    </row>
    <row r="32" spans="1:15" ht="15" x14ac:dyDescent="0.2">
      <c r="A32" s="7"/>
      <c r="B32" s="3"/>
      <c r="C32" s="129"/>
      <c r="D32" s="55"/>
      <c r="E32" s="194"/>
      <c r="F32" s="195"/>
      <c r="G32" s="195"/>
      <c r="H32" s="195"/>
      <c r="I32" s="195"/>
      <c r="J32" s="196"/>
      <c r="K32" s="80"/>
      <c r="L32" s="107"/>
      <c r="M32" s="105" t="str">
        <f t="shared" si="0"/>
        <v/>
      </c>
      <c r="N32" s="59"/>
      <c r="O32" s="9"/>
    </row>
    <row r="33" spans="1:15" ht="19.5" x14ac:dyDescent="0.4">
      <c r="A33" s="7"/>
      <c r="B33" s="3"/>
      <c r="C33" s="138">
        <v>2078</v>
      </c>
      <c r="D33" s="55">
        <v>1</v>
      </c>
      <c r="E33" s="166" t="s">
        <v>73</v>
      </c>
      <c r="F33" s="202"/>
      <c r="G33" s="202"/>
      <c r="H33" s="202"/>
      <c r="I33" s="202"/>
      <c r="J33" s="203"/>
      <c r="K33" s="80"/>
      <c r="L33" s="107">
        <v>2189</v>
      </c>
      <c r="M33" s="105">
        <f t="shared" si="0"/>
        <v>2189</v>
      </c>
      <c r="N33" s="59"/>
      <c r="O33" s="9"/>
    </row>
    <row r="34" spans="1:15" ht="15" x14ac:dyDescent="0.2">
      <c r="A34" s="7"/>
      <c r="B34" s="3"/>
      <c r="C34" s="129"/>
      <c r="D34" s="55"/>
      <c r="E34" s="169"/>
      <c r="F34" s="170"/>
      <c r="G34" s="170"/>
      <c r="H34" s="170"/>
      <c r="I34" s="170"/>
      <c r="J34" s="171"/>
      <c r="K34" s="80"/>
      <c r="L34" s="107"/>
      <c r="M34" s="105" t="str">
        <f t="shared" si="0"/>
        <v/>
      </c>
      <c r="N34" s="59"/>
      <c r="O34" s="9"/>
    </row>
    <row r="35" spans="1:15" ht="15" x14ac:dyDescent="0.2">
      <c r="A35" s="7"/>
      <c r="B35" s="3"/>
      <c r="C35" s="129"/>
      <c r="D35" s="55"/>
      <c r="E35" s="169"/>
      <c r="F35" s="170"/>
      <c r="G35" s="170"/>
      <c r="H35" s="170"/>
      <c r="I35" s="170"/>
      <c r="J35" s="171"/>
      <c r="K35" s="80"/>
      <c r="L35" s="107"/>
      <c r="M35" s="105" t="str">
        <f t="shared" si="0"/>
        <v/>
      </c>
      <c r="N35" s="59"/>
      <c r="O35" s="9"/>
    </row>
    <row r="36" spans="1:15" ht="19.5" x14ac:dyDescent="0.4">
      <c r="A36" s="7"/>
      <c r="B36" s="3"/>
      <c r="C36" s="129">
        <v>999</v>
      </c>
      <c r="D36" s="55">
        <v>1</v>
      </c>
      <c r="E36" s="166" t="s">
        <v>71</v>
      </c>
      <c r="F36" s="197"/>
      <c r="G36" s="197"/>
      <c r="H36" s="197"/>
      <c r="I36" s="197"/>
      <c r="J36" s="198"/>
      <c r="K36" s="80"/>
      <c r="L36" s="107">
        <v>420</v>
      </c>
      <c r="M36" s="105">
        <f t="shared" si="0"/>
        <v>420</v>
      </c>
      <c r="N36" s="59"/>
      <c r="O36" s="9"/>
    </row>
    <row r="37" spans="1:15" ht="15" x14ac:dyDescent="0.2">
      <c r="A37" s="7"/>
      <c r="B37" s="3"/>
      <c r="C37" s="129"/>
      <c r="D37" s="55"/>
      <c r="E37" s="169"/>
      <c r="F37" s="170"/>
      <c r="G37" s="170"/>
      <c r="H37" s="170"/>
      <c r="I37" s="170"/>
      <c r="J37" s="171"/>
      <c r="K37" s="80"/>
      <c r="L37" s="107"/>
      <c r="M37" s="105" t="str">
        <f t="shared" si="0"/>
        <v/>
      </c>
      <c r="N37" s="59"/>
      <c r="O37" s="9"/>
    </row>
    <row r="38" spans="1:15" ht="19.5" x14ac:dyDescent="0.4">
      <c r="A38" s="7"/>
      <c r="B38" s="3"/>
      <c r="C38" s="129">
        <v>1963</v>
      </c>
      <c r="D38" s="55">
        <v>1</v>
      </c>
      <c r="E38" s="166" t="s">
        <v>72</v>
      </c>
      <c r="F38" s="167"/>
      <c r="G38" s="167"/>
      <c r="H38" s="167"/>
      <c r="I38" s="167"/>
      <c r="J38" s="168"/>
      <c r="K38" s="80"/>
      <c r="L38" s="107">
        <v>230</v>
      </c>
      <c r="M38" s="105">
        <f t="shared" si="0"/>
        <v>230</v>
      </c>
      <c r="N38" s="59"/>
      <c r="O38" s="9"/>
    </row>
    <row r="39" spans="1:15" ht="15.75" x14ac:dyDescent="0.25">
      <c r="A39" s="7"/>
      <c r="B39" s="3"/>
      <c r="C39" s="129"/>
      <c r="D39" s="55"/>
      <c r="E39" s="110"/>
      <c r="F39" s="111"/>
      <c r="G39" s="111"/>
      <c r="H39" s="111"/>
      <c r="I39" s="111"/>
      <c r="J39" s="112"/>
      <c r="K39" s="80"/>
      <c r="L39" s="107"/>
      <c r="M39" s="105" t="str">
        <f t="shared" si="0"/>
        <v/>
      </c>
      <c r="N39" s="59"/>
      <c r="O39" s="9"/>
    </row>
    <row r="40" spans="1:15" ht="19.5" x14ac:dyDescent="0.4">
      <c r="A40" s="7"/>
      <c r="B40" s="3"/>
      <c r="C40" s="129">
        <v>981</v>
      </c>
      <c r="D40" s="55">
        <v>1</v>
      </c>
      <c r="E40" s="136" t="s">
        <v>74</v>
      </c>
      <c r="F40" s="113"/>
      <c r="G40" s="113"/>
      <c r="H40" s="113"/>
      <c r="I40" s="113"/>
      <c r="J40" s="114"/>
      <c r="K40" s="80"/>
      <c r="L40" s="107">
        <v>24</v>
      </c>
      <c r="M40" s="105">
        <f t="shared" si="0"/>
        <v>24</v>
      </c>
      <c r="N40" s="59"/>
      <c r="O40" s="9"/>
    </row>
    <row r="41" spans="1:15" ht="19.5" x14ac:dyDescent="0.4">
      <c r="A41" s="7"/>
      <c r="B41" s="3"/>
      <c r="C41" s="137"/>
      <c r="D41" s="130"/>
      <c r="E41" s="132"/>
      <c r="F41" s="133"/>
      <c r="G41" s="133"/>
      <c r="H41" s="133"/>
      <c r="I41" s="133"/>
      <c r="J41" s="134"/>
      <c r="K41" s="135"/>
      <c r="L41" s="131"/>
      <c r="M41" s="105" t="str">
        <f t="shared" si="0"/>
        <v/>
      </c>
      <c r="N41" s="59"/>
      <c r="O41" s="9"/>
    </row>
    <row r="42" spans="1:15" ht="19.5" x14ac:dyDescent="0.4">
      <c r="A42" s="7"/>
      <c r="B42" s="3"/>
      <c r="C42" s="129"/>
      <c r="D42" s="55"/>
      <c r="E42" s="136"/>
      <c r="F42" s="111"/>
      <c r="G42" s="111"/>
      <c r="H42" s="111"/>
      <c r="I42" s="111"/>
      <c r="J42" s="112"/>
      <c r="K42" s="80"/>
      <c r="L42" s="107"/>
      <c r="M42" s="105"/>
      <c r="N42" s="59"/>
      <c r="O42" s="9"/>
    </row>
    <row r="43" spans="1:15" ht="15.75" x14ac:dyDescent="0.25">
      <c r="A43" s="7"/>
      <c r="B43" s="3"/>
      <c r="C43" s="129"/>
      <c r="D43" s="55"/>
      <c r="E43" s="110"/>
      <c r="F43" s="111"/>
      <c r="G43" s="111"/>
      <c r="H43" s="111"/>
      <c r="I43" s="111"/>
      <c r="J43" s="112"/>
      <c r="K43" s="80"/>
      <c r="L43" s="107"/>
      <c r="M43" s="105"/>
      <c r="N43" s="59"/>
      <c r="O43" s="9"/>
    </row>
    <row r="44" spans="1:15" ht="19.5" x14ac:dyDescent="0.4">
      <c r="A44" s="7"/>
      <c r="B44" s="3"/>
      <c r="C44" s="129"/>
      <c r="D44" s="55"/>
      <c r="E44" s="136"/>
      <c r="F44" s="111"/>
      <c r="G44" s="111"/>
      <c r="H44" s="111"/>
      <c r="I44" s="111"/>
      <c r="J44" s="112"/>
      <c r="K44" s="80"/>
      <c r="L44" s="107"/>
      <c r="M44" s="105"/>
      <c r="N44" s="59"/>
      <c r="O44" s="9"/>
    </row>
    <row r="45" spans="1:15" ht="15.75" x14ac:dyDescent="0.25">
      <c r="A45" s="7"/>
      <c r="B45" s="3"/>
      <c r="C45" s="101"/>
      <c r="D45" s="55"/>
      <c r="E45" s="123"/>
      <c r="F45" s="103"/>
      <c r="G45" s="103"/>
      <c r="H45" s="103"/>
      <c r="I45" s="103"/>
      <c r="J45" s="104"/>
      <c r="K45" s="80"/>
      <c r="L45" s="107"/>
      <c r="M45" s="105" t="str">
        <f t="shared" si="0"/>
        <v/>
      </c>
      <c r="N45" s="59"/>
      <c r="O45" s="9"/>
    </row>
    <row r="46" spans="1:15" ht="15" x14ac:dyDescent="0.2">
      <c r="A46" s="7"/>
      <c r="B46" s="3"/>
      <c r="C46" s="102"/>
      <c r="D46" s="56"/>
      <c r="E46" s="199"/>
      <c r="F46" s="200"/>
      <c r="G46" s="200"/>
      <c r="H46" s="200"/>
      <c r="I46" s="200"/>
      <c r="J46" s="201"/>
      <c r="K46" s="81"/>
      <c r="L46" s="108"/>
      <c r="M46" s="106" t="str">
        <f t="shared" si="0"/>
        <v/>
      </c>
      <c r="N46" s="59"/>
      <c r="O46" s="9"/>
    </row>
    <row r="47" spans="1:15" ht="15" x14ac:dyDescent="0.2">
      <c r="A47" s="7"/>
      <c r="B47" s="3"/>
      <c r="C47" s="3"/>
      <c r="D47" s="88"/>
      <c r="E47" s="88"/>
      <c r="F47" s="88"/>
      <c r="G47" s="88"/>
      <c r="H47" s="88"/>
      <c r="I47" s="82"/>
      <c r="J47" s="82"/>
      <c r="K47" s="82"/>
      <c r="L47" s="116" t="s">
        <v>24</v>
      </c>
      <c r="M47" s="121">
        <f>SUM(M24:M43)</f>
        <v>6718</v>
      </c>
      <c r="N47" s="59"/>
      <c r="O47" s="9"/>
    </row>
    <row r="48" spans="1:15" ht="15" x14ac:dyDescent="0.2">
      <c r="A48" s="7"/>
      <c r="B48" s="3"/>
      <c r="C48" s="3"/>
      <c r="D48" s="88"/>
      <c r="E48" s="88"/>
      <c r="F48" s="88"/>
      <c r="G48" s="88"/>
      <c r="H48" s="88"/>
      <c r="I48" s="82"/>
      <c r="J48" s="82"/>
      <c r="K48" s="82"/>
      <c r="L48" s="119" t="s">
        <v>48</v>
      </c>
      <c r="M48" s="127">
        <v>0.6</v>
      </c>
      <c r="N48" s="59"/>
      <c r="O48" s="9"/>
    </row>
    <row r="49" spans="1:15" ht="15" x14ac:dyDescent="0.2">
      <c r="A49" s="7"/>
      <c r="B49" s="3"/>
      <c r="C49" s="3"/>
      <c r="D49" s="90"/>
      <c r="E49" s="91" t="s">
        <v>25</v>
      </c>
      <c r="F49" s="88"/>
      <c r="G49" s="88"/>
      <c r="H49" s="88"/>
      <c r="I49" s="84"/>
      <c r="J49" s="84"/>
      <c r="K49" s="83"/>
      <c r="L49" s="117">
        <f>19%</f>
        <v>0.19</v>
      </c>
      <c r="M49" s="127">
        <f>+M47*19%</f>
        <v>1276.42</v>
      </c>
      <c r="N49" s="59"/>
      <c r="O49" s="9"/>
    </row>
    <row r="50" spans="1:15" ht="15.75" x14ac:dyDescent="0.25">
      <c r="A50" s="7"/>
      <c r="B50" s="3"/>
      <c r="C50" s="3"/>
      <c r="D50" s="92"/>
      <c r="E50" s="91" t="s">
        <v>26</v>
      </c>
      <c r="F50" s="94"/>
      <c r="G50" s="92"/>
      <c r="H50" s="88"/>
      <c r="I50" s="85"/>
      <c r="J50" s="82"/>
      <c r="K50" s="82"/>
      <c r="L50" s="118" t="s">
        <v>28</v>
      </c>
      <c r="M50" s="122">
        <f>+M47+M48+M49</f>
        <v>7995.02</v>
      </c>
      <c r="N50" s="59"/>
      <c r="O50" s="9"/>
    </row>
    <row r="51" spans="1:15" ht="15.75" x14ac:dyDescent="0.25">
      <c r="A51" s="7"/>
      <c r="B51" s="3"/>
      <c r="C51" s="3"/>
      <c r="D51" s="92">
        <v>2</v>
      </c>
      <c r="E51" s="125" t="s">
        <v>65</v>
      </c>
      <c r="F51" s="125"/>
      <c r="G51" s="125"/>
      <c r="H51" s="124"/>
      <c r="I51" s="124"/>
      <c r="J51" s="82"/>
      <c r="K51" s="82"/>
      <c r="L51" s="87"/>
      <c r="M51" s="87"/>
      <c r="N51" s="59"/>
      <c r="O51" s="9"/>
    </row>
    <row r="52" spans="1:15" ht="15.75" customHeight="1" x14ac:dyDescent="0.25">
      <c r="A52" s="7"/>
      <c r="B52" s="3"/>
      <c r="C52" s="3"/>
      <c r="D52" s="89"/>
      <c r="E52" s="89"/>
      <c r="F52" s="88"/>
      <c r="G52" s="89"/>
      <c r="H52" s="88"/>
      <c r="I52" s="86" t="s">
        <v>27</v>
      </c>
      <c r="J52" s="82"/>
      <c r="K52" s="82"/>
      <c r="L52" s="87"/>
      <c r="M52" s="87" t="s">
        <v>55</v>
      </c>
      <c r="N52" s="59"/>
      <c r="O52" s="9"/>
    </row>
    <row r="53" spans="1:15" ht="15" x14ac:dyDescent="0.2">
      <c r="A53" s="7"/>
      <c r="B53" s="180"/>
      <c r="C53" s="180"/>
      <c r="D53" s="180"/>
      <c r="E53" s="180"/>
      <c r="F53" s="180"/>
      <c r="G53" s="180"/>
      <c r="H53" s="180"/>
      <c r="I53" s="180"/>
      <c r="J53" s="180"/>
      <c r="K53" s="180"/>
      <c r="L53" s="180"/>
      <c r="M53" s="180"/>
      <c r="N53" s="59"/>
      <c r="O53" s="9"/>
    </row>
    <row r="54" spans="1:15" ht="17.100000000000001" customHeight="1" x14ac:dyDescent="0.2">
      <c r="A54" s="7"/>
      <c r="B54" s="3"/>
      <c r="C54" s="3"/>
      <c r="D54" s="93"/>
      <c r="E54" s="175"/>
      <c r="F54" s="176"/>
      <c r="G54" s="176"/>
      <c r="H54" s="176"/>
      <c r="I54" s="84"/>
      <c r="J54" s="82"/>
      <c r="K54" s="82"/>
      <c r="L54" s="82"/>
      <c r="M54" s="82"/>
      <c r="N54" s="59"/>
      <c r="O54" s="9"/>
    </row>
    <row r="55" spans="1:15" ht="17.100000000000001" customHeight="1" x14ac:dyDescent="0.2">
      <c r="A55" s="7"/>
      <c r="B55" s="3"/>
      <c r="C55" s="3"/>
      <c r="D55" s="20"/>
      <c r="E55" s="192"/>
      <c r="F55" s="193"/>
      <c r="G55" s="193"/>
      <c r="H55" s="193"/>
      <c r="I55" s="84"/>
      <c r="J55" s="188" t="s">
        <v>56</v>
      </c>
      <c r="K55" s="188"/>
      <c r="L55" s="188"/>
      <c r="M55" s="188"/>
      <c r="N55" s="59"/>
      <c r="O55" s="9"/>
    </row>
    <row r="56" spans="1:15" ht="15" x14ac:dyDescent="0.2">
      <c r="A56" s="7"/>
      <c r="B56" s="3"/>
      <c r="C56" s="3"/>
      <c r="D56" s="20"/>
      <c r="E56" s="83"/>
      <c r="F56" s="186"/>
      <c r="G56" s="187"/>
      <c r="H56" s="187"/>
      <c r="I56" s="84"/>
      <c r="J56" s="188"/>
      <c r="K56" s="188"/>
      <c r="L56" s="188"/>
      <c r="M56" s="188"/>
      <c r="N56" s="59"/>
      <c r="O56" s="9"/>
    </row>
    <row r="57" spans="1:15" ht="15" customHeight="1" x14ac:dyDescent="0.2">
      <c r="A57" s="7"/>
      <c r="B57" s="3"/>
      <c r="C57" s="3"/>
      <c r="D57" s="3"/>
      <c r="E57" s="82"/>
      <c r="F57" s="82"/>
      <c r="G57" s="82"/>
      <c r="H57" s="82"/>
      <c r="I57" s="84"/>
      <c r="J57" s="188"/>
      <c r="K57" s="188"/>
      <c r="L57" s="188"/>
      <c r="M57" s="188"/>
      <c r="N57" s="59"/>
      <c r="O57" s="9"/>
    </row>
    <row r="58" spans="1:15" ht="15" customHeight="1" x14ac:dyDescent="0.2">
      <c r="A58" s="7"/>
      <c r="B58" s="126"/>
      <c r="C58" s="179" t="s">
        <v>60</v>
      </c>
      <c r="D58" s="179"/>
      <c r="E58" s="179"/>
      <c r="F58" s="179"/>
      <c r="G58" s="179"/>
      <c r="H58" s="179"/>
      <c r="I58" s="179"/>
      <c r="J58" s="179"/>
      <c r="K58" s="179"/>
      <c r="L58" s="179"/>
      <c r="M58" s="179"/>
      <c r="N58" s="59"/>
      <c r="O58" s="9"/>
    </row>
    <row r="59" spans="1:15" ht="15" customHeight="1" x14ac:dyDescent="0.2">
      <c r="A59" s="7"/>
      <c r="B59" s="126"/>
      <c r="C59" s="179" t="s">
        <v>61</v>
      </c>
      <c r="D59" s="179"/>
      <c r="E59" s="179"/>
      <c r="F59" s="179"/>
      <c r="G59" s="179"/>
      <c r="H59" s="179"/>
      <c r="I59" s="179"/>
      <c r="J59" s="179"/>
      <c r="K59" s="179"/>
      <c r="L59" s="179"/>
      <c r="M59" s="179"/>
      <c r="N59" s="59"/>
      <c r="O59" s="9"/>
    </row>
    <row r="60" spans="1:15" x14ac:dyDescent="0.2">
      <c r="A60" s="7"/>
      <c r="B60" s="179" t="s">
        <v>62</v>
      </c>
      <c r="C60" s="179"/>
      <c r="D60" s="179"/>
      <c r="E60" s="179"/>
      <c r="F60" s="179"/>
      <c r="G60" s="179"/>
      <c r="H60" s="179"/>
      <c r="I60" s="179"/>
      <c r="J60" s="179"/>
      <c r="K60" s="179"/>
      <c r="L60" s="179"/>
      <c r="M60" s="179"/>
      <c r="N60" s="59"/>
      <c r="O60" s="9"/>
    </row>
    <row r="61" spans="1:15" x14ac:dyDescent="0.2">
      <c r="A61" s="7"/>
      <c r="B61" s="126"/>
      <c r="C61" s="126"/>
      <c r="D61" s="178" t="s">
        <v>63</v>
      </c>
      <c r="E61" s="178"/>
      <c r="F61" s="178"/>
      <c r="G61" s="178"/>
      <c r="H61" s="178"/>
      <c r="I61" s="178"/>
      <c r="J61" s="178"/>
      <c r="K61" s="178"/>
      <c r="L61" s="178"/>
      <c r="M61" s="125"/>
      <c r="N61" s="59"/>
      <c r="O61" s="9"/>
    </row>
    <row r="62" spans="1:15" ht="15" x14ac:dyDescent="0.2">
      <c r="A62" s="7"/>
      <c r="B62" s="3"/>
      <c r="C62" s="3"/>
      <c r="D62" s="3"/>
      <c r="E62" s="100"/>
      <c r="F62" s="100"/>
      <c r="G62" s="100"/>
      <c r="H62" s="100"/>
      <c r="I62" s="100"/>
      <c r="J62" s="100"/>
      <c r="K62" s="100"/>
      <c r="L62" s="100"/>
      <c r="M62" s="82"/>
      <c r="N62" s="59"/>
      <c r="O62" s="9"/>
    </row>
    <row r="63" spans="1:15" ht="13.5" thickBot="1" x14ac:dyDescent="0.25">
      <c r="A63" s="7"/>
      <c r="B63" s="3"/>
      <c r="C63" s="3"/>
      <c r="D63" s="3"/>
      <c r="E63" s="3"/>
      <c r="F63" s="3"/>
      <c r="G63" s="3"/>
      <c r="H63" s="3"/>
      <c r="I63" s="3"/>
      <c r="J63" s="3"/>
      <c r="K63" s="3"/>
      <c r="L63" s="3"/>
      <c r="M63" s="3"/>
      <c r="N63" s="59"/>
      <c r="O63" s="9"/>
    </row>
    <row r="64" spans="1:15" ht="13.5" thickTop="1" x14ac:dyDescent="0.2">
      <c r="A64" s="60"/>
      <c r="B64" s="60"/>
      <c r="C64" s="60"/>
      <c r="D64" s="60"/>
      <c r="E64" s="60"/>
      <c r="F64" s="60"/>
      <c r="G64" s="60"/>
      <c r="H64" s="60"/>
      <c r="I64" s="60"/>
      <c r="J64" s="60"/>
      <c r="K64" s="60"/>
      <c r="L64" s="60"/>
      <c r="M64" s="60"/>
      <c r="N64" s="59"/>
      <c r="O64" s="9"/>
    </row>
    <row r="65" spans="1:15" x14ac:dyDescent="0.2">
      <c r="A65" s="164"/>
      <c r="B65" s="164"/>
      <c r="C65" s="164"/>
      <c r="D65" s="164"/>
      <c r="E65" s="164"/>
      <c r="F65" s="164"/>
      <c r="G65" s="164"/>
      <c r="H65" s="164"/>
      <c r="I65" s="164"/>
      <c r="J65" s="164"/>
      <c r="K65" s="164"/>
      <c r="L65" s="164"/>
      <c r="M65" s="3"/>
      <c r="N65" s="59"/>
      <c r="O65" s="9"/>
    </row>
    <row r="66" spans="1:15" ht="3" customHeight="1" x14ac:dyDescent="0.2">
      <c r="A66" s="165"/>
      <c r="B66" s="165"/>
      <c r="C66" s="165"/>
      <c r="D66" s="165"/>
      <c r="E66" s="165"/>
      <c r="F66" s="165"/>
      <c r="G66" s="165"/>
      <c r="H66" s="165"/>
      <c r="I66" s="165"/>
      <c r="J66" s="165"/>
      <c r="K66" s="165"/>
      <c r="L66" s="165"/>
      <c r="M66" s="3"/>
      <c r="N66" s="59"/>
      <c r="O66" s="9"/>
    </row>
    <row r="67" spans="1:15" x14ac:dyDescent="0.2">
      <c r="A67" s="165"/>
      <c r="B67" s="165"/>
      <c r="C67" s="165"/>
      <c r="D67" s="165"/>
      <c r="E67" s="165"/>
      <c r="F67" s="165"/>
      <c r="G67" s="165"/>
      <c r="H67" s="165"/>
      <c r="I67" s="165"/>
      <c r="J67" s="165"/>
      <c r="K67" s="165"/>
      <c r="L67" s="165"/>
      <c r="M67" s="3"/>
      <c r="N67" s="59"/>
      <c r="O67" s="9"/>
    </row>
    <row r="68" spans="1:15" ht="13.5" thickBot="1" x14ac:dyDescent="0.25">
      <c r="A68" s="11"/>
      <c r="B68" s="11"/>
      <c r="C68" s="11"/>
      <c r="D68" s="11"/>
      <c r="E68" s="11"/>
      <c r="F68" s="11"/>
      <c r="G68" s="11"/>
      <c r="H68" s="11"/>
      <c r="I68" s="11"/>
      <c r="J68" s="11"/>
      <c r="K68" s="11"/>
      <c r="L68" s="11"/>
      <c r="M68" s="11"/>
      <c r="N68" s="11"/>
      <c r="O68" s="12"/>
    </row>
    <row r="69" spans="1:15" ht="13.5" thickTop="1" x14ac:dyDescent="0.2"/>
    <row r="70" spans="1:15" ht="0.95" customHeight="1" x14ac:dyDescent="0.2"/>
    <row r="71"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41">
    <mergeCell ref="L10:M10"/>
    <mergeCell ref="L9:M9"/>
    <mergeCell ref="F56:H56"/>
    <mergeCell ref="J55:M57"/>
    <mergeCell ref="E26:J26"/>
    <mergeCell ref="E55:H55"/>
    <mergeCell ref="E32:J32"/>
    <mergeCell ref="E36:J36"/>
    <mergeCell ref="E37:J37"/>
    <mergeCell ref="E23:J23"/>
    <mergeCell ref="E46:J46"/>
    <mergeCell ref="E33:J33"/>
    <mergeCell ref="L16:M16"/>
    <mergeCell ref="L13:M14"/>
    <mergeCell ref="D16:I16"/>
    <mergeCell ref="D19:I19"/>
    <mergeCell ref="E65:L67"/>
    <mergeCell ref="E38:J38"/>
    <mergeCell ref="E34:J34"/>
    <mergeCell ref="E24:J24"/>
    <mergeCell ref="E35:J35"/>
    <mergeCell ref="E54:H54"/>
    <mergeCell ref="E27:J27"/>
    <mergeCell ref="E29:J29"/>
    <mergeCell ref="D61:L61"/>
    <mergeCell ref="A65:D67"/>
    <mergeCell ref="C58:M58"/>
    <mergeCell ref="C59:M59"/>
    <mergeCell ref="B53:M53"/>
    <mergeCell ref="B60:M60"/>
    <mergeCell ref="E25:J25"/>
    <mergeCell ref="E30:J30"/>
    <mergeCell ref="E21:J21"/>
    <mergeCell ref="E22:J22"/>
    <mergeCell ref="E31:I31"/>
    <mergeCell ref="L17:M17"/>
    <mergeCell ref="D17:I17"/>
    <mergeCell ref="L18:M18"/>
    <mergeCell ref="L19:M19"/>
    <mergeCell ref="F18:G18"/>
    <mergeCell ref="E28:J28"/>
  </mergeCells>
  <phoneticPr fontId="0" type="noConversion"/>
  <dataValidations xWindow="574" yWindow="401" count="13">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5 K54:M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5:L67"/>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1 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M46">
      <formula1>0</formula1>
      <formula2>0</formula2>
    </dataValidation>
    <dataValidation type="decimal" allowBlank="1" showErrorMessage="1" errorTitle="Prix unitaire" error="Tapez un nombre dans cette cellule." promptTitle="Prix unitaire" sqref="L22:L46">
      <formula1>0</formula1>
      <formula2>1000000000</formula2>
    </dataValidation>
    <dataValidation type="whole" errorStyle="warning" allowBlank="1" showErrorMessage="1" errorTitle="Quantité" error="Tapez un nombre dans cette cellule." promptTitle="Quantité" sqref="D22:D46">
      <formula1>0</formula1>
      <formula2>1000000000</formula2>
    </dataValidation>
    <dataValidation type="list" allowBlank="1" showInputMessage="1" showErrorMessage="1" errorTitle="Code TVA" error="Tapez 1, 2, ou 3." sqref="K22:K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50</xdr:row>
                    <xdr:rowOff>28575</xdr:rowOff>
                  </from>
                  <to>
                    <xdr:col>3</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44739</v>
      </c>
      <c r="D8" s="74" t="str">
        <f>Facture!$D$16</f>
        <v xml:space="preserve">EAET </v>
      </c>
      <c r="E8" s="71">
        <f>Facture!$D$17</f>
        <v>0</v>
      </c>
      <c r="F8" s="71">
        <f>Facture!$D$18</f>
        <v>0</v>
      </c>
      <c r="G8" s="74" t="str">
        <f>Facture!$F$18</f>
        <v>TUNIS</v>
      </c>
      <c r="H8" s="74" t="str">
        <f>Facture!$I$18</f>
        <v>TN</v>
      </c>
      <c r="I8" s="71">
        <f>Facture!$D$19</f>
        <v>0</v>
      </c>
      <c r="J8" s="75" t="str">
        <f>Facture!$M$52</f>
        <v/>
      </c>
      <c r="K8" s="71" t="str">
        <f>Facture!$L$18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2022-07-07T09:35:09Z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