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00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Facture!$L$39</definedName>
    <definedName name="_Tax3">Facture!$L$41</definedName>
    <definedName name="_tax4">Facture!$L$41</definedName>
    <definedName name="_xlnm.Auto_Open21">'AutoOpen Stub Data'!$A$1</definedName>
    <definedName name="boxes">Facture!$D$39:$D$40</definedName>
    <definedName name="CC">'Personnaliser votre facture'!$G$22:$G$25</definedName>
    <definedName name="CCT">Facture!$G$41</definedName>
    <definedName name="CDB">'Personnaliser votre facture'!$E$50</definedName>
    <definedName name="Country">33</definedName>
    <definedName name="CS">'Personnaliser votre facture'!$E$51</definedName>
    <definedName name="data1">Facture!$L$16</definedName>
    <definedName name="data10">Facture!$E$19</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Facture!$L$17</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Facture!$M$18</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Facture!$M$19</definedName>
    <definedName name="data40">Facture!#REF!</definedName>
    <definedName name="data41">Facture!#REF!</definedName>
    <definedName name="data42">Facture!#REF!</definedName>
    <definedName name="data43">Facture!#REF!</definedName>
    <definedName name="data44">Facture!#REF!</definedName>
    <definedName name="data45">Facture!$E$26</definedName>
    <definedName name="data46">Facture!#REF!</definedName>
    <definedName name="data47">Facture!$D$22</definedName>
    <definedName name="data48">Facture!$E$22</definedName>
    <definedName name="data49">Facture!$L$22</definedName>
    <definedName name="data5">Facture!$D$16</definedName>
    <definedName name="data50">Facture!#REF!</definedName>
    <definedName name="data51">Facture!#REF!</definedName>
    <definedName name="data52">Facture!#REF!</definedName>
    <definedName name="data53">Facture!$D$23</definedName>
    <definedName name="data54">Facture!$E$23</definedName>
    <definedName name="data55">Facture!$L$23</definedName>
    <definedName name="data56">Facture!#REF!</definedName>
    <definedName name="data57">Facture!#REF!</definedName>
    <definedName name="data58">Facture!#REF!</definedName>
    <definedName name="data59">Facture!$D$36</definedName>
    <definedName name="data6">Facture!$E$17</definedName>
    <definedName name="data60">Facture!$E$36</definedName>
    <definedName name="data61">Facture!$L$36</definedName>
    <definedName name="data62">Facture!$D$39</definedName>
    <definedName name="data63">Facture!$D$40</definedName>
    <definedName name="data64">Facture!$D$41</definedName>
    <definedName name="data65">Facture!$G$40</definedName>
    <definedName name="data66">Facture!$E$43</definedName>
    <definedName name="data67">Facture!$E$45</definedName>
    <definedName name="data68">Facture!$F$46</definedName>
    <definedName name="data69">Facture!$J$46</definedName>
    <definedName name="data7">Facture!$G$18</definedName>
    <definedName name="data70">Facture!$J$47</definedName>
    <definedName name="data8">Facture!$I$18</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Facture!$B$3:$N$57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Facture!$D$16:$I$16</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Facture!$L$16:$M$16</definedName>
    <definedName name="qzqzqz20">Facture!$E$26:$J$26</definedName>
    <definedName name="qzqzqz21">Facture!$E$22:$J$22</definedName>
    <definedName name="qzqzqz22">Facture!#REF!</definedName>
    <definedName name="qzqzqz23">Facture!$E$23:$J$23</definedName>
    <definedName name="qzqzqz24">Facture!#REF!</definedName>
    <definedName name="qzqzqz25">Facture!$E$36:$J$36</definedName>
    <definedName name="qzqzqz26">Facture!$E$43:$H$43</definedName>
    <definedName name="qzqzqz27">Facture!$E$44:$H$44</definedName>
    <definedName name="qzqzqz28">Facture!$E$45:$H$45</definedName>
    <definedName name="qzqzqz29">Facture!$J$45:$M$47</definedName>
    <definedName name="qzqzqz3">Facture!$D$17:$I$17</definedName>
    <definedName name="qzqzqz30">Facture!$F$46:$H$46</definedName>
    <definedName name="qzqzqz31">Facture!$F$46:$G$46</definedName>
    <definedName name="qzqzqz32">Facture!$J$44:$M$46</definedName>
    <definedName name="qzqzqz4">Facture!$F$18:$G$18</definedName>
    <definedName name="qzqzqz5">Facture!$L$18:$M$18</definedName>
    <definedName name="qzqzqz6">Facture!$D$19:$I$19</definedName>
    <definedName name="qzqzqz7">Facture!$L$19:$M$19</definedName>
    <definedName name="qzqzqz8">Facture!$E$21:$J$21</definedName>
    <definedName name="qzqzqz9">Facture!#REF!</definedName>
    <definedName name="SS">'Personnaliser votre facture'!$E$48</definedName>
    <definedName name="TOT">Facture!$M$42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Facture!$B$3:$N$57</definedName>
  </definedNames>
  <calcPr calcId="152511"/>
</workbook>
</file>

<file path=xl/calcChain.xml><?xml version="1.0" encoding="utf-8"?>
<calcChain xmlns="http://schemas.openxmlformats.org/spreadsheetml/2006/main">
  <c r="M28" i="3" l="1"/>
  <c r="M25" i="3"/>
  <c r="L39" i="3" l="1"/>
  <c r="M22" i="3" l="1"/>
  <c r="M37" i="3" s="1"/>
  <c r="M39" i="3" s="1"/>
  <c r="M40" i="3" s="1"/>
  <c r="F33" i="2" l="1"/>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3" authorId="1" shapeId="0">
      <text>
        <r>
          <rPr>
            <b/>
            <sz val="8"/>
            <color indexed="81"/>
            <rFont val="Tahoma"/>
            <family val="2"/>
          </rPr>
          <t>GAMESYSTEM:</t>
        </r>
        <r>
          <rPr>
            <sz val="8"/>
            <color indexed="81"/>
            <rFont val="Tahoma"/>
            <family val="2"/>
          </rPr>
          <t xml:space="preserve">
</t>
        </r>
      </text>
    </comment>
    <comment ref="K19"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3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<sst xmlns="http://schemas.openxmlformats.org/spreadsheetml/2006/main" count="88" uniqueCount="71">
  <si>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</si>
  <si>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</si>
  <si>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</si>
  <si>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</si>
  <si>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</si>
  <si>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</si>
  <si>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</si>
  <si>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</si>
  <si>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</si>
  <si>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</si>
  <si>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</si>
  <si>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</si>
  <si>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</si>
  <si>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</si>
  <si>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</si>
  <si>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</si>
  <si>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</si>
  <si>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</si>
  <si>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</si>
  <si>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</si>
  <si>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</si>
  <si>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</si>
  <si>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</si>
  <si>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</si>
  <si>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</si>
  <si>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</si>
  <si>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</si>
  <si>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</si>
  <si>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</si>
  <si>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</si>
  <si>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</si>
  <si>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</si>
  <si>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</si>
  <si>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</si>
  <si>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</si>
  <si>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</si>
  <si>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</si>
  <si>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</si>
  <si>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</si>
  <si>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</si>
  <si>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</si>
  <si>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</si>
  <si>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</si>
  <si>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</si>
  <si>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</si>
  <si>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</si>
  <si>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</si>
  <si>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</si>
  <si>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</si>
  <si>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</si>
  <si>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</si>
  <si>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</si>
  <si>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</si>
  <si>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</si>
  <si>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</si>
  <si>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</si>
  <si>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</si>
  <si>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</si>
  <si>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t>
  </si>
  <si>
    <t>N° BC :</t>
  </si>
  <si>
    <t>4 RUE DU CAIRE 1001 TUNIS TEL:  71 258108 FAX : 71 259346 RC:B161701999  MF:645 267 KMA 000</t>
  </si>
  <si>
    <t xml:space="preserve">        Site web:www.acrobatsolution.com</t>
  </si>
  <si>
    <t>MAIL: gamestream@plane.tn///////gamestream.formation@gmail.com</t>
  </si>
  <si>
    <t>RIB BANCAIRE :10 000 000 080746 3 788 95 STB HABIB THAMEUR</t>
  </si>
  <si>
    <t xml:space="preserve">Virement </t>
  </si>
  <si>
    <t xml:space="preserve">mousqueton </t>
  </si>
  <si>
    <t xml:space="preserve">harnais golden top </t>
  </si>
  <si>
    <t>devis    N° 2022-16577</t>
  </si>
  <si>
    <t>RIB: 10 000 000 080746 3788 95</t>
  </si>
  <si>
    <t>STB THAMEUR</t>
  </si>
  <si>
    <t xml:space="preserve">somapy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</si>
</sst>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quot;$&quot;* #,##0_);_(&quot;$&quot;* \(#,##0\);_(&quot;$&quot;* &quot;-&quot;_);_(@_)"/>
    <numFmt numFmtId="165" formatCode="_(&quot;$&quot;* #,##0.00_);_(&quot;$&quot;* \(#,##0.00\);_(&quot;$&quot;* &quot;-&quot;??_);_(@_)"/>
    <numFmt numFmtId="166" formatCode="#,##0.00\ &quot;F&quot;;[Red]\-#,##0.00\ &quot;F&quot;"/>
    <numFmt numFmtId="167" formatCode=";;;"/>
    <numFmt numFmtId="168" formatCode="#&quot; &quot;##0.000\ &quot;DT&quot;;[Red]\-#&quot; &quot;##0.\200\ &quot;DT&quot;"/>
  </numFmts>
  <fonts count="3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u/>
      <sz val="12"/>
      <name val="Arial"/>
      <family val="2"/>
    </font>
    <font>
      <b/>
      <sz val="8"/>
      <color indexed="81"/>
      <name val="Tahoma"/>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indexed="8"/>
      <name val="Arial"/>
      <family val="2"/>
    </font>
    <font>
      <sz val="10"/>
      <color indexed="8"/>
      <name val="Arial"/>
      <family val="2"/>
    </font>
    <font>
      <sz val="12"/>
      <name val="Arial Black"/>
      <family val="2"/>
    </font>
    <font>
      <b/>
      <sz val="11"/>
      <name val="Arial"/>
      <family val="2"/>
    </font>
    <font>
      <sz val="10"/>
      <name val="Arial Black"/>
      <family val="2"/>
    </font>
    <font>
      <sz val="11"/>
      <name val="Arial Black"/>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4" fontId="2" fillId="0" borderId="0" applyFont="0" applyFill="0" applyBorder="0" applyAlignment="0" applyProtection="0"/>
    <xf numFmtId="165"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6"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7" fillId="3" borderId="27" xfId="0" applyFont="1" applyFill="1" applyBorder="1" applyAlignment="1">
      <alignment horizontal="center"/>
    </xf>
    <xf numFmtId="0" fontId="17" fillId="3" borderId="34" xfId="0" applyFont="1" applyFill="1" applyBorder="1" applyAlignment="1"/>
    <xf numFmtId="0" fontId="17" fillId="3" borderId="36" xfId="0" applyFont="1" applyFill="1" applyBorder="1" applyAlignment="1"/>
    <xf numFmtId="0" fontId="17" fillId="3" borderId="0" xfId="0" applyFont="1" applyFill="1" applyBorder="1"/>
    <xf numFmtId="0" fontId="17" fillId="3" borderId="0" xfId="0" quotePrefix="1" applyFont="1" applyFill="1" applyBorder="1" applyAlignment="1">
      <alignment horizontal="right"/>
    </xf>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8" fillId="3" borderId="0" xfId="0" applyFont="1" applyFill="1" applyBorder="1" applyAlignment="1">
      <alignment horizontal="right"/>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0" fillId="4" borderId="0" xfId="0" applyFont="1" applyFill="1" applyBorder="1" applyAlignment="1"/>
    <xf numFmtId="0" fontId="19" fillId="3" borderId="0" xfId="0" applyFont="1" applyFill="1" applyBorder="1" applyAlignment="1">
      <alignment vertical="center" wrapText="1"/>
    </xf>
    <xf numFmtId="0" fontId="24" fillId="3" borderId="32" xfId="0" applyFont="1" applyFill="1" applyBorder="1" applyAlignment="1">
      <alignment horizontal="left"/>
    </xf>
    <xf numFmtId="0" fontId="24" fillId="3" borderId="33" xfId="0" applyFont="1" applyFill="1" applyBorder="1" applyAlignment="1">
      <alignment horizontal="left"/>
    </xf>
    <xf numFmtId="168" fontId="17" fillId="0" borderId="27" xfId="0" applyNumberFormat="1" applyFont="1" applyFill="1" applyBorder="1"/>
    <xf numFmtId="168" fontId="17" fillId="3" borderId="27" xfId="0" applyNumberFormat="1" applyFont="1" applyFill="1" applyBorder="1" applyAlignment="1"/>
    <xf numFmtId="168" fontId="17" fillId="3" borderId="28" xfId="0" applyNumberFormat="1" applyFont="1" applyFill="1" applyBorder="1" applyAlignment="1"/>
    <xf numFmtId="0" fontId="17" fillId="3" borderId="27" xfId="0" applyNumberFormat="1" applyFont="1" applyFill="1" applyBorder="1" applyAlignment="1"/>
    <xf numFmtId="49" fontId="28" fillId="0" borderId="32" xfId="0" applyNumberFormat="1" applyFont="1" applyFill="1" applyBorder="1" applyAlignment="1">
      <alignment horizontal="left"/>
    </xf>
    <xf numFmtId="0" fontId="17" fillId="3" borderId="26" xfId="0" quotePrefix="1" applyFont="1" applyFill="1" applyBorder="1" applyAlignment="1">
      <alignment horizontal="right"/>
    </xf>
    <xf numFmtId="10" fontId="17" fillId="0" borderId="26" xfId="0" quotePrefix="1" applyNumberFormat="1" applyFont="1" applyFill="1" applyBorder="1" applyAlignment="1">
      <alignment horizontal="center"/>
    </xf>
    <xf numFmtId="0" fontId="18" fillId="3" borderId="26" xfId="0" applyFont="1" applyFill="1" applyBorder="1" applyAlignment="1">
      <alignment horizontal="right"/>
    </xf>
    <xf numFmtId="0" fontId="24" fillId="3" borderId="26" xfId="0" applyFont="1" applyFill="1" applyBorder="1" applyAlignment="1">
      <alignment horizontal="right"/>
    </xf>
    <xf numFmtId="0" fontId="2" fillId="3" borderId="0" xfId="0" applyFont="1" applyFill="1" applyBorder="1" applyAlignment="1">
      <alignment horizontal="left"/>
    </xf>
    <xf numFmtId="168" fontId="29" fillId="0" borderId="44" xfId="0" applyNumberFormat="1" applyFont="1" applyFill="1" applyBorder="1"/>
    <xf numFmtId="168" fontId="30" fillId="0" borderId="45" xfId="0" applyNumberFormat="1" applyFont="1" applyFill="1" applyBorder="1"/>
    <xf numFmtId="0" fontId="17" fillId="3" borderId="0" xfId="0" quotePrefix="1" applyFont="1" applyFill="1" applyBorder="1" applyAlignment="1"/>
    <xf numFmtId="0" fontId="2" fillId="3" borderId="0" xfId="0" applyFont="1" applyFill="1" applyBorder="1" applyAlignment="1"/>
    <xf numFmtId="0" fontId="2" fillId="3" borderId="0" xfId="0" applyFont="1" applyFill="1" applyBorder="1"/>
    <xf numFmtId="168" fontId="30" fillId="0" borderId="44" xfId="0" applyNumberFormat="1" applyFont="1" applyFill="1" applyBorder="1"/>
    <xf numFmtId="0" fontId="24" fillId="3" borderId="32" xfId="0" applyFont="1" applyFill="1" applyBorder="1" applyAlignment="1">
      <alignment horizontal="center" vertical="center"/>
    </xf>
    <xf numFmtId="49" fontId="31"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0" fontId="33" fillId="0" borderId="0" xfId="0" applyFont="1" applyFill="1" applyAlignment="1">
      <alignment horizontal="left"/>
    </xf>
    <xf numFmtId="0" fontId="33" fillId="0" borderId="34" xfId="0" applyFont="1" applyFill="1" applyBorder="1" applyAlignment="1">
      <alignment horizontal="left"/>
    </xf>
    <xf numFmtId="49" fontId="31" fillId="0" borderId="32" xfId="0" applyNumberFormat="1" applyFont="1" applyFill="1" applyBorder="1" applyAlignment="1">
      <alignment horizontal="left"/>
    </xf>
    <xf numFmtId="49" fontId="34" fillId="0" borderId="32" xfId="0" applyNumberFormat="1" applyFont="1" applyFill="1" applyBorder="1" applyAlignment="1">
      <alignment horizontal="left"/>
    </xf>
    <xf numFmtId="0" fontId="8" fillId="0" borderId="0" xfId="0" applyFont="1" applyFill="1" applyAlignment="1">
      <alignment horizontal="left"/>
    </xf>
    <xf numFmtId="0" fontId="8" fillId="0" borderId="34" xfId="0" applyFont="1" applyFill="1" applyBorder="1" applyAlignment="1">
      <alignment horizontal="left"/>
    </xf>
    <xf numFmtId="0" fontId="8" fillId="6" borderId="0" xfId="0" applyFont="1" applyFill="1" applyAlignment="1">
      <alignment horizontal="left"/>
    </xf>
    <xf numFmtId="0" fontId="8" fillId="6" borderId="34" xfId="0" applyFont="1" applyFill="1" applyBorder="1" applyAlignment="1">
      <alignment horizontal="left"/>
    </xf>
    <xf numFmtId="49" fontId="31" fillId="3" borderId="32" xfId="0" applyNumberFormat="1" applyFont="1" applyFill="1" applyBorder="1" applyAlignment="1">
      <alignment horizontal="left"/>
    </xf>
    <xf numFmtId="49" fontId="31" fillId="0" borderId="32" xfId="0" applyNumberFormat="1" applyFont="1" applyFill="1" applyBorder="1" applyAlignment="1">
      <alignment horizontal="left"/>
    </xf>
    <xf numFmtId="0" fontId="21" fillId="3" borderId="6" xfId="0" applyFont="1" applyFill="1" applyBorder="1"/>
    <xf numFmtId="0" fontId="0" fillId="3" borderId="0" xfId="0" applyFill="1" applyBorder="1" applyAlignment="1"/>
    <xf numFmtId="0" fontId="13" fillId="3" borderId="40" xfId="0" applyFont="1" applyFill="1" applyBorder="1" applyAlignment="1"/>
    <xf numFmtId="0" fontId="0" fillId="2" borderId="40"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7" fillId="3" borderId="0" xfId="5" applyFill="1" applyBorder="1" applyAlignment="1" applyProtection="1">
      <alignment horizontal="center"/>
    </xf>
    <xf numFmtId="0" fontId="26" fillId="3" borderId="0" xfId="0" applyFont="1" applyFill="1" applyBorder="1" applyAlignment="1">
      <alignment horizontal="center" vertical="center"/>
    </xf>
    <xf numFmtId="14" fontId="17" fillId="3" borderId="0" xfId="0" applyNumberFormat="1" applyFont="1" applyFill="1" applyBorder="1" applyAlignment="1"/>
    <xf numFmtId="14" fontId="17" fillId="2" borderId="0" xfId="0" applyNumberFormat="1" applyFont="1" applyBorder="1" applyAlignment="1"/>
    <xf numFmtId="0" fontId="22" fillId="6" borderId="0" xfId="0" applyFont="1" applyFill="1" applyBorder="1" applyAlignment="1">
      <alignment vertical="top"/>
    </xf>
    <xf numFmtId="49" fontId="31" fillId="0" borderId="32" xfId="0" applyNumberFormat="1" applyFont="1" applyFill="1" applyBorder="1" applyAlignment="1">
      <alignment horizontal="left"/>
    </xf>
    <xf numFmtId="0" fontId="31" fillId="0" borderId="0" xfId="0" applyFont="1" applyFill="1" applyAlignment="1">
      <alignment horizontal="left"/>
    </xf>
    <xf numFmtId="0" fontId="31" fillId="0" borderId="34" xfId="0" applyFont="1" applyFill="1" applyBorder="1" applyAlignment="1">
      <alignment horizontal="left"/>
    </xf>
    <xf numFmtId="49" fontId="31" fillId="0" borderId="32" xfId="0" applyNumberFormat="1" applyFont="1" applyFill="1" applyBorder="1" applyAlignment="1">
      <alignment horizontal="left" shrinkToFit="1"/>
    </xf>
    <xf numFmtId="49" fontId="31" fillId="0" borderId="0" xfId="0" applyNumberFormat="1" applyFont="1" applyFill="1" applyBorder="1" applyAlignment="1">
      <alignment horizontal="left" shrinkToFit="1"/>
    </xf>
    <xf numFmtId="49" fontId="31" fillId="0" borderId="34" xfId="0" applyNumberFormat="1" applyFont="1" applyFill="1" applyBorder="1" applyAlignment="1">
      <alignment horizontal="left" shrinkToFit="1"/>
    </xf>
    <xf numFmtId="49" fontId="32" fillId="3" borderId="33" xfId="0" applyNumberFormat="1" applyFont="1" applyFill="1" applyBorder="1" applyAlignment="1">
      <alignment horizontal="center"/>
    </xf>
    <xf numFmtId="49" fontId="32" fillId="3" borderId="37" xfId="0" applyNumberFormat="1" applyFont="1" applyFill="1" applyBorder="1" applyAlignment="1">
      <alignment horizontal="center"/>
    </xf>
    <xf numFmtId="49" fontId="32" fillId="3" borderId="36" xfId="0" applyNumberFormat="1" applyFont="1" applyFill="1" applyBorder="1" applyAlignment="1">
      <alignment horizontal="center"/>
    </xf>
    <xf numFmtId="14" fontId="17" fillId="3" borderId="38" xfId="0" applyNumberFormat="1" applyFont="1" applyFill="1" applyBorder="1" applyAlignment="1">
      <alignment horizontal="left"/>
    </xf>
    <xf numFmtId="0" fontId="1" fillId="3" borderId="0" xfId="0" applyFont="1" applyFill="1" applyBorder="1" applyAlignment="1">
      <alignment horizontal="center" vertical="center"/>
    </xf>
    <xf numFmtId="49" fontId="21" fillId="3" borderId="38" xfId="0" applyNumberFormat="1" applyFont="1" applyFill="1" applyBorder="1" applyAlignment="1"/>
    <xf numFmtId="0" fontId="21"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49" fontId="28" fillId="0" borderId="32" xfId="0" applyNumberFormat="1" applyFont="1" applyFill="1" applyBorder="1" applyAlignment="1">
      <alignment horizontal="left" shrinkToFit="1"/>
    </xf>
    <xf numFmtId="49" fontId="28" fillId="0" borderId="0" xfId="0" applyNumberFormat="1" applyFont="1" applyFill="1" applyBorder="1" applyAlignment="1">
      <alignment horizontal="left" shrinkToFit="1"/>
    </xf>
    <xf numFmtId="49" fontId="28" fillId="0" borderId="34" xfId="0" applyNumberFormat="1" applyFont="1" applyFill="1" applyBorder="1" applyAlignment="1">
      <alignment horizontal="left" shrinkToFit="1"/>
    </xf>
    <xf numFmtId="0" fontId="2" fillId="3" borderId="0" xfId="0" applyFont="1" applyFill="1" applyBorder="1" applyAlignment="1">
      <alignment horizontal="center"/>
    </xf>
    <xf numFmtId="0" fontId="2" fillId="3" borderId="0" xfId="0" applyFont="1" applyFill="1" applyBorder="1" applyAlignment="1">
      <alignment horizontal="center" shrinkToFit="1"/>
    </xf>
    <xf numFmtId="0" fontId="17" fillId="3" borderId="0" xfId="0" applyFont="1" applyFill="1" applyBorder="1" applyAlignment="1">
      <alignment horizontal="center" shrinkToFit="1"/>
    </xf>
    <xf numFmtId="0" fontId="1" fillId="3" borderId="25" xfId="0" applyFont="1" applyFill="1" applyBorder="1" applyAlignment="1"/>
    <xf numFmtId="0" fontId="0" fillId="2" borderId="35" xfId="0" applyBorder="1" applyAlignment="1"/>
    <xf numFmtId="0" fontId="0" fillId="2" borderId="44" xfId="0" applyBorder="1" applyAlignment="1"/>
    <xf numFmtId="49" fontId="28" fillId="0" borderId="32" xfId="0" applyNumberFormat="1" applyFont="1" applyFill="1" applyBorder="1" applyAlignment="1"/>
    <xf numFmtId="49" fontId="28" fillId="0" borderId="0" xfId="0" applyNumberFormat="1" applyFont="1" applyFill="1" applyBorder="1" applyAlignment="1"/>
    <xf numFmtId="49" fontId="28" fillId="0" borderId="34" xfId="0" applyNumberFormat="1" applyFont="1" applyFill="1" applyBorder="1" applyAlignment="1"/>
    <xf numFmtId="49" fontId="2" fillId="3" borderId="39" xfId="0" applyNumberFormat="1" applyFont="1" applyFill="1" applyBorder="1" applyAlignment="1">
      <alignment horizontal="left"/>
    </xf>
    <xf numFmtId="0" fontId="24" fillId="3" borderId="39" xfId="0" applyFont="1" applyFill="1" applyBorder="1" applyAlignment="1"/>
    <xf numFmtId="0" fontId="24" fillId="2" borderId="39" xfId="0" applyFont="1" applyBorder="1" applyAlignment="1"/>
    <xf numFmtId="0" fontId="32" fillId="3" borderId="39" xfId="0" applyFont="1" applyFill="1" applyBorder="1" applyAlignment="1">
      <alignment horizontal="left"/>
    </xf>
    <xf numFmtId="0" fontId="2" fillId="3" borderId="39" xfId="0" applyFont="1" applyFill="1" applyBorder="1" applyAlignment="1">
      <alignment horizontal="left"/>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1"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fmlaLink="D4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firstButton="1" fmlaLink="#REF!" lockText="1"/>
</file>

<file path=xl/ctrlProps/ctrlProp9.xml><?xml version="1.0" encoding="utf-8"?>
<formControlPr xmlns="http://schemas.microsoft.com/office/spreadsheetml/2009/9/main" objectType="Radio" checked="Checked" lockText="1"/>
</file>

<file path=xl/ctrlProps/ctrlProp10.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1.png"/><Relationship Id="rId1" Type="http://schemas.openxmlformats.org/officeDocument/2006/relationships/image" Target="../media/image4.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a:extLst>
            <a:ext uri="{FF2B5EF4-FFF2-40B4-BE49-F238E27FC236}">
              <a16:creationId xmlns:a16="http://schemas.microsoft.com/office/drawing/2014/main" xmlns="" id="{00000000-0008-0000-0100-000002040000}"/>
            </a:ext>
          </a:extLst>
        </xdr:cNvPr>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a:extLst>
            <a:ext uri="{FF2B5EF4-FFF2-40B4-BE49-F238E27FC236}">
              <a16:creationId xmlns:a16="http://schemas.microsoft.com/office/drawing/2014/main" xmlns="" id="{00000000-0008-0000-0100-000008040000}"/>
            </a:ext>
          </a:extLst>
        </xdr:cNvPr>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 uri="{FF2B5EF4-FFF2-40B4-BE49-F238E27FC236}">
                  <a16:creationId xmlns:a16="http://schemas.microsoft.com/office/drawing/2014/main" xmlns=""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 uri="{FF2B5EF4-FFF2-40B4-BE49-F238E27FC236}">
                  <a16:creationId xmlns:a16="http://schemas.microsoft.com/office/drawing/2014/main" xmlns=""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 uri="{FF2B5EF4-FFF2-40B4-BE49-F238E27FC236}">
                  <a16:creationId xmlns:a16="http://schemas.microsoft.com/office/drawing/2014/main" xmlns=""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 uri="{FF2B5EF4-FFF2-40B4-BE49-F238E27FC236}">
                  <a16:creationId xmlns:a16="http://schemas.microsoft.com/office/drawing/2014/main" xmlns=""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161925</xdr:colOff>
      <xdr:row>14</xdr:row>
      <xdr:rowOff>66675</xdr:rowOff>
    </xdr:from>
    <xdr:to>
      <xdr:col>9</xdr:col>
      <xdr:colOff>76200</xdr:colOff>
      <xdr:row>19</xdr:row>
      <xdr:rowOff>57150</xdr:rowOff>
    </xdr:to>
    <xdr:sp macro="" textlink="">
      <xdr:nvSpPr>
        <xdr:cNvPr id="2114" name="INVB1">
          <a:extLst>
            <a:ext uri="{FF2B5EF4-FFF2-40B4-BE49-F238E27FC236}">
              <a16:creationId xmlns:a16="http://schemas.microsoft.com/office/drawing/2014/main" xmlns="" id="{00000000-0008-0000-0200-000042080000}"/>
            </a:ext>
          </a:extLst>
        </xdr:cNvPr>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180975</xdr:colOff>
      <xdr:row>14</xdr:row>
      <xdr:rowOff>66675</xdr:rowOff>
    </xdr:from>
    <xdr:to>
      <xdr:col>13</xdr:col>
      <xdr:colOff>114300</xdr:colOff>
      <xdr:row>19</xdr:row>
      <xdr:rowOff>57150</xdr:rowOff>
    </xdr:to>
    <xdr:sp macro="" textlink="">
      <xdr:nvSpPr>
        <xdr:cNvPr id="2115" name="INVB2">
          <a:extLst>
            <a:ext uri="{FF2B5EF4-FFF2-40B4-BE49-F238E27FC236}">
              <a16:creationId xmlns:a16="http://schemas.microsoft.com/office/drawing/2014/main" xmlns="" id="{00000000-0008-0000-0200-000043080000}"/>
            </a:ext>
          </a:extLst>
        </xdr:cNvPr>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14</xdr:row>
      <xdr:rowOff>0</xdr:rowOff>
    </xdr:from>
    <xdr:to>
      <xdr:col>4</xdr:col>
      <xdr:colOff>552450</xdr:colOff>
      <xdr:row>15</xdr:row>
      <xdr:rowOff>0</xdr:rowOff>
    </xdr:to>
    <xdr:sp macro="[0]!Nada" textlink="">
      <xdr:nvSpPr>
        <xdr:cNvPr id="2058" name="INV1">
          <a:extLst>
            <a:ext uri="{FF2B5EF4-FFF2-40B4-BE49-F238E27FC236}">
              <a16:creationId xmlns:a16="http://schemas.microsoft.com/office/drawing/2014/main" xmlns="" id="{00000000-0008-0000-0200-00000A080000}"/>
            </a:ext>
          </a:extLst>
        </xdr:cNvPr>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editAs="oneCell">
        <xdr:from>
          <xdr:col>3</xdr:col>
          <xdr:colOff>400050</xdr:colOff>
          <xdr:row>37</xdr:row>
          <xdr:rowOff>152400</xdr:rowOff>
        </xdr:from>
        <xdr:to>
          <xdr:col>3</xdr:col>
          <xdr:colOff>695325</xdr:colOff>
          <xdr:row>38</xdr:row>
          <xdr:rowOff>171450</xdr:rowOff>
        </xdr:to>
        <xdr:sp macro="" textlink="">
          <xdr:nvSpPr>
            <xdr:cNvPr id="2061" name="pd1" hidden="1">
              <a:extLst>
                <a:ext uri="{63B3BB69-23CF-44E3-9099-C40C66FF867C}">
                  <a14:compatExt spid="_x0000_s2061"/>
                </a:ext>
                <a:ext uri="{FF2B5EF4-FFF2-40B4-BE49-F238E27FC236}">
                  <a16:creationId xmlns:a16="http://schemas.microsoft.com/office/drawing/2014/main" xmlns=""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39</xdr:row>
          <xdr:rowOff>0</xdr:rowOff>
        </xdr:from>
        <xdr:to>
          <xdr:col>3</xdr:col>
          <xdr:colOff>704850</xdr:colOff>
          <xdr:row>40</xdr:row>
          <xdr:rowOff>19050</xdr:rowOff>
        </xdr:to>
        <xdr:sp macro="" textlink="">
          <xdr:nvSpPr>
            <xdr:cNvPr id="2062" name="pd3" hidden="1">
              <a:extLst>
                <a:ext uri="{63B3BB69-23CF-44E3-9099-C40C66FF867C}">
                  <a14:compatExt spid="_x0000_s2062"/>
                </a:ext>
                <a:ext uri="{FF2B5EF4-FFF2-40B4-BE49-F238E27FC236}">
                  <a16:creationId xmlns:a16="http://schemas.microsoft.com/office/drawing/2014/main" xmlns=""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40</xdr:row>
          <xdr:rowOff>28575</xdr:rowOff>
        </xdr:from>
        <xdr:to>
          <xdr:col>3</xdr:col>
          <xdr:colOff>714375</xdr:colOff>
          <xdr:row>41</xdr:row>
          <xdr:rowOff>47625</xdr:rowOff>
        </xdr:to>
        <xdr:sp macro="" textlink="">
          <xdr:nvSpPr>
            <xdr:cNvPr id="2071" name="pd2" hidden="1">
              <a:extLst>
                <a:ext uri="{63B3BB69-23CF-44E3-9099-C40C66FF867C}">
                  <a14:compatExt spid="_x0000_s2071"/>
                </a:ext>
                <a:ext uri="{FF2B5EF4-FFF2-40B4-BE49-F238E27FC236}">
                  <a16:creationId xmlns:a16="http://schemas.microsoft.com/office/drawing/2014/main" xmlns=""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10026</xdr:colOff>
      <xdr:row>2</xdr:row>
      <xdr:rowOff>70185</xdr:rowOff>
    </xdr:from>
    <xdr:to>
      <xdr:col>6</xdr:col>
      <xdr:colOff>641684</xdr:colOff>
      <xdr:row>9</xdr:row>
      <xdr:rowOff>140370</xdr:rowOff>
    </xdr:to>
    <xdr:pic>
      <xdr:nvPicPr>
        <xdr:cNvPr id="13" name="Image 12" descr="C:\Users\User\Desktop\sigle acrobat.png">
          <a:extLst>
            <a:ext uri="{FF2B5EF4-FFF2-40B4-BE49-F238E27FC236}">
              <a16:creationId xmlns:a16="http://schemas.microsoft.com/office/drawing/2014/main" xmlns="" id="{00000000-0008-0000-0200-00000D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263" y="160422"/>
          <a:ext cx="3529263" cy="1193132"/>
        </a:xfrm>
        <a:prstGeom prst="rect">
          <a:avLst/>
        </a:prstGeom>
        <a:noFill/>
        <a:ln>
          <a:noFill/>
        </a:ln>
      </xdr:spPr>
    </xdr:pic>
    <xdr:clientData/>
  </xdr:twoCellAnchor>
  <xdr:twoCellAnchor editAs="oneCell">
    <xdr:from>
      <xdr:col>6</xdr:col>
      <xdr:colOff>882317</xdr:colOff>
      <xdr:row>3</xdr:row>
      <xdr:rowOff>40104</xdr:rowOff>
    </xdr:from>
    <xdr:to>
      <xdr:col>10</xdr:col>
      <xdr:colOff>601578</xdr:colOff>
      <xdr:row>9</xdr:row>
      <xdr:rowOff>60158</xdr:rowOff>
    </xdr:to>
    <xdr:pic>
      <xdr:nvPicPr>
        <xdr:cNvPr id="14" name="Image 13"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70159" y="290762"/>
          <a:ext cx="1714498" cy="982580"/>
        </a:xfrm>
        <a:prstGeom prst="rect">
          <a:avLst/>
        </a:prstGeom>
        <a:noFill/>
        <a:ln>
          <a:noFill/>
        </a:ln>
      </xdr:spPr>
    </xdr:pic>
    <xdr:clientData/>
  </xdr:twoCellAnchor>
  <xdr:twoCellAnchor editAs="oneCell">
    <xdr:from>
      <xdr:col>10</xdr:col>
      <xdr:colOff>561473</xdr:colOff>
      <xdr:row>4</xdr:row>
      <xdr:rowOff>70184</xdr:rowOff>
    </xdr:from>
    <xdr:to>
      <xdr:col>13</xdr:col>
      <xdr:colOff>189921</xdr:colOff>
      <xdr:row>10</xdr:row>
      <xdr:rowOff>90237</xdr:rowOff>
    </xdr:to>
    <xdr:pic>
      <xdr:nvPicPr>
        <xdr:cNvPr id="15" name="Image 1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544552" y="481263"/>
          <a:ext cx="2465895" cy="9825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671763</xdr:colOff>
      <xdr:row>0</xdr:row>
      <xdr:rowOff>0</xdr:rowOff>
    </xdr:from>
    <xdr:to>
      <xdr:col>11</xdr:col>
      <xdr:colOff>557119</xdr:colOff>
      <xdr:row>4</xdr:row>
      <xdr:rowOff>73933</xdr:rowOff>
    </xdr:to>
    <xdr:pic>
      <xdr:nvPicPr>
        <xdr:cNvPr id="6" name="Image 5">
          <a:extLst>
            <a:ext uri="{FF2B5EF4-FFF2-40B4-BE49-F238E27FC236}">
              <a16:creationId xmlns:a16="http://schemas.microsoft.com/office/drawing/2014/main" xmlns="" id="{00000000-0008-0000-0200-000007000000}"/>
            </a:ext>
          </a:extLst>
        </xdr:cNvPr>
        <xdr:cNvPicPr/>
      </xdr:nvPicPr>
      <xdr:blipFill>
        <a:blip xmlns:r="http://schemas.openxmlformats.org/officeDocument/2006/relationships" r:embed="rId1" cstate="print"/>
        <a:srcRect/>
        <a:stretch>
          <a:fillRect/>
        </a:stretch>
      </xdr:blipFill>
      <xdr:spPr bwMode="auto">
        <a:xfrm>
          <a:off x="6453438" y="297782"/>
          <a:ext cx="647356" cy="721633"/>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695325</xdr:colOff>
          <xdr:row>1</xdr:row>
          <xdr:rowOff>47625</xdr:rowOff>
        </xdr:to>
        <xdr:sp macro="" textlink="">
          <xdr:nvSpPr>
            <xdr:cNvPr id="9218" name="pd1" hidden="1">
              <a:extLst>
                <a:ext uri="{63B3BB69-23CF-44E3-9099-C40C66FF867C}">
                  <a14:compatExt spid="_x0000_s9218"/>
                </a:ext>
                <a:ext uri="{FF2B5EF4-FFF2-40B4-BE49-F238E27FC236}">
                  <a16:creationId xmlns:a16="http://schemas.microsoft.com/office/drawing/2014/main" xmlns=""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704850</xdr:colOff>
          <xdr:row>1</xdr:row>
          <xdr:rowOff>57150</xdr:rowOff>
        </xdr:to>
        <xdr:sp macro="" textlink="">
          <xdr:nvSpPr>
            <xdr:cNvPr id="9219" name="pd3" hidden="1">
              <a:extLst>
                <a:ext uri="{63B3BB69-23CF-44E3-9099-C40C66FF867C}">
                  <a14:compatExt spid="_x0000_s9219"/>
                </a:ext>
                <a:ext uri="{FF2B5EF4-FFF2-40B4-BE49-F238E27FC236}">
                  <a16:creationId xmlns:a16="http://schemas.microsoft.com/office/drawing/2014/main" xmlns=""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0</xdr:row>
          <xdr:rowOff>0</xdr:rowOff>
        </xdr:from>
        <xdr:to>
          <xdr:col>2</xdr:col>
          <xdr:colOff>714375</xdr:colOff>
          <xdr:row>1</xdr:row>
          <xdr:rowOff>57150</xdr:rowOff>
        </xdr:to>
        <xdr:sp macro="" textlink="">
          <xdr:nvSpPr>
            <xdr:cNvPr id="9220" name="pd2" hidden="1">
              <a:extLst>
                <a:ext uri="{63B3BB69-23CF-44E3-9099-C40C66FF867C}">
                  <a14:compatExt spid="_x0000_s9220"/>
                </a:ext>
                <a:ext uri="{FF2B5EF4-FFF2-40B4-BE49-F238E27FC236}">
                  <a16:creationId xmlns:a16="http://schemas.microsoft.com/office/drawing/2014/main" xmlns=""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110289</xdr:colOff>
      <xdr:row>0</xdr:row>
      <xdr:rowOff>0</xdr:rowOff>
    </xdr:from>
    <xdr:to>
      <xdr:col>4</xdr:col>
      <xdr:colOff>591051</xdr:colOff>
      <xdr:row>7</xdr:row>
      <xdr:rowOff>71689</xdr:rowOff>
    </xdr:to>
    <xdr:pic>
      <xdr:nvPicPr>
        <xdr:cNvPr id="11" name="Image 10" descr="C:\Users\User\Desktop\sigle acrobat.png">
          <a:extLst>
            <a:ext uri="{FF2B5EF4-FFF2-40B4-BE49-F238E27FC236}">
              <a16:creationId xmlns:a16="http://schemas.microsoft.com/office/drawing/2014/main" xmlns=""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4589" y="216067"/>
          <a:ext cx="3528762" cy="1205164"/>
        </a:xfrm>
        <a:prstGeom prst="rect">
          <a:avLst/>
        </a:prstGeom>
        <a:noFill/>
        <a:ln>
          <a:noFill/>
        </a:ln>
      </xdr:spPr>
    </xdr:pic>
    <xdr:clientData/>
  </xdr:twoCellAnchor>
  <xdr:twoCellAnchor editAs="oneCell">
    <xdr:from>
      <xdr:col>10</xdr:col>
      <xdr:colOff>220579</xdr:colOff>
      <xdr:row>0</xdr:row>
      <xdr:rowOff>0</xdr:rowOff>
    </xdr:from>
    <xdr:to>
      <xdr:col>12</xdr:col>
      <xdr:colOff>114299</xdr:colOff>
      <xdr:row>8</xdr:row>
      <xdr:rowOff>147890</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2254" y="16725898"/>
          <a:ext cx="1417720" cy="124326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8.xml"/><Relationship Id="rId2" Type="http://schemas.openxmlformats.org/officeDocument/2006/relationships/vmlDrawing" Target="../drawings/vmlDrawing3.vml"/><Relationship Id="rId1" Type="http://schemas.openxmlformats.org/officeDocument/2006/relationships/drawing" Target="../drawings/drawing3.xml"/><Relationship Id="rId5" Type="http://schemas.openxmlformats.org/officeDocument/2006/relationships/ctrlProp" Target="../ctrlProps/ctrlProp10.xml"/><Relationship Id="rId4" Type="http://schemas.openxmlformats.org/officeDocument/2006/relationships/ctrlProp" Target="../ctrlProps/ctrlProp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34" t="s">
        <v>0</v>
      </c>
      <c r="E4" s="135"/>
      <c r="F4" s="135"/>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36" t="s">
        <v>2</v>
      </c>
      <c r="E10" s="13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38" t="s">
        <v>47</v>
      </c>
      <c r="E19" s="13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39" t="str">
        <f>LOWER(TemplateInformation!B3)</f>
        <v>c:\program files\microsoft office\office\macrolib\factbd.xls</v>
      </c>
      <c r="G33" s="14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36" t="s">
        <v>16</v>
      </c>
      <c r="E36" s="13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8"/>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1"/>
  <sheetViews>
    <sheetView showGridLines="0" showRowColHeaders="0" tabSelected="1" topLeftCell="A16" zoomScale="95" workbookViewId="0">
      <selection activeCell="D16" sqref="D16:I16"/>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9"/>
    </row>
    <row r="4" spans="1:15" x14ac:dyDescent="0.2">
      <c r="A4" s="7"/>
      <c r="B4" s="3"/>
      <c r="C4" s="3"/>
      <c r="D4" s="3"/>
      <c r="E4" s="3"/>
      <c r="F4" s="3"/>
      <c r="G4" s="3"/>
      <c r="H4" s="3"/>
      <c r="I4" s="3"/>
      <c r="J4" s="3"/>
      <c r="K4" s="3"/>
      <c r="L4" s="3"/>
      <c r="M4" s="3"/>
      <c r="N4" s="3"/>
      <c r="O4" s="9"/>
    </row>
    <row r="5" spans="1:15" x14ac:dyDescent="0.2">
      <c r="A5" s="7"/>
      <c r="B5" s="3"/>
      <c r="C5" s="3"/>
      <c r="D5" s="3"/>
      <c r="E5" s="3"/>
      <c r="F5" s="3"/>
      <c r="G5" s="3"/>
      <c r="H5" s="3"/>
      <c r="I5" s="3"/>
      <c r="J5" s="3"/>
      <c r="K5" s="3"/>
      <c r="L5" s="3"/>
      <c r="M5" s="3"/>
      <c r="N5" s="3"/>
      <c r="O5" s="9"/>
    </row>
    <row r="6" spans="1:15" x14ac:dyDescent="0.2">
      <c r="A6" s="7"/>
      <c r="B6" s="3"/>
      <c r="C6" s="3"/>
      <c r="D6" s="3"/>
      <c r="E6" s="3"/>
      <c r="F6" s="3"/>
      <c r="G6" s="3"/>
      <c r="H6" s="3"/>
      <c r="I6" s="3"/>
      <c r="J6" s="3"/>
      <c r="K6" s="3"/>
      <c r="L6" s="3"/>
      <c r="M6" s="3"/>
      <c r="N6" s="3"/>
      <c r="O6" s="9"/>
    </row>
    <row r="7" spans="1:15" x14ac:dyDescent="0.2">
      <c r="A7" s="7"/>
      <c r="B7" s="3"/>
      <c r="C7" s="3"/>
      <c r="D7" s="3"/>
      <c r="E7" s="3"/>
      <c r="F7" s="3"/>
      <c r="G7" s="3"/>
      <c r="H7" s="3"/>
      <c r="I7" s="3"/>
      <c r="J7" s="3"/>
      <c r="K7" s="3"/>
      <c r="L7" s="3"/>
      <c r="M7" s="3"/>
      <c r="N7" s="3"/>
      <c r="O7" s="9"/>
    </row>
    <row r="8" spans="1:15" x14ac:dyDescent="0.2">
      <c r="A8" s="7"/>
      <c r="B8" s="3"/>
      <c r="C8" s="3"/>
      <c r="D8" s="3"/>
      <c r="E8" s="3"/>
      <c r="F8" s="3"/>
      <c r="G8" s="3"/>
      <c r="H8" s="3"/>
      <c r="I8" s="3"/>
      <c r="J8" s="3"/>
      <c r="K8" s="3"/>
      <c r="L8" s="3"/>
      <c r="M8" s="3"/>
      <c r="N8" s="3"/>
      <c r="O8" s="9"/>
    </row>
    <row r="9" spans="1:15" x14ac:dyDescent="0.2">
      <c r="A9" s="7"/>
      <c r="B9" s="3"/>
      <c r="C9" s="3"/>
      <c r="D9" s="3"/>
      <c r="E9" s="3"/>
      <c r="F9" s="3"/>
      <c r="G9" s="3"/>
      <c r="H9" s="3"/>
      <c r="I9" s="3"/>
      <c r="J9" s="3"/>
      <c r="K9" s="3"/>
      <c r="L9" s="142"/>
      <c r="M9" s="142"/>
      <c r="N9" s="3"/>
      <c r="O9" s="9"/>
    </row>
    <row r="10" spans="1:15" x14ac:dyDescent="0.2">
      <c r="A10" s="7"/>
      <c r="B10" s="3"/>
      <c r="C10" s="3"/>
      <c r="D10" s="3"/>
      <c r="E10" s="3"/>
      <c r="F10" s="3"/>
      <c r="G10" s="3"/>
      <c r="H10" s="3"/>
      <c r="I10" s="3"/>
      <c r="J10" s="3"/>
      <c r="K10" s="3"/>
      <c r="L10" s="141"/>
      <c r="M10" s="141"/>
      <c r="N10" s="3"/>
      <c r="O10" s="9"/>
    </row>
    <row r="11" spans="1:15" ht="20.25" x14ac:dyDescent="0.3">
      <c r="A11" s="7"/>
      <c r="B11" s="3"/>
      <c r="C11" s="3"/>
      <c r="D11" s="3"/>
      <c r="E11" s="3"/>
      <c r="F11" s="3"/>
      <c r="G11" s="3"/>
      <c r="H11" s="3"/>
      <c r="I11" s="3"/>
      <c r="J11" s="8"/>
      <c r="K11" s="8"/>
      <c r="L11" s="78"/>
      <c r="M11" s="78" t="s">
        <v>55</v>
      </c>
      <c r="N11" s="19"/>
      <c r="O11" s="9"/>
    </row>
    <row r="12" spans="1:15" x14ac:dyDescent="0.2">
      <c r="A12" s="7"/>
      <c r="B12" s="3"/>
      <c r="C12" s="3"/>
      <c r="D12" s="3"/>
      <c r="E12" s="3"/>
      <c r="F12" s="3"/>
      <c r="G12" s="3"/>
      <c r="H12" s="3"/>
      <c r="I12" s="3"/>
      <c r="J12" s="3"/>
      <c r="K12" s="3"/>
      <c r="L12" s="3"/>
      <c r="M12" s="3"/>
      <c r="N12" s="3"/>
      <c r="O12" s="9"/>
    </row>
    <row r="13" spans="1:15" ht="20.100000000000001" customHeight="1" thickBot="1" x14ac:dyDescent="0.25">
      <c r="A13" s="7"/>
      <c r="B13" s="3"/>
      <c r="C13" s="3"/>
      <c r="D13" s="3"/>
      <c r="E13" s="3"/>
      <c r="F13" s="3"/>
      <c r="G13" s="3"/>
      <c r="H13" s="3"/>
      <c r="I13" s="3"/>
      <c r="J13" s="3"/>
      <c r="K13" s="3"/>
      <c r="L13" s="156" t="s">
        <v>67</v>
      </c>
      <c r="M13" s="156"/>
      <c r="N13" s="3"/>
      <c r="O13" s="9"/>
    </row>
    <row r="14" spans="1:15" ht="3" customHeight="1" thickTop="1" x14ac:dyDescent="0.3">
      <c r="A14" s="7"/>
      <c r="B14" s="3"/>
      <c r="C14" s="60"/>
      <c r="D14" s="60"/>
      <c r="E14" s="60"/>
      <c r="F14" s="60"/>
      <c r="G14" s="60"/>
      <c r="H14" s="60"/>
      <c r="I14" s="61"/>
      <c r="J14" s="61"/>
      <c r="K14" s="61"/>
      <c r="L14" s="156"/>
      <c r="M14" s="156"/>
      <c r="N14" s="21"/>
      <c r="O14" s="9"/>
    </row>
    <row r="15" spans="1:15" x14ac:dyDescent="0.2">
      <c r="A15" s="7"/>
      <c r="B15" s="3"/>
      <c r="C15" s="3"/>
      <c r="D15" s="3"/>
      <c r="E15" s="3"/>
      <c r="F15" s="3"/>
      <c r="G15" s="3"/>
      <c r="H15" s="3"/>
      <c r="I15" s="3"/>
      <c r="J15" s="3"/>
      <c r="K15" s="3"/>
      <c r="L15" s="3"/>
      <c r="M15" s="3"/>
      <c r="N15" s="3"/>
      <c r="O15" s="9"/>
    </row>
    <row r="16" spans="1:15" ht="18" x14ac:dyDescent="0.25">
      <c r="A16" s="7"/>
      <c r="B16" s="3"/>
      <c r="C16" s="88" t="s">
        <v>3</v>
      </c>
      <c r="D16" s="157" t="s">
        <v>70</v>
      </c>
      <c r="E16" s="158"/>
      <c r="F16" s="158"/>
      <c r="G16" s="158"/>
      <c r="H16" s="158"/>
      <c r="I16" s="158"/>
      <c r="J16" s="88"/>
      <c r="K16" s="91" t="s">
        <v>18</v>
      </c>
      <c r="L16" s="155">
        <v>44882</v>
      </c>
      <c r="M16" s="155"/>
      <c r="N16" s="57"/>
      <c r="O16" s="9"/>
    </row>
    <row r="17" spans="1:15" x14ac:dyDescent="0.2">
      <c r="A17" s="7"/>
      <c r="B17" s="3"/>
      <c r="C17" s="88" t="s">
        <v>5</v>
      </c>
      <c r="D17" s="176"/>
      <c r="E17" s="177"/>
      <c r="F17" s="177"/>
      <c r="G17" s="177"/>
      <c r="H17" s="177"/>
      <c r="I17" s="177"/>
      <c r="J17" s="88"/>
      <c r="K17" s="111" t="s">
        <v>59</v>
      </c>
      <c r="L17" s="175"/>
      <c r="M17" s="175"/>
      <c r="N17" s="58"/>
      <c r="O17" s="9"/>
    </row>
    <row r="18" spans="1:15" ht="15" x14ac:dyDescent="0.25">
      <c r="A18" s="7"/>
      <c r="B18" s="3"/>
      <c r="C18" s="88" t="s">
        <v>7</v>
      </c>
      <c r="D18" s="95"/>
      <c r="E18" s="96" t="s">
        <v>8</v>
      </c>
      <c r="F18" s="180" t="s">
        <v>58</v>
      </c>
      <c r="G18" s="181"/>
      <c r="H18" s="97" t="s">
        <v>9</v>
      </c>
      <c r="I18" s="94" t="s">
        <v>53</v>
      </c>
      <c r="J18" s="88"/>
      <c r="K18" s="91" t="s">
        <v>19</v>
      </c>
      <c r="L18" s="178"/>
      <c r="M18" s="178"/>
      <c r="N18" s="3"/>
      <c r="O18" s="9"/>
    </row>
    <row r="19" spans="1:15" x14ac:dyDescent="0.2">
      <c r="A19" s="7"/>
      <c r="B19" s="3"/>
      <c r="C19" s="88" t="s">
        <v>20</v>
      </c>
      <c r="D19" s="159"/>
      <c r="E19" s="160"/>
      <c r="F19" s="160"/>
      <c r="G19" s="160"/>
      <c r="H19" s="160"/>
      <c r="I19" s="160"/>
      <c r="J19" s="88"/>
      <c r="K19" s="91" t="s">
        <v>49</v>
      </c>
      <c r="L19" s="179"/>
      <c r="M19" s="179"/>
      <c r="N19" s="3"/>
      <c r="O19" s="9"/>
    </row>
    <row r="20" spans="1:15" x14ac:dyDescent="0.2">
      <c r="A20" s="7"/>
      <c r="B20" s="3"/>
      <c r="C20" s="88"/>
      <c r="D20" s="88"/>
      <c r="E20" s="88"/>
      <c r="F20" s="88"/>
      <c r="G20" s="88"/>
      <c r="H20" s="88"/>
      <c r="I20" s="88"/>
      <c r="J20" s="88"/>
      <c r="K20" s="88"/>
      <c r="L20" s="88"/>
      <c r="M20" s="88"/>
      <c r="N20" s="3"/>
      <c r="O20" s="9"/>
    </row>
    <row r="21" spans="1:15" x14ac:dyDescent="0.2">
      <c r="A21" s="7"/>
      <c r="B21" s="3"/>
      <c r="C21" s="69" t="s">
        <v>35</v>
      </c>
      <c r="D21" s="53" t="s">
        <v>21</v>
      </c>
      <c r="E21" s="169" t="s">
        <v>22</v>
      </c>
      <c r="F21" s="170"/>
      <c r="G21" s="170"/>
      <c r="H21" s="170"/>
      <c r="I21" s="170"/>
      <c r="J21" s="171"/>
      <c r="K21" s="70" t="s">
        <v>36</v>
      </c>
      <c r="L21" s="53" t="s">
        <v>57</v>
      </c>
      <c r="M21" s="54" t="s">
        <v>23</v>
      </c>
      <c r="N21" s="59"/>
      <c r="O21" s="9"/>
    </row>
    <row r="22" spans="1:15" ht="15.75" x14ac:dyDescent="0.25">
      <c r="A22" s="7"/>
      <c r="B22" s="3"/>
      <c r="C22" s="100"/>
      <c r="D22" s="79"/>
      <c r="E22" s="172"/>
      <c r="F22" s="173"/>
      <c r="G22" s="173"/>
      <c r="H22" s="173"/>
      <c r="I22" s="173"/>
      <c r="J22" s="174"/>
      <c r="K22" s="80"/>
      <c r="L22" s="103"/>
      <c r="M22" s="102" t="str">
        <f t="shared" ref="M22" si="0">IF(D22&lt;&gt;"",D22*L22,"")</f>
        <v/>
      </c>
      <c r="N22" s="59"/>
      <c r="O22" s="9"/>
    </row>
    <row r="23" spans="1:15" ht="19.5" x14ac:dyDescent="0.4">
      <c r="A23" s="7"/>
      <c r="B23" s="3"/>
      <c r="C23" s="118"/>
      <c r="D23" s="79"/>
      <c r="E23" s="149"/>
      <c r="F23" s="150"/>
      <c r="G23" s="150"/>
      <c r="H23" s="150"/>
      <c r="I23" s="150"/>
      <c r="J23" s="151"/>
      <c r="K23" s="80"/>
      <c r="L23" s="103"/>
      <c r="M23" s="103"/>
      <c r="N23" s="59"/>
      <c r="O23" s="9"/>
    </row>
    <row r="24" spans="1:15" ht="15.75" x14ac:dyDescent="0.25">
      <c r="A24" s="7"/>
      <c r="B24" s="3"/>
      <c r="C24" s="118"/>
      <c r="D24" s="79"/>
      <c r="E24" s="163"/>
      <c r="F24" s="164"/>
      <c r="G24" s="164"/>
      <c r="H24" s="164"/>
      <c r="I24" s="164"/>
      <c r="J24" s="165"/>
      <c r="K24" s="105"/>
      <c r="L24" s="103"/>
      <c r="M24" s="103"/>
      <c r="N24" s="59"/>
      <c r="O24" s="9"/>
    </row>
    <row r="25" spans="1:15" ht="19.5" x14ac:dyDescent="0.4">
      <c r="A25" s="7"/>
      <c r="B25" s="3"/>
      <c r="C25" s="118"/>
      <c r="D25" s="55">
        <v>1</v>
      </c>
      <c r="E25" s="131" t="s">
        <v>66</v>
      </c>
      <c r="F25" s="120"/>
      <c r="G25" s="120"/>
      <c r="H25" s="120"/>
      <c r="I25" s="120"/>
      <c r="J25" s="121"/>
      <c r="K25" s="80"/>
      <c r="L25" s="103">
        <v>640</v>
      </c>
      <c r="M25" s="103">
        <f t="shared" ref="M25" si="1">L25*D25</f>
        <v>640</v>
      </c>
      <c r="N25" s="59"/>
      <c r="O25" s="9"/>
    </row>
    <row r="26" spans="1:15" ht="19.5" x14ac:dyDescent="0.4">
      <c r="A26" s="7"/>
      <c r="B26" s="3"/>
      <c r="C26" s="118"/>
      <c r="D26" s="55"/>
      <c r="E26" s="146"/>
      <c r="F26" s="147"/>
      <c r="G26" s="147"/>
      <c r="H26" s="147"/>
      <c r="I26" s="147"/>
      <c r="J26" s="148"/>
      <c r="K26" s="80"/>
      <c r="L26" s="103"/>
      <c r="M26" s="103"/>
      <c r="N26" s="59"/>
      <c r="O26" s="9"/>
    </row>
    <row r="27" spans="1:15" ht="19.5" x14ac:dyDescent="0.4">
      <c r="A27" s="7"/>
      <c r="B27" s="3"/>
      <c r="C27" s="118"/>
      <c r="D27" s="55"/>
      <c r="E27" s="146"/>
      <c r="F27" s="147"/>
      <c r="G27" s="147"/>
      <c r="H27" s="147"/>
      <c r="I27" s="147"/>
      <c r="J27" s="148"/>
      <c r="K27" s="80"/>
      <c r="L27" s="103"/>
      <c r="M27" s="103"/>
      <c r="N27" s="59"/>
      <c r="O27" s="9"/>
    </row>
    <row r="28" spans="1:15" ht="19.5" x14ac:dyDescent="0.4">
      <c r="A28" s="7"/>
      <c r="B28" s="3"/>
      <c r="C28" s="118"/>
      <c r="D28" s="55">
        <v>1</v>
      </c>
      <c r="E28" s="130" t="s">
        <v>65</v>
      </c>
      <c r="F28" s="128"/>
      <c r="G28" s="128"/>
      <c r="H28" s="128"/>
      <c r="I28" s="128"/>
      <c r="J28" s="129"/>
      <c r="K28" s="80"/>
      <c r="L28" s="103">
        <v>24</v>
      </c>
      <c r="M28" s="103">
        <f t="shared" ref="M28" si="2">L28*D28</f>
        <v>24</v>
      </c>
      <c r="N28" s="59"/>
      <c r="O28" s="9"/>
    </row>
    <row r="29" spans="1:15" ht="19.5" x14ac:dyDescent="0.4">
      <c r="A29" s="7"/>
      <c r="B29" s="3"/>
      <c r="C29" s="118"/>
      <c r="D29" s="55"/>
      <c r="E29" s="124"/>
      <c r="F29" s="122"/>
      <c r="G29" s="122"/>
      <c r="H29" s="122"/>
      <c r="I29" s="122"/>
      <c r="J29" s="123"/>
      <c r="K29" s="80"/>
      <c r="L29" s="103"/>
      <c r="M29" s="103"/>
      <c r="N29" s="59"/>
      <c r="O29" s="9"/>
    </row>
    <row r="30" spans="1:15" ht="15.75" x14ac:dyDescent="0.25">
      <c r="A30" s="7"/>
      <c r="B30" s="3"/>
      <c r="C30" s="118"/>
      <c r="D30" s="55"/>
      <c r="E30" s="106"/>
      <c r="F30" s="120"/>
      <c r="G30" s="120"/>
      <c r="H30" s="120"/>
      <c r="I30" s="120"/>
      <c r="J30" s="121"/>
      <c r="K30" s="80"/>
      <c r="L30" s="103"/>
      <c r="M30" s="103"/>
      <c r="N30" s="59"/>
      <c r="O30" s="9"/>
    </row>
    <row r="31" spans="1:15" ht="19.5" x14ac:dyDescent="0.4">
      <c r="A31" s="7"/>
      <c r="B31" s="3"/>
      <c r="C31" s="118"/>
      <c r="D31" s="55"/>
      <c r="E31" s="119"/>
      <c r="F31" s="120"/>
      <c r="G31" s="120"/>
      <c r="H31" s="120"/>
      <c r="I31" s="120"/>
      <c r="J31" s="121"/>
      <c r="K31" s="80"/>
      <c r="L31" s="103"/>
      <c r="M31" s="103"/>
      <c r="N31" s="59"/>
      <c r="O31" s="9"/>
    </row>
    <row r="32" spans="1:15" ht="18.75" x14ac:dyDescent="0.4">
      <c r="A32" s="7"/>
      <c r="B32" s="3"/>
      <c r="C32" s="118"/>
      <c r="D32" s="55"/>
      <c r="E32" s="125"/>
      <c r="F32" s="126"/>
      <c r="G32" s="126"/>
      <c r="H32" s="126"/>
      <c r="I32" s="126"/>
      <c r="J32" s="127"/>
      <c r="K32" s="80"/>
      <c r="L32" s="103"/>
      <c r="M32" s="103"/>
      <c r="N32" s="59"/>
      <c r="O32" s="9"/>
    </row>
    <row r="33" spans="1:15" ht="19.5" x14ac:dyDescent="0.4">
      <c r="A33" s="7"/>
      <c r="B33" s="3"/>
      <c r="C33" s="118"/>
      <c r="D33" s="55"/>
      <c r="E33" s="124"/>
      <c r="F33" s="126"/>
      <c r="G33" s="126"/>
      <c r="H33" s="126"/>
      <c r="I33" s="126"/>
      <c r="J33" s="127"/>
      <c r="K33" s="80"/>
      <c r="L33" s="103"/>
      <c r="M33" s="103"/>
      <c r="N33" s="59"/>
      <c r="O33" s="9"/>
    </row>
    <row r="34" spans="1:15" ht="18.75" x14ac:dyDescent="0.4">
      <c r="A34" s="7"/>
      <c r="B34" s="3"/>
      <c r="C34" s="118"/>
      <c r="D34" s="55"/>
      <c r="E34" s="125"/>
      <c r="F34" s="126"/>
      <c r="G34" s="126"/>
      <c r="H34" s="126"/>
      <c r="I34" s="126"/>
      <c r="J34" s="127"/>
      <c r="K34" s="80"/>
      <c r="L34" s="103"/>
      <c r="M34" s="103"/>
      <c r="N34" s="59"/>
      <c r="O34" s="9"/>
    </row>
    <row r="35" spans="1:15" ht="19.5" x14ac:dyDescent="0.4">
      <c r="A35" s="7"/>
      <c r="B35" s="3"/>
      <c r="C35" s="100"/>
      <c r="D35" s="55"/>
      <c r="E35" s="130"/>
      <c r="F35" s="128"/>
      <c r="G35" s="128"/>
      <c r="H35" s="128"/>
      <c r="I35" s="128"/>
      <c r="J35" s="129"/>
      <c r="K35" s="80"/>
      <c r="L35" s="103"/>
      <c r="M35" s="103"/>
      <c r="N35" s="59"/>
      <c r="O35" s="9"/>
    </row>
    <row r="36" spans="1:15" ht="15.75" x14ac:dyDescent="0.25">
      <c r="A36" s="7"/>
      <c r="B36" s="3"/>
      <c r="C36" s="101"/>
      <c r="D36" s="56"/>
      <c r="E36" s="152"/>
      <c r="F36" s="153"/>
      <c r="G36" s="153"/>
      <c r="H36" s="153"/>
      <c r="I36" s="153"/>
      <c r="J36" s="154"/>
      <c r="K36" s="81"/>
      <c r="L36" s="104"/>
      <c r="M36" s="103"/>
      <c r="N36" s="59"/>
      <c r="O36" s="9"/>
    </row>
    <row r="37" spans="1:15" ht="15" x14ac:dyDescent="0.2">
      <c r="A37" s="7"/>
      <c r="B37" s="3"/>
      <c r="C37" s="3"/>
      <c r="D37" s="88"/>
      <c r="E37" s="88"/>
      <c r="F37" s="88"/>
      <c r="G37" s="88"/>
      <c r="H37" s="88"/>
      <c r="I37" s="82"/>
      <c r="J37" s="82"/>
      <c r="K37" s="82"/>
      <c r="L37" s="107" t="s">
        <v>24</v>
      </c>
      <c r="M37" s="112">
        <f>SUM(M22:M35)</f>
        <v>664</v>
      </c>
      <c r="N37" s="59"/>
      <c r="O37" s="9"/>
    </row>
    <row r="38" spans="1:15" ht="15" x14ac:dyDescent="0.2">
      <c r="A38" s="7"/>
      <c r="B38" s="3"/>
      <c r="C38" s="3"/>
      <c r="D38" s="88"/>
      <c r="E38" s="88"/>
      <c r="F38" s="88"/>
      <c r="G38" s="88"/>
      <c r="H38" s="88"/>
      <c r="I38" s="82"/>
      <c r="J38" s="82"/>
      <c r="K38" s="82"/>
      <c r="L38" s="110" t="s">
        <v>48</v>
      </c>
      <c r="M38" s="117">
        <v>0.6</v>
      </c>
      <c r="N38" s="59"/>
      <c r="O38" s="9"/>
    </row>
    <row r="39" spans="1:15" ht="15" x14ac:dyDescent="0.2">
      <c r="A39" s="7"/>
      <c r="B39" s="3"/>
      <c r="C39" s="3"/>
      <c r="D39" s="90"/>
      <c r="E39" s="182" t="s">
        <v>25</v>
      </c>
      <c r="F39" s="88"/>
      <c r="G39" s="88"/>
      <c r="H39" s="88"/>
      <c r="I39" s="84"/>
      <c r="J39" s="84"/>
      <c r="K39" s="83"/>
      <c r="L39" s="108">
        <f>19%</f>
        <v>0.19</v>
      </c>
      <c r="M39" s="117">
        <f>M37*0.19</f>
        <v>126.16</v>
      </c>
      <c r="N39" s="59"/>
      <c r="O39" s="9"/>
    </row>
    <row r="40" spans="1:15" ht="15.75" x14ac:dyDescent="0.25">
      <c r="A40" s="7"/>
      <c r="B40" s="3"/>
      <c r="C40" s="3"/>
      <c r="D40" s="92"/>
      <c r="E40" s="91" t="s">
        <v>26</v>
      </c>
      <c r="F40" s="93"/>
      <c r="G40" s="92"/>
      <c r="H40" s="88"/>
      <c r="I40" s="85"/>
      <c r="J40" s="82"/>
      <c r="K40" s="82"/>
      <c r="L40" s="109" t="s">
        <v>28</v>
      </c>
      <c r="M40" s="113">
        <f>SUM(M37:M39)</f>
        <v>790.76</v>
      </c>
      <c r="N40" s="59"/>
      <c r="O40" s="9"/>
    </row>
    <row r="41" spans="1:15" ht="15.75" x14ac:dyDescent="0.25">
      <c r="A41" s="7"/>
      <c r="B41" s="3"/>
      <c r="C41" s="3"/>
      <c r="D41" s="92">
        <v>1</v>
      </c>
      <c r="E41" s="115" t="s">
        <v>64</v>
      </c>
      <c r="F41" s="115"/>
      <c r="G41" s="115"/>
      <c r="H41" s="114"/>
      <c r="I41" s="114"/>
      <c r="J41" s="82"/>
      <c r="K41" s="82"/>
      <c r="L41" s="87"/>
      <c r="M41" s="87"/>
      <c r="N41" s="59"/>
      <c r="O41" s="9"/>
    </row>
    <row r="42" spans="1:15" ht="15.75" customHeight="1" x14ac:dyDescent="0.25">
      <c r="A42" s="7"/>
      <c r="B42" s="3"/>
      <c r="C42" s="3"/>
      <c r="D42" s="89"/>
      <c r="E42" s="89"/>
      <c r="F42" s="88"/>
      <c r="G42" s="89"/>
      <c r="H42" s="88"/>
      <c r="I42" s="86" t="s">
        <v>27</v>
      </c>
      <c r="J42" s="82"/>
      <c r="K42" s="82"/>
      <c r="L42" s="87"/>
      <c r="M42" s="87" t="s">
        <v>55</v>
      </c>
      <c r="N42" s="59"/>
      <c r="O42" s="9"/>
    </row>
    <row r="43" spans="1:15" ht="15" x14ac:dyDescent="0.2">
      <c r="A43" s="7"/>
      <c r="B43" s="168"/>
      <c r="C43" s="168"/>
      <c r="D43" s="168"/>
      <c r="E43" s="168"/>
      <c r="F43" s="168"/>
      <c r="G43" s="168"/>
      <c r="H43" s="168"/>
      <c r="I43" s="168"/>
      <c r="J43" s="168"/>
      <c r="K43" s="168"/>
      <c r="L43" s="168"/>
      <c r="M43" s="168"/>
      <c r="N43" s="59"/>
      <c r="O43" s="9"/>
    </row>
    <row r="44" spans="1:15" ht="17.100000000000001" customHeight="1" x14ac:dyDescent="0.25">
      <c r="A44" s="132" t="s">
        <v>68</v>
      </c>
      <c r="B44" s="133"/>
      <c r="C44" s="133"/>
      <c r="D44" s="133"/>
      <c r="E44" s="133"/>
      <c r="F44" s="133"/>
      <c r="G44" s="133"/>
      <c r="H44" s="133"/>
      <c r="I44" s="84"/>
      <c r="J44" s="82"/>
      <c r="K44" s="82"/>
      <c r="L44" s="82"/>
      <c r="M44" s="82"/>
      <c r="N44" s="59"/>
      <c r="O44" s="9"/>
    </row>
    <row r="45" spans="1:15" ht="17.100000000000001" customHeight="1" x14ac:dyDescent="0.25">
      <c r="A45" s="132" t="s">
        <v>69</v>
      </c>
      <c r="B45" s="133"/>
      <c r="C45" s="133"/>
      <c r="D45" s="133"/>
      <c r="E45" s="133"/>
      <c r="F45" s="133"/>
      <c r="G45" s="133"/>
      <c r="H45" s="133"/>
      <c r="I45" s="84"/>
      <c r="J45" s="145" t="s">
        <v>56</v>
      </c>
      <c r="K45" s="145"/>
      <c r="L45" s="145"/>
      <c r="M45" s="145"/>
      <c r="N45" s="59"/>
      <c r="O45" s="9"/>
    </row>
    <row r="46" spans="1:15" ht="15" x14ac:dyDescent="0.2">
      <c r="A46" s="7"/>
      <c r="B46" s="3"/>
      <c r="C46" s="3"/>
      <c r="D46" s="20"/>
      <c r="E46" s="83"/>
      <c r="F46" s="143"/>
      <c r="G46" s="144"/>
      <c r="H46" s="144"/>
      <c r="I46" s="84"/>
      <c r="J46" s="145"/>
      <c r="K46" s="145"/>
      <c r="L46" s="145"/>
      <c r="M46" s="145"/>
      <c r="N46" s="59"/>
      <c r="O46" s="9"/>
    </row>
    <row r="47" spans="1:15" ht="15" customHeight="1" x14ac:dyDescent="0.2">
      <c r="A47" s="7"/>
      <c r="B47" s="3"/>
      <c r="C47" s="3"/>
      <c r="D47" s="3"/>
      <c r="E47" s="82"/>
      <c r="F47" s="82"/>
      <c r="G47" s="82"/>
      <c r="H47" s="82"/>
      <c r="I47" s="84"/>
      <c r="J47" s="145"/>
      <c r="K47" s="145"/>
      <c r="L47" s="145"/>
      <c r="M47" s="145"/>
      <c r="N47" s="59"/>
      <c r="O47" s="9"/>
    </row>
    <row r="48" spans="1:15" ht="15" customHeight="1" x14ac:dyDescent="0.2">
      <c r="A48" s="7"/>
      <c r="B48" s="116"/>
      <c r="C48" s="167" t="s">
        <v>60</v>
      </c>
      <c r="D48" s="167"/>
      <c r="E48" s="167"/>
      <c r="F48" s="167"/>
      <c r="G48" s="167"/>
      <c r="H48" s="167"/>
      <c r="I48" s="167"/>
      <c r="J48" s="167"/>
      <c r="K48" s="167"/>
      <c r="L48" s="167"/>
      <c r="M48" s="167"/>
      <c r="N48" s="59"/>
      <c r="O48" s="9"/>
    </row>
    <row r="49" spans="1:15" ht="15" customHeight="1" x14ac:dyDescent="0.2">
      <c r="A49" s="7"/>
      <c r="B49" s="116"/>
      <c r="C49" s="167" t="s">
        <v>61</v>
      </c>
      <c r="D49" s="167"/>
      <c r="E49" s="167"/>
      <c r="F49" s="167"/>
      <c r="G49" s="167"/>
      <c r="H49" s="167"/>
      <c r="I49" s="167"/>
      <c r="J49" s="167"/>
      <c r="K49" s="167"/>
      <c r="L49" s="167"/>
      <c r="M49" s="167"/>
      <c r="N49" s="59"/>
      <c r="O49" s="9"/>
    </row>
    <row r="50" spans="1:15" x14ac:dyDescent="0.2">
      <c r="A50" s="7"/>
      <c r="B50" s="167" t="s">
        <v>62</v>
      </c>
      <c r="C50" s="167"/>
      <c r="D50" s="167"/>
      <c r="E50" s="167"/>
      <c r="F50" s="167"/>
      <c r="G50" s="167"/>
      <c r="H50" s="167"/>
      <c r="I50" s="167"/>
      <c r="J50" s="167"/>
      <c r="K50" s="167"/>
      <c r="L50" s="167"/>
      <c r="M50" s="167"/>
      <c r="N50" s="59"/>
      <c r="O50" s="9"/>
    </row>
    <row r="51" spans="1:15" x14ac:dyDescent="0.2">
      <c r="A51" s="7"/>
      <c r="B51" s="116"/>
      <c r="C51" s="116"/>
      <c r="D51" s="166" t="s">
        <v>63</v>
      </c>
      <c r="E51" s="166"/>
      <c r="F51" s="166"/>
      <c r="G51" s="166"/>
      <c r="H51" s="166"/>
      <c r="I51" s="166"/>
      <c r="J51" s="166"/>
      <c r="K51" s="166"/>
      <c r="L51" s="166"/>
      <c r="M51" s="115"/>
      <c r="N51" s="59"/>
      <c r="O51" s="9"/>
    </row>
    <row r="52" spans="1:15" ht="15" x14ac:dyDescent="0.2">
      <c r="A52" s="7"/>
      <c r="B52" s="3"/>
      <c r="C52" s="3"/>
      <c r="D52" s="3"/>
      <c r="E52" s="99"/>
      <c r="F52" s="99"/>
      <c r="G52" s="99"/>
      <c r="H52" s="99"/>
      <c r="I52" s="99"/>
      <c r="J52" s="99"/>
      <c r="K52" s="99"/>
      <c r="L52" s="99"/>
      <c r="M52" s="82"/>
      <c r="N52" s="59"/>
      <c r="O52" s="9"/>
    </row>
    <row r="53" spans="1:15" ht="13.5" thickBot="1" x14ac:dyDescent="0.25">
      <c r="A53" s="7"/>
      <c r="B53" s="3"/>
      <c r="C53" s="3"/>
      <c r="D53" s="3"/>
      <c r="E53" s="3"/>
      <c r="F53" s="3"/>
      <c r="G53" s="3"/>
      <c r="H53" s="3"/>
      <c r="I53" s="3"/>
      <c r="J53" s="3"/>
      <c r="K53" s="3"/>
      <c r="L53" s="3"/>
      <c r="M53" s="3"/>
      <c r="N53" s="59"/>
      <c r="O53" s="9"/>
    </row>
    <row r="54" spans="1:15" ht="13.5" thickTop="1" x14ac:dyDescent="0.2">
      <c r="A54" s="60"/>
      <c r="B54" s="60"/>
      <c r="C54" s="60"/>
      <c r="D54" s="60"/>
      <c r="E54" s="60"/>
      <c r="F54" s="60"/>
      <c r="G54" s="60"/>
      <c r="H54" s="60"/>
      <c r="I54" s="60"/>
      <c r="J54" s="60"/>
      <c r="K54" s="60"/>
      <c r="L54" s="60"/>
      <c r="M54" s="60"/>
      <c r="N54" s="59"/>
      <c r="O54" s="9"/>
    </row>
    <row r="55" spans="1:15" x14ac:dyDescent="0.2">
      <c r="A55" s="161"/>
      <c r="B55" s="161"/>
      <c r="C55" s="161"/>
      <c r="D55" s="161"/>
      <c r="E55" s="161"/>
      <c r="F55" s="161"/>
      <c r="G55" s="161"/>
      <c r="H55" s="161"/>
      <c r="I55" s="161"/>
      <c r="J55" s="161"/>
      <c r="K55" s="161"/>
      <c r="L55" s="161"/>
      <c r="M55" s="3"/>
      <c r="N55" s="59"/>
      <c r="O55" s="9"/>
    </row>
    <row r="56" spans="1:15" ht="3" customHeight="1" x14ac:dyDescent="0.2">
      <c r="A56" s="162"/>
      <c r="B56" s="162"/>
      <c r="C56" s="162"/>
      <c r="D56" s="162"/>
      <c r="E56" s="162"/>
      <c r="F56" s="162"/>
      <c r="G56" s="162"/>
      <c r="H56" s="162"/>
      <c r="I56" s="162"/>
      <c r="J56" s="162"/>
      <c r="K56" s="162"/>
      <c r="L56" s="162"/>
      <c r="M56" s="3"/>
      <c r="N56" s="59"/>
      <c r="O56" s="9"/>
    </row>
    <row r="57" spans="1:15" x14ac:dyDescent="0.2">
      <c r="A57" s="162"/>
      <c r="B57" s="162"/>
      <c r="C57" s="162"/>
      <c r="D57" s="162"/>
      <c r="E57" s="162"/>
      <c r="F57" s="162"/>
      <c r="G57" s="162"/>
      <c r="H57" s="162"/>
      <c r="I57" s="162"/>
      <c r="J57" s="162"/>
      <c r="K57" s="162"/>
      <c r="L57" s="162"/>
      <c r="M57" s="3"/>
      <c r="N57" s="59"/>
      <c r="O57" s="9"/>
    </row>
    <row r="58" spans="1:15" ht="13.5" thickBot="1" x14ac:dyDescent="0.25">
      <c r="A58" s="11"/>
      <c r="B58" s="11"/>
      <c r="C58" s="11"/>
      <c r="D58" s="11"/>
      <c r="E58" s="11"/>
      <c r="F58" s="11"/>
      <c r="G58" s="11"/>
      <c r="H58" s="11"/>
      <c r="I58" s="11"/>
      <c r="J58" s="11"/>
      <c r="K58" s="11"/>
      <c r="L58" s="11"/>
      <c r="M58" s="11"/>
      <c r="N58" s="11"/>
      <c r="O58" s="12"/>
    </row>
    <row r="59" spans="1:15" ht="13.5" thickTop="1" x14ac:dyDescent="0.2"/>
    <row r="60" spans="1:15" ht="0.95" customHeight="1" x14ac:dyDescent="0.2"/>
    <row r="61" spans="1:15" ht="6" customHeight="1" x14ac:dyDescent="0.2"/>
  </sheetData>
  <scenarios current="0">
    <scenario name="sample1" locked="1" count="9" user="Nickte" comment="Created by Nickte on 23/10/96">
      <inputCells r="D16" val="M. Antoine CIVAUX"/>
      <inputCells r="D17" val="34, route de Marseille"/>
      <inputCells r="D18" val="84000"/>
      <inputCells r="D19" val="04.90.26.45.78"/>
      <inputCells r="F18" val="Avignon"/>
      <inputCells r="I18" val="France"/>
      <inputCells r="L16" val="35343" numFmtId="14"/>
      <inputCells r="L18" val="T. Farot"/>
      <inputCells r="L19" val="Le Havre"/>
    </scenario>
  </scenarios>
  <mergeCells count="27">
    <mergeCell ref="E22:J22"/>
    <mergeCell ref="L17:M17"/>
    <mergeCell ref="D17:I17"/>
    <mergeCell ref="L18:M18"/>
    <mergeCell ref="L19:M19"/>
    <mergeCell ref="F18:G18"/>
    <mergeCell ref="E55:L57"/>
    <mergeCell ref="E24:J24"/>
    <mergeCell ref="E27:J27"/>
    <mergeCell ref="D51:L51"/>
    <mergeCell ref="A55:D57"/>
    <mergeCell ref="C48:M48"/>
    <mergeCell ref="C49:M49"/>
    <mergeCell ref="B43:M43"/>
    <mergeCell ref="B50:M50"/>
    <mergeCell ref="L10:M10"/>
    <mergeCell ref="L9:M9"/>
    <mergeCell ref="F46:H46"/>
    <mergeCell ref="J45:M47"/>
    <mergeCell ref="E26:J26"/>
    <mergeCell ref="E23:J23"/>
    <mergeCell ref="E36:J36"/>
    <mergeCell ref="L16:M16"/>
    <mergeCell ref="L13:M14"/>
    <mergeCell ref="D16:I16"/>
    <mergeCell ref="D19:I19"/>
    <mergeCell ref="E21:J21"/>
  </mergeCells>
  <phoneticPr fontId="0" type="noConversion"/>
  <dataValidations xWindow="574" yWindow="401" count="12">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8">
      <formula1>0</formula1>
      <formula2>0</formula2>
    </dataValidation>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44:J45 K44:M44"/>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E55:L57"/>
    <dataValidation allowBlank="1" showErrorMessage="1" sqref="F18:G18"/>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1 M3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1 L3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2 M40">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2">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37">
      <formula1>0</formula1>
      <formula2>0</formula2>
    </dataValidation>
    <dataValidation type="decimal" allowBlank="1" showErrorMessage="1" errorTitle="Prix unitaire" error="Tapez un nombre dans cette cellule." promptTitle="Prix unitaire" sqref="M23:M31 L22:L31 L32:M36">
      <formula1>0</formula1>
      <formula2>1000000000</formula2>
    </dataValidation>
    <dataValidation type="whole" errorStyle="warning" allowBlank="1" showErrorMessage="1" errorTitle="Quantité" error="Tapez un nombre dans cette cellule." promptTitle="Quantité" sqref="D22:D36">
      <formula1>0</formula1>
      <formula2>1000000000</formula2>
    </dataValidation>
    <dataValidation type="list" allowBlank="1" showInputMessage="1" showErrorMessage="1" errorTitle="Code TVA" error="Tapez 1, 2, ou 3." sqref="K22:K36">
      <formula1>"1,2,3"</formula1>
    </dataValidation>
  </dataValidations>
  <printOptions horizontalCentered="1" verticalCentered="1"/>
  <pageMargins left="0" right="0" top="0" bottom="0" header="0" footer="0"/>
  <pageSetup paperSize="9" scale="83"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61" r:id="rId4" name="pd1">
              <controlPr defaultSize="0" autoFill="0" autoLine="0" autoPict="0" macro="[0]!INV_Payments">
                <anchor moveWithCells="1">
                  <from>
                    <xdr:col>3</xdr:col>
                    <xdr:colOff>400050</xdr:colOff>
                    <xdr:row>37</xdr:row>
                    <xdr:rowOff>152400</xdr:rowOff>
                  </from>
                  <to>
                    <xdr:col>3</xdr:col>
                    <xdr:colOff>695325</xdr:colOff>
                    <xdr:row>38</xdr:row>
                    <xdr:rowOff>171450</xdr:rowOff>
                  </to>
                </anchor>
              </controlPr>
            </control>
          </mc:Choice>
        </mc:AlternateContent>
        <mc:AlternateContent xmlns:mc="http://schemas.openxmlformats.org/markup-compatibility/2006">
          <mc:Choice Requires="x14">
            <control shapeId="2062" r:id="rId5" name="pd3">
              <controlPr defaultSize="0" autoFill="0" autoLine="0" autoPict="0" macro="[0]!INV_Payments">
                <anchor moveWithCells="1">
                  <from>
                    <xdr:col>3</xdr:col>
                    <xdr:colOff>400050</xdr:colOff>
                    <xdr:row>39</xdr:row>
                    <xdr:rowOff>0</xdr:rowOff>
                  </from>
                  <to>
                    <xdr:col>3</xdr:col>
                    <xdr:colOff>704850</xdr:colOff>
                    <xdr:row>40</xdr:row>
                    <xdr:rowOff>19050</xdr:rowOff>
                  </to>
                </anchor>
              </controlPr>
            </control>
          </mc:Choice>
        </mc:AlternateContent>
        <mc:AlternateContent xmlns:mc="http://schemas.openxmlformats.org/markup-compatibility/2006">
          <mc:Choice Requires="x14">
            <control shapeId="2071" r:id="rId6" name="pd2">
              <controlPr defaultSize="0" autoFill="0" autoLine="0" autoPict="0" macro="[0]!INV_Payments">
                <anchor moveWithCells="1">
                  <from>
                    <xdr:col>3</xdr:col>
                    <xdr:colOff>409575</xdr:colOff>
                    <xdr:row>40</xdr:row>
                    <xdr:rowOff>28575</xdr:rowOff>
                  </from>
                  <to>
                    <xdr:col>3</xdr:col>
                    <xdr:colOff>714375</xdr:colOff>
                    <xdr:row>41</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82" workbookViewId="0">
      <selection activeCell="F113" sqref="F113"/>
    </sheetView>
  </sheetViews>
  <sheetFormatPr baseColWidth="10" defaultRowHeight="12.75" x14ac:dyDescent="0.2"/>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8" r:id="rId3" name="pd1">
              <controlPr defaultSize="0" autoFill="0" autoLine="0" autoPict="0" macro="[0]!INV_Payments">
                <anchor moveWithCells="1">
                  <from>
                    <xdr:col>2</xdr:col>
                    <xdr:colOff>400050</xdr:colOff>
                    <xdr:row>0</xdr:row>
                    <xdr:rowOff>0</xdr:rowOff>
                  </from>
                  <to>
                    <xdr:col>2</xdr:col>
                    <xdr:colOff>695325</xdr:colOff>
                    <xdr:row>1</xdr:row>
                    <xdr:rowOff>47625</xdr:rowOff>
                  </to>
                </anchor>
              </controlPr>
            </control>
          </mc:Choice>
        </mc:AlternateContent>
        <mc:AlternateContent xmlns:mc="http://schemas.openxmlformats.org/markup-compatibility/2006">
          <mc:Choice Requires="x14">
            <control shapeId="9219" r:id="rId4" name="pd3">
              <controlPr defaultSize="0" autoFill="0" autoLine="0" autoPict="0" macro="[0]!INV_Payments">
                <anchor moveWithCells="1">
                  <from>
                    <xdr:col>2</xdr:col>
                    <xdr:colOff>400050</xdr:colOff>
                    <xdr:row>0</xdr:row>
                    <xdr:rowOff>0</xdr:rowOff>
                  </from>
                  <to>
                    <xdr:col>2</xdr:col>
                    <xdr:colOff>704850</xdr:colOff>
                    <xdr:row>1</xdr:row>
                    <xdr:rowOff>57150</xdr:rowOff>
                  </to>
                </anchor>
              </controlPr>
            </control>
          </mc:Choice>
        </mc:AlternateContent>
        <mc:AlternateContent xmlns:mc="http://schemas.openxmlformats.org/markup-compatibility/2006">
          <mc:Choice Requires="x14">
            <control shapeId="9220" r:id="rId5" name="pd2">
              <controlPr defaultSize="0" autoFill="0" autoLine="0" autoPict="0" macro="[0]!INV_Payments">
                <anchor moveWithCells="1">
                  <from>
                    <xdr:col>2</xdr:col>
                    <xdr:colOff>409575</xdr:colOff>
                    <xdr:row>0</xdr:row>
                    <xdr:rowOff>0</xdr:rowOff>
                  </from>
                  <to>
                    <xdr:col>2</xdr:col>
                    <xdr:colOff>714375</xdr:colOff>
                    <xdr:row>1</xdr:row>
                    <xdr:rowOff>57150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Facture!$M$11</f>
        <v/>
      </c>
      <c r="C8" s="73">
        <f>Facture!$L$16</f>
        <v>44882</v>
      </c>
      <c r="D8" s="74" t="str">
        <f>Facture!$D$16</f>
        <v xml:space="preserve">somapy </v>
      </c>
      <c r="E8" s="71">
        <f>Facture!$D$17</f>
        <v>0</v>
      </c>
      <c r="F8" s="71">
        <f>Facture!$D$18</f>
        <v>0</v>
      </c>
      <c r="G8" s="74" t="str">
        <f>Facture!$F$18</f>
        <v>TUNIS</v>
      </c>
      <c r="H8" s="74" t="str">
        <f>Facture!$I$18</f>
        <v>TN</v>
      </c>
      <c r="I8" s="71">
        <f>Facture!$D$19</f>
        <v>0</v>
      </c>
      <c r="J8" s="75" t="str">
        <f>Facture!$M$42</f>
        <v/>
      </c>
      <c r="K8" s="71">
        <f>Facture!$L$18</f>
        <v>0</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81</vt:i4>
      </vt:variant>
    </vt:vector>
  </HeadingPairs>
  <TitlesOfParts>
    <vt:vector size="86" baseType="lpstr">
      <vt:lpstr>Personnaliser votre facture</vt:lpstr>
      <vt:lpstr>Facture</vt:lpstr>
      <vt:lpstr>Feuil1</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2022-07-15T10:43:06Z</cp:lastPrinted>
  <dcterms:created xsi:type="dcterms:W3CDTF">1995-05-29T15:50:39Z</dcterms:created>
  <dcterms:modified xsi:type="dcterms:W3CDTF">2022-11-17T09:06:25Z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somapy </vt:lpwstr>
  </property>
  <property fmtid="{D5CDD505-2E9C-101B-9397-08002B2CF9AE}" pid="11" name="Montant de la facture" linkTarget="TOT">
    <vt:lpwstr/>
  </property>
</Properties>
</file>