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6" i="3" l="1"/>
  <c r="N33" i="3"/>
  <c r="N30" i="3"/>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<sst xmlns="http://schemas.openxmlformats.org/spreadsheetml/2006/main" count="96" uniqueCount="80">
  <si>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</si>
  <si>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</si>
  <si>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</si>
  <si>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</si>
  <si>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</si>
  <si>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</si>
  <si>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</si>
  <si>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</si>
  <si>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</si>
  <si>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</si>
  <si>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</si>
  <si>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</si>
  <si>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</si>
  <si>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</si>
  <si>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</si>
  <si>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</si>
  <si>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</si>
  <si>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</si>
  <si>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</si>
  <si>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</si>
  <si>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</si>
  <si>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</si>
  <si>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</si>
  <si>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</si>
  <si>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</si>
  <si>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</si>
  <si>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</si>
  <si>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</si>
  <si>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</si>
  <si>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</si>
  <si>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</si>
  <si>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</si>
  <si>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</si>
  <si>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</si>
  <si>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</si>
  <si>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</si>
  <si>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</si>
  <si>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</si>
  <si>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</si>
  <si>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</si>
  <si>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</si>
  <si>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</si>
  <si>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</si>
  <si>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</si>
  <si>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</si>
  <si>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</si>
  <si>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</si>
  <si>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</si>
  <si>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</si>
  <si>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</si>
  <si>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</si>
  <si>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</si>
  <si>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</si>
  <si>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</si>
  <si>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</si>
  <si>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</si>
  <si>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</si>
  <si>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</si>
  <si>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</si>
  <si>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</si>
  <si>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</si>
  <si>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</si>
  <si>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</si>
  <si>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</si>
  <si>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</si>
  <si>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</si>
  <si>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</si>
  <si>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CP03</t>
  </si>
  <si>
    <t>Corde en Polyamide Diam 14 (150 ml-200 ml)</t>
  </si>
  <si>
    <t xml:space="preserve">Harnais Golden Top  Plus Alu </t>
  </si>
  <si>
    <t>https://www.camp.it/prodotti3.aspx?CAT=71&amp;CDV=17&amp;B=&amp;ART=~396</t>
  </si>
  <si>
    <t xml:space="preserve">poulie  NAIAD </t>
  </si>
  <si>
    <t>https://www.camp.it/prodotti3.aspx?CAT=71&amp;CDV=12&amp;B=&amp;ART=~1515</t>
  </si>
  <si>
    <t> Double longes</t>
  </si>
  <si>
    <t>Sangle</t>
  </si>
  <si>
    <t>Mousquetons </t>
  </si>
  <si>
    <t>https://www.camp.it/prodotti3.aspx?CAT=71&amp;CDV=S8&amp;B=&amp;ART=~505</t>
  </si>
  <si>
    <t xml:space="preserve">MR MOHAMED </t>
  </si>
  <si>
    <t xml:space="preserve">ALMATHAL </t>
  </si>
  <si>
    <t>Devis N° 2022-199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</si>
</sst>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
      <u/>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23" fillId="3" borderId="32" xfId="0" applyFont="1" applyFill="1" applyBorder="1" applyAlignment="1">
      <alignment horizontal="center" vertical="center"/>
    </xf>
    <xf numFmtId="49" fontId="34" fillId="3" borderId="32" xfId="0" applyNumberFormat="1" applyFont="1" applyFill="1" applyBorder="1" applyAlignment="1"/>
    <xf numFmtId="169" fontId="16" fillId="0" borderId="27" xfId="0" applyNumberFormat="1" applyFont="1" applyFill="1" applyBorder="1"/>
    <xf numFmtId="49" fontId="17" fillId="3" borderId="32" xfId="0" applyNumberFormat="1" applyFont="1" applyFill="1" applyBorder="1" applyAlignment="1"/>
    <xf numFmtId="0" fontId="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35" fillId="3" borderId="47" xfId="0" applyNumberFormat="1" applyFont="1" applyFill="1" applyBorder="1" applyAlignment="1">
      <alignment horizontal="center" vertical="center" wrapText="1"/>
    </xf>
    <xf numFmtId="2" fontId="35" fillId="3" borderId="48" xfId="0" applyNumberFormat="1" applyFont="1" applyFill="1" applyBorder="1" applyAlignment="1">
      <alignment horizontal="center" vertical="center" wrapText="1"/>
    </xf>
    <xf numFmtId="2" fontId="35" fillId="3" borderId="49" xfId="0" applyNumberFormat="1" applyFont="1" applyFill="1" applyBorder="1" applyAlignment="1">
      <alignment horizontal="center" vertical="center" wrapText="1"/>
    </xf>
    <xf numFmtId="2" fontId="35" fillId="3" borderId="50" xfId="0" applyNumberFormat="1" applyFont="1" applyFill="1" applyBorder="1" applyAlignment="1">
      <alignment horizontal="center" vertical="center" wrapText="1"/>
    </xf>
    <xf numFmtId="2" fontId="35" fillId="3" borderId="51" xfId="0" applyNumberFormat="1" applyFont="1" applyFill="1" applyBorder="1" applyAlignment="1">
      <alignment horizontal="center" vertical="center" wrapText="1"/>
    </xf>
    <xf numFmtId="2" fontId="35"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2"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9"/>
      <c r="N9" s="17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8" t="s">
        <v>54</v>
      </c>
      <c r="N13" s="179"/>
      <c r="O13" s="3"/>
      <c r="P13" s="8"/>
    </row>
    <row r="14" spans="2:16" x14ac:dyDescent="0.2">
      <c r="B14" s="7"/>
      <c r="C14" s="3"/>
      <c r="D14" s="3"/>
      <c r="E14" s="3"/>
      <c r="F14" s="3"/>
      <c r="G14" s="3"/>
      <c r="H14" s="168"/>
      <c r="I14" s="168"/>
      <c r="J14" s="168"/>
      <c r="K14" s="168"/>
      <c r="L14" s="168"/>
      <c r="M14" s="3"/>
      <c r="N14" s="3"/>
      <c r="O14" s="3"/>
      <c r="P14" s="8"/>
    </row>
    <row r="15" spans="2:16" ht="20.100000000000001" customHeight="1" x14ac:dyDescent="0.2">
      <c r="B15" s="7"/>
      <c r="C15" s="3"/>
      <c r="D15" s="3"/>
      <c r="E15" s="3"/>
      <c r="F15" s="3"/>
      <c r="G15" s="3"/>
      <c r="H15" s="168"/>
      <c r="I15" s="168"/>
      <c r="J15" s="168"/>
      <c r="K15" s="168"/>
      <c r="L15" s="16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7" t="s">
        <v>79</v>
      </c>
      <c r="N17" s="158"/>
      <c r="O17" s="3"/>
      <c r="P17" s="8"/>
    </row>
    <row r="18" spans="1:16" ht="19.5" thickTop="1" x14ac:dyDescent="0.3">
      <c r="B18" s="7"/>
      <c r="C18" s="3"/>
      <c r="D18" s="58"/>
      <c r="E18" s="58"/>
      <c r="F18" s="58"/>
      <c r="G18" s="58"/>
      <c r="H18" s="58"/>
      <c r="I18" s="58"/>
      <c r="J18" s="59"/>
      <c r="K18" s="59"/>
      <c r="L18" s="59"/>
      <c r="M18" s="159"/>
      <c r="N18" s="160"/>
      <c r="O18" s="19"/>
      <c r="P18" s="8"/>
    </row>
    <row r="19" spans="1:16" ht="13.5" thickBot="1" x14ac:dyDescent="0.25">
      <c r="B19" s="7"/>
      <c r="C19" s="3"/>
      <c r="D19" s="3"/>
      <c r="E19" s="3"/>
      <c r="F19" s="3"/>
      <c r="G19" s="3"/>
      <c r="H19" s="3"/>
      <c r="I19" s="3"/>
      <c r="J19" s="3"/>
      <c r="K19" s="3"/>
      <c r="L19" s="3"/>
      <c r="M19" s="161"/>
      <c r="N19" s="16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4" t="s">
        <v>78</v>
      </c>
      <c r="F21" s="185"/>
      <c r="G21" s="185"/>
      <c r="H21" s="185"/>
      <c r="I21" s="185"/>
      <c r="J21" s="185"/>
      <c r="K21" s="82"/>
      <c r="L21" s="84" t="s">
        <v>18</v>
      </c>
      <c r="M21" s="173">
        <v>44637</v>
      </c>
      <c r="N21" s="174"/>
      <c r="O21" s="55"/>
      <c r="P21" s="8"/>
    </row>
    <row r="22" spans="1:16" ht="14.25" x14ac:dyDescent="0.2">
      <c r="B22" s="7"/>
      <c r="C22" s="3"/>
      <c r="D22" s="82" t="s">
        <v>5</v>
      </c>
      <c r="E22" s="182"/>
      <c r="F22" s="183"/>
      <c r="G22" s="183"/>
      <c r="H22" s="183"/>
      <c r="I22" s="183"/>
      <c r="J22" s="183"/>
      <c r="K22" s="82"/>
      <c r="L22" s="127" t="s">
        <v>60</v>
      </c>
      <c r="M22" s="166"/>
      <c r="N22" s="167"/>
      <c r="O22" s="56"/>
      <c r="P22" s="8"/>
    </row>
    <row r="23" spans="1:16" x14ac:dyDescent="0.2">
      <c r="B23" s="7"/>
      <c r="C23" s="3"/>
      <c r="D23" s="82" t="s">
        <v>7</v>
      </c>
      <c r="E23" s="89"/>
      <c r="F23" s="90" t="s">
        <v>8</v>
      </c>
      <c r="G23" s="180"/>
      <c r="H23" s="181"/>
      <c r="I23" s="91" t="s">
        <v>9</v>
      </c>
      <c r="J23" s="88" t="s">
        <v>51</v>
      </c>
      <c r="K23" s="82"/>
      <c r="L23" s="84" t="s">
        <v>19</v>
      </c>
      <c r="M23" s="175" t="s">
        <v>77</v>
      </c>
      <c r="N23" s="176"/>
      <c r="O23" s="3"/>
      <c r="P23" s="8"/>
    </row>
    <row r="24" spans="1:16" x14ac:dyDescent="0.2">
      <c r="B24" s="7"/>
      <c r="C24" s="3"/>
      <c r="D24" s="82" t="s">
        <v>20</v>
      </c>
      <c r="E24" s="186"/>
      <c r="F24" s="187"/>
      <c r="G24" s="187"/>
      <c r="H24" s="187"/>
      <c r="I24" s="187"/>
      <c r="J24" s="187"/>
      <c r="K24" s="82"/>
      <c r="L24" s="84" t="s">
        <v>47</v>
      </c>
      <c r="M24" s="177"/>
      <c r="N24" s="17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3" t="s">
        <v>22</v>
      </c>
      <c r="G26" s="164"/>
      <c r="H26" s="164"/>
      <c r="I26" s="164"/>
      <c r="J26" s="164"/>
      <c r="K26" s="164"/>
      <c r="L26" s="165"/>
      <c r="M26" s="52" t="s">
        <v>53</v>
      </c>
      <c r="N26" s="114" t="s">
        <v>23</v>
      </c>
      <c r="O26" s="57"/>
      <c r="P26" s="8"/>
    </row>
    <row r="27" spans="1:16" ht="20.25" x14ac:dyDescent="0.3">
      <c r="B27" s="7"/>
      <c r="C27" s="3"/>
      <c r="D27" s="93"/>
      <c r="E27" s="75"/>
      <c r="F27" s="188"/>
      <c r="G27" s="189"/>
      <c r="H27" s="189"/>
      <c r="I27" s="189"/>
      <c r="J27" s="189"/>
      <c r="K27" s="189"/>
      <c r="L27" s="132"/>
      <c r="M27" s="131"/>
      <c r="N27" s="96" t="str">
        <f t="shared" ref="N27" si="0">IF(E27&lt;&gt;"",E27*M27,"")</f>
        <v/>
      </c>
      <c r="O27" s="57"/>
      <c r="P27" s="8"/>
    </row>
    <row r="28" spans="1:16" ht="18.75" x14ac:dyDescent="0.3">
      <c r="B28" s="7"/>
      <c r="C28" s="3"/>
      <c r="D28" s="93"/>
      <c r="E28" s="75"/>
      <c r="F28" s="139"/>
      <c r="G28" s="135"/>
      <c r="H28" s="135"/>
      <c r="I28" s="135"/>
      <c r="J28" s="135"/>
      <c r="K28" s="135"/>
      <c r="L28" s="133"/>
      <c r="M28" s="131"/>
      <c r="N28" s="96"/>
      <c r="O28" s="57"/>
      <c r="P28" s="8"/>
    </row>
    <row r="29" spans="1:16" ht="18.75" x14ac:dyDescent="0.3">
      <c r="A29" s="99" t="s">
        <v>55</v>
      </c>
      <c r="B29" s="7"/>
      <c r="C29" s="3"/>
      <c r="D29" s="142"/>
      <c r="E29" s="75"/>
      <c r="F29" s="143"/>
      <c r="G29" s="135"/>
      <c r="H29" s="135"/>
      <c r="I29" s="135"/>
      <c r="J29" s="135"/>
      <c r="K29" s="135"/>
      <c r="L29" s="133"/>
      <c r="M29" s="131"/>
      <c r="N29" s="144"/>
      <c r="O29" s="57"/>
      <c r="P29" s="8"/>
    </row>
    <row r="30" spans="1:16" ht="15.75" x14ac:dyDescent="0.25">
      <c r="A30" s="99"/>
      <c r="B30" s="7"/>
      <c r="C30" s="3"/>
      <c r="D30" s="142" t="s">
        <v>67</v>
      </c>
      <c r="E30" s="75">
        <v>1</v>
      </c>
      <c r="F30" s="145" t="s">
        <v>68</v>
      </c>
      <c r="G30" s="135"/>
      <c r="H30" s="135"/>
      <c r="I30" s="135"/>
      <c r="J30" s="135"/>
      <c r="K30" s="135"/>
      <c r="L30" s="133"/>
      <c r="M30" s="131">
        <v>5.7</v>
      </c>
      <c r="N30" s="131">
        <f>M30*E30</f>
        <v>5.7</v>
      </c>
      <c r="O30" s="57"/>
      <c r="P30" s="8"/>
    </row>
    <row r="31" spans="1:16" ht="15" x14ac:dyDescent="0.2">
      <c r="A31" s="99"/>
      <c r="B31" s="7"/>
      <c r="C31" s="3"/>
      <c r="D31" s="142"/>
      <c r="E31" s="75"/>
      <c r="F31" s="136"/>
      <c r="G31" s="137"/>
      <c r="H31" s="81"/>
      <c r="I31" s="109"/>
      <c r="J31" s="109"/>
      <c r="K31" s="81"/>
      <c r="L31" s="133"/>
      <c r="M31" s="116"/>
      <c r="N31" s="131"/>
      <c r="O31" s="57"/>
      <c r="P31" s="8"/>
    </row>
    <row r="32" spans="1:16" ht="15" x14ac:dyDescent="0.2">
      <c r="B32" s="7"/>
      <c r="C32" s="3"/>
      <c r="D32" s="142"/>
      <c r="E32" s="75"/>
      <c r="F32" s="136"/>
      <c r="G32" s="137"/>
      <c r="H32" s="81"/>
      <c r="I32" s="109"/>
      <c r="J32" s="109"/>
      <c r="K32" s="81"/>
      <c r="L32" s="133"/>
      <c r="M32" s="116"/>
      <c r="N32" s="131"/>
      <c r="O32" s="57"/>
      <c r="P32" s="8"/>
    </row>
    <row r="33" spans="2:16" ht="15.75" x14ac:dyDescent="0.25">
      <c r="B33" s="7"/>
      <c r="C33" s="3"/>
      <c r="D33" s="142">
        <v>92111</v>
      </c>
      <c r="E33" s="75">
        <v>1</v>
      </c>
      <c r="F33" s="141" t="s">
        <v>69</v>
      </c>
      <c r="G33" s="137"/>
      <c r="H33" s="81"/>
      <c r="I33" s="109"/>
      <c r="J33" s="109"/>
      <c r="K33" s="81"/>
      <c r="L33" s="133"/>
      <c r="M33" s="116">
        <v>570</v>
      </c>
      <c r="N33" s="131">
        <f t="shared" ref="N33:N36" si="1">M33*E33</f>
        <v>570</v>
      </c>
      <c r="O33" s="57"/>
      <c r="P33" s="8"/>
    </row>
    <row r="34" spans="2:16" ht="15" x14ac:dyDescent="0.2">
      <c r="B34" s="7"/>
      <c r="C34" s="3"/>
      <c r="D34" s="142"/>
      <c r="E34" s="75"/>
      <c r="F34" s="136" t="s">
        <v>70</v>
      </c>
      <c r="G34" s="137"/>
      <c r="H34" s="81"/>
      <c r="I34" s="109"/>
      <c r="J34" s="109"/>
      <c r="K34" s="81"/>
      <c r="L34" s="133"/>
      <c r="M34" s="116"/>
      <c r="N34" s="131"/>
      <c r="O34" s="57"/>
      <c r="P34" s="8"/>
    </row>
    <row r="35" spans="2:16" ht="15" x14ac:dyDescent="0.2">
      <c r="B35" s="7"/>
      <c r="C35" s="3"/>
      <c r="D35" s="142"/>
      <c r="E35" s="75"/>
      <c r="F35" s="136"/>
      <c r="G35" s="137"/>
      <c r="H35" s="81"/>
      <c r="I35" s="109"/>
      <c r="J35" s="109"/>
      <c r="K35" s="81"/>
      <c r="L35" s="133"/>
      <c r="M35" s="116"/>
      <c r="N35" s="131"/>
      <c r="O35" s="57"/>
      <c r="P35" s="8"/>
    </row>
    <row r="36" spans="2:16" ht="15.75" x14ac:dyDescent="0.25">
      <c r="B36" s="7"/>
      <c r="C36" s="3"/>
      <c r="D36" s="142">
        <v>2159</v>
      </c>
      <c r="E36" s="75">
        <v>1</v>
      </c>
      <c r="F36" s="141" t="s">
        <v>71</v>
      </c>
      <c r="G36" s="137"/>
      <c r="H36" s="81"/>
      <c r="I36" s="109"/>
      <c r="J36" s="109">
        <v>51045671</v>
      </c>
      <c r="K36" s="81"/>
      <c r="L36" s="133"/>
      <c r="M36" s="116">
        <v>175</v>
      </c>
      <c r="N36" s="131">
        <f t="shared" si="1"/>
        <v>175</v>
      </c>
      <c r="O36" s="57"/>
      <c r="P36" s="8"/>
    </row>
    <row r="37" spans="2:16" ht="15" x14ac:dyDescent="0.2">
      <c r="B37" s="7"/>
      <c r="C37" s="3"/>
      <c r="D37" s="108"/>
      <c r="E37" s="75"/>
      <c r="F37" s="136" t="s">
        <v>72</v>
      </c>
      <c r="G37" s="137"/>
      <c r="H37" s="81"/>
      <c r="I37" s="109"/>
      <c r="J37" s="109"/>
      <c r="K37" s="81"/>
      <c r="L37" s="133"/>
      <c r="M37" s="116"/>
      <c r="N37" s="144"/>
      <c r="O37" s="57"/>
      <c r="P37" s="8"/>
    </row>
    <row r="38" spans="2:16" ht="15" x14ac:dyDescent="0.2">
      <c r="B38" s="7"/>
      <c r="C38" s="3"/>
      <c r="D38" s="108"/>
      <c r="E38" s="75"/>
      <c r="F38" s="136"/>
      <c r="G38" s="137"/>
      <c r="H38" s="81"/>
      <c r="I38" s="109"/>
      <c r="J38" s="109"/>
      <c r="K38" s="81"/>
      <c r="L38" s="133"/>
      <c r="M38" s="116"/>
      <c r="N38" s="144"/>
      <c r="O38" s="57"/>
      <c r="P38" s="8"/>
    </row>
    <row r="39" spans="2:16" ht="15.75" x14ac:dyDescent="0.25">
      <c r="B39" s="7"/>
      <c r="C39" s="3"/>
      <c r="D39" s="108"/>
      <c r="E39" s="75">
        <v>1</v>
      </c>
      <c r="F39" s="141" t="s">
        <v>73</v>
      </c>
      <c r="G39" s="137"/>
      <c r="H39" s="81"/>
      <c r="I39" s="109"/>
      <c r="J39" s="109"/>
      <c r="K39" s="81"/>
      <c r="L39" s="133"/>
      <c r="M39" s="116">
        <v>140</v>
      </c>
      <c r="N39" s="116">
        <v>140</v>
      </c>
      <c r="O39" s="57"/>
      <c r="P39" s="8"/>
    </row>
    <row r="40" spans="2:16" ht="15" x14ac:dyDescent="0.2">
      <c r="B40" s="7"/>
      <c r="C40" s="3"/>
      <c r="D40" s="108"/>
      <c r="E40" s="75"/>
      <c r="F40" s="136"/>
      <c r="G40" s="137"/>
      <c r="H40" s="146"/>
      <c r="I40" s="109"/>
      <c r="J40" s="81"/>
      <c r="K40" s="81"/>
      <c r="L40" s="133"/>
      <c r="M40" s="116"/>
      <c r="N40" s="144"/>
      <c r="O40" s="57"/>
      <c r="P40" s="8"/>
    </row>
    <row r="41" spans="2:16" ht="18" x14ac:dyDescent="0.25">
      <c r="B41" s="7"/>
      <c r="C41" s="3"/>
      <c r="D41" s="108"/>
      <c r="E41" s="75"/>
      <c r="F41" s="136"/>
      <c r="G41" s="126"/>
      <c r="H41" s="81"/>
      <c r="I41" s="109"/>
      <c r="J41" s="81"/>
      <c r="K41" s="81"/>
      <c r="L41" s="109"/>
      <c r="M41" s="96"/>
      <c r="N41" s="144"/>
      <c r="O41" s="57"/>
      <c r="P41" s="8"/>
    </row>
    <row r="42" spans="2:16" ht="18" x14ac:dyDescent="0.25">
      <c r="B42" s="7"/>
      <c r="C42" s="3"/>
      <c r="D42" s="108">
        <v>2034080</v>
      </c>
      <c r="E42" s="75">
        <v>1</v>
      </c>
      <c r="F42" s="141" t="s">
        <v>74</v>
      </c>
      <c r="G42" s="126"/>
      <c r="H42" s="81"/>
      <c r="I42" s="109"/>
      <c r="J42" s="81"/>
      <c r="K42" s="81"/>
      <c r="L42" s="109"/>
      <c r="M42" s="96">
        <v>32</v>
      </c>
      <c r="N42" s="96">
        <v>32</v>
      </c>
      <c r="O42" s="57"/>
      <c r="P42" s="8"/>
    </row>
    <row r="43" spans="2:16" ht="17.100000000000001" customHeight="1" x14ac:dyDescent="0.25">
      <c r="B43" s="7"/>
      <c r="C43" s="3"/>
      <c r="D43" s="108"/>
      <c r="E43" s="75"/>
      <c r="F43" s="81" t="s">
        <v>76</v>
      </c>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75" x14ac:dyDescent="0.25">
      <c r="B45" s="7"/>
      <c r="C45" s="3"/>
      <c r="D45" s="108">
        <v>981</v>
      </c>
      <c r="E45" s="75">
        <v>1</v>
      </c>
      <c r="F45" s="197" t="s">
        <v>75</v>
      </c>
      <c r="G45" s="109"/>
      <c r="H45" s="81"/>
      <c r="I45" s="109"/>
      <c r="J45" s="109"/>
      <c r="K45" s="81"/>
      <c r="L45" s="109"/>
      <c r="M45" s="96">
        <v>24</v>
      </c>
      <c r="N45" s="96">
        <v>24</v>
      </c>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71"/>
      <c r="G51" s="172"/>
      <c r="H51" s="172"/>
      <c r="I51" s="172"/>
      <c r="J51" s="172"/>
      <c r="K51" s="172"/>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946.7</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179.87300000000002</v>
      </c>
      <c r="O54" s="57"/>
      <c r="P54" s="8"/>
    </row>
    <row r="55" spans="2:16" ht="3" customHeight="1" x14ac:dyDescent="0.25">
      <c r="B55" s="7"/>
      <c r="C55" s="3"/>
      <c r="D55" s="3"/>
      <c r="E55" s="85"/>
      <c r="F55" s="134" t="s">
        <v>62</v>
      </c>
      <c r="G55" s="87"/>
      <c r="H55" s="85"/>
      <c r="I55" s="82"/>
      <c r="J55" s="79"/>
      <c r="K55" s="76"/>
      <c r="L55" s="76"/>
      <c r="M55" s="154" t="s">
        <v>27</v>
      </c>
      <c r="N55" s="155">
        <f>+N52+N53+N54</f>
        <v>1127.173</v>
      </c>
      <c r="O55" s="57"/>
      <c r="P55" s="8"/>
    </row>
    <row r="56" spans="2:16" ht="15" x14ac:dyDescent="0.2">
      <c r="B56" s="7"/>
      <c r="C56" s="3"/>
      <c r="D56" s="3"/>
      <c r="E56" s="85">
        <v>1</v>
      </c>
      <c r="F56" s="107" t="s">
        <v>63</v>
      </c>
      <c r="G56" s="82"/>
      <c r="H56" s="86"/>
      <c r="I56" s="82"/>
      <c r="J56" s="80" t="s">
        <v>26</v>
      </c>
      <c r="K56" s="76"/>
      <c r="L56" s="76"/>
      <c r="M56" s="154"/>
      <c r="N56" s="156"/>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90" t="s">
        <v>65</v>
      </c>
      <c r="D61" s="190"/>
      <c r="E61" s="190"/>
      <c r="F61" s="190"/>
      <c r="G61" s="190"/>
      <c r="H61" s="127"/>
      <c r="I61" s="127"/>
      <c r="J61" s="127"/>
      <c r="K61" s="127"/>
      <c r="L61" s="127"/>
      <c r="M61" s="138" t="s">
        <v>64</v>
      </c>
      <c r="N61" s="102"/>
      <c r="O61" s="57"/>
      <c r="P61" s="8"/>
    </row>
    <row r="62" spans="2:16" ht="15.75" x14ac:dyDescent="0.2">
      <c r="B62" s="7"/>
      <c r="C62" s="191" t="s">
        <v>66</v>
      </c>
      <c r="D62" s="191"/>
      <c r="E62" s="191"/>
      <c r="F62" s="191"/>
      <c r="G62" s="191"/>
      <c r="H62" s="140"/>
      <c r="I62" s="140"/>
      <c r="J62" s="140"/>
      <c r="K62" s="140"/>
      <c r="L62" s="140"/>
      <c r="M62" s="100"/>
      <c r="N62" s="101"/>
      <c r="O62" s="57"/>
      <c r="P62" s="8"/>
    </row>
    <row r="63" spans="2:16" ht="15.75" x14ac:dyDescent="0.2">
      <c r="B63" s="7"/>
      <c r="C63" s="3"/>
      <c r="D63" s="3"/>
      <c r="E63" s="18"/>
      <c r="F63" s="194"/>
      <c r="G63" s="194"/>
      <c r="H63" s="194"/>
      <c r="I63" s="194"/>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95" t="s">
        <v>56</v>
      </c>
      <c r="G66" s="195"/>
      <c r="H66" s="195"/>
      <c r="I66" s="195"/>
      <c r="J66" s="195"/>
      <c r="K66" s="195"/>
      <c r="L66" s="195"/>
      <c r="M66" s="98"/>
      <c r="N66" s="98"/>
      <c r="O66" s="57"/>
      <c r="P66" s="8"/>
    </row>
    <row r="67" spans="1:16" ht="15.75" x14ac:dyDescent="0.2">
      <c r="B67" s="125"/>
      <c r="C67" s="3"/>
      <c r="D67" s="3"/>
      <c r="E67" s="196" t="s">
        <v>58</v>
      </c>
      <c r="F67" s="196"/>
      <c r="G67" s="196"/>
      <c r="H67" s="196"/>
      <c r="I67" s="196"/>
      <c r="J67" s="196"/>
      <c r="K67" s="196"/>
      <c r="L67" s="196"/>
      <c r="M67" s="196"/>
      <c r="N67" s="98"/>
      <c r="O67" s="57"/>
    </row>
    <row r="68" spans="1:16" ht="15.75" x14ac:dyDescent="0.2">
      <c r="B68" s="124"/>
      <c r="C68" s="3"/>
      <c r="D68" s="3"/>
      <c r="E68" s="196"/>
      <c r="F68" s="196"/>
      <c r="G68" s="196"/>
      <c r="H68" s="196"/>
      <c r="I68" s="196"/>
      <c r="J68" s="196"/>
      <c r="K68" s="196"/>
      <c r="L68" s="196"/>
      <c r="M68" s="196"/>
      <c r="N68" s="98"/>
      <c r="O68" s="57"/>
    </row>
    <row r="69" spans="1:16" ht="13.5" thickBot="1" x14ac:dyDescent="0.25">
      <c r="C69" s="119"/>
      <c r="D69" s="119"/>
      <c r="E69" s="120"/>
      <c r="F69" s="120"/>
      <c r="G69" s="120"/>
      <c r="H69" s="193"/>
      <c r="I69" s="193"/>
      <c r="J69" s="193"/>
      <c r="K69" s="193"/>
      <c r="L69" s="193"/>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92"/>
      <c r="L71" s="192"/>
      <c r="M71" s="192"/>
      <c r="N71" s="192"/>
      <c r="O71" s="192"/>
    </row>
    <row r="72" spans="1:16" x14ac:dyDescent="0.2">
      <c r="C72" s="124"/>
      <c r="D72" s="124"/>
      <c r="E72" s="124"/>
      <c r="F72" s="124"/>
      <c r="G72" s="124"/>
      <c r="H72" s="124"/>
      <c r="I72" s="124"/>
      <c r="J72" s="124"/>
      <c r="K72" s="193"/>
      <c r="L72" s="193"/>
      <c r="M72" s="193"/>
      <c r="N72" s="193"/>
      <c r="O72" s="193"/>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61:G61"/>
    <mergeCell ref="C62:G62"/>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30 L32: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N30:N36 N39 N45 N42">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9 N37:N38 N40:N41 N43:N44 N46: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44637</v>
      </c>
      <c r="D8" s="71" t="str">
        <f>Facture!$E$21</f>
        <v xml:space="preserve">ALMATHAL </v>
      </c>
      <c r="E8" s="68">
        <f>Facture!$E$22</f>
        <v>0</v>
      </c>
      <c r="F8" s="68">
        <f>Facture!$E$23</f>
        <v>0</v>
      </c>
      <c r="G8" s="71">
        <f>Facture!$G$23</f>
        <v>0</v>
      </c>
      <c r="H8" s="71" t="str">
        <f>Facture!$J$23</f>
        <v>TN</v>
      </c>
      <c r="I8" s="68">
        <f>Facture!$E$24</f>
        <v>0</v>
      </c>
      <c r="J8" s="72">
        <f>Facture!$N$55</f>
        <v>1127.173</v>
      </c>
      <c r="K8" s="68" t="str">
        <f>Facture!$M$23</f>
        <v xml:space="preserve">MR MOHAMED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2022-03-17T15:14:56Z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ALMATHAL </vt:lpwstr>
  </property>
  <property fmtid="{D5CDD505-2E9C-101B-9397-08002B2CF9AE}" pid="11" name="Montant de la facture" linkTarget="TOT">
    <vt:r8>1127.173</vt:r8>
  </property>
</Properties>
</file>