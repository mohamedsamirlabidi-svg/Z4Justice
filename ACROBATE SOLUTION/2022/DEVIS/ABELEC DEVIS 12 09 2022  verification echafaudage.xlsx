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s="1"/>
  <c r="M46" i="3" l="1"/>
  <c r="M47" i="3" s="1"/>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<sst xmlns="http://schemas.openxmlformats.org/spreadsheetml/2006/main" count="84" uniqueCount="74">
  <si>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</si>
  <si>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</si>
  <si>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</si>
  <si>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</si>
  <si>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</si>
  <si>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</si>
  <si>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</si>
  <si>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</si>
  <si>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</si>
  <si>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</si>
  <si>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</si>
  <si>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</si>
  <si>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</si>
  <si>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</si>
  <si>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</si>
  <si>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</si>
  <si>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</si>
  <si>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</si>
  <si>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</si>
  <si>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</si>
  <si>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</si>
  <si>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</si>
  <si>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</si>
  <si>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</si>
  <si>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</si>
  <si>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</si>
  <si>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</si>
  <si>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</si>
  <si>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</si>
  <si>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</si>
  <si>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</si>
  <si>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</si>
  <si>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</si>
  <si>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</si>
  <si>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</si>
  <si>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</si>
  <si>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</si>
  <si>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</si>
  <si>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</si>
  <si>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</si>
  <si>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</si>
  <si>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</si>
  <si>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</si>
  <si>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</si>
  <si>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</si>
  <si>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</si>
  <si>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</si>
  <si>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</si>
  <si>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</si>
  <si>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</si>
  <si>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</si>
  <si>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</si>
  <si>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</si>
  <si>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</si>
  <si>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</si>
  <si>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</si>
  <si>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</si>
  <si>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</si>
  <si>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</si>
  <si>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</si>
  <si>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</si>
  <si>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</si>
  <si>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</si>
  <si>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</si>
  <si>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VRFCH</t>
  </si>
  <si>
    <t xml:space="preserve">Responsable: 
</t>
  </si>
  <si>
    <t>ABELEC</t>
  </si>
  <si>
    <t xml:space="preserve">Z,I MGHIRA </t>
  </si>
  <si>
    <t>MF: 43065D/A/M/000</t>
  </si>
  <si>
    <t>Contrôle et remise en conformité</t>
  </si>
  <si>
    <t>ECHAFAUDAGE ROULANT ALUMINIUM  TUBESCA/TOTEM2</t>
  </si>
  <si>
    <t xml:space="preserve">Réf commande: </t>
  </si>
  <si>
    <t>Date : 12/09/2022</t>
  </si>
  <si>
    <t>DEVIS  N°2022-1568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</si>
</sst>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3" fillId="3" borderId="34" xfId="0" applyFont="1" applyFill="1" applyBorder="1" applyAlignment="1">
      <alignment horizontal="left" vertical="top" wrapText="1"/>
    </xf>
    <xf numFmtId="0" fontId="43" fillId="3" borderId="34" xfId="0" applyFont="1" applyFill="1" applyBorder="1" applyAlignment="1">
      <alignment horizontal="left" vertical="top"/>
    </xf>
    <xf numFmtId="0" fontId="25" fillId="3" borderId="34" xfId="0" applyFont="1" applyFill="1" applyBorder="1" applyAlignment="1">
      <alignment horizontal="left"/>
    </xf>
    <xf numFmtId="49" fontId="43" fillId="3" borderId="33" xfId="0" applyNumberFormat="1" applyFont="1" applyFill="1" applyBorder="1" applyAlignment="1"/>
    <xf numFmtId="0" fontId="43" fillId="2" borderId="33" xfId="0" applyFont="1" applyBorder="1" applyAlignment="1"/>
    <xf numFmtId="0" fontId="44"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33" fillId="0" borderId="28"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0" zoomScale="60" zoomScaleNormal="60" workbookViewId="0">
      <selection activeCell="G36" sqref="G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73</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66</v>
      </c>
      <c r="F22" s="187"/>
      <c r="G22" s="187"/>
      <c r="H22" s="187"/>
      <c r="I22" s="187"/>
      <c r="J22" s="187"/>
      <c r="K22" s="103"/>
      <c r="L22" s="182" t="s">
        <v>72</v>
      </c>
      <c r="M22" s="182"/>
      <c r="N22" s="52"/>
      <c r="O22" s="9"/>
    </row>
    <row r="23" spans="2:15" ht="33.75" x14ac:dyDescent="0.5">
      <c r="B23" s="7"/>
      <c r="C23" s="3"/>
      <c r="D23" s="102" t="s">
        <v>54</v>
      </c>
      <c r="E23" s="194" t="s">
        <v>67</v>
      </c>
      <c r="F23" s="194"/>
      <c r="G23" s="194"/>
      <c r="H23" s="194"/>
      <c r="I23" s="194"/>
      <c r="J23" s="194"/>
      <c r="K23" s="194"/>
      <c r="L23" s="104" t="s">
        <v>71</v>
      </c>
      <c r="M23" s="104"/>
      <c r="N23" s="53"/>
      <c r="O23" s="9"/>
    </row>
    <row r="24" spans="2:15" ht="33.75" x14ac:dyDescent="0.5">
      <c r="B24" s="7"/>
      <c r="C24" s="3"/>
      <c r="D24" s="102" t="s">
        <v>55</v>
      </c>
      <c r="E24" s="151"/>
      <c r="F24" s="105" t="s">
        <v>8</v>
      </c>
      <c r="G24" s="195"/>
      <c r="H24" s="195"/>
      <c r="I24" s="106" t="s">
        <v>9</v>
      </c>
      <c r="J24" s="149" t="s">
        <v>57</v>
      </c>
      <c r="K24" s="103"/>
      <c r="L24" s="183" t="s">
        <v>65</v>
      </c>
      <c r="M24" s="184"/>
      <c r="N24" s="3"/>
      <c r="O24" s="9"/>
    </row>
    <row r="25" spans="2:15" ht="33.75" x14ac:dyDescent="0.5">
      <c r="B25" s="7"/>
      <c r="C25" s="3"/>
      <c r="D25" s="102" t="s">
        <v>56</v>
      </c>
      <c r="E25" s="188"/>
      <c r="F25" s="188"/>
      <c r="G25" s="188"/>
      <c r="H25" s="188"/>
      <c r="I25" s="188"/>
      <c r="J25" s="188"/>
      <c r="K25" s="103"/>
      <c r="L25" s="185" t="s">
        <v>68</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6" t="s">
        <v>23</v>
      </c>
      <c r="G27" s="197"/>
      <c r="H27" s="197"/>
      <c r="I27" s="197"/>
      <c r="J27" s="197"/>
      <c r="K27" s="198"/>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64</v>
      </c>
      <c r="E31" s="108">
        <v>1</v>
      </c>
      <c r="F31" s="201" t="s">
        <v>69</v>
      </c>
      <c r="G31" s="120"/>
      <c r="H31" s="120"/>
      <c r="I31" s="120"/>
      <c r="J31" s="120"/>
      <c r="K31" s="121"/>
      <c r="L31" s="111">
        <v>300</v>
      </c>
      <c r="M31" s="111">
        <f>+L31*E31</f>
        <v>300</v>
      </c>
      <c r="N31" s="54"/>
      <c r="O31" s="9"/>
    </row>
    <row r="32" spans="2:15" ht="30" x14ac:dyDescent="0.4">
      <c r="B32" s="7"/>
      <c r="C32" s="3"/>
      <c r="D32" s="150"/>
      <c r="E32" s="108"/>
      <c r="F32" s="171" t="s">
        <v>70</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57</v>
      </c>
      <c r="N46" s="54"/>
      <c r="O46" s="9"/>
    </row>
    <row r="47" spans="2:15" ht="35.25" x14ac:dyDescent="0.5">
      <c r="B47" s="7"/>
      <c r="C47" s="3"/>
      <c r="D47" s="85"/>
      <c r="E47" s="100"/>
      <c r="F47" s="96"/>
      <c r="G47" s="82"/>
      <c r="H47" s="81"/>
      <c r="I47" s="77"/>
      <c r="J47" s="83"/>
      <c r="K47" s="93"/>
      <c r="L47" s="142" t="s">
        <v>28</v>
      </c>
      <c r="M47" s="141">
        <f>+M44+M45+M46</f>
        <v>357.6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9"/>
      <c r="E50" s="199"/>
      <c r="F50" s="199"/>
      <c r="G50" s="199"/>
      <c r="H50" s="199"/>
      <c r="I50" s="199"/>
      <c r="J50" s="199"/>
      <c r="K50" s="199"/>
      <c r="L50" s="199"/>
      <c r="M50" s="123"/>
      <c r="N50" s="54"/>
      <c r="O50" s="9"/>
    </row>
    <row r="51" spans="1:16" ht="26.25" x14ac:dyDescent="0.4">
      <c r="B51" s="7"/>
      <c r="C51" s="3"/>
      <c r="D51" s="200"/>
      <c r="E51" s="200"/>
      <c r="F51" s="200"/>
      <c r="G51" s="200"/>
      <c r="H51" s="200"/>
      <c r="I51" s="200"/>
      <c r="J51" s="200"/>
      <c r="K51" s="200"/>
      <c r="L51" s="200"/>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12/09/2022</v>
      </c>
      <c r="D8" s="67" t="str">
        <f>Facture!$E$22</f>
        <v>ABELEC</v>
      </c>
      <c r="E8" s="64" t="str">
        <f>Facture!$E$23</f>
        <v xml:space="preserve">Z,I MGHIRA </v>
      </c>
      <c r="F8" s="64">
        <f>Facture!$E$24</f>
        <v>0</v>
      </c>
      <c r="G8" s="67">
        <f>Facture!$G$24</f>
        <v>0</v>
      </c>
      <c r="H8" s="67" t="str">
        <f>Facture!$J$24</f>
        <v>TN</v>
      </c>
      <c r="I8" s="64">
        <f>Facture!$E$25</f>
        <v>0</v>
      </c>
      <c r="J8" s="68">
        <f>Facture!$M$47</f>
        <v>357.6</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2022-03-21T12:52:37Z</cp:lastPrinted>
  <dcterms:created xsi:type="dcterms:W3CDTF">1995-05-29T15:50:39Z</dcterms:created>
  <dcterms:modified xsi:type="dcterms:W3CDTF">2022-09-12T09:23:31Z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ABELEC</vt:lpwstr>
  </property>
  <property fmtid="{D5CDD505-2E9C-101B-9397-08002B2CF9AE}" pid="11" name="Montant de la facture" linkTarget="TOT">
    <vt:r8>357.6</vt:r8>
  </property>
</Properties>
</file>