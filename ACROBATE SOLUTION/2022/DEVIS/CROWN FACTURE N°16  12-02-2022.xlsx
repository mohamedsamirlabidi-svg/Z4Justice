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8" i="3" s="1"/>
  <c r="M33" i="3" l="1"/>
  <c r="M34" i="3"/>
  <c r="M35" i="3"/>
  <c r="M36" i="3"/>
  <c r="M29" i="3"/>
  <c r="M31" i="3"/>
  <c r="M32" i="3"/>
  <c r="M37" i="3" l="1"/>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<sst xmlns="http://schemas.openxmlformats.org/spreadsheetml/2006/main" count="86" uniqueCount="76">
  <si>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</si>
  <si>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</si>
  <si>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</si>
  <si>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</si>
  <si>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</si>
  <si>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</si>
  <si>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</si>
  <si>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</si>
  <si>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</si>
  <si>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</si>
  <si>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</si>
  <si>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</si>
  <si>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</si>
  <si>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</si>
  <si>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</si>
  <si>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</si>
  <si>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</si>
  <si>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</si>
  <si>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</si>
  <si>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</si>
  <si>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</si>
  <si>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</si>
  <si>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</si>
  <si>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</si>
  <si>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</si>
  <si>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</si>
  <si>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</si>
  <si>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</si>
  <si>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</si>
  <si>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</si>
  <si>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</si>
  <si>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</si>
  <si>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</si>
  <si>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</si>
  <si>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</si>
  <si>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</si>
  <si>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</si>
  <si>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</si>
  <si>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</si>
  <si>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</si>
  <si>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</si>
  <si>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</si>
  <si>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</si>
  <si>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</si>
  <si>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</si>
  <si>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</si>
  <si>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</si>
  <si>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</si>
  <si>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</si>
  <si>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</si>
  <si>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</si>
  <si>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</si>
  <si>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</si>
  <si>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</si>
  <si>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</si>
  <si>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</si>
  <si>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</si>
  <si>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</si>
  <si>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</si>
  <si>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</si>
  <si>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</si>
  <si>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</si>
  <si>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</si>
  <si>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</si>
  <si>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</si>
  <si>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</si>
  <si>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</si>
  <si>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</si>
  <si>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</si>
  <si>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</si>
  <si>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</si>
  <si>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2120</t>
  </si>
  <si>
    <t xml:space="preserve">HARNAIS ORBITAL </t>
  </si>
  <si>
    <t>https://www.camp.it/prodotti3.aspx?CAT=71&amp;CDV=17&amp;B=&amp;ART=~861</t>
  </si>
  <si>
    <t>22/0291</t>
  </si>
  <si>
    <t>FACTURE   N°2022-016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</si>
</sst>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49" fontId="42"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28" zoomScale="60" zoomScaleNormal="60" workbookViewId="0">
      <selection activeCell="K34" sqref="K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9" t="s">
        <v>75</v>
      </c>
      <c r="M18" s="3"/>
      <c r="N18" s="3"/>
      <c r="O18" s="9"/>
    </row>
    <row r="19" spans="2:15" ht="21.95" customHeight="1" thickTop="1" x14ac:dyDescent="0.3">
      <c r="B19" s="7"/>
      <c r="C19" s="3"/>
      <c r="D19" s="53"/>
      <c r="E19" s="53"/>
      <c r="F19" s="53"/>
      <c r="G19" s="53"/>
      <c r="H19" s="53"/>
      <c r="I19" s="53"/>
      <c r="J19" s="54"/>
      <c r="K19" s="54"/>
      <c r="L19" s="170"/>
      <c r="M19" s="54"/>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65</v>
      </c>
      <c r="F22" s="133"/>
      <c r="G22" s="132"/>
      <c r="H22" s="132"/>
      <c r="I22" s="162"/>
      <c r="J22" s="162"/>
      <c r="K22" s="131"/>
      <c r="L22" s="129" t="s">
        <v>19</v>
      </c>
      <c r="M22" s="172">
        <v>44603</v>
      </c>
      <c r="N22" s="173"/>
      <c r="O22" s="9"/>
    </row>
    <row r="23" spans="2:15" ht="23.25" x14ac:dyDescent="0.35">
      <c r="B23" s="7"/>
      <c r="C23" s="3"/>
      <c r="D23" s="129" t="s">
        <v>53</v>
      </c>
      <c r="E23" s="132" t="s">
        <v>67</v>
      </c>
      <c r="F23" s="132"/>
      <c r="G23" s="132"/>
      <c r="H23" s="132"/>
      <c r="I23" s="132"/>
      <c r="J23" s="132"/>
      <c r="K23" s="131"/>
      <c r="L23" s="129" t="s">
        <v>63</v>
      </c>
      <c r="M23" s="130" t="s">
        <v>74</v>
      </c>
      <c r="N23" s="130"/>
      <c r="O23" s="9"/>
    </row>
    <row r="24" spans="2:15" ht="23.25" x14ac:dyDescent="0.35">
      <c r="B24" s="7"/>
      <c r="C24" s="3"/>
      <c r="D24" s="129" t="s">
        <v>54</v>
      </c>
      <c r="E24" s="162">
        <v>2051</v>
      </c>
      <c r="F24" s="162"/>
      <c r="G24" s="162"/>
      <c r="H24" s="162"/>
      <c r="I24" s="162" t="s">
        <v>68</v>
      </c>
      <c r="J24" s="162" t="s">
        <v>58</v>
      </c>
      <c r="K24" s="131"/>
      <c r="L24" s="129" t="s">
        <v>20</v>
      </c>
      <c r="M24" s="174" t="s">
        <v>69</v>
      </c>
      <c r="N24" s="174"/>
      <c r="O24" s="9"/>
    </row>
    <row r="25" spans="2:15" ht="23.25" x14ac:dyDescent="0.35">
      <c r="B25" s="7"/>
      <c r="C25" s="3"/>
      <c r="D25" s="129" t="s">
        <v>55</v>
      </c>
      <c r="E25" s="167">
        <v>31358100</v>
      </c>
      <c r="F25" s="167"/>
      <c r="G25" s="132"/>
      <c r="H25" s="132"/>
      <c r="I25" s="132"/>
      <c r="J25" s="132"/>
      <c r="K25" s="131"/>
      <c r="L25" s="129" t="s">
        <v>64</v>
      </c>
      <c r="M25" s="174" t="s">
        <v>66</v>
      </c>
      <c r="N25" s="174"/>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3" t="s">
        <v>23</v>
      </c>
      <c r="G27" s="164"/>
      <c r="H27" s="164"/>
      <c r="I27" s="164"/>
      <c r="J27" s="164"/>
      <c r="K27" s="165"/>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t="str">
        <f t="shared" ref="M29:M37" si="0">IF(E29&lt;&gt;"",E29*L29,"")</f>
        <v/>
      </c>
      <c r="N29" s="89"/>
      <c r="O29" s="9"/>
    </row>
    <row r="30" spans="2:15" ht="30" x14ac:dyDescent="0.4">
      <c r="B30" s="7"/>
      <c r="C30" s="3"/>
      <c r="D30" s="151" t="s">
        <v>71</v>
      </c>
      <c r="E30" s="95">
        <v>4</v>
      </c>
      <c r="F30" s="150" t="s">
        <v>72</v>
      </c>
      <c r="G30" s="120"/>
      <c r="H30" s="120"/>
      <c r="I30" s="120"/>
      <c r="J30" s="120"/>
      <c r="K30" s="121"/>
      <c r="L30" s="147">
        <v>280</v>
      </c>
      <c r="M30" s="100">
        <f t="shared" si="0"/>
        <v>1120</v>
      </c>
      <c r="N30" s="89"/>
      <c r="O30" s="9"/>
    </row>
    <row r="31" spans="2:15" ht="30" x14ac:dyDescent="0.4">
      <c r="B31" s="7"/>
      <c r="C31" s="3"/>
      <c r="D31" s="124"/>
      <c r="E31" s="95"/>
      <c r="F31" s="150" t="s">
        <v>73</v>
      </c>
      <c r="G31" s="120"/>
      <c r="H31" s="120"/>
      <c r="I31" s="120"/>
      <c r="J31" s="120"/>
      <c r="K31" s="121"/>
      <c r="L31" s="147"/>
      <c r="M31" s="100" t="str">
        <f t="shared" si="0"/>
        <v/>
      </c>
      <c r="N31" s="89"/>
      <c r="O31" s="9"/>
    </row>
    <row r="32" spans="2:15" ht="30" x14ac:dyDescent="0.4">
      <c r="B32" s="7"/>
      <c r="C32" s="3"/>
      <c r="D32" s="124"/>
      <c r="E32" s="95"/>
      <c r="F32" s="152"/>
      <c r="G32" s="120"/>
      <c r="H32" s="120"/>
      <c r="I32" s="120"/>
      <c r="J32" s="120"/>
      <c r="K32" s="121"/>
      <c r="L32" s="147"/>
      <c r="M32" s="100" t="str">
        <f t="shared" si="0"/>
        <v/>
      </c>
      <c r="N32" s="89"/>
      <c r="O32" s="9"/>
    </row>
    <row r="33" spans="2:15" ht="30" x14ac:dyDescent="0.4">
      <c r="B33" s="7"/>
      <c r="C33" s="3"/>
      <c r="D33" s="124"/>
      <c r="E33" s="95"/>
      <c r="F33" s="150"/>
      <c r="G33" s="120"/>
      <c r="H33" s="120"/>
      <c r="I33" s="120"/>
      <c r="J33" s="120"/>
      <c r="K33" s="121"/>
      <c r="L33" s="147"/>
      <c r="M33" s="100" t="str">
        <f t="shared" si="0"/>
        <v/>
      </c>
      <c r="N33" s="89"/>
      <c r="O33" s="9"/>
    </row>
    <row r="34" spans="2:15" ht="30" x14ac:dyDescent="0.4">
      <c r="B34" s="7"/>
      <c r="C34" s="3"/>
      <c r="D34" s="124"/>
      <c r="E34" s="95"/>
      <c r="F34" s="150"/>
      <c r="G34" s="120"/>
      <c r="H34" s="120"/>
      <c r="I34" s="120"/>
      <c r="J34" s="120"/>
      <c r="K34" s="121"/>
      <c r="L34" s="147"/>
      <c r="M34" s="100" t="str">
        <f t="shared" si="0"/>
        <v/>
      </c>
      <c r="N34" s="89"/>
      <c r="O34" s="9"/>
    </row>
    <row r="35" spans="2:15" ht="30" x14ac:dyDescent="0.4">
      <c r="B35" s="7"/>
      <c r="C35" s="3"/>
      <c r="D35" s="124"/>
      <c r="E35" s="95"/>
      <c r="F35" s="120"/>
      <c r="G35" s="120"/>
      <c r="H35" s="120"/>
      <c r="I35" s="120"/>
      <c r="J35" s="120"/>
      <c r="K35" s="121"/>
      <c r="L35" s="147"/>
      <c r="M35" s="100" t="str">
        <f t="shared" si="0"/>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t="str">
        <f t="shared" si="0"/>
        <v/>
      </c>
      <c r="N37" s="52"/>
      <c r="O37" s="9"/>
    </row>
    <row r="38" spans="2:15" ht="35.25" x14ac:dyDescent="0.5">
      <c r="B38" s="7"/>
      <c r="C38" s="3"/>
      <c r="D38" s="81"/>
      <c r="E38" s="90"/>
      <c r="F38" s="108"/>
      <c r="G38" s="105"/>
      <c r="H38" s="105"/>
      <c r="I38" s="105"/>
      <c r="J38" s="106"/>
      <c r="K38" s="107"/>
      <c r="L38" s="141" t="s">
        <v>26</v>
      </c>
      <c r="M38" s="144">
        <f>SUM(M28:M37)</f>
        <v>1120</v>
      </c>
      <c r="N38" s="52"/>
      <c r="O38" s="9"/>
    </row>
    <row r="39" spans="2:15" ht="35.25" x14ac:dyDescent="0.5">
      <c r="B39" s="7"/>
      <c r="C39" s="3"/>
      <c r="D39" s="93"/>
      <c r="E39" s="91" t="s">
        <v>56</v>
      </c>
      <c r="F39" s="75"/>
      <c r="G39" s="75"/>
      <c r="H39" s="75"/>
      <c r="I39" s="75"/>
      <c r="J39" s="76"/>
      <c r="K39" s="87"/>
      <c r="L39" s="142" t="s">
        <v>46</v>
      </c>
      <c r="M39" s="144">
        <v>0.6</v>
      </c>
      <c r="N39" s="52"/>
      <c r="O39" s="9"/>
    </row>
    <row r="40" spans="2:15" ht="35.25" x14ac:dyDescent="0.5">
      <c r="B40" s="7"/>
      <c r="C40" s="3"/>
      <c r="D40" s="92"/>
      <c r="E40" s="91" t="s">
        <v>57</v>
      </c>
      <c r="F40" s="75"/>
      <c r="G40" s="75"/>
      <c r="H40" s="75"/>
      <c r="I40" s="75"/>
      <c r="J40" s="78"/>
      <c r="K40" s="88"/>
      <c r="L40" s="143">
        <v>0.19</v>
      </c>
      <c r="M40" s="144">
        <f>(M38)*0.19</f>
        <v>212.8</v>
      </c>
      <c r="N40" s="52"/>
      <c r="O40" s="9"/>
    </row>
    <row r="41" spans="2:15" ht="35.25" customHeight="1" x14ac:dyDescent="0.5">
      <c r="B41" s="7"/>
      <c r="C41" s="3"/>
      <c r="D41" s="92"/>
      <c r="E41" s="91" t="s">
        <v>70</v>
      </c>
      <c r="F41" s="138"/>
      <c r="G41" s="139"/>
      <c r="H41" s="79"/>
      <c r="I41" s="75"/>
      <c r="J41" s="80"/>
      <c r="K41" s="87"/>
      <c r="L41" s="94" t="s">
        <v>27</v>
      </c>
      <c r="M41" s="144">
        <f>+M38+M39+M40</f>
        <v>1333.3999999999999</v>
      </c>
      <c r="N41" s="52"/>
      <c r="O41" s="9"/>
    </row>
    <row r="42" spans="2:15" ht="15" x14ac:dyDescent="0.2">
      <c r="B42" s="7"/>
      <c r="C42" s="3"/>
      <c r="D42" s="168"/>
      <c r="E42" s="168"/>
      <c r="F42" s="168"/>
      <c r="G42" s="168"/>
      <c r="H42" s="168"/>
      <c r="I42" s="168"/>
      <c r="J42" s="168"/>
      <c r="K42" s="168"/>
      <c r="L42" s="168"/>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3">
      <c r="B44" s="7"/>
      <c r="C44" s="145"/>
      <c r="D44" s="166"/>
      <c r="E44" s="166"/>
      <c r="F44" s="166"/>
      <c r="G44" s="166"/>
      <c r="H44" s="166"/>
      <c r="I44" s="166"/>
      <c r="J44" s="166"/>
      <c r="K44" s="166"/>
      <c r="L44" s="166"/>
      <c r="M44" s="104"/>
      <c r="N44" s="52"/>
      <c r="O44" s="9"/>
    </row>
    <row r="45" spans="2:15" ht="26.25" x14ac:dyDescent="0.4">
      <c r="B45" s="7"/>
      <c r="C45" s="3"/>
      <c r="D45" s="166"/>
      <c r="E45" s="166"/>
      <c r="F45" s="166"/>
      <c r="G45" s="166"/>
      <c r="H45" s="166"/>
      <c r="I45" s="166"/>
      <c r="J45" s="166"/>
      <c r="K45" s="166"/>
      <c r="L45" s="166"/>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1"/>
      <c r="H47" s="161"/>
      <c r="I47" s="161"/>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0" t="s">
        <v>51</v>
      </c>
      <c r="E53" s="160"/>
      <c r="F53" s="160"/>
      <c r="G53" s="160"/>
      <c r="H53" s="160"/>
      <c r="I53" s="160"/>
      <c r="J53" s="160"/>
      <c r="K53" s="160"/>
      <c r="L53" s="160"/>
      <c r="M53" s="82"/>
      <c r="N53" s="86"/>
      <c r="O53" s="9"/>
    </row>
    <row r="54" spans="2:16" ht="18" x14ac:dyDescent="0.25">
      <c r="B54" s="7"/>
      <c r="C54" s="3"/>
      <c r="D54" s="160"/>
      <c r="E54" s="160"/>
      <c r="F54" s="160"/>
      <c r="G54" s="160"/>
      <c r="H54" s="160"/>
      <c r="I54" s="160"/>
      <c r="J54" s="160"/>
      <c r="K54" s="160"/>
      <c r="L54" s="160"/>
      <c r="M54" s="83"/>
      <c r="N54" s="86"/>
      <c r="O54" s="9"/>
    </row>
    <row r="55" spans="2:16" ht="15" x14ac:dyDescent="0.2">
      <c r="B55" s="7"/>
      <c r="C55" s="3"/>
      <c r="D55" s="160"/>
      <c r="E55" s="160"/>
      <c r="F55" s="160"/>
      <c r="G55" s="160"/>
      <c r="H55" s="160"/>
      <c r="I55" s="160"/>
      <c r="J55" s="160"/>
      <c r="K55" s="160"/>
      <c r="L55" s="160"/>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3:L55"/>
    <mergeCell ref="G47:I47"/>
    <mergeCell ref="G24:H24"/>
    <mergeCell ref="F27:K27"/>
    <mergeCell ref="D44:L44"/>
    <mergeCell ref="D45:L45"/>
    <mergeCell ref="E24:F24"/>
    <mergeCell ref="I24:J24"/>
    <mergeCell ref="E25:F25"/>
    <mergeCell ref="D42:L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1333.3999999999999</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2022-02-11T15:24:33Z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1333.4</vt:r8>
  </property>
</Properties>
</file>