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5" i="3" l="1"/>
  <c r="M30" i="3" l="1"/>
  <c r="M51" i="3"/>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<sst xmlns="http://schemas.openxmlformats.org/spreadsheetml/2006/main" count="87" uniqueCount="77">
  <si>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</si>
  <si>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</si>
  <si>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</si>
  <si>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</si>
  <si>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</si>
  <si>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</si>
  <si>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</si>
  <si>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</si>
  <si>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</si>
  <si>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</si>
  <si>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</si>
  <si>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</si>
  <si>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</si>
  <si>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</si>
  <si>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</si>
  <si>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</si>
  <si>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</si>
  <si>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</si>
  <si>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</si>
  <si>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</si>
  <si>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</si>
  <si>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</si>
  <si>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</si>
  <si>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</si>
  <si>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</si>
  <si>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</si>
  <si>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</si>
  <si>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</si>
  <si>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</si>
  <si>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</si>
  <si>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</si>
  <si>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</si>
  <si>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</si>
  <si>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</si>
  <si>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</si>
  <si>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</si>
  <si>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</si>
  <si>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</si>
  <si>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</si>
  <si>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</si>
  <si>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</si>
  <si>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</si>
  <si>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</si>
  <si>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</si>
  <si>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</si>
  <si>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</si>
  <si>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</si>
  <si>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</si>
  <si>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</si>
  <si>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</si>
  <si>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</si>
  <si>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</si>
  <si>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</si>
  <si>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</si>
  <si>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</si>
  <si>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</si>
  <si>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</si>
  <si>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</si>
  <si>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</si>
  <si>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</si>
  <si>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</si>
  <si>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</si>
  <si>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</si>
  <si>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</si>
  <si>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</si>
  <si>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</si>
  <si>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LONGUEUR  12 M</t>
  </si>
  <si>
    <t xml:space="preserve">OMEGA </t>
  </si>
  <si>
    <t>LIGNE DE VIE QUICKSET</t>
  </si>
  <si>
    <t>Rue du Lac Léman, Imm. Régency, Bloc B Appt. 404.</t>
  </si>
  <si>
    <t xml:space="preserve"> 1053 </t>
  </si>
  <si>
    <t>Date: 28/03/2022</t>
  </si>
  <si>
    <t>MF: 802697H/A/M/000</t>
  </si>
  <si>
    <t>COMMANDE N° : 073</t>
  </si>
  <si>
    <r>
      <t xml:space="preserve">Responsable: </t>
    </r>
    <r>
      <rPr>
        <b/>
        <sz val="20"/>
        <rFont val="Arial"/>
        <family val="2"/>
      </rPr>
      <t>Mme OUERGHI Rania</t>
    </r>
  </si>
  <si>
    <t>devis    N° 2022-1435</t>
  </si>
  <si>
    <t xml:space="preserve">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</si>
</sst>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applyAlignment="1">
      <alignment vertic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2" fillId="3" borderId="0" xfId="0" applyFont="1" applyFill="1" applyBorder="1"/>
    <xf numFmtId="49" fontId="32" fillId="3" borderId="34"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0" t="s">
        <v>0</v>
      </c>
      <c r="E4" s="191"/>
      <c r="F4" s="19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2" t="s">
        <v>2</v>
      </c>
      <c r="E10" s="19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4" t="s">
        <v>45</v>
      </c>
      <c r="E19" s="19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5" t="str">
        <f>LOWER(TemplateInformation!B3)</f>
        <v>c:\program files\microsoft office\office\macrolib\factbd.xls</v>
      </c>
      <c r="G33" s="19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2" t="s">
        <v>16</v>
      </c>
      <c r="E36" s="19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37"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188" t="s">
        <v>73</v>
      </c>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7" t="s">
        <v>75</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2" t="s">
        <v>67</v>
      </c>
      <c r="F22" s="202"/>
      <c r="G22" s="202"/>
      <c r="H22" s="202"/>
      <c r="I22" s="202"/>
      <c r="J22" s="202"/>
      <c r="K22" s="104"/>
      <c r="L22" s="200" t="s">
        <v>71</v>
      </c>
      <c r="M22" s="200"/>
      <c r="N22" s="52"/>
      <c r="O22" s="9"/>
    </row>
    <row r="23" spans="2:15" ht="33.75" x14ac:dyDescent="0.5">
      <c r="B23" s="7"/>
      <c r="C23" s="3"/>
      <c r="D23" s="103" t="s">
        <v>52</v>
      </c>
      <c r="E23" s="207" t="s">
        <v>69</v>
      </c>
      <c r="F23" s="207"/>
      <c r="G23" s="207"/>
      <c r="H23" s="207"/>
      <c r="I23" s="207"/>
      <c r="J23" s="207"/>
      <c r="K23" s="207"/>
      <c r="L23" s="189" t="s">
        <v>76</v>
      </c>
      <c r="M23" s="105"/>
      <c r="N23" s="53"/>
      <c r="O23" s="9"/>
    </row>
    <row r="24" spans="2:15" ht="33.75" x14ac:dyDescent="0.5">
      <c r="B24" s="7"/>
      <c r="C24" s="3"/>
      <c r="D24" s="103" t="s">
        <v>53</v>
      </c>
      <c r="E24" s="187" t="s">
        <v>70</v>
      </c>
      <c r="F24" s="106" t="s">
        <v>8</v>
      </c>
      <c r="G24" s="208"/>
      <c r="H24" s="208"/>
      <c r="I24" s="107" t="s">
        <v>9</v>
      </c>
      <c r="J24" s="108" t="s">
        <v>56</v>
      </c>
      <c r="K24" s="104"/>
      <c r="L24" s="201" t="s">
        <v>74</v>
      </c>
      <c r="M24" s="201"/>
      <c r="N24" s="3"/>
      <c r="O24" s="9"/>
    </row>
    <row r="25" spans="2:15" ht="33.75" x14ac:dyDescent="0.5">
      <c r="B25" s="7"/>
      <c r="C25" s="3"/>
      <c r="D25" s="103" t="s">
        <v>54</v>
      </c>
      <c r="E25" s="203">
        <v>98208104</v>
      </c>
      <c r="F25" s="204"/>
      <c r="G25" s="204"/>
      <c r="H25" s="204"/>
      <c r="I25" s="204"/>
      <c r="J25" s="204"/>
      <c r="K25" s="104"/>
      <c r="L25" s="201" t="s">
        <v>72</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9" t="s">
        <v>23</v>
      </c>
      <c r="G27" s="210"/>
      <c r="H27" s="210"/>
      <c r="I27" s="210"/>
      <c r="J27" s="210"/>
      <c r="K27" s="211"/>
      <c r="L27" s="90" t="s">
        <v>62</v>
      </c>
      <c r="M27" s="91" t="s">
        <v>24</v>
      </c>
      <c r="N27" s="92"/>
      <c r="O27" s="9"/>
    </row>
    <row r="28" spans="2:15" ht="30" x14ac:dyDescent="0.4">
      <c r="B28" s="7"/>
      <c r="C28" s="3"/>
      <c r="D28" s="152"/>
      <c r="E28" s="150"/>
      <c r="F28" s="161" t="s">
        <v>68</v>
      </c>
      <c r="G28" s="162"/>
      <c r="H28" s="162"/>
      <c r="I28" s="162"/>
      <c r="J28" s="153"/>
      <c r="K28" s="154"/>
      <c r="L28" s="112"/>
      <c r="M28" s="112" t="str">
        <f>IF(E28&lt;&gt;"",E28*L28,"")</f>
        <v/>
      </c>
      <c r="N28" s="54"/>
      <c r="O28" s="9"/>
    </row>
    <row r="29" spans="2:15" ht="30" x14ac:dyDescent="0.4">
      <c r="B29" s="7"/>
      <c r="C29" s="3"/>
      <c r="D29" s="159"/>
      <c r="E29" s="150"/>
      <c r="F29" s="163" t="s">
        <v>61</v>
      </c>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t="str">
        <f>IF(E30&lt;&gt;"",E30*L30,"")</f>
        <v/>
      </c>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c r="E32" s="176"/>
      <c r="F32" s="179"/>
      <c r="G32" s="177"/>
      <c r="H32" s="177"/>
      <c r="I32" s="177"/>
      <c r="J32" s="177"/>
      <c r="K32" s="178"/>
      <c r="L32" s="171"/>
      <c r="M32" s="171"/>
      <c r="N32" s="54"/>
      <c r="O32" s="9"/>
    </row>
    <row r="33" spans="2:15" ht="30" x14ac:dyDescent="0.4">
      <c r="B33" s="7"/>
      <c r="C33" s="3"/>
      <c r="D33" s="175"/>
      <c r="E33" s="176"/>
      <c r="F33" s="214"/>
      <c r="G33" s="215"/>
      <c r="H33" s="215"/>
      <c r="I33" s="215"/>
      <c r="J33" s="215"/>
      <c r="K33" s="216"/>
      <c r="L33" s="171"/>
      <c r="M33" s="171"/>
      <c r="N33" s="54"/>
      <c r="O33" s="9"/>
    </row>
    <row r="34" spans="2:15" ht="30" x14ac:dyDescent="0.4">
      <c r="B34" s="7"/>
      <c r="C34" s="3"/>
      <c r="D34" s="175"/>
      <c r="E34" s="180"/>
      <c r="F34" s="217"/>
      <c r="G34" s="218"/>
      <c r="H34" s="218"/>
      <c r="I34" s="218"/>
      <c r="J34" s="218"/>
      <c r="K34" s="219"/>
      <c r="L34" s="171"/>
      <c r="M34" s="171"/>
      <c r="N34" s="54"/>
      <c r="O34" s="9"/>
    </row>
    <row r="35" spans="2:15" ht="30" x14ac:dyDescent="0.4">
      <c r="B35" s="7"/>
      <c r="C35" s="3"/>
      <c r="D35" s="181" t="s">
        <v>65</v>
      </c>
      <c r="E35" s="176">
        <v>2</v>
      </c>
      <c r="F35" s="214" t="s">
        <v>66</v>
      </c>
      <c r="G35" s="215"/>
      <c r="H35" s="215"/>
      <c r="I35" s="215"/>
      <c r="J35" s="215"/>
      <c r="K35" s="216"/>
      <c r="L35" s="171">
        <v>1408</v>
      </c>
      <c r="M35" s="171">
        <f t="shared" ref="M35" si="0">L35*E35</f>
        <v>2816</v>
      </c>
      <c r="N35" s="54"/>
      <c r="O35" s="9"/>
    </row>
    <row r="36" spans="2:15" ht="30" x14ac:dyDescent="0.4">
      <c r="B36" s="7"/>
      <c r="C36" s="3"/>
      <c r="D36" s="181"/>
      <c r="E36" s="176"/>
      <c r="F36" s="119"/>
      <c r="G36" s="142"/>
      <c r="H36" s="142"/>
      <c r="I36" s="142"/>
      <c r="J36" s="142"/>
      <c r="K36" s="143"/>
      <c r="L36" s="171"/>
      <c r="M36" s="171"/>
      <c r="N36" s="54"/>
      <c r="O36" s="9"/>
    </row>
    <row r="37" spans="2:15" ht="30" x14ac:dyDescent="0.4">
      <c r="B37" s="7"/>
      <c r="C37" s="3"/>
      <c r="D37" s="181"/>
      <c r="E37" s="176"/>
      <c r="F37" s="214"/>
      <c r="G37" s="215"/>
      <c r="H37" s="215"/>
      <c r="I37" s="215"/>
      <c r="J37" s="215"/>
      <c r="K37" s="216"/>
      <c r="L37" s="171"/>
      <c r="M37" s="171"/>
      <c r="N37" s="54"/>
      <c r="O37" s="9"/>
    </row>
    <row r="38" spans="2:15" ht="30" x14ac:dyDescent="0.4">
      <c r="B38" s="7"/>
      <c r="C38" s="3"/>
      <c r="D38" s="181"/>
      <c r="E38" s="176"/>
      <c r="F38" s="182"/>
      <c r="G38" s="142"/>
      <c r="H38" s="142"/>
      <c r="I38" s="142"/>
      <c r="J38" s="142"/>
      <c r="K38" s="143"/>
      <c r="L38" s="171"/>
      <c r="M38" s="171"/>
      <c r="N38" s="54"/>
      <c r="O38" s="9"/>
    </row>
    <row r="39" spans="2:15" ht="30" x14ac:dyDescent="0.4">
      <c r="B39" s="7"/>
      <c r="C39" s="3"/>
      <c r="D39" s="181"/>
      <c r="E39" s="176"/>
      <c r="F39" s="214"/>
      <c r="G39" s="215"/>
      <c r="H39" s="215"/>
      <c r="I39" s="215"/>
      <c r="J39" s="215"/>
      <c r="K39" s="216"/>
      <c r="L39" s="171"/>
      <c r="M39" s="171"/>
      <c r="N39" s="54"/>
      <c r="O39" s="9"/>
    </row>
    <row r="40" spans="2:15" ht="30" x14ac:dyDescent="0.4">
      <c r="B40" s="7"/>
      <c r="C40" s="3"/>
      <c r="D40" s="181"/>
      <c r="E40" s="176"/>
      <c r="F40" s="119"/>
      <c r="G40" s="142"/>
      <c r="H40" s="142"/>
      <c r="I40" s="142"/>
      <c r="J40" s="142"/>
      <c r="K40" s="143"/>
      <c r="L40" s="171"/>
      <c r="M40" s="171"/>
      <c r="N40" s="54"/>
      <c r="O40" s="9"/>
    </row>
    <row r="41" spans="2:15" ht="30" x14ac:dyDescent="0.4">
      <c r="B41" s="7"/>
      <c r="C41" s="3"/>
      <c r="D41" s="181"/>
      <c r="E41" s="176"/>
      <c r="F41" s="214"/>
      <c r="G41" s="215"/>
      <c r="H41" s="215"/>
      <c r="I41" s="215"/>
      <c r="J41" s="215"/>
      <c r="K41" s="216"/>
      <c r="L41" s="171"/>
      <c r="M41" s="171"/>
      <c r="N41" s="95"/>
      <c r="O41" s="9"/>
    </row>
    <row r="42" spans="2:15" ht="30" x14ac:dyDescent="0.4">
      <c r="B42" s="7"/>
      <c r="C42" s="3"/>
      <c r="D42" s="181"/>
      <c r="E42" s="183"/>
      <c r="F42" s="119"/>
      <c r="G42" s="142"/>
      <c r="H42" s="142"/>
      <c r="I42" s="142"/>
      <c r="J42" s="142"/>
      <c r="K42" s="143"/>
      <c r="L42" s="171"/>
      <c r="M42" s="171"/>
      <c r="N42" s="95"/>
      <c r="O42" s="9"/>
    </row>
    <row r="43" spans="2:15" ht="30" x14ac:dyDescent="0.4">
      <c r="B43" s="7"/>
      <c r="C43" s="3"/>
      <c r="D43" s="181"/>
      <c r="E43" s="176"/>
      <c r="F43" s="214"/>
      <c r="G43" s="215"/>
      <c r="H43" s="215"/>
      <c r="I43" s="215"/>
      <c r="J43" s="215"/>
      <c r="K43" s="216"/>
      <c r="L43" s="171"/>
      <c r="M43" s="171"/>
      <c r="N43" s="95"/>
      <c r="O43" s="9"/>
    </row>
    <row r="44" spans="2:15" ht="30" x14ac:dyDescent="0.4">
      <c r="B44" s="7"/>
      <c r="C44" s="3"/>
      <c r="D44" s="184"/>
      <c r="E44" s="111"/>
      <c r="F44" s="119"/>
      <c r="G44" s="142"/>
      <c r="H44" s="142"/>
      <c r="I44" s="142"/>
      <c r="J44" s="142"/>
      <c r="K44" s="143"/>
      <c r="L44" s="171"/>
      <c r="M44" s="171"/>
      <c r="N44" s="95"/>
      <c r="O44" s="9"/>
    </row>
    <row r="45" spans="2:15" ht="30" x14ac:dyDescent="0.4">
      <c r="B45" s="7"/>
      <c r="C45" s="3"/>
      <c r="D45" s="181"/>
      <c r="E45" s="176"/>
      <c r="F45" s="214"/>
      <c r="G45" s="215"/>
      <c r="H45" s="215"/>
      <c r="I45" s="215"/>
      <c r="J45" s="215"/>
      <c r="K45" s="216"/>
      <c r="L45" s="171"/>
      <c r="M45" s="171"/>
      <c r="N45" s="54"/>
      <c r="O45" s="9"/>
    </row>
    <row r="46" spans="2:15" ht="30" x14ac:dyDescent="0.4">
      <c r="B46" s="7"/>
      <c r="C46" s="3"/>
      <c r="D46" s="185"/>
      <c r="E46" s="111"/>
      <c r="F46" s="186"/>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1">IF(E51&lt;&gt;"",E51*L51,"")</f>
        <v/>
      </c>
      <c r="N51" s="54"/>
      <c r="O51" s="9"/>
    </row>
    <row r="52" spans="2:16" ht="35.25" x14ac:dyDescent="0.5">
      <c r="B52" s="7"/>
      <c r="C52" s="3"/>
      <c r="D52" s="85"/>
      <c r="E52" s="96"/>
      <c r="F52" s="125"/>
      <c r="G52" s="122"/>
      <c r="H52" s="122"/>
      <c r="I52" s="122"/>
      <c r="J52" s="123"/>
      <c r="K52" s="124"/>
      <c r="L52" s="127" t="s">
        <v>25</v>
      </c>
      <c r="M52" s="132">
        <f>SUM(M28:M51)</f>
        <v>2816</v>
      </c>
      <c r="N52" s="54"/>
      <c r="O52" s="9"/>
    </row>
    <row r="53" spans="2:16" ht="35.25" x14ac:dyDescent="0.5">
      <c r="B53" s="7"/>
      <c r="C53" s="3"/>
      <c r="D53" s="102"/>
      <c r="E53" s="98" t="s">
        <v>64</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535.04</v>
      </c>
      <c r="N54" s="54"/>
      <c r="O54" s="9"/>
    </row>
    <row r="55" spans="2:16" ht="35.25" x14ac:dyDescent="0.5">
      <c r="B55" s="7"/>
      <c r="C55" s="3"/>
      <c r="D55" s="85"/>
      <c r="E55" s="101"/>
      <c r="F55" s="97"/>
      <c r="G55" s="82"/>
      <c r="H55" s="81"/>
      <c r="I55" s="77"/>
      <c r="J55" s="83"/>
      <c r="K55" s="93"/>
      <c r="L55" s="110" t="s">
        <v>27</v>
      </c>
      <c r="M55" s="109">
        <f>+M52+M53+M54</f>
        <v>3351.64</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12"/>
      <c r="E58" s="212"/>
      <c r="F58" s="212"/>
      <c r="G58" s="212"/>
      <c r="H58" s="212"/>
      <c r="I58" s="212"/>
      <c r="J58" s="212"/>
      <c r="K58" s="212"/>
      <c r="L58" s="212"/>
      <c r="M58" s="121"/>
      <c r="N58" s="54"/>
      <c r="O58" s="9"/>
    </row>
    <row r="59" spans="2:16" ht="26.25" x14ac:dyDescent="0.4">
      <c r="B59" s="7"/>
      <c r="C59" s="3"/>
      <c r="D59" s="213"/>
      <c r="E59" s="213"/>
      <c r="F59" s="213"/>
      <c r="G59" s="213"/>
      <c r="H59" s="213"/>
      <c r="I59" s="213"/>
      <c r="J59" s="213"/>
      <c r="K59" s="213"/>
      <c r="L59" s="213"/>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206"/>
      <c r="H61" s="206"/>
      <c r="I61" s="206"/>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205" t="s">
        <v>63</v>
      </c>
      <c r="E67" s="205"/>
      <c r="F67" s="205"/>
      <c r="G67" s="205"/>
      <c r="H67" s="205"/>
      <c r="I67" s="205"/>
      <c r="J67" s="205"/>
      <c r="K67" s="205"/>
      <c r="L67" s="205"/>
      <c r="M67" s="88"/>
      <c r="N67" s="92"/>
      <c r="O67" s="9"/>
    </row>
    <row r="68" spans="1:16" ht="15" customHeight="1" x14ac:dyDescent="0.2">
      <c r="B68" s="7"/>
      <c r="C68" s="3"/>
      <c r="D68" s="205"/>
      <c r="E68" s="205"/>
      <c r="F68" s="205"/>
      <c r="G68" s="205"/>
      <c r="H68" s="205"/>
      <c r="I68" s="205"/>
      <c r="J68" s="205"/>
      <c r="K68" s="205"/>
      <c r="L68" s="205"/>
      <c r="M68" s="89"/>
      <c r="N68" s="54"/>
      <c r="O68" s="9"/>
    </row>
    <row r="69" spans="1:16" ht="20.100000000000001" customHeight="1" x14ac:dyDescent="0.2">
      <c r="B69" s="7"/>
      <c r="C69" s="3"/>
      <c r="D69" s="205"/>
      <c r="E69" s="205"/>
      <c r="F69" s="205"/>
      <c r="G69" s="205"/>
      <c r="H69" s="205"/>
      <c r="I69" s="205"/>
      <c r="J69" s="205"/>
      <c r="K69" s="205"/>
      <c r="L69" s="205"/>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7:L69"/>
    <mergeCell ref="G61:I61"/>
    <mergeCell ref="E23:K23"/>
    <mergeCell ref="G24:H24"/>
    <mergeCell ref="F27:K27"/>
    <mergeCell ref="D58:L58"/>
    <mergeCell ref="D59:L59"/>
    <mergeCell ref="F33:K33"/>
    <mergeCell ref="F34:K34"/>
    <mergeCell ref="F35:K35"/>
    <mergeCell ref="F37:K37"/>
    <mergeCell ref="F39:K39"/>
    <mergeCell ref="F41:K41"/>
    <mergeCell ref="F43:K43"/>
    <mergeCell ref="F45:K4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1: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28/03/2022</v>
      </c>
      <c r="D8" s="67" t="str">
        <f>Facture!$E$22</f>
        <v xml:space="preserve">OMEGA </v>
      </c>
      <c r="E8" s="64" t="str">
        <f>Facture!$E$23</f>
        <v>Rue du Lac Léman, Imm. Régency, Bloc B Appt. 404.</v>
      </c>
      <c r="F8" s="64" t="str">
        <f>Facture!$E$24</f>
        <v xml:space="preserve"> 1053 </v>
      </c>
      <c r="G8" s="67">
        <f>Facture!$G$24</f>
        <v>0</v>
      </c>
      <c r="H8" s="67" t="str">
        <f>Facture!$J$24</f>
        <v>TN</v>
      </c>
      <c r="I8" s="64">
        <f>Facture!$E$25</f>
        <v>98208104</v>
      </c>
      <c r="J8" s="68">
        <f>Facture!$M$55</f>
        <v>3351.64</v>
      </c>
      <c r="K8" s="64" t="str">
        <f>Facture!$L$24</f>
        <v>Responsable: Mme OUERGHI Rania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2022-03-28T13:35:00Z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3351.64</vt:r8>
  </property>
</Properties>
</file>