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0" i="3" l="1"/>
  <c r="M32" i="3"/>
  <c r="M34" i="3"/>
  <c r="M36" i="3"/>
  <c r="M38" i="3"/>
  <c r="M40" i="3"/>
  <c r="M52" i="3" l="1"/>
  <c r="M51"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<sst xmlns="http://schemas.openxmlformats.org/spreadsheetml/2006/main" count="85" uniqueCount="75">
  <si>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</si>
  <si>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</si>
  <si>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</si>
  <si>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</si>
  <si>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</si>
  <si>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</si>
  <si>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</si>
  <si>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</si>
  <si>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</si>
  <si>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</si>
  <si>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</si>
  <si>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</si>
  <si>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</si>
  <si>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</si>
  <si>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</si>
  <si>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</si>
  <si>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</si>
  <si>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</si>
  <si>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</si>
  <si>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</si>
  <si>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</si>
  <si>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</si>
  <si>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</si>
  <si>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</si>
  <si>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</si>
  <si>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</si>
  <si>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</si>
  <si>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</si>
  <si>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</si>
  <si>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</si>
  <si>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</si>
  <si>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</si>
  <si>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</si>
  <si>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</si>
  <si>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</si>
  <si>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</si>
  <si>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</si>
  <si>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</si>
  <si>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</si>
  <si>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</si>
  <si>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</si>
  <si>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</si>
  <si>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</si>
  <si>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</si>
  <si>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</si>
  <si>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</si>
  <si>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</si>
  <si>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</si>
  <si>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</si>
  <si>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</si>
  <si>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</si>
  <si>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</si>
  <si>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</si>
  <si>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</si>
  <si>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</si>
  <si>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</si>
  <si>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</si>
  <si>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</si>
  <si>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</si>
  <si>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</si>
  <si>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</si>
  <si>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</si>
  <si>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</si>
  <si>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</si>
  <si>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 sangles d’ancrage conforme EN 795/B</t>
  </si>
  <si>
    <t>Mousquetons conformes EN 362</t>
  </si>
  <si>
    <t xml:space="preserve"> Poulie conforme EN 12278</t>
  </si>
  <si>
    <t>50m de corde conforme EN 1881</t>
  </si>
  <si>
    <t xml:space="preserve">2B SERVICES </t>
  </si>
  <si>
    <t xml:space="preserve">Responsable: </t>
  </si>
  <si>
    <t>MF: 1737632D/A/M/000</t>
  </si>
  <si>
    <t>Date: 16/12/2022</t>
  </si>
  <si>
    <t>FACTURE    N° 2022-131</t>
  </si>
  <si>
    <t>Gant de protection conforme EN 388</t>
  </si>
  <si>
    <t>  Lunette de sécurité conforme EN 166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</si>
</sst>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45</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6" t="s">
        <v>72</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1" t="s">
        <v>68</v>
      </c>
      <c r="F22" s="201"/>
      <c r="G22" s="201"/>
      <c r="H22" s="201"/>
      <c r="I22" s="201"/>
      <c r="J22" s="201"/>
      <c r="K22" s="104"/>
      <c r="L22" s="199" t="s">
        <v>71</v>
      </c>
      <c r="M22" s="199"/>
      <c r="N22" s="52"/>
      <c r="O22" s="9"/>
    </row>
    <row r="23" spans="2:15" ht="33.75" x14ac:dyDescent="0.5">
      <c r="B23" s="7"/>
      <c r="C23" s="3"/>
      <c r="D23" s="103" t="s">
        <v>52</v>
      </c>
      <c r="E23" s="206"/>
      <c r="F23" s="206"/>
      <c r="G23" s="206"/>
      <c r="H23" s="206"/>
      <c r="I23" s="206"/>
      <c r="J23" s="206"/>
      <c r="K23" s="206"/>
      <c r="L23" s="105"/>
      <c r="M23" s="105"/>
      <c r="N23" s="53"/>
      <c r="O23" s="9"/>
    </row>
    <row r="24" spans="2:15" ht="33.75" x14ac:dyDescent="0.5">
      <c r="B24" s="7"/>
      <c r="C24" s="3"/>
      <c r="D24" s="103" t="s">
        <v>53</v>
      </c>
      <c r="E24" s="180"/>
      <c r="F24" s="106" t="s">
        <v>8</v>
      </c>
      <c r="G24" s="207"/>
      <c r="H24" s="207"/>
      <c r="I24" s="107" t="s">
        <v>9</v>
      </c>
      <c r="J24" s="108" t="s">
        <v>56</v>
      </c>
      <c r="K24" s="104"/>
      <c r="L24" s="200" t="s">
        <v>69</v>
      </c>
      <c r="M24" s="200"/>
      <c r="N24" s="3"/>
      <c r="O24" s="9"/>
    </row>
    <row r="25" spans="2:15" ht="33.75" x14ac:dyDescent="0.5">
      <c r="B25" s="7"/>
      <c r="C25" s="3"/>
      <c r="D25" s="103" t="s">
        <v>54</v>
      </c>
      <c r="E25" s="202"/>
      <c r="F25" s="203"/>
      <c r="G25" s="203"/>
      <c r="H25" s="203"/>
      <c r="I25" s="203"/>
      <c r="J25" s="203"/>
      <c r="K25" s="104"/>
      <c r="L25" s="200" t="s">
        <v>70</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8" t="s">
        <v>23</v>
      </c>
      <c r="G27" s="209"/>
      <c r="H27" s="209"/>
      <c r="I27" s="209"/>
      <c r="J27" s="209"/>
      <c r="K27" s="210"/>
      <c r="L27" s="90" t="s">
        <v>61</v>
      </c>
      <c r="M27" s="91" t="s">
        <v>24</v>
      </c>
      <c r="N27" s="92"/>
      <c r="O27" s="9"/>
    </row>
    <row r="28" spans="2:15" ht="30" x14ac:dyDescent="0.4">
      <c r="B28" s="7"/>
      <c r="C28" s="3"/>
      <c r="D28" s="152"/>
      <c r="E28" s="150"/>
      <c r="F28" s="160"/>
      <c r="G28" s="161"/>
      <c r="H28" s="161"/>
      <c r="I28" s="161"/>
      <c r="J28" s="153"/>
      <c r="K28" s="154"/>
      <c r="L28" s="112"/>
      <c r="M28" s="112"/>
      <c r="N28" s="54"/>
      <c r="O28" s="9"/>
    </row>
    <row r="29" spans="2:15" ht="30" x14ac:dyDescent="0.4">
      <c r="B29" s="7"/>
      <c r="C29" s="3"/>
      <c r="D29" s="159"/>
      <c r="E29" s="150"/>
      <c r="F29" s="162"/>
      <c r="G29" s="163"/>
      <c r="H29" s="163"/>
      <c r="I29" s="163"/>
      <c r="J29" s="155"/>
      <c r="K29" s="156"/>
      <c r="L29" s="170"/>
      <c r="M29" s="170"/>
      <c r="N29" s="54"/>
      <c r="O29" s="9"/>
    </row>
    <row r="30" spans="2:15" ht="30" x14ac:dyDescent="0.4">
      <c r="B30" s="7"/>
      <c r="C30" s="3"/>
      <c r="D30" s="159"/>
      <c r="E30" s="150">
        <v>4</v>
      </c>
      <c r="F30" s="162" t="s">
        <v>64</v>
      </c>
      <c r="G30" s="163"/>
      <c r="H30" s="163"/>
      <c r="I30" s="163"/>
      <c r="J30" s="165"/>
      <c r="K30" s="166"/>
      <c r="L30" s="170">
        <v>45</v>
      </c>
      <c r="M30" s="170">
        <f t="shared" ref="M30" si="0">L30*E30</f>
        <v>180</v>
      </c>
      <c r="N30" s="54"/>
      <c r="O30" s="9"/>
    </row>
    <row r="31" spans="2:15" ht="30" x14ac:dyDescent="0.4">
      <c r="B31" s="7"/>
      <c r="C31" s="3"/>
      <c r="D31" s="174"/>
      <c r="E31" s="175"/>
      <c r="F31" s="162"/>
      <c r="G31" s="182"/>
      <c r="H31" s="182"/>
      <c r="I31" s="182"/>
      <c r="J31" s="182"/>
      <c r="K31" s="183"/>
      <c r="L31" s="170"/>
      <c r="M31" s="170"/>
      <c r="N31" s="54"/>
      <c r="O31" s="9"/>
    </row>
    <row r="32" spans="2:15" ht="30" x14ac:dyDescent="0.4">
      <c r="B32" s="7"/>
      <c r="C32" s="3"/>
      <c r="D32" s="174"/>
      <c r="E32" s="175">
        <v>5</v>
      </c>
      <c r="F32" s="187" t="s">
        <v>65</v>
      </c>
      <c r="G32" s="182"/>
      <c r="H32" s="182"/>
      <c r="I32" s="182"/>
      <c r="J32" s="182"/>
      <c r="K32" s="183"/>
      <c r="L32" s="170">
        <v>24</v>
      </c>
      <c r="M32" s="170">
        <f>L32*E32</f>
        <v>120</v>
      </c>
      <c r="N32" s="54"/>
      <c r="O32" s="9"/>
    </row>
    <row r="33" spans="2:15" ht="30" x14ac:dyDescent="0.4">
      <c r="B33" s="7"/>
      <c r="C33" s="3"/>
      <c r="D33" s="174"/>
      <c r="E33" s="175"/>
      <c r="F33" s="181"/>
      <c r="G33" s="182"/>
      <c r="H33" s="182"/>
      <c r="I33" s="182"/>
      <c r="J33" s="182"/>
      <c r="K33" s="183"/>
      <c r="L33" s="170"/>
      <c r="M33" s="170"/>
      <c r="N33" s="170"/>
      <c r="O33" s="170"/>
    </row>
    <row r="34" spans="2:15" ht="30" x14ac:dyDescent="0.4">
      <c r="B34" s="7"/>
      <c r="C34" s="3"/>
      <c r="D34" s="174"/>
      <c r="E34" s="175">
        <v>50</v>
      </c>
      <c r="F34" s="184" t="s">
        <v>67</v>
      </c>
      <c r="G34" s="185"/>
      <c r="H34" s="185"/>
      <c r="I34" s="185"/>
      <c r="J34" s="185"/>
      <c r="K34" s="186"/>
      <c r="L34" s="170">
        <v>5.9</v>
      </c>
      <c r="M34" s="170">
        <f t="shared" ref="M34" si="1">L34*E34</f>
        <v>295</v>
      </c>
      <c r="N34" s="54"/>
      <c r="O34" s="9"/>
    </row>
    <row r="35" spans="2:15" ht="30" x14ac:dyDescent="0.4">
      <c r="B35" s="7"/>
      <c r="C35" s="3"/>
      <c r="D35" s="176"/>
      <c r="E35" s="175"/>
      <c r="F35" s="213"/>
      <c r="G35" s="214"/>
      <c r="H35" s="214"/>
      <c r="I35" s="214"/>
      <c r="J35" s="214"/>
      <c r="K35" s="215"/>
      <c r="L35" s="170"/>
      <c r="M35" s="170"/>
      <c r="N35" s="54"/>
      <c r="O35" s="9"/>
    </row>
    <row r="36" spans="2:15" ht="30" x14ac:dyDescent="0.4">
      <c r="B36" s="7"/>
      <c r="C36" s="3"/>
      <c r="D36" s="174"/>
      <c r="E36" s="175">
        <v>1</v>
      </c>
      <c r="F36" s="162" t="s">
        <v>66</v>
      </c>
      <c r="G36" s="185"/>
      <c r="H36" s="185"/>
      <c r="I36" s="185"/>
      <c r="J36" s="185"/>
      <c r="K36" s="186"/>
      <c r="L36" s="170">
        <v>180</v>
      </c>
      <c r="M36" s="170">
        <f t="shared" ref="M36:M40" si="2">L36*E36</f>
        <v>180</v>
      </c>
      <c r="N36" s="54"/>
      <c r="O36" s="9"/>
    </row>
    <row r="37" spans="2:15" ht="30" x14ac:dyDescent="0.4">
      <c r="B37" s="7"/>
      <c r="C37" s="3"/>
      <c r="D37" s="176"/>
      <c r="E37" s="175"/>
      <c r="F37" s="213"/>
      <c r="G37" s="214"/>
      <c r="H37" s="214"/>
      <c r="I37" s="214"/>
      <c r="J37" s="214"/>
      <c r="K37" s="215"/>
      <c r="L37" s="170"/>
      <c r="M37" s="170"/>
      <c r="N37" s="54"/>
      <c r="O37" s="9"/>
    </row>
    <row r="38" spans="2:15" ht="30" x14ac:dyDescent="0.4">
      <c r="B38" s="7"/>
      <c r="C38" s="3"/>
      <c r="D38" s="176"/>
      <c r="E38" s="175">
        <v>2</v>
      </c>
      <c r="F38" s="184" t="s">
        <v>73</v>
      </c>
      <c r="G38" s="185"/>
      <c r="H38" s="185"/>
      <c r="I38" s="185"/>
      <c r="J38" s="185"/>
      <c r="K38" s="186"/>
      <c r="L38" s="170">
        <v>12</v>
      </c>
      <c r="M38" s="170">
        <f t="shared" si="2"/>
        <v>24</v>
      </c>
      <c r="N38" s="54"/>
      <c r="O38" s="9"/>
    </row>
    <row r="39" spans="2:15" ht="30" x14ac:dyDescent="0.4">
      <c r="B39" s="7"/>
      <c r="C39" s="3"/>
      <c r="D39" s="176"/>
      <c r="E39" s="175"/>
      <c r="F39" s="213"/>
      <c r="G39" s="214"/>
      <c r="H39" s="214"/>
      <c r="I39" s="214"/>
      <c r="J39" s="214"/>
      <c r="K39" s="215"/>
      <c r="L39" s="170"/>
      <c r="M39" s="170"/>
      <c r="N39" s="54"/>
      <c r="O39" s="9"/>
    </row>
    <row r="40" spans="2:15" ht="30" x14ac:dyDescent="0.4">
      <c r="B40" s="7"/>
      <c r="C40" s="3"/>
      <c r="D40" s="176"/>
      <c r="E40" s="175">
        <v>1</v>
      </c>
      <c r="F40" s="162" t="s">
        <v>74</v>
      </c>
      <c r="G40" s="185"/>
      <c r="H40" s="185"/>
      <c r="I40" s="185"/>
      <c r="J40" s="185"/>
      <c r="K40" s="186"/>
      <c r="L40" s="170">
        <v>12</v>
      </c>
      <c r="M40" s="170">
        <f t="shared" si="2"/>
        <v>12</v>
      </c>
      <c r="N40" s="54"/>
      <c r="O40" s="9"/>
    </row>
    <row r="41" spans="2:15" ht="30" x14ac:dyDescent="0.4">
      <c r="B41" s="7"/>
      <c r="C41" s="3"/>
      <c r="D41" s="176"/>
      <c r="E41" s="175"/>
      <c r="F41" s="213"/>
      <c r="G41" s="214"/>
      <c r="H41" s="214"/>
      <c r="I41" s="214"/>
      <c r="J41" s="214"/>
      <c r="K41" s="215"/>
      <c r="L41" s="170"/>
      <c r="M41" s="170"/>
      <c r="N41" s="95"/>
      <c r="O41" s="9"/>
    </row>
    <row r="42" spans="2:15" ht="30" x14ac:dyDescent="0.4">
      <c r="B42" s="7"/>
      <c r="C42" s="3"/>
      <c r="D42" s="176"/>
      <c r="E42" s="177"/>
      <c r="F42" s="162"/>
      <c r="G42" s="185"/>
      <c r="H42" s="185"/>
      <c r="I42" s="185"/>
      <c r="J42" s="185"/>
      <c r="K42" s="186"/>
      <c r="L42" s="170"/>
      <c r="M42" s="170"/>
      <c r="N42" s="95"/>
      <c r="O42" s="9"/>
    </row>
    <row r="43" spans="2:15" ht="30" x14ac:dyDescent="0.4">
      <c r="B43" s="7"/>
      <c r="C43" s="3"/>
      <c r="D43" s="176"/>
      <c r="E43" s="175"/>
      <c r="F43" s="213"/>
      <c r="G43" s="214"/>
      <c r="H43" s="214"/>
      <c r="I43" s="214"/>
      <c r="J43" s="214"/>
      <c r="K43" s="215"/>
      <c r="L43" s="170"/>
      <c r="M43" s="170"/>
      <c r="N43" s="95"/>
      <c r="O43" s="9"/>
    </row>
    <row r="44" spans="2:15" ht="30" x14ac:dyDescent="0.4">
      <c r="B44" s="7"/>
      <c r="C44" s="3"/>
      <c r="D44" s="176"/>
      <c r="E44" s="175"/>
      <c r="F44" s="213"/>
      <c r="G44" s="214"/>
      <c r="H44" s="214"/>
      <c r="I44" s="214"/>
      <c r="J44" s="214"/>
      <c r="K44" s="215"/>
      <c r="L44" s="170"/>
      <c r="M44" s="170"/>
      <c r="N44" s="95"/>
      <c r="O44" s="9"/>
    </row>
    <row r="45" spans="2:15" ht="30" x14ac:dyDescent="0.4">
      <c r="B45" s="7"/>
      <c r="C45" s="3"/>
      <c r="D45" s="176"/>
      <c r="E45" s="175"/>
      <c r="F45" s="213"/>
      <c r="G45" s="214"/>
      <c r="H45" s="214"/>
      <c r="I45" s="214"/>
      <c r="J45" s="214"/>
      <c r="K45" s="215"/>
      <c r="L45" s="170"/>
      <c r="M45" s="170"/>
      <c r="N45" s="54"/>
      <c r="O45" s="9"/>
    </row>
    <row r="46" spans="2:15" ht="30" x14ac:dyDescent="0.4">
      <c r="B46" s="7"/>
      <c r="C46" s="3"/>
      <c r="D46" s="178"/>
      <c r="E46" s="111"/>
      <c r="F46" s="179"/>
      <c r="G46" s="142"/>
      <c r="H46" s="142"/>
      <c r="I46" s="142"/>
      <c r="J46" s="142"/>
      <c r="K46" s="143"/>
      <c r="L46" s="170"/>
      <c r="M46" s="170"/>
      <c r="N46" s="54"/>
      <c r="O46" s="9"/>
    </row>
    <row r="47" spans="2:15" ht="30" x14ac:dyDescent="0.4">
      <c r="B47" s="7"/>
      <c r="C47" s="3"/>
      <c r="D47" s="159"/>
      <c r="E47" s="158"/>
      <c r="F47" s="119"/>
      <c r="G47" s="142"/>
      <c r="H47" s="142"/>
      <c r="I47" s="142"/>
      <c r="J47" s="142"/>
      <c r="K47" s="143"/>
      <c r="L47" s="112"/>
      <c r="M47" s="170"/>
      <c r="N47" s="54"/>
      <c r="O47" s="9"/>
    </row>
    <row r="48" spans="2:15" ht="30" x14ac:dyDescent="0.4">
      <c r="B48" s="7"/>
      <c r="C48" s="3"/>
      <c r="D48" s="159"/>
      <c r="E48" s="111"/>
      <c r="F48" s="173"/>
      <c r="G48" s="142"/>
      <c r="H48" s="142"/>
      <c r="I48" s="142"/>
      <c r="J48" s="142"/>
      <c r="K48" s="143"/>
      <c r="L48" s="112"/>
      <c r="M48" s="170"/>
      <c r="N48" s="54"/>
      <c r="O48" s="9"/>
    </row>
    <row r="49" spans="2:16" ht="30" x14ac:dyDescent="0.4">
      <c r="B49" s="7"/>
      <c r="C49" s="3"/>
      <c r="D49" s="159"/>
      <c r="E49" s="111"/>
      <c r="F49" s="119"/>
      <c r="G49" s="142"/>
      <c r="H49" s="142"/>
      <c r="I49" s="142"/>
      <c r="J49" s="142"/>
      <c r="K49" s="143"/>
      <c r="L49" s="112"/>
      <c r="M49" s="170"/>
      <c r="N49" s="54"/>
      <c r="O49" s="9"/>
    </row>
    <row r="50" spans="2:16" ht="30" x14ac:dyDescent="0.4">
      <c r="B50" s="7"/>
      <c r="C50" s="3"/>
      <c r="D50" s="157"/>
      <c r="E50" s="111"/>
      <c r="F50" s="164"/>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3">IF(E51&lt;&gt;"",E51*L51,"")</f>
        <v/>
      </c>
      <c r="N51" s="54"/>
      <c r="O51" s="9"/>
    </row>
    <row r="52" spans="2:16" ht="35.25" x14ac:dyDescent="0.5">
      <c r="B52" s="7"/>
      <c r="C52" s="3"/>
      <c r="D52" s="85"/>
      <c r="E52" s="96"/>
      <c r="F52" s="125"/>
      <c r="G52" s="122"/>
      <c r="H52" s="122"/>
      <c r="I52" s="122"/>
      <c r="J52" s="123"/>
      <c r="K52" s="124"/>
      <c r="L52" s="127" t="s">
        <v>25</v>
      </c>
      <c r="M52" s="132">
        <f>SUM(M28:M51)</f>
        <v>811</v>
      </c>
      <c r="N52" s="54"/>
      <c r="O52" s="9"/>
    </row>
    <row r="53" spans="2:16" ht="35.25" x14ac:dyDescent="0.5">
      <c r="B53" s="7"/>
      <c r="C53" s="3"/>
      <c r="D53" s="102"/>
      <c r="E53" s="188" t="s">
        <v>63</v>
      </c>
      <c r="F53" s="77"/>
      <c r="G53" s="77"/>
      <c r="H53" s="77"/>
      <c r="I53" s="77"/>
      <c r="J53" s="78"/>
      <c r="K53" s="93"/>
      <c r="L53" s="126" t="s">
        <v>46</v>
      </c>
      <c r="M53" s="109">
        <v>0.6</v>
      </c>
      <c r="N53" s="54"/>
      <c r="O53" s="9"/>
    </row>
    <row r="54" spans="2:16" ht="35.25" x14ac:dyDescent="0.5">
      <c r="B54" s="7"/>
      <c r="C54" s="3"/>
      <c r="D54" s="99"/>
      <c r="E54" s="98" t="s">
        <v>55</v>
      </c>
      <c r="F54" s="167"/>
      <c r="G54" s="77"/>
      <c r="H54" s="77"/>
      <c r="I54" s="77"/>
      <c r="J54" s="80"/>
      <c r="K54" s="94"/>
      <c r="L54" s="128">
        <v>0.19</v>
      </c>
      <c r="M54" s="109">
        <f>(M52)*0.19</f>
        <v>154.09</v>
      </c>
      <c r="N54" s="54"/>
      <c r="O54" s="9"/>
    </row>
    <row r="55" spans="2:16" ht="35.25" x14ac:dyDescent="0.5">
      <c r="B55" s="7"/>
      <c r="C55" s="3"/>
      <c r="D55" s="85"/>
      <c r="E55" s="101"/>
      <c r="F55" s="97"/>
      <c r="G55" s="82"/>
      <c r="H55" s="81"/>
      <c r="I55" s="77"/>
      <c r="J55" s="83"/>
      <c r="K55" s="93"/>
      <c r="L55" s="110" t="s">
        <v>27</v>
      </c>
      <c r="M55" s="109">
        <f>+M52+M53+M54</f>
        <v>965.69</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11"/>
      <c r="E58" s="211"/>
      <c r="F58" s="211"/>
      <c r="G58" s="211"/>
      <c r="H58" s="211"/>
      <c r="I58" s="211"/>
      <c r="J58" s="211"/>
      <c r="K58" s="211"/>
      <c r="L58" s="211"/>
      <c r="M58" s="121"/>
      <c r="N58" s="54"/>
      <c r="O58" s="9"/>
    </row>
    <row r="59" spans="2:16" ht="26.25" x14ac:dyDescent="0.4">
      <c r="B59" s="7"/>
      <c r="C59" s="3"/>
      <c r="D59" s="212"/>
      <c r="E59" s="212"/>
      <c r="F59" s="212"/>
      <c r="G59" s="212"/>
      <c r="H59" s="212"/>
      <c r="I59" s="212"/>
      <c r="J59" s="212"/>
      <c r="K59" s="212"/>
      <c r="L59" s="212"/>
      <c r="M59" s="131"/>
      <c r="N59" s="54"/>
      <c r="O59" s="9"/>
    </row>
    <row r="60" spans="2:16" ht="26.25" x14ac:dyDescent="0.4">
      <c r="B60" s="7"/>
      <c r="C60" s="3"/>
      <c r="D60" s="121"/>
      <c r="E60" s="121"/>
      <c r="F60" s="131"/>
      <c r="G60" s="137"/>
      <c r="H60" s="137"/>
      <c r="I60" s="137"/>
      <c r="J60" s="78"/>
      <c r="K60" s="118"/>
      <c r="L60" s="168" t="s">
        <v>60</v>
      </c>
      <c r="M60" s="168"/>
      <c r="N60" s="114"/>
      <c r="O60" s="9"/>
    </row>
    <row r="61" spans="2:16" ht="23.25" x14ac:dyDescent="0.25">
      <c r="B61" s="7"/>
      <c r="C61" s="3"/>
      <c r="D61" s="121"/>
      <c r="E61" s="121"/>
      <c r="F61" s="138"/>
      <c r="G61" s="205"/>
      <c r="H61" s="205"/>
      <c r="I61" s="205"/>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1" t="s">
        <v>57</v>
      </c>
      <c r="E64" s="169"/>
      <c r="F64" s="78"/>
      <c r="G64" s="78"/>
      <c r="H64" s="78"/>
      <c r="I64" s="78"/>
      <c r="J64" s="78"/>
      <c r="K64" s="88"/>
      <c r="L64" s="88"/>
      <c r="M64" s="89"/>
      <c r="N64" s="54"/>
      <c r="O64" s="133"/>
      <c r="P64" s="134"/>
    </row>
    <row r="65" spans="1:16" ht="23.25" x14ac:dyDescent="0.35">
      <c r="B65" s="7"/>
      <c r="C65" s="3"/>
      <c r="D65" s="172"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204" t="s">
        <v>62</v>
      </c>
      <c r="E67" s="204"/>
      <c r="F67" s="204"/>
      <c r="G67" s="204"/>
      <c r="H67" s="204"/>
      <c r="I67" s="204"/>
      <c r="J67" s="204"/>
      <c r="K67" s="204"/>
      <c r="L67" s="204"/>
      <c r="M67" s="88"/>
      <c r="N67" s="92"/>
      <c r="O67" s="9"/>
    </row>
    <row r="68" spans="1:16" ht="15" customHeight="1" x14ac:dyDescent="0.2">
      <c r="B68" s="7"/>
      <c r="C68" s="3"/>
      <c r="D68" s="204"/>
      <c r="E68" s="204"/>
      <c r="F68" s="204"/>
      <c r="G68" s="204"/>
      <c r="H68" s="204"/>
      <c r="I68" s="204"/>
      <c r="J68" s="204"/>
      <c r="K68" s="204"/>
      <c r="L68" s="204"/>
      <c r="M68" s="89"/>
      <c r="N68" s="54"/>
      <c r="O68" s="9"/>
    </row>
    <row r="69" spans="1:16" ht="20.100000000000001" customHeight="1" x14ac:dyDescent="0.2">
      <c r="B69" s="7"/>
      <c r="C69" s="3"/>
      <c r="D69" s="204"/>
      <c r="E69" s="204"/>
      <c r="F69" s="204"/>
      <c r="G69" s="204"/>
      <c r="H69" s="204"/>
      <c r="I69" s="204"/>
      <c r="J69" s="204"/>
      <c r="K69" s="204"/>
      <c r="L69" s="204"/>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7:L69"/>
    <mergeCell ref="G61:I61"/>
    <mergeCell ref="E23:K23"/>
    <mergeCell ref="G24:H24"/>
    <mergeCell ref="F27:K27"/>
    <mergeCell ref="D58:L58"/>
    <mergeCell ref="D59:L59"/>
    <mergeCell ref="F35:K35"/>
    <mergeCell ref="F37:K37"/>
    <mergeCell ref="F39:K39"/>
    <mergeCell ref="F41:K41"/>
    <mergeCell ref="F43:K43"/>
    <mergeCell ref="F45:K45"/>
    <mergeCell ref="F44:K4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N33:O33 L28:L51 M30: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M51 M28:M29">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16/12/2022</v>
      </c>
      <c r="D8" s="67" t="str">
        <f>Facture!$E$22</f>
        <v xml:space="preserve">2B SERVICES </v>
      </c>
      <c r="E8" s="64">
        <f>Facture!$E$23</f>
        <v>0</v>
      </c>
      <c r="F8" s="64">
        <f>Facture!$E$24</f>
        <v>0</v>
      </c>
      <c r="G8" s="67">
        <f>Facture!$G$24</f>
        <v>0</v>
      </c>
      <c r="H8" s="67" t="str">
        <f>Facture!$J$24</f>
        <v>TN</v>
      </c>
      <c r="I8" s="64">
        <f>Facture!$E$25</f>
        <v>0</v>
      </c>
      <c r="J8" s="68">
        <f>Facture!$M$55</f>
        <v>965.69</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2022-12-16T14:07:32Z</cp:lastPrinted>
  <dcterms:created xsi:type="dcterms:W3CDTF">1995-05-29T15:50:39Z</dcterms:created>
  <dcterms:modified xsi:type="dcterms:W3CDTF">2022-12-16T14:16:22Z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2B SERVICES </vt:lpwstr>
  </property>
  <property fmtid="{D5CDD505-2E9C-101B-9397-08002B2CF9AE}" pid="11" name="Montant de la facture" linkTarget="TOT">
    <vt:r8>965.69</vt:r8>
  </property>
</Properties>
</file>