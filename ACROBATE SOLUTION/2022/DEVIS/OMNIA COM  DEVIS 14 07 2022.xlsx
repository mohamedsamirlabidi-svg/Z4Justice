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4" i="3" l="1"/>
  <c r="N32" i="3" l="1"/>
  <c r="N30" i="3"/>
  <c r="N28"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<sst xmlns="http://schemas.openxmlformats.org/spreadsheetml/2006/main" count="93" uniqueCount="76">
  <si>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</si>
  <si>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</si>
  <si>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</si>
  <si>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</si>
  <si>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</si>
  <si>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</si>
  <si>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</si>
  <si>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</si>
  <si>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</si>
  <si>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</si>
  <si>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</si>
  <si>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</si>
  <si>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</si>
  <si>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</si>
  <si>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</si>
  <si>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</si>
  <si>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</si>
  <si>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</si>
  <si>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</si>
  <si>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</si>
  <si>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</si>
  <si>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</si>
  <si>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</si>
  <si>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</si>
  <si>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</si>
  <si>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</si>
  <si>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</si>
  <si>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</si>
  <si>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</si>
  <si>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</si>
  <si>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</si>
  <si>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</si>
  <si>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</si>
  <si>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</si>
  <si>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</si>
  <si>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</si>
  <si>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</si>
  <si>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</si>
  <si>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</si>
  <si>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</si>
  <si>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</si>
  <si>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</si>
  <si>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</si>
  <si>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</si>
  <si>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</si>
  <si>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</si>
  <si>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</si>
  <si>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</si>
  <si>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</si>
  <si>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</si>
  <si>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</si>
  <si>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</si>
  <si>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</si>
  <si>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</si>
  <si>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</si>
  <si>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</si>
  <si>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</si>
  <si>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</si>
  <si>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</si>
  <si>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</si>
  <si>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</si>
  <si>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</si>
  <si>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</si>
  <si>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</si>
  <si>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</si>
  <si>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</si>
  <si>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</si>
  <si>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</si>
  <si>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</si>
  <si>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</si>
  <si>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</si>
  <si>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P/42</t>
  </si>
  <si>
    <t xml:space="preserve"> Dossards</t>
  </si>
  <si>
    <t xml:space="preserve">DOSRT </t>
  </si>
  <si>
    <t xml:space="preserve">Toolbag </t>
  </si>
  <si>
    <t>DEVIS N° 2022-1514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</si>
</sst>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7" zoomScale="95" workbookViewId="0">
      <selection activeCell="M37" sqref="M3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5"/>
      <c r="N9" s="156"/>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4" t="s">
        <v>54</v>
      </c>
      <c r="N13" s="165"/>
      <c r="O13" s="3"/>
      <c r="P13" s="8"/>
    </row>
    <row r="14" spans="2:16">
      <c r="B14" s="7"/>
      <c r="C14" s="3"/>
      <c r="D14" s="3"/>
      <c r="E14" s="3"/>
      <c r="F14" s="3"/>
      <c r="G14" s="3"/>
      <c r="H14" s="154"/>
      <c r="I14" s="154"/>
      <c r="J14" s="154"/>
      <c r="K14" s="154"/>
      <c r="L14" s="154"/>
      <c r="M14" s="3"/>
      <c r="N14" s="3"/>
      <c r="O14" s="3"/>
      <c r="P14" s="8"/>
    </row>
    <row r="15" spans="2:16" ht="20.100000000000001" customHeight="1">
      <c r="B15" s="7"/>
      <c r="C15" s="3"/>
      <c r="D15" s="3"/>
      <c r="E15" s="3"/>
      <c r="F15" s="3"/>
      <c r="G15" s="3"/>
      <c r="H15" s="154"/>
      <c r="I15" s="154"/>
      <c r="J15" s="154"/>
      <c r="K15" s="154"/>
      <c r="L15" s="154"/>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4" t="s">
        <v>75</v>
      </c>
      <c r="N17" s="145"/>
      <c r="O17" s="3"/>
      <c r="P17" s="8"/>
    </row>
    <row r="18" spans="2:16" ht="19.5" thickTop="1">
      <c r="B18" s="7"/>
      <c r="C18" s="3"/>
      <c r="D18" s="58"/>
      <c r="E18" s="58"/>
      <c r="F18" s="58"/>
      <c r="G18" s="58"/>
      <c r="H18" s="58"/>
      <c r="I18" s="58"/>
      <c r="J18" s="59"/>
      <c r="K18" s="59"/>
      <c r="L18" s="59"/>
      <c r="M18" s="146"/>
      <c r="N18" s="147"/>
      <c r="O18" s="19"/>
      <c r="P18" s="8"/>
    </row>
    <row r="19" spans="2:16" ht="13.5" thickBot="1">
      <c r="B19" s="7"/>
      <c r="C19" s="3"/>
      <c r="D19" s="3"/>
      <c r="E19" s="3"/>
      <c r="F19" s="3"/>
      <c r="G19" s="3"/>
      <c r="H19" s="3"/>
      <c r="I19" s="3"/>
      <c r="J19" s="3"/>
      <c r="K19" s="3"/>
      <c r="L19" s="3"/>
      <c r="M19" s="148"/>
      <c r="N19" s="149"/>
      <c r="O19" s="3"/>
      <c r="P19" s="8"/>
    </row>
    <row r="20" spans="2:16">
      <c r="B20" s="7"/>
      <c r="C20" s="3"/>
      <c r="D20" s="3"/>
      <c r="E20" s="3"/>
      <c r="F20" s="3"/>
      <c r="G20" s="3"/>
      <c r="H20" s="3"/>
      <c r="I20" s="3"/>
      <c r="J20" s="3"/>
      <c r="K20" s="3"/>
      <c r="L20" s="3"/>
      <c r="M20" s="3"/>
      <c r="N20" s="3"/>
      <c r="O20" s="3"/>
      <c r="P20" s="8"/>
    </row>
    <row r="21" spans="2:16" ht="18">
      <c r="B21" s="7"/>
      <c r="C21" s="3"/>
      <c r="D21" s="82" t="s">
        <v>3</v>
      </c>
      <c r="E21" s="170" t="s">
        <v>56</v>
      </c>
      <c r="F21" s="171"/>
      <c r="G21" s="171"/>
      <c r="H21" s="171"/>
      <c r="I21" s="171"/>
      <c r="J21" s="171"/>
      <c r="K21" s="82"/>
      <c r="L21" s="85" t="s">
        <v>18</v>
      </c>
      <c r="M21" s="159">
        <v>44756</v>
      </c>
      <c r="N21" s="160"/>
      <c r="O21" s="55"/>
      <c r="P21" s="8"/>
    </row>
    <row r="22" spans="2:16">
      <c r="B22" s="7"/>
      <c r="C22" s="3"/>
      <c r="D22" s="82" t="s">
        <v>5</v>
      </c>
      <c r="E22" s="168" t="s">
        <v>57</v>
      </c>
      <c r="F22" s="169"/>
      <c r="G22" s="169"/>
      <c r="H22" s="169"/>
      <c r="I22" s="169"/>
      <c r="J22" s="169"/>
      <c r="K22" s="82"/>
      <c r="L22" s="108" t="s">
        <v>65</v>
      </c>
      <c r="M22" s="109"/>
      <c r="N22" s="89"/>
      <c r="O22" s="56"/>
      <c r="P22" s="8"/>
    </row>
    <row r="23" spans="2:16">
      <c r="B23" s="7"/>
      <c r="C23" s="3"/>
      <c r="D23" s="82" t="s">
        <v>7</v>
      </c>
      <c r="E23" s="90">
        <v>2088</v>
      </c>
      <c r="F23" s="91" t="s">
        <v>8</v>
      </c>
      <c r="G23" s="166" t="s">
        <v>55</v>
      </c>
      <c r="H23" s="167"/>
      <c r="I23" s="92" t="s">
        <v>9</v>
      </c>
      <c r="J23" s="89" t="s">
        <v>51</v>
      </c>
      <c r="K23" s="82"/>
      <c r="L23" s="85" t="s">
        <v>19</v>
      </c>
      <c r="M23" s="161" t="s">
        <v>66</v>
      </c>
      <c r="N23" s="162"/>
      <c r="O23" s="3"/>
      <c r="P23" s="8"/>
    </row>
    <row r="24" spans="2:16">
      <c r="B24" s="7"/>
      <c r="C24" s="3"/>
      <c r="D24" s="82" t="s">
        <v>20</v>
      </c>
      <c r="E24" s="172" t="s">
        <v>58</v>
      </c>
      <c r="F24" s="173"/>
      <c r="G24" s="173"/>
      <c r="H24" s="173"/>
      <c r="I24" s="173"/>
      <c r="J24" s="173"/>
      <c r="K24" s="82"/>
      <c r="L24" s="85" t="s">
        <v>47</v>
      </c>
      <c r="M24" s="163" t="s">
        <v>59</v>
      </c>
      <c r="N24" s="162"/>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0" t="s">
        <v>22</v>
      </c>
      <c r="G26" s="151"/>
      <c r="H26" s="151"/>
      <c r="I26" s="151"/>
      <c r="J26" s="151"/>
      <c r="K26" s="151"/>
      <c r="L26" s="152"/>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1</v>
      </c>
      <c r="F28" s="127" t="s">
        <v>67</v>
      </c>
      <c r="G28" s="111"/>
      <c r="H28" s="81"/>
      <c r="I28" s="111"/>
      <c r="J28" s="111"/>
      <c r="K28" s="81"/>
      <c r="L28" s="111"/>
      <c r="M28" s="96">
        <v>120</v>
      </c>
      <c r="N28" s="96">
        <f>E28*M28</f>
        <v>120</v>
      </c>
      <c r="O28" s="57"/>
      <c r="P28" s="8"/>
    </row>
    <row r="29" spans="2:16" ht="15">
      <c r="B29" s="7"/>
      <c r="C29" s="3"/>
      <c r="D29" s="110"/>
      <c r="E29" s="75"/>
      <c r="F29" s="117" t="s">
        <v>71</v>
      </c>
      <c r="G29" s="111"/>
      <c r="H29" s="81"/>
      <c r="I29" s="111"/>
      <c r="J29" s="111"/>
      <c r="K29" s="81"/>
      <c r="L29" s="111"/>
      <c r="M29" s="96"/>
      <c r="N29" s="96"/>
      <c r="O29" s="57"/>
      <c r="P29" s="8"/>
    </row>
    <row r="30" spans="2:16" ht="15.75">
      <c r="B30" s="7"/>
      <c r="C30" s="3"/>
      <c r="D30" s="126" t="s">
        <v>69</v>
      </c>
      <c r="E30" s="75">
        <v>3</v>
      </c>
      <c r="F30" s="127" t="s">
        <v>68</v>
      </c>
      <c r="G30" s="111"/>
      <c r="H30" s="81"/>
      <c r="I30" s="111"/>
      <c r="J30" s="111"/>
      <c r="K30" s="81"/>
      <c r="L30" s="111"/>
      <c r="M30" s="96">
        <v>55</v>
      </c>
      <c r="N30" s="96">
        <f t="shared" ref="N30" si="0">E30*M30</f>
        <v>165</v>
      </c>
      <c r="O30" s="57"/>
      <c r="P30" s="8"/>
    </row>
    <row r="31" spans="2:16" ht="15.75">
      <c r="B31" s="7"/>
      <c r="C31" s="3"/>
      <c r="D31" s="110"/>
      <c r="E31" s="75"/>
      <c r="F31" s="132"/>
      <c r="G31" s="111"/>
      <c r="H31" s="81"/>
      <c r="I31" s="111"/>
      <c r="J31" s="111"/>
      <c r="K31" s="81"/>
      <c r="L31" s="111"/>
      <c r="M31" s="96"/>
      <c r="N31" s="96"/>
      <c r="O31" s="57"/>
      <c r="P31" s="8"/>
    </row>
    <row r="32" spans="2:16" ht="15.75">
      <c r="B32" s="7"/>
      <c r="C32" s="3"/>
      <c r="D32" s="110" t="s">
        <v>73</v>
      </c>
      <c r="E32" s="75">
        <v>3</v>
      </c>
      <c r="F32" s="132" t="s">
        <v>72</v>
      </c>
      <c r="G32" s="111"/>
      <c r="H32" s="81"/>
      <c r="I32" s="111"/>
      <c r="J32" s="111"/>
      <c r="K32" s="81"/>
      <c r="L32" s="111"/>
      <c r="M32" s="96">
        <v>20</v>
      </c>
      <c r="N32" s="96">
        <f t="shared" ref="N32:N34" si="1">E32*M32</f>
        <v>60</v>
      </c>
      <c r="O32" s="57"/>
      <c r="P32" s="8"/>
    </row>
    <row r="33" spans="2:16" ht="15">
      <c r="B33" s="7"/>
      <c r="C33" s="3"/>
      <c r="D33" s="110"/>
      <c r="E33" s="75"/>
      <c r="F33" s="117"/>
      <c r="G33" s="111"/>
      <c r="H33" s="81"/>
      <c r="I33" s="111"/>
      <c r="J33" s="111"/>
      <c r="K33" s="81"/>
      <c r="L33" s="111"/>
      <c r="M33" s="96"/>
      <c r="N33" s="96"/>
      <c r="O33" s="57"/>
      <c r="P33" s="8"/>
    </row>
    <row r="34" spans="2:16" ht="15.75">
      <c r="B34" s="7"/>
      <c r="C34" s="3"/>
      <c r="D34" s="110">
        <v>2195</v>
      </c>
      <c r="E34" s="75">
        <v>2</v>
      </c>
      <c r="F34" s="132" t="s">
        <v>74</v>
      </c>
      <c r="G34" s="111"/>
      <c r="H34" s="81"/>
      <c r="I34" s="111"/>
      <c r="J34" s="111"/>
      <c r="K34" s="81"/>
      <c r="L34" s="111"/>
      <c r="M34" s="96">
        <v>30</v>
      </c>
      <c r="N34" s="96">
        <f t="shared" si="1"/>
        <v>60</v>
      </c>
      <c r="O34" s="57"/>
      <c r="P34" s="8"/>
    </row>
    <row r="35" spans="2:16" ht="15.75">
      <c r="B35" s="7"/>
      <c r="C35" s="3"/>
      <c r="D35" s="110"/>
      <c r="E35" s="75"/>
      <c r="F35" s="132"/>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1"/>
      <c r="E37" s="53"/>
      <c r="F37" s="128"/>
      <c r="G37" s="118"/>
      <c r="H37" s="118"/>
      <c r="I37" s="118"/>
      <c r="J37" s="118"/>
      <c r="K37" s="118"/>
      <c r="L37" s="81"/>
      <c r="M37" s="96"/>
      <c r="N37" s="96"/>
      <c r="O37" s="57"/>
      <c r="P37" s="8"/>
    </row>
    <row r="38" spans="2:16" ht="15">
      <c r="B38" s="7"/>
      <c r="C38" s="3"/>
      <c r="D38" s="94"/>
      <c r="E38" s="53"/>
      <c r="F38" s="124"/>
      <c r="G38" s="118"/>
      <c r="H38" s="118"/>
      <c r="I38" s="118"/>
      <c r="J38" s="118"/>
      <c r="K38" s="118"/>
      <c r="L38" s="81"/>
      <c r="M38" s="96"/>
      <c r="N38" s="96"/>
      <c r="O38" s="57"/>
      <c r="P38" s="8"/>
    </row>
    <row r="39" spans="2:16" ht="15.75">
      <c r="B39" s="7"/>
      <c r="C39" s="3"/>
      <c r="D39" s="110"/>
      <c r="E39" s="53"/>
      <c r="F39" s="128"/>
      <c r="G39" s="129"/>
      <c r="H39" s="118"/>
      <c r="I39" s="118"/>
      <c r="J39" s="118"/>
      <c r="K39" s="118"/>
      <c r="L39" s="81"/>
      <c r="M39" s="96"/>
      <c r="N39" s="96"/>
      <c r="O39" s="57"/>
      <c r="P39" s="8"/>
    </row>
    <row r="40" spans="2:16" ht="15.75">
      <c r="B40" s="7"/>
      <c r="C40" s="3"/>
      <c r="D40" s="94"/>
      <c r="E40" s="53"/>
      <c r="F40" s="128"/>
      <c r="G40" s="129"/>
      <c r="H40" s="118"/>
      <c r="I40" s="118"/>
      <c r="J40" s="118"/>
      <c r="K40" s="118"/>
      <c r="L40" s="81"/>
      <c r="M40" s="96"/>
      <c r="N40" s="96"/>
      <c r="O40" s="57"/>
      <c r="P40" s="8"/>
    </row>
    <row r="41" spans="2:16" ht="15.75">
      <c r="B41" s="7"/>
      <c r="C41" s="3"/>
      <c r="D41" s="110"/>
      <c r="E41" s="75"/>
      <c r="F41" s="133"/>
      <c r="G41" s="111"/>
      <c r="H41" s="81"/>
      <c r="I41" s="111"/>
      <c r="J41" s="111"/>
      <c r="K41" s="81"/>
      <c r="L41" s="111"/>
      <c r="M41" s="96"/>
      <c r="N41" s="96"/>
      <c r="O41" s="57"/>
      <c r="P41" s="8"/>
    </row>
    <row r="42" spans="2:16" ht="15">
      <c r="B42" s="7"/>
      <c r="C42" s="3"/>
      <c r="D42" s="95"/>
      <c r="E42" s="54"/>
      <c r="F42" s="157"/>
      <c r="G42" s="158"/>
      <c r="H42" s="158"/>
      <c r="I42" s="158"/>
      <c r="J42" s="158"/>
      <c r="K42" s="158"/>
      <c r="L42" s="119"/>
      <c r="M42" s="96"/>
      <c r="N42" s="96"/>
      <c r="O42" s="57"/>
      <c r="P42" s="8"/>
    </row>
    <row r="43" spans="2:16" ht="15.75">
      <c r="B43" s="7"/>
      <c r="C43" s="3"/>
      <c r="D43" s="3"/>
      <c r="E43" s="82"/>
      <c r="F43" s="82"/>
      <c r="G43" s="82"/>
      <c r="H43" s="82"/>
      <c r="I43" s="82"/>
      <c r="J43" s="76"/>
      <c r="K43" s="76"/>
      <c r="L43" s="76"/>
      <c r="M43" s="103"/>
      <c r="N43" s="97">
        <f>SUM(N27:N42)</f>
        <v>405</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76.95</v>
      </c>
      <c r="O45" s="57"/>
      <c r="P45" s="8"/>
    </row>
    <row r="46" spans="2:16" ht="15.75">
      <c r="B46" s="7"/>
      <c r="C46" s="3"/>
      <c r="D46" s="3"/>
      <c r="E46" s="86"/>
      <c r="F46" s="130" t="s">
        <v>25</v>
      </c>
      <c r="G46" s="88"/>
      <c r="H46" s="86"/>
      <c r="I46" s="82"/>
      <c r="J46" s="79"/>
      <c r="K46" s="76"/>
      <c r="L46" s="76"/>
      <c r="M46" s="106" t="s">
        <v>27</v>
      </c>
      <c r="N46" s="97">
        <f>+N43+N44+N45</f>
        <v>482.55</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53"/>
      <c r="D50" s="153"/>
      <c r="E50" s="153"/>
      <c r="F50" s="153"/>
      <c r="G50" s="153"/>
      <c r="H50" s="153"/>
      <c r="I50" s="153"/>
      <c r="J50" s="153"/>
      <c r="K50" s="153"/>
      <c r="L50" s="153"/>
      <c r="M50" s="99"/>
      <c r="N50" s="101"/>
      <c r="O50" s="57"/>
      <c r="P50" s="8"/>
    </row>
    <row r="51" spans="1:16" ht="15.75">
      <c r="B51" s="7"/>
      <c r="C51" s="3"/>
      <c r="D51" s="3"/>
      <c r="E51" s="18"/>
      <c r="F51" s="141"/>
      <c r="G51" s="141"/>
      <c r="H51" s="141"/>
      <c r="I51" s="141"/>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42" t="s">
        <v>63</v>
      </c>
      <c r="F55" s="142"/>
      <c r="G55" s="142"/>
      <c r="H55" s="142"/>
      <c r="I55" s="142"/>
      <c r="J55" s="142"/>
      <c r="K55" s="142"/>
      <c r="L55" s="142"/>
      <c r="M55" s="142"/>
      <c r="N55" s="98"/>
      <c r="O55" s="57"/>
      <c r="P55" s="8"/>
    </row>
    <row r="56" spans="1:16" ht="3" customHeight="1">
      <c r="A56" s="121"/>
      <c r="B56" s="7"/>
      <c r="C56" s="3"/>
      <c r="D56" s="3"/>
      <c r="E56" s="142"/>
      <c r="F56" s="142"/>
      <c r="G56" s="142"/>
      <c r="H56" s="142"/>
      <c r="I56" s="142"/>
      <c r="J56" s="142"/>
      <c r="K56" s="142"/>
      <c r="L56" s="142"/>
      <c r="M56" s="142"/>
      <c r="N56" s="98"/>
      <c r="O56" s="57"/>
      <c r="P56" s="8"/>
    </row>
    <row r="57" spans="1:16" ht="13.5" thickBot="1">
      <c r="A57" s="121"/>
      <c r="B57" s="7"/>
      <c r="C57" s="120"/>
      <c r="D57" s="120"/>
      <c r="E57" s="121"/>
      <c r="F57" s="121"/>
      <c r="G57" s="121"/>
      <c r="H57" s="143"/>
      <c r="I57" s="143"/>
      <c r="J57" s="143"/>
      <c r="K57" s="143"/>
      <c r="L57" s="143"/>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44756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482.55</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2022-07-22T07:50:19Z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482.55</vt:r8>
  </property>
</Properties>
</file>