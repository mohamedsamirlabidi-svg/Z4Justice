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44" i="3" l="1"/>
  <c r="M46" i="3" s="1"/>
  <c r="M47" i="3" s="1"/>
  <c r="M38" i="3" l="1"/>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<sst xmlns="http://schemas.openxmlformats.org/spreadsheetml/2006/main" count="87" uniqueCount="77">
  <si>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</si>
  <si>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</si>
  <si>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</si>
  <si>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</si>
  <si>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</si>
  <si>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</si>
  <si>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</si>
  <si>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</si>
  <si>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</si>
  <si>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</si>
  <si>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</si>
  <si>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</si>
  <si>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</si>
  <si>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</si>
  <si>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</si>
  <si>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</si>
  <si>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</si>
  <si>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</si>
  <si>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</si>
  <si>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</si>
  <si>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</si>
  <si>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</si>
  <si>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</si>
  <si>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</si>
  <si>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</si>
  <si>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</si>
  <si>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</si>
  <si>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</si>
  <si>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</si>
  <si>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</si>
  <si>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</si>
  <si>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</si>
  <si>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</si>
  <si>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</si>
  <si>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</si>
  <si>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</si>
  <si>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</si>
  <si>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</si>
  <si>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</si>
  <si>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</si>
  <si>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</si>
  <si>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</si>
  <si>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</si>
  <si>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</si>
  <si>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</si>
  <si>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</si>
  <si>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</si>
  <si>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</si>
  <si>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</si>
  <si>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</si>
  <si>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</si>
  <si>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</si>
  <si>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</si>
  <si>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</si>
  <si>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</si>
  <si>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</si>
  <si>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</si>
  <si>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</si>
  <si>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</si>
  <si>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</si>
  <si>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</si>
  <si>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</si>
  <si>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</si>
  <si>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</si>
  <si>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</si>
  <si>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</si>
  <si>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</si>
  <si>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</si>
  <si>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</si>
  <si>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Réf commande: </t>
  </si>
  <si>
    <t xml:space="preserve">Responsable: Mme mariem 
</t>
  </si>
  <si>
    <t>VRFCH</t>
  </si>
  <si>
    <t>DEVIS N°2022-098</t>
  </si>
  <si>
    <t>Date : 03/03/2022</t>
  </si>
  <si>
    <t xml:space="preserve">Verification et Contrôle  de conformité de </t>
  </si>
  <si>
    <t>2 échafaudages: PROTUB L10 et carré</t>
  </si>
  <si>
    <t>4 fois par année pour chaque echafaudage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</si>
</sst>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4" fillId="0" borderId="0" xfId="0" applyFont="1" applyFill="1" applyAlignment="1"/>
    <xf numFmtId="0" fontId="21" fillId="0" borderId="0" xfId="0" applyFont="1" applyFill="1" applyAlignment="1"/>
    <xf numFmtId="49" fontId="19" fillId="0" borderId="28"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vertical="top" wrapText="1"/>
    </xf>
    <xf numFmtId="0" fontId="46" fillId="3" borderId="34" xfId="0" applyFont="1" applyFill="1" applyBorder="1" applyAlignment="1">
      <alignment horizontal="left" vertical="top"/>
    </xf>
    <xf numFmtId="0" fontId="25" fillId="3" borderId="34" xfId="0" applyFont="1" applyFill="1" applyBorder="1" applyAlignment="1">
      <alignment horizontal="left"/>
    </xf>
    <xf numFmtId="49" fontId="46" fillId="3" borderId="33" xfId="0" applyNumberFormat="1" applyFont="1" applyFill="1" applyBorder="1" applyAlignment="1"/>
    <xf numFmtId="0" fontId="46" fillId="2" borderId="33" xfId="0" applyFont="1" applyBorder="1" applyAlignment="1"/>
    <xf numFmtId="0" fontId="47"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6" zoomScale="60" zoomScaleNormal="60" workbookViewId="0">
      <selection activeCell="J35" sqref="J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3" t="s">
        <v>72</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200" t="s">
        <v>64</v>
      </c>
      <c r="F22" s="201"/>
      <c r="G22" s="201"/>
      <c r="H22" s="201"/>
      <c r="I22" s="201"/>
      <c r="J22" s="201"/>
      <c r="K22" s="103"/>
      <c r="L22" s="196" t="s">
        <v>73</v>
      </c>
      <c r="M22" s="196"/>
      <c r="N22" s="52"/>
      <c r="O22" s="9"/>
    </row>
    <row r="23" spans="2:15" ht="33.75" x14ac:dyDescent="0.5">
      <c r="B23" s="7"/>
      <c r="C23" s="3"/>
      <c r="D23" s="102" t="s">
        <v>54</v>
      </c>
      <c r="E23" s="185" t="s">
        <v>66</v>
      </c>
      <c r="F23" s="186"/>
      <c r="G23" s="186"/>
      <c r="H23" s="186"/>
      <c r="I23" s="186"/>
      <c r="J23" s="186"/>
      <c r="K23" s="186"/>
      <c r="L23" s="104" t="s">
        <v>69</v>
      </c>
      <c r="M23" s="104"/>
      <c r="N23" s="53"/>
      <c r="O23" s="9"/>
    </row>
    <row r="24" spans="2:15" ht="33.75" x14ac:dyDescent="0.5">
      <c r="B24" s="7"/>
      <c r="C24" s="3"/>
      <c r="D24" s="102" t="s">
        <v>55</v>
      </c>
      <c r="E24" s="151">
        <v>8090</v>
      </c>
      <c r="F24" s="105" t="s">
        <v>8</v>
      </c>
      <c r="G24" s="187" t="s">
        <v>67</v>
      </c>
      <c r="H24" s="187"/>
      <c r="I24" s="106" t="s">
        <v>9</v>
      </c>
      <c r="J24" s="149" t="s">
        <v>57</v>
      </c>
      <c r="K24" s="103"/>
      <c r="L24" s="197" t="s">
        <v>70</v>
      </c>
      <c r="M24" s="198"/>
      <c r="N24" s="3"/>
      <c r="O24" s="9"/>
    </row>
    <row r="25" spans="2:15" ht="33.75" x14ac:dyDescent="0.5">
      <c r="B25" s="7"/>
      <c r="C25" s="3"/>
      <c r="D25" s="102" t="s">
        <v>56</v>
      </c>
      <c r="E25" s="202" t="s">
        <v>68</v>
      </c>
      <c r="F25" s="202"/>
      <c r="G25" s="202"/>
      <c r="H25" s="202"/>
      <c r="I25" s="202"/>
      <c r="J25" s="202"/>
      <c r="K25" s="103"/>
      <c r="L25" s="199" t="s">
        <v>65</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8" t="s">
        <v>23</v>
      </c>
      <c r="G27" s="189"/>
      <c r="H27" s="189"/>
      <c r="I27" s="189"/>
      <c r="J27" s="189"/>
      <c r="K27" s="190"/>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71</v>
      </c>
      <c r="E31" s="108">
        <v>8</v>
      </c>
      <c r="F31" s="172" t="s">
        <v>74</v>
      </c>
      <c r="G31" s="120"/>
      <c r="H31" s="120"/>
      <c r="I31" s="120"/>
      <c r="J31" s="120"/>
      <c r="K31" s="121"/>
      <c r="L31" s="111">
        <v>400</v>
      </c>
      <c r="M31" s="111">
        <f>+L31*E31</f>
        <v>3200</v>
      </c>
      <c r="N31" s="54"/>
      <c r="O31" s="9"/>
    </row>
    <row r="32" spans="2:15" ht="30" x14ac:dyDescent="0.4">
      <c r="B32" s="7"/>
      <c r="C32" s="3"/>
      <c r="D32" s="150"/>
      <c r="E32" s="108"/>
      <c r="F32" s="171" t="s">
        <v>75</v>
      </c>
      <c r="G32" s="120"/>
      <c r="H32" s="120"/>
      <c r="I32" s="120"/>
      <c r="J32" s="120"/>
      <c r="K32" s="121"/>
      <c r="L32" s="111"/>
      <c r="M32" s="111"/>
      <c r="N32" s="54"/>
      <c r="O32" s="9"/>
    </row>
    <row r="33" spans="2:15" ht="30" x14ac:dyDescent="0.4">
      <c r="B33" s="7"/>
      <c r="C33" s="3"/>
      <c r="D33" s="150"/>
      <c r="E33" s="108"/>
      <c r="F33" s="170" t="s">
        <v>76</v>
      </c>
      <c r="G33" s="120"/>
      <c r="H33" s="148"/>
      <c r="I33" s="120"/>
      <c r="J33" s="120"/>
      <c r="K33" s="121"/>
      <c r="L33" s="111"/>
      <c r="M33" s="111"/>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81"/>
      <c r="G42" s="182"/>
      <c r="H42" s="182"/>
      <c r="I42" s="182"/>
      <c r="J42" s="182"/>
      <c r="K42" s="183"/>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3200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608</v>
      </c>
      <c r="N46" s="54"/>
      <c r="O46" s="9"/>
    </row>
    <row r="47" spans="2:15" ht="35.25" x14ac:dyDescent="0.5">
      <c r="B47" s="7"/>
      <c r="C47" s="3"/>
      <c r="D47" s="85"/>
      <c r="E47" s="100"/>
      <c r="F47" s="96"/>
      <c r="G47" s="82"/>
      <c r="H47" s="81"/>
      <c r="I47" s="77"/>
      <c r="J47" s="83"/>
      <c r="K47" s="93"/>
      <c r="L47" s="142" t="s">
        <v>28</v>
      </c>
      <c r="M47" s="141">
        <f>+M44+M45+M46</f>
        <v>3808.6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1"/>
      <c r="E50" s="191"/>
      <c r="F50" s="191"/>
      <c r="G50" s="191"/>
      <c r="H50" s="191"/>
      <c r="I50" s="191"/>
      <c r="J50" s="191"/>
      <c r="K50" s="191"/>
      <c r="L50" s="191"/>
      <c r="M50" s="123"/>
      <c r="N50" s="54"/>
      <c r="O50" s="9"/>
    </row>
    <row r="51" spans="1:16" ht="26.25" x14ac:dyDescent="0.4">
      <c r="B51" s="7"/>
      <c r="C51" s="3"/>
      <c r="D51" s="192"/>
      <c r="E51" s="192"/>
      <c r="F51" s="192"/>
      <c r="G51" s="192"/>
      <c r="H51" s="192"/>
      <c r="I51" s="192"/>
      <c r="J51" s="192"/>
      <c r="K51" s="192"/>
      <c r="L51" s="192"/>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84"/>
      <c r="H53" s="184"/>
      <c r="I53" s="184"/>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0" t="s">
        <v>52</v>
      </c>
      <c r="E59" s="180"/>
      <c r="F59" s="180"/>
      <c r="G59" s="180"/>
      <c r="H59" s="180"/>
      <c r="I59" s="180"/>
      <c r="J59" s="180"/>
      <c r="K59" s="180"/>
      <c r="L59" s="180"/>
      <c r="M59" s="88"/>
      <c r="N59" s="54"/>
      <c r="O59" s="9"/>
    </row>
    <row r="60" spans="1:16" ht="18" customHeight="1" x14ac:dyDescent="0.2">
      <c r="B60" s="7"/>
      <c r="C60" s="3"/>
      <c r="D60" s="180"/>
      <c r="E60" s="180"/>
      <c r="F60" s="180"/>
      <c r="G60" s="180"/>
      <c r="H60" s="180"/>
      <c r="I60" s="180"/>
      <c r="J60" s="180"/>
      <c r="K60" s="180"/>
      <c r="L60" s="180"/>
      <c r="M60" s="89"/>
      <c r="N60" s="54"/>
      <c r="O60" s="9"/>
    </row>
    <row r="61" spans="1:16" ht="15" customHeight="1" x14ac:dyDescent="0.2">
      <c r="B61" s="7"/>
      <c r="C61" s="3"/>
      <c r="D61" s="180"/>
      <c r="E61" s="180"/>
      <c r="F61" s="180"/>
      <c r="G61" s="180"/>
      <c r="H61" s="180"/>
      <c r="I61" s="180"/>
      <c r="J61" s="180"/>
      <c r="K61" s="180"/>
      <c r="L61" s="180"/>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03/03/2022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3808.6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2022-03-03T10:20:32Z</cp:lastPrinted>
  <dcterms:created xsi:type="dcterms:W3CDTF">1995-05-29T15:50:39Z</dcterms:created>
  <dcterms:modified xsi:type="dcterms:W3CDTF">2025-10-23T08:41:02Z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3808.6</vt:r8>
  </property>
</Properties>
</file>