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Facture!$L$48:$M$49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33" i="3"/>
  <c r="M35" i="3"/>
  <c r="M37" i="3"/>
  <c r="M39" i="3"/>
  <c r="M41" i="3"/>
  <c r="M29" i="3" l="1"/>
  <c r="M43" i="3" l="1"/>
  <c r="M28" i="3"/>
  <c r="M45" i="3" l="1"/>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<sst xmlns="http://schemas.openxmlformats.org/spreadsheetml/2006/main" count="93" uniqueCount="82">
  <si>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</si>
  <si>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</si>
  <si>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</si>
  <si>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</si>
  <si>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</si>
  <si>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</si>
  <si>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</si>
  <si>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</si>
  <si>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</si>
  <si>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</si>
  <si>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</si>
  <si>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</si>
  <si>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</si>
  <si>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</si>
  <si>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</si>
  <si>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</si>
  <si>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</si>
  <si>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</si>
  <si>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</si>
  <si>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</si>
  <si>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</si>
  <si>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</si>
  <si>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</si>
  <si>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</si>
  <si>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</si>
  <si>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</si>
  <si>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</si>
  <si>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</si>
  <si>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</si>
  <si>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</si>
  <si>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</si>
  <si>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</si>
  <si>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</si>
  <si>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</si>
  <si>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</si>
  <si>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</si>
  <si>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</si>
  <si>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</si>
  <si>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</si>
  <si>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</si>
  <si>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</si>
  <si>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</si>
  <si>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</si>
  <si>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</si>
  <si>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</si>
  <si>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</si>
  <si>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</si>
  <si>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</si>
  <si>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</si>
  <si>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</si>
  <si>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</si>
  <si>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</si>
  <si>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</si>
  <si>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</si>
  <si>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</si>
  <si>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</si>
  <si>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</si>
  <si>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</si>
  <si>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</si>
  <si>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</si>
  <si>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</si>
  <si>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</si>
  <si>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</si>
  <si>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</si>
  <si>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</si>
  <si>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</si>
  <si>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</si>
  <si>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</si>
  <si>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Gant protection électrique Classe 00 compatible EN 60903</t>
  </si>
  <si>
    <t>Harnais  compatible EN 358, EN 361,EN 813</t>
  </si>
  <si>
    <t>Chaussures de sécurité tailles 43 et 44</t>
  </si>
  <si>
    <t>Mousqueton</t>
  </si>
  <si>
    <t> Tool bag</t>
  </si>
  <si>
    <t>981</t>
  </si>
  <si>
    <t>chr01s</t>
  </si>
  <si>
    <t>gantc00</t>
  </si>
  <si>
    <t xml:space="preserve">Mme sabrine </t>
  </si>
  <si>
    <t xml:space="preserve">crd-mn </t>
  </si>
  <si>
    <t xml:space="preserve">poulie  NAIAD </t>
  </si>
  <si>
    <t xml:space="preserve">virement </t>
  </si>
  <si>
    <t>Corde 12mm compatible EN 1891 A   (2 cordes de 200m )</t>
  </si>
  <si>
    <t>DEVIS  N°2022-0187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</si>
</sst>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color rgb="FF000000"/>
      <name val="Arial"/>
      <family val="2"/>
    </font>
    <font>
      <sz val="18"/>
      <name val="Arial"/>
      <family val="2"/>
    </font>
    <font>
      <sz val="14"/>
      <color rgb="FF000000"/>
      <name val="Arial"/>
      <family val="2"/>
    </font>
    <font>
      <sz val="14"/>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3" fillId="0" borderId="0" xfId="0" applyNumberFormat="1" applyFont="1" applyFill="1" applyBorder="1" applyAlignment="1"/>
    <xf numFmtId="49" fontId="31" fillId="0" borderId="50" xfId="5" applyNumberFormat="1" applyFont="1" applyFill="1" applyBorder="1" applyAlignment="1"/>
    <xf numFmtId="0" fontId="40"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49" fontId="33" fillId="0" borderId="28" xfId="0" applyNumberFormat="1" applyFont="1" applyFill="1" applyBorder="1" applyAlignment="1"/>
    <xf numFmtId="49" fontId="23" fillId="0" borderId="28" xfId="0" applyNumberFormat="1" applyFont="1" applyFill="1" applyBorder="1" applyAlignment="1"/>
    <xf numFmtId="0" fontId="42" fillId="6" borderId="0" xfId="0" applyFont="1" applyFill="1"/>
    <xf numFmtId="49" fontId="43" fillId="6" borderId="0" xfId="0" applyNumberFormat="1" applyFont="1" applyFill="1" applyAlignment="1">
      <alignment horizontal="center" vertical="center"/>
    </xf>
    <xf numFmtId="0" fontId="23" fillId="3" borderId="28" xfId="0" applyFont="1" applyFill="1" applyBorder="1" applyAlignment="1">
      <alignment horizontal="center"/>
    </xf>
    <xf numFmtId="1" fontId="4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3" t="s">
        <v>0</v>
      </c>
      <c r="E4" s="154"/>
      <c r="F4" s="154"/>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55" t="s">
        <v>2</v>
      </c>
      <c r="E10" s="156"/>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57" t="s">
        <v>46</v>
      </c>
      <c r="E19" s="156"/>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58" t="str">
        <f>LOWER(TemplateInformation!B3)</f>
        <v>c:\program files\microsoft office\office\macrolib\factbd.xls</v>
      </c>
      <c r="G33" s="159"/>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55" t="s">
        <v>16</v>
      </c>
      <c r="E36" s="156"/>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3" zoomScale="60" zoomScaleNormal="60" workbookViewId="0">
      <selection activeCell="K45" sqref="K45"/>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c r="A1" s="72"/>
    </row>
    <row r="2" spans="1:15" ht="0.95" customHeight="1" thickTop="1">
      <c r="B2" s="4"/>
      <c r="C2" s="5"/>
      <c r="D2" s="5"/>
      <c r="E2" s="5"/>
      <c r="F2" s="5"/>
      <c r="G2" s="5"/>
      <c r="H2" s="5"/>
      <c r="I2" s="5"/>
      <c r="J2" s="5"/>
      <c r="K2" s="5"/>
      <c r="L2" s="5"/>
      <c r="M2" s="5"/>
      <c r="N2" s="5"/>
      <c r="O2" s="6"/>
    </row>
    <row r="3" spans="1:15">
      <c r="B3" s="7"/>
      <c r="C3" s="3"/>
      <c r="D3" s="3"/>
      <c r="E3" s="3"/>
      <c r="F3" s="3"/>
      <c r="G3" s="3"/>
      <c r="H3" s="3"/>
      <c r="I3" s="3"/>
      <c r="J3" s="3"/>
      <c r="K3" s="3"/>
      <c r="L3" s="3"/>
      <c r="M3" s="3"/>
      <c r="N3" s="3"/>
      <c r="O3" s="9"/>
    </row>
    <row r="4" spans="1:15" ht="20.25">
      <c r="B4" s="7"/>
      <c r="C4" s="3"/>
      <c r="D4" s="3"/>
      <c r="E4" s="3"/>
      <c r="F4" s="3"/>
      <c r="G4" s="3"/>
      <c r="H4" s="3"/>
      <c r="I4" s="3"/>
      <c r="J4" s="3"/>
      <c r="K4" s="8"/>
      <c r="L4" s="69"/>
      <c r="M4" s="19" t="s">
        <v>18</v>
      </c>
      <c r="N4" s="19"/>
      <c r="O4" s="9"/>
    </row>
    <row r="5" spans="1:15">
      <c r="B5" s="7"/>
      <c r="C5" s="3"/>
      <c r="D5" s="3"/>
      <c r="E5" s="3"/>
      <c r="F5" s="3"/>
      <c r="G5" s="3"/>
      <c r="H5" s="3"/>
      <c r="I5" s="3"/>
      <c r="J5" s="3"/>
      <c r="K5" s="3"/>
      <c r="L5" s="3"/>
      <c r="M5" s="3"/>
      <c r="N5" s="3"/>
      <c r="O5" s="9"/>
    </row>
    <row r="6" spans="1:15">
      <c r="B6" s="7"/>
      <c r="C6" s="3"/>
      <c r="D6" s="3"/>
      <c r="E6" s="3"/>
      <c r="F6" s="3"/>
      <c r="G6" s="3"/>
      <c r="H6" s="3"/>
      <c r="I6" s="3"/>
      <c r="J6" s="3"/>
      <c r="K6" s="3"/>
      <c r="L6" s="3"/>
      <c r="M6" s="3"/>
      <c r="N6" s="3"/>
      <c r="O6" s="9"/>
    </row>
    <row r="7" spans="1:15">
      <c r="B7" s="7"/>
      <c r="C7" s="3"/>
      <c r="D7" s="3"/>
      <c r="E7" s="3"/>
      <c r="F7" s="3"/>
      <c r="G7" s="3"/>
      <c r="H7" s="3"/>
      <c r="I7" s="3"/>
      <c r="J7" s="3"/>
      <c r="K7" s="3"/>
      <c r="L7" s="3"/>
      <c r="M7" s="3"/>
      <c r="N7" s="3"/>
      <c r="O7" s="9"/>
    </row>
    <row r="8" spans="1:15">
      <c r="B8" s="7"/>
      <c r="C8" s="3"/>
      <c r="D8" s="3"/>
      <c r="E8" s="3"/>
      <c r="F8" s="3"/>
      <c r="G8" s="3"/>
      <c r="H8" s="3"/>
      <c r="I8" s="3"/>
      <c r="J8" s="3"/>
      <c r="K8" s="3"/>
      <c r="L8" s="3"/>
      <c r="M8" s="3"/>
      <c r="N8" s="3"/>
      <c r="O8" s="9"/>
    </row>
    <row r="9" spans="1:15" ht="18">
      <c r="B9" s="7"/>
      <c r="C9" s="3"/>
      <c r="D9" s="3"/>
      <c r="E9" s="3"/>
      <c r="F9" s="3"/>
      <c r="G9" s="3"/>
      <c r="H9" s="3"/>
      <c r="I9" s="3"/>
      <c r="J9" s="106"/>
      <c r="K9" s="106"/>
      <c r="L9" s="3"/>
      <c r="M9" s="3"/>
      <c r="N9" s="3"/>
      <c r="O9" s="9"/>
    </row>
    <row r="10" spans="1:15">
      <c r="B10" s="7"/>
      <c r="C10" s="3"/>
      <c r="D10" s="3"/>
      <c r="E10" s="3"/>
      <c r="F10" s="3"/>
      <c r="G10" s="3"/>
      <c r="H10" s="3"/>
      <c r="I10" s="3"/>
      <c r="J10" s="3"/>
      <c r="K10" s="3"/>
      <c r="L10" s="3"/>
      <c r="M10" s="3"/>
      <c r="N10" s="3"/>
      <c r="O10" s="9"/>
    </row>
    <row r="11" spans="1:15">
      <c r="B11" s="7"/>
      <c r="C11" s="3"/>
      <c r="D11" s="3"/>
      <c r="E11" s="3"/>
      <c r="F11" s="3"/>
      <c r="G11" s="3"/>
      <c r="H11" s="3"/>
      <c r="I11" s="3"/>
      <c r="J11" s="3"/>
      <c r="K11" s="3"/>
      <c r="L11" s="3"/>
      <c r="M11" s="3"/>
      <c r="N11" s="3"/>
      <c r="O11" s="9"/>
    </row>
    <row r="12" spans="1:15">
      <c r="B12" s="7"/>
      <c r="C12" s="3"/>
      <c r="D12" s="3"/>
      <c r="E12" s="3"/>
      <c r="F12" s="3"/>
      <c r="G12" s="3"/>
      <c r="H12" s="3"/>
      <c r="I12" s="3"/>
      <c r="J12" s="3"/>
      <c r="K12" s="3"/>
      <c r="L12" s="3"/>
      <c r="M12" s="3"/>
      <c r="N12" s="3"/>
      <c r="O12" s="9"/>
    </row>
    <row r="13" spans="1:15">
      <c r="B13" s="7"/>
      <c r="C13" s="3"/>
      <c r="D13" s="3"/>
      <c r="E13" s="3"/>
      <c r="F13" s="3"/>
      <c r="G13" s="3"/>
      <c r="H13" s="3"/>
      <c r="I13" s="3"/>
      <c r="J13" s="3"/>
      <c r="K13" s="3"/>
      <c r="L13" s="3"/>
      <c r="M13" s="3"/>
      <c r="N13" s="3"/>
      <c r="O13" s="9"/>
    </row>
    <row r="14" spans="1:15">
      <c r="B14" s="7"/>
      <c r="C14" s="3"/>
      <c r="D14" s="3"/>
      <c r="E14" s="3"/>
      <c r="F14" s="3"/>
      <c r="G14" s="3"/>
      <c r="H14" s="3"/>
      <c r="I14" s="3"/>
      <c r="J14" s="3"/>
      <c r="K14" s="3"/>
      <c r="L14" s="3"/>
      <c r="M14" s="3"/>
      <c r="N14" s="3"/>
      <c r="O14" s="9"/>
    </row>
    <row r="15" spans="1:15">
      <c r="B15" s="7"/>
      <c r="C15" s="3"/>
      <c r="D15" s="3"/>
      <c r="E15" s="3"/>
      <c r="F15" s="3"/>
      <c r="G15" s="3"/>
      <c r="H15" s="3"/>
      <c r="I15" s="3"/>
      <c r="J15" s="3"/>
      <c r="K15" s="3"/>
      <c r="L15" s="3"/>
      <c r="M15" s="3"/>
      <c r="N15" s="3"/>
      <c r="O15" s="9"/>
    </row>
    <row r="16" spans="1:15">
      <c r="B16" s="7"/>
      <c r="C16" s="3"/>
      <c r="D16" s="3"/>
      <c r="E16" s="3"/>
      <c r="F16" s="3"/>
      <c r="G16" s="3"/>
      <c r="H16" s="3"/>
      <c r="I16" s="3"/>
      <c r="J16" s="3"/>
      <c r="K16" s="3"/>
      <c r="L16" s="3"/>
      <c r="M16" s="3"/>
      <c r="N16" s="3"/>
      <c r="O16" s="9"/>
    </row>
    <row r="17" spans="2:15" ht="13.5" thickBot="1">
      <c r="B17" s="7"/>
      <c r="C17" s="3"/>
      <c r="D17" s="3"/>
      <c r="E17" s="3"/>
      <c r="F17" s="3"/>
      <c r="G17" s="3"/>
      <c r="H17" s="3"/>
      <c r="I17" s="3"/>
      <c r="J17" s="3"/>
      <c r="K17" s="3"/>
      <c r="L17" s="3"/>
      <c r="M17" s="3"/>
      <c r="N17" s="3"/>
      <c r="O17" s="9"/>
    </row>
    <row r="18" spans="2:15" ht="27.75" thickTop="1" thickBot="1">
      <c r="B18" s="7"/>
      <c r="C18" s="3"/>
      <c r="D18" s="104" t="s">
        <v>61</v>
      </c>
      <c r="E18" s="73"/>
      <c r="F18" s="73"/>
      <c r="G18" s="73"/>
      <c r="H18" s="3"/>
      <c r="I18" s="3"/>
      <c r="J18" s="3"/>
      <c r="K18" s="3"/>
      <c r="L18" s="168" t="s">
        <v>81</v>
      </c>
      <c r="M18" s="3"/>
      <c r="N18" s="3"/>
      <c r="O18" s="9"/>
    </row>
    <row r="19" spans="2:15" ht="21.95" customHeight="1" thickTop="1">
      <c r="B19" s="7"/>
      <c r="C19" s="3"/>
      <c r="D19" s="53"/>
      <c r="E19" s="53"/>
      <c r="F19" s="53"/>
      <c r="G19" s="53"/>
      <c r="H19" s="53"/>
      <c r="I19" s="53"/>
      <c r="J19" s="54"/>
      <c r="K19" s="54"/>
      <c r="L19" s="169"/>
      <c r="M19" s="54"/>
      <c r="N19" s="20"/>
      <c r="O19" s="9"/>
    </row>
    <row r="20" spans="2:15" ht="21.95" customHeight="1" thickBot="1">
      <c r="B20" s="7"/>
      <c r="C20" s="3"/>
      <c r="D20" s="3"/>
      <c r="E20" s="3"/>
      <c r="F20" s="3"/>
      <c r="G20" s="3"/>
      <c r="H20" s="3"/>
      <c r="I20" s="3"/>
      <c r="J20" s="3"/>
      <c r="K20" s="3"/>
      <c r="L20" s="170"/>
      <c r="M20" s="3"/>
      <c r="N20" s="3"/>
      <c r="O20" s="9"/>
    </row>
    <row r="21" spans="2:15" ht="13.5" thickTop="1">
      <c r="B21" s="7"/>
      <c r="C21" s="3"/>
      <c r="D21" s="3"/>
      <c r="E21" s="3"/>
      <c r="F21" s="3"/>
      <c r="G21" s="3"/>
      <c r="H21" s="3"/>
      <c r="I21" s="3"/>
      <c r="J21" s="3"/>
      <c r="K21" s="3"/>
      <c r="L21" s="3"/>
      <c r="M21" s="3"/>
      <c r="N21" s="3"/>
      <c r="O21" s="9"/>
    </row>
    <row r="22" spans="2:15" ht="27.75">
      <c r="B22" s="7"/>
      <c r="C22" s="3"/>
      <c r="D22" s="139" t="s">
        <v>53</v>
      </c>
      <c r="E22" s="143" t="s">
        <v>65</v>
      </c>
      <c r="F22" s="143"/>
      <c r="G22" s="142"/>
      <c r="H22" s="142"/>
      <c r="I22" s="162"/>
      <c r="J22" s="162"/>
      <c r="K22" s="141"/>
      <c r="L22" s="139" t="s">
        <v>19</v>
      </c>
      <c r="M22" s="171">
        <v>44649</v>
      </c>
      <c r="N22" s="172"/>
      <c r="O22" s="9"/>
    </row>
    <row r="23" spans="2:15" ht="23.25">
      <c r="B23" s="7"/>
      <c r="C23" s="3"/>
      <c r="D23" s="139" t="s">
        <v>54</v>
      </c>
      <c r="E23" s="142" t="s">
        <v>67</v>
      </c>
      <c r="F23" s="142"/>
      <c r="G23" s="142"/>
      <c r="H23" s="142"/>
      <c r="I23" s="142"/>
      <c r="J23" s="142"/>
      <c r="K23" s="141"/>
      <c r="L23" s="139" t="s">
        <v>63</v>
      </c>
      <c r="M23" s="140"/>
      <c r="N23" s="140"/>
      <c r="O23" s="9"/>
    </row>
    <row r="24" spans="2:15" ht="23.25">
      <c r="B24" s="7"/>
      <c r="C24" s="3"/>
      <c r="D24" s="139" t="s">
        <v>55</v>
      </c>
      <c r="E24" s="162">
        <v>2088</v>
      </c>
      <c r="F24" s="162"/>
      <c r="G24" s="162"/>
      <c r="H24" s="162"/>
      <c r="I24" s="162" t="s">
        <v>9</v>
      </c>
      <c r="J24" s="162" t="s">
        <v>58</v>
      </c>
      <c r="K24" s="141"/>
      <c r="L24" s="139" t="s">
        <v>20</v>
      </c>
      <c r="M24" s="162" t="s">
        <v>76</v>
      </c>
      <c r="N24" s="162"/>
      <c r="O24" s="9"/>
    </row>
    <row r="25" spans="2:15" ht="23.25">
      <c r="B25" s="7"/>
      <c r="C25" s="3"/>
      <c r="D25" s="139" t="s">
        <v>56</v>
      </c>
      <c r="E25" s="166">
        <v>71856454</v>
      </c>
      <c r="F25" s="167"/>
      <c r="G25" s="142"/>
      <c r="H25" s="142"/>
      <c r="I25" s="142"/>
      <c r="J25" s="142"/>
      <c r="K25" s="141"/>
      <c r="L25" s="139" t="s">
        <v>64</v>
      </c>
      <c r="M25" s="173" t="s">
        <v>66</v>
      </c>
      <c r="N25" s="173"/>
      <c r="O25" s="9"/>
    </row>
    <row r="26" spans="2:15">
      <c r="B26" s="7"/>
      <c r="C26" s="3"/>
      <c r="D26" s="71"/>
      <c r="E26" s="71"/>
      <c r="F26" s="71"/>
      <c r="G26" s="71"/>
      <c r="H26" s="71"/>
      <c r="I26" s="71"/>
      <c r="J26" s="71"/>
      <c r="K26" s="71"/>
      <c r="L26" s="71"/>
      <c r="M26" s="71"/>
      <c r="N26" s="3"/>
      <c r="O26" s="9"/>
    </row>
    <row r="27" spans="2:15" ht="18">
      <c r="B27" s="7"/>
      <c r="C27" s="3"/>
      <c r="D27" s="87" t="s">
        <v>35</v>
      </c>
      <c r="E27" s="87" t="s">
        <v>22</v>
      </c>
      <c r="F27" s="163" t="s">
        <v>23</v>
      </c>
      <c r="G27" s="164"/>
      <c r="H27" s="164"/>
      <c r="I27" s="164"/>
      <c r="J27" s="164"/>
      <c r="K27" s="165"/>
      <c r="L27" s="87" t="s">
        <v>24</v>
      </c>
      <c r="M27" s="88" t="s">
        <v>25</v>
      </c>
      <c r="N27" s="89"/>
      <c r="O27" s="9"/>
    </row>
    <row r="28" spans="2:15" ht="30">
      <c r="B28" s="7"/>
      <c r="C28" s="3"/>
      <c r="D28" s="136"/>
      <c r="E28" s="179"/>
      <c r="F28" s="111"/>
      <c r="G28" s="130"/>
      <c r="H28" s="130"/>
      <c r="I28" s="130"/>
      <c r="J28" s="130"/>
      <c r="K28" s="131"/>
      <c r="L28" s="102"/>
      <c r="M28" s="107" t="str">
        <f>IF(E28&lt;&gt;"",E28*L28,"")</f>
        <v/>
      </c>
      <c r="N28" s="52"/>
      <c r="O28" s="9"/>
    </row>
    <row r="29" spans="2:15" ht="30">
      <c r="B29" s="7"/>
      <c r="C29" s="3"/>
      <c r="D29" s="136" t="s">
        <v>75</v>
      </c>
      <c r="E29" s="179">
        <v>2</v>
      </c>
      <c r="F29" s="175" t="s">
        <v>68</v>
      </c>
      <c r="G29" s="132"/>
      <c r="H29" s="132"/>
      <c r="I29" s="132"/>
      <c r="J29" s="132"/>
      <c r="K29" s="133"/>
      <c r="L29" s="103">
        <v>300</v>
      </c>
      <c r="M29" s="103">
        <f>L29*E29</f>
        <v>600</v>
      </c>
      <c r="N29" s="52"/>
      <c r="O29" s="9"/>
    </row>
    <row r="30" spans="2:15" ht="30">
      <c r="B30" s="7"/>
      <c r="C30" s="3"/>
      <c r="D30" s="136"/>
      <c r="E30" s="179"/>
      <c r="F30" s="150"/>
      <c r="G30" s="132"/>
      <c r="H30" s="132"/>
      <c r="I30" s="132"/>
      <c r="J30" s="132"/>
      <c r="K30" s="133"/>
      <c r="L30" s="102"/>
      <c r="M30" s="103"/>
      <c r="N30" s="52"/>
      <c r="O30" s="9"/>
    </row>
    <row r="31" spans="2:15" ht="30">
      <c r="B31" s="7"/>
      <c r="C31" s="3"/>
      <c r="D31" s="136">
        <v>92111</v>
      </c>
      <c r="E31" s="179">
        <v>1</v>
      </c>
      <c r="F31" s="176" t="s">
        <v>69</v>
      </c>
      <c r="G31" s="132"/>
      <c r="H31" s="132"/>
      <c r="I31" s="132"/>
      <c r="J31" s="132"/>
      <c r="K31" s="133"/>
      <c r="L31" s="102">
        <v>580</v>
      </c>
      <c r="M31" s="103">
        <f t="shared" ref="M30:M42" si="0">L31*E31</f>
        <v>580</v>
      </c>
      <c r="N31" s="52"/>
      <c r="O31" s="9"/>
    </row>
    <row r="32" spans="2:15" ht="30">
      <c r="B32" s="7"/>
      <c r="C32" s="3"/>
      <c r="D32" s="136"/>
      <c r="E32" s="179"/>
      <c r="F32" s="152"/>
      <c r="G32" s="132"/>
      <c r="H32" s="132"/>
      <c r="I32" s="132"/>
      <c r="J32" s="132"/>
      <c r="K32" s="133"/>
      <c r="L32" s="102"/>
      <c r="M32" s="103"/>
      <c r="N32" s="52"/>
      <c r="O32" s="9"/>
    </row>
    <row r="33" spans="2:15" ht="30">
      <c r="B33" s="7"/>
      <c r="C33" s="3"/>
      <c r="D33" s="136" t="s">
        <v>74</v>
      </c>
      <c r="E33" s="179">
        <v>2</v>
      </c>
      <c r="F33" s="176" t="s">
        <v>70</v>
      </c>
      <c r="G33" s="132"/>
      <c r="H33" s="132"/>
      <c r="I33" s="132"/>
      <c r="J33" s="132"/>
      <c r="K33" s="133"/>
      <c r="L33" s="102">
        <v>120</v>
      </c>
      <c r="M33" s="103">
        <f t="shared" si="0"/>
        <v>240</v>
      </c>
      <c r="N33" s="52"/>
      <c r="O33" s="9"/>
    </row>
    <row r="34" spans="2:15" ht="30">
      <c r="B34" s="7"/>
      <c r="C34" s="3"/>
      <c r="D34" s="136"/>
      <c r="E34" s="179"/>
      <c r="F34" s="111"/>
      <c r="G34" s="132"/>
      <c r="H34" s="132"/>
      <c r="I34" s="132"/>
      <c r="J34" s="132"/>
      <c r="K34" s="133"/>
      <c r="L34" s="102"/>
      <c r="M34" s="103"/>
      <c r="N34" s="52"/>
      <c r="O34" s="9"/>
    </row>
    <row r="35" spans="2:15" ht="30">
      <c r="B35" s="7"/>
      <c r="C35" s="3"/>
      <c r="D35" s="177" t="s">
        <v>73</v>
      </c>
      <c r="E35" s="179">
        <v>8</v>
      </c>
      <c r="F35" s="175" t="s">
        <v>71</v>
      </c>
      <c r="G35" s="132"/>
      <c r="H35" s="132"/>
      <c r="I35" s="132"/>
      <c r="J35" s="132"/>
      <c r="K35" s="133"/>
      <c r="L35" s="103">
        <v>24</v>
      </c>
      <c r="M35" s="103">
        <f t="shared" si="0"/>
        <v>192</v>
      </c>
      <c r="N35" s="52"/>
      <c r="O35" s="9"/>
    </row>
    <row r="36" spans="2:15" ht="30">
      <c r="B36" s="7"/>
      <c r="C36" s="3"/>
      <c r="D36" s="136"/>
      <c r="E36" s="179"/>
      <c r="F36" s="111"/>
      <c r="G36" s="132"/>
      <c r="H36" s="132"/>
      <c r="I36" s="132"/>
      <c r="J36" s="132"/>
      <c r="K36" s="133"/>
      <c r="L36" s="103"/>
      <c r="M36" s="103"/>
      <c r="N36" s="52"/>
      <c r="O36" s="9"/>
    </row>
    <row r="37" spans="2:15" ht="30">
      <c r="B37" s="7"/>
      <c r="C37" s="3"/>
      <c r="D37" s="178">
        <v>2195</v>
      </c>
      <c r="E37" s="179">
        <v>2</v>
      </c>
      <c r="F37" s="174" t="s">
        <v>72</v>
      </c>
      <c r="G37" s="132"/>
      <c r="H37" s="132"/>
      <c r="I37" s="132"/>
      <c r="J37" s="132"/>
      <c r="K37" s="132"/>
      <c r="L37" s="103">
        <v>35</v>
      </c>
      <c r="M37" s="103">
        <f t="shared" si="0"/>
        <v>70</v>
      </c>
      <c r="N37" s="52"/>
      <c r="O37" s="9"/>
    </row>
    <row r="38" spans="2:15" ht="30">
      <c r="B38" s="7"/>
      <c r="C38" s="3"/>
      <c r="D38" s="136"/>
      <c r="E38" s="101"/>
      <c r="F38" s="111"/>
      <c r="G38" s="132"/>
      <c r="H38" s="132"/>
      <c r="I38" s="132"/>
      <c r="J38" s="132"/>
      <c r="K38" s="132"/>
      <c r="L38" s="103"/>
      <c r="M38" s="103"/>
      <c r="N38" s="52"/>
      <c r="O38" s="9"/>
    </row>
    <row r="39" spans="2:15" ht="30">
      <c r="B39" s="7"/>
      <c r="C39" s="3"/>
      <c r="D39" s="136" t="s">
        <v>77</v>
      </c>
      <c r="E39" s="180">
        <v>400</v>
      </c>
      <c r="F39" s="175" t="s">
        <v>80</v>
      </c>
      <c r="G39" s="132"/>
      <c r="H39" s="132"/>
      <c r="I39" s="132"/>
      <c r="J39" s="132"/>
      <c r="K39" s="132"/>
      <c r="L39" s="103">
        <v>5.5</v>
      </c>
      <c r="M39" s="103">
        <f t="shared" si="0"/>
        <v>2200</v>
      </c>
      <c r="N39" s="52"/>
      <c r="O39" s="9"/>
    </row>
    <row r="40" spans="2:15" ht="30">
      <c r="B40" s="7"/>
      <c r="C40" s="3"/>
      <c r="D40" s="136"/>
      <c r="E40" s="101"/>
      <c r="F40" s="148"/>
      <c r="G40" s="132"/>
      <c r="H40" s="132"/>
      <c r="I40" s="132"/>
      <c r="J40" s="132"/>
      <c r="K40" s="132"/>
      <c r="L40" s="103"/>
      <c r="M40" s="103"/>
      <c r="N40" s="52"/>
      <c r="O40" s="9"/>
    </row>
    <row r="41" spans="2:15" ht="30">
      <c r="B41" s="7"/>
      <c r="C41" s="3"/>
      <c r="D41" s="136">
        <v>2159</v>
      </c>
      <c r="E41" s="180">
        <v>2</v>
      </c>
      <c r="F41" s="175" t="s">
        <v>78</v>
      </c>
      <c r="G41" s="132"/>
      <c r="H41" s="132"/>
      <c r="I41" s="132"/>
      <c r="J41" s="132"/>
      <c r="K41" s="132"/>
      <c r="L41" s="103">
        <v>175</v>
      </c>
      <c r="M41" s="103">
        <f t="shared" si="0"/>
        <v>350</v>
      </c>
      <c r="N41" s="52"/>
      <c r="O41" s="9"/>
    </row>
    <row r="42" spans="2:15" ht="30">
      <c r="B42" s="7"/>
      <c r="C42" s="3"/>
      <c r="D42" s="144"/>
      <c r="E42" s="145"/>
      <c r="F42" s="151"/>
      <c r="G42" s="146"/>
      <c r="H42" s="146"/>
      <c r="I42" s="149"/>
      <c r="J42" s="146"/>
      <c r="K42" s="147"/>
      <c r="L42" s="135"/>
      <c r="M42" s="103"/>
      <c r="N42" s="52"/>
      <c r="O42" s="9"/>
    </row>
    <row r="43" spans="2:15" ht="35.25">
      <c r="B43" s="7"/>
      <c r="C43" s="3"/>
      <c r="D43" s="83"/>
      <c r="E43" s="92"/>
      <c r="F43" s="116"/>
      <c r="G43" s="113"/>
      <c r="H43" s="113"/>
      <c r="I43" s="113"/>
      <c r="J43" s="114"/>
      <c r="K43" s="115"/>
      <c r="L43" s="118" t="s">
        <v>26</v>
      </c>
      <c r="M43" s="123">
        <f>SUM(M28:M41)</f>
        <v>4232</v>
      </c>
      <c r="N43" s="52"/>
      <c r="O43" s="9"/>
    </row>
    <row r="44" spans="2:15" ht="35.25">
      <c r="B44" s="7"/>
      <c r="C44" s="3"/>
      <c r="D44" s="98"/>
      <c r="E44" s="94" t="s">
        <v>57</v>
      </c>
      <c r="F44" s="75"/>
      <c r="G44" s="75"/>
      <c r="H44" s="75"/>
      <c r="I44" s="75"/>
      <c r="J44" s="76"/>
      <c r="K44" s="90"/>
      <c r="L44" s="117" t="s">
        <v>47</v>
      </c>
      <c r="M44" s="99">
        <v>0.6</v>
      </c>
      <c r="N44" s="52"/>
      <c r="O44" s="9"/>
    </row>
    <row r="45" spans="2:15" ht="35.25">
      <c r="B45" s="7"/>
      <c r="C45" s="3"/>
      <c r="D45" s="95"/>
      <c r="E45" s="181" t="s">
        <v>79</v>
      </c>
      <c r="F45" s="75"/>
      <c r="G45" s="75"/>
      <c r="H45" s="75"/>
      <c r="I45" s="75"/>
      <c r="J45" s="78"/>
      <c r="K45" s="91"/>
      <c r="L45" s="119">
        <v>0.19</v>
      </c>
      <c r="M45" s="99">
        <f>(M43)*0.19</f>
        <v>804.08</v>
      </c>
      <c r="N45" s="52"/>
      <c r="O45" s="9"/>
    </row>
    <row r="46" spans="2:15" ht="35.25">
      <c r="B46" s="7"/>
      <c r="C46" s="3"/>
      <c r="D46" s="83"/>
      <c r="E46" s="97"/>
      <c r="F46" s="93"/>
      <c r="G46" s="80"/>
      <c r="H46" s="79"/>
      <c r="I46" s="75"/>
      <c r="J46" s="81"/>
      <c r="K46" s="90"/>
      <c r="L46" s="100" t="s">
        <v>28</v>
      </c>
      <c r="M46" s="99">
        <f>+M43+M44+M45</f>
        <v>5036.68</v>
      </c>
      <c r="N46" s="52"/>
      <c r="O46" s="9"/>
    </row>
    <row r="47" spans="2:15" ht="18">
      <c r="B47" s="7"/>
      <c r="C47" s="3"/>
      <c r="D47" s="74"/>
      <c r="E47" s="84"/>
      <c r="F47" s="96"/>
      <c r="G47" s="75"/>
      <c r="H47" s="62"/>
      <c r="I47" s="75"/>
      <c r="J47" s="82" t="s">
        <v>27</v>
      </c>
      <c r="K47" s="76"/>
      <c r="L47" s="134"/>
      <c r="M47" s="134"/>
      <c r="N47" s="52"/>
      <c r="O47" s="9"/>
    </row>
    <row r="48" spans="2:15" ht="26.25">
      <c r="B48" s="7"/>
      <c r="C48" s="3"/>
      <c r="D48" s="112"/>
      <c r="E48" s="112"/>
      <c r="F48" s="122"/>
      <c r="G48" s="128"/>
      <c r="H48" s="128"/>
      <c r="I48" s="128"/>
      <c r="J48" s="76"/>
      <c r="K48" s="110"/>
      <c r="L48" s="137" t="s">
        <v>62</v>
      </c>
      <c r="M48" s="137"/>
      <c r="N48" s="52"/>
      <c r="O48" s="9"/>
    </row>
    <row r="49" spans="2:16" ht="23.25">
      <c r="B49" s="7"/>
      <c r="C49" s="3"/>
      <c r="D49" s="112"/>
      <c r="E49" s="112"/>
      <c r="F49" s="129"/>
      <c r="G49" s="161"/>
      <c r="H49" s="161"/>
      <c r="I49" s="161"/>
      <c r="J49" s="76"/>
      <c r="K49" s="110"/>
      <c r="L49" s="105"/>
      <c r="M49" s="105"/>
      <c r="N49" s="105"/>
      <c r="O49" s="9"/>
    </row>
    <row r="50" spans="2:16" ht="23.25">
      <c r="B50" s="7"/>
      <c r="C50" s="3"/>
      <c r="D50" s="112"/>
      <c r="E50" s="112"/>
      <c r="F50" s="77"/>
      <c r="G50" s="76"/>
      <c r="H50" s="76"/>
      <c r="I50" s="76"/>
      <c r="J50" s="76"/>
      <c r="K50" s="110"/>
      <c r="L50" s="105"/>
      <c r="M50" s="105"/>
      <c r="N50" s="105"/>
      <c r="O50" s="9"/>
    </row>
    <row r="51" spans="2:16" ht="15">
      <c r="B51" s="7"/>
      <c r="C51" s="3"/>
      <c r="D51" s="112"/>
      <c r="E51" s="112"/>
      <c r="F51" s="76"/>
      <c r="G51" s="76"/>
      <c r="H51" s="76"/>
      <c r="I51" s="76"/>
      <c r="J51" s="76"/>
      <c r="K51" s="105"/>
      <c r="L51" s="105"/>
      <c r="M51" s="105"/>
      <c r="N51" s="105"/>
      <c r="O51" s="9"/>
    </row>
    <row r="52" spans="2:16" ht="20.25">
      <c r="B52" s="7"/>
      <c r="C52" s="3"/>
      <c r="D52" s="108" t="s">
        <v>59</v>
      </c>
      <c r="E52" s="138"/>
      <c r="F52" s="76"/>
      <c r="G52" s="76"/>
      <c r="H52" s="76"/>
      <c r="I52" s="76"/>
      <c r="J52" s="76"/>
      <c r="K52" s="85"/>
      <c r="L52" s="85"/>
      <c r="M52" s="86"/>
      <c r="N52" s="52"/>
      <c r="O52" s="9"/>
    </row>
    <row r="53" spans="2:16" ht="20.25">
      <c r="B53" s="7"/>
      <c r="C53" s="3"/>
      <c r="D53" s="109" t="s">
        <v>60</v>
      </c>
      <c r="E53" s="109"/>
      <c r="F53" s="76"/>
      <c r="G53" s="76"/>
      <c r="H53" s="76"/>
      <c r="I53" s="76"/>
      <c r="J53" s="78"/>
      <c r="K53" s="85"/>
      <c r="L53" s="85"/>
      <c r="M53" s="85"/>
      <c r="N53" s="52"/>
      <c r="O53" s="9"/>
    </row>
    <row r="54" spans="2:16" ht="18">
      <c r="B54" s="7"/>
      <c r="C54" s="3"/>
      <c r="D54" s="74"/>
      <c r="E54" s="74"/>
      <c r="F54" s="76"/>
      <c r="G54" s="76"/>
      <c r="H54" s="76"/>
      <c r="I54" s="76"/>
      <c r="J54" s="78"/>
      <c r="K54" s="85"/>
      <c r="L54" s="85"/>
      <c r="M54" s="85"/>
      <c r="N54" s="89"/>
      <c r="O54" s="9"/>
    </row>
    <row r="55" spans="2:16" ht="18">
      <c r="B55" s="7"/>
      <c r="C55" s="3"/>
      <c r="D55" s="160" t="s">
        <v>52</v>
      </c>
      <c r="E55" s="160"/>
      <c r="F55" s="160"/>
      <c r="G55" s="160"/>
      <c r="H55" s="160"/>
      <c r="I55" s="160"/>
      <c r="J55" s="160"/>
      <c r="K55" s="160"/>
      <c r="L55" s="160"/>
      <c r="M55" s="85"/>
      <c r="N55" s="89"/>
      <c r="O55" s="9"/>
    </row>
    <row r="56" spans="2:16" ht="18">
      <c r="B56" s="7"/>
      <c r="C56" s="3"/>
      <c r="D56" s="160"/>
      <c r="E56" s="160"/>
      <c r="F56" s="160"/>
      <c r="G56" s="160"/>
      <c r="H56" s="160"/>
      <c r="I56" s="160"/>
      <c r="J56" s="160"/>
      <c r="K56" s="160"/>
      <c r="L56" s="160"/>
      <c r="M56" s="86"/>
      <c r="N56" s="89"/>
      <c r="O56" s="9"/>
    </row>
    <row r="57" spans="2:16" ht="15">
      <c r="B57" s="7"/>
      <c r="C57" s="3"/>
      <c r="D57" s="160"/>
      <c r="E57" s="160"/>
      <c r="F57" s="160"/>
      <c r="G57" s="160"/>
      <c r="H57" s="160"/>
      <c r="I57" s="160"/>
      <c r="J57" s="160"/>
      <c r="K57" s="160"/>
      <c r="L57" s="160"/>
      <c r="M57" s="86"/>
      <c r="N57" s="52"/>
      <c r="O57" s="9"/>
    </row>
    <row r="58" spans="2:16" ht="13.5" thickBot="1">
      <c r="B58" s="7"/>
      <c r="C58" s="121"/>
      <c r="D58" s="3"/>
      <c r="E58" s="3"/>
      <c r="F58" s="3"/>
      <c r="G58" s="3"/>
      <c r="H58" s="3"/>
      <c r="I58" s="3"/>
      <c r="J58" s="3"/>
      <c r="K58" s="3"/>
      <c r="L58" s="3"/>
      <c r="M58" s="3"/>
      <c r="N58" s="52"/>
      <c r="O58" s="9"/>
    </row>
    <row r="59" spans="2:16" ht="15.75" thickTop="1">
      <c r="B59" s="7"/>
      <c r="C59" s="121"/>
      <c r="D59" s="53"/>
      <c r="E59" s="53"/>
      <c r="F59" s="53"/>
      <c r="G59" s="53"/>
      <c r="H59" s="53"/>
      <c r="I59" s="53"/>
      <c r="J59" s="53"/>
      <c r="K59" s="53"/>
      <c r="L59" s="53"/>
      <c r="M59" s="53"/>
      <c r="N59" s="52"/>
      <c r="O59" s="124"/>
      <c r="P59" s="125"/>
    </row>
    <row r="60" spans="2:16" ht="15">
      <c r="B60" s="7"/>
      <c r="C60" s="121"/>
      <c r="D60" s="120"/>
      <c r="E60" s="120"/>
      <c r="F60" s="120"/>
      <c r="G60" s="120"/>
      <c r="H60" s="120"/>
      <c r="I60" s="120"/>
      <c r="J60" s="120"/>
      <c r="K60" s="120"/>
      <c r="L60" s="120"/>
      <c r="M60" s="121"/>
      <c r="N60" s="52"/>
      <c r="O60" s="126"/>
      <c r="P60" s="127"/>
    </row>
    <row r="61" spans="2:16">
      <c r="B61" s="7"/>
      <c r="C61" s="121"/>
      <c r="D61" s="134"/>
      <c r="E61" s="134"/>
      <c r="F61" s="134"/>
      <c r="G61" s="134"/>
      <c r="H61" s="134"/>
      <c r="I61" s="134"/>
      <c r="J61" s="134"/>
      <c r="K61" s="134"/>
      <c r="L61" s="134"/>
      <c r="M61" s="134"/>
      <c r="N61" s="52"/>
      <c r="O61" s="9"/>
    </row>
    <row r="62" spans="2:16">
      <c r="B62" s="7"/>
      <c r="C62" s="120"/>
      <c r="D62" s="134"/>
      <c r="E62" s="134"/>
      <c r="F62" s="134"/>
      <c r="G62" s="134"/>
      <c r="H62" s="134"/>
      <c r="I62" s="134"/>
      <c r="J62" s="134"/>
      <c r="K62" s="134"/>
      <c r="L62" s="134"/>
      <c r="M62" s="134"/>
      <c r="N62" s="134"/>
      <c r="O62" s="9"/>
    </row>
    <row r="63" spans="2:16" ht="18" customHeight="1">
      <c r="B63" s="7"/>
      <c r="C63" s="134"/>
      <c r="D63" s="134"/>
      <c r="E63" s="134"/>
      <c r="F63" s="134"/>
      <c r="G63" s="134"/>
      <c r="H63" s="134"/>
      <c r="I63" s="134"/>
      <c r="J63" s="134"/>
      <c r="K63" s="134"/>
      <c r="L63" s="134"/>
      <c r="M63" s="134"/>
      <c r="N63" s="134"/>
      <c r="O63" s="9"/>
    </row>
    <row r="64" spans="2:16" ht="15" customHeight="1">
      <c r="B64" s="7"/>
      <c r="C64" s="134"/>
      <c r="D64" s="134"/>
      <c r="E64" s="134"/>
      <c r="F64" s="134"/>
      <c r="G64" s="134"/>
      <c r="H64" s="134"/>
      <c r="I64" s="134"/>
      <c r="J64" s="134"/>
      <c r="K64" s="134"/>
      <c r="L64" s="134"/>
      <c r="M64" s="134"/>
      <c r="N64" s="134"/>
      <c r="O64" s="9"/>
    </row>
    <row r="65" spans="1:15" ht="20.100000000000001" customHeight="1">
      <c r="B65" s="7"/>
      <c r="C65" s="134"/>
      <c r="D65" s="134"/>
      <c r="E65" s="134"/>
      <c r="F65" s="134"/>
      <c r="G65" s="134"/>
      <c r="H65" s="134"/>
      <c r="I65" s="134"/>
      <c r="J65" s="134"/>
      <c r="K65" s="134"/>
      <c r="L65" s="134"/>
      <c r="M65" s="134"/>
      <c r="N65" s="134"/>
      <c r="O65" s="9"/>
    </row>
    <row r="66" spans="1:15">
      <c r="B66" s="7"/>
      <c r="C66" s="134"/>
      <c r="D66" s="134"/>
      <c r="E66" s="134"/>
      <c r="F66" s="134"/>
      <c r="G66" s="134"/>
      <c r="H66" s="134"/>
      <c r="I66" s="134"/>
      <c r="J66" s="134"/>
      <c r="K66" s="134"/>
      <c r="L66" s="134"/>
      <c r="M66" s="134"/>
      <c r="N66" s="134"/>
      <c r="O66" s="9"/>
    </row>
    <row r="67" spans="1:15">
      <c r="B67" s="7"/>
      <c r="C67" s="134"/>
      <c r="D67" s="134"/>
      <c r="E67" s="134"/>
      <c r="F67" s="134"/>
      <c r="G67" s="134"/>
      <c r="H67" s="134"/>
      <c r="I67" s="134"/>
      <c r="J67" s="134"/>
      <c r="K67" s="134"/>
      <c r="L67" s="134"/>
      <c r="M67" s="134"/>
      <c r="N67" s="134"/>
      <c r="O67" s="9"/>
    </row>
    <row r="68" spans="1:15">
      <c r="A68" s="120"/>
      <c r="B68" s="120"/>
      <c r="C68" s="134"/>
      <c r="D68" s="134"/>
      <c r="E68" s="134"/>
      <c r="F68" s="134"/>
      <c r="G68" s="134"/>
      <c r="H68" s="134"/>
      <c r="I68" s="134"/>
      <c r="J68" s="134"/>
      <c r="K68" s="134"/>
      <c r="L68" s="134"/>
      <c r="M68" s="134"/>
      <c r="N68" s="134"/>
    </row>
    <row r="69" spans="1:15">
      <c r="C69" s="134"/>
      <c r="D69" s="134"/>
      <c r="E69" s="134"/>
      <c r="F69" s="134"/>
      <c r="G69" s="134"/>
      <c r="H69" s="134"/>
      <c r="I69" s="134"/>
      <c r="J69" s="134"/>
      <c r="K69" s="134"/>
      <c r="L69" s="134"/>
      <c r="M69" s="134"/>
      <c r="N69" s="134"/>
    </row>
    <row r="70" spans="1:15">
      <c r="C70" s="134"/>
      <c r="D70" s="134"/>
      <c r="E70" s="134"/>
      <c r="F70" s="134"/>
      <c r="G70" s="134"/>
      <c r="H70" s="134"/>
      <c r="I70" s="134"/>
      <c r="J70" s="134"/>
      <c r="K70" s="134"/>
      <c r="L70" s="134"/>
      <c r="M70" s="134"/>
      <c r="N70" s="134"/>
    </row>
    <row r="71" spans="1:15">
      <c r="C71" s="134"/>
      <c r="D71" s="134"/>
      <c r="E71" s="134"/>
      <c r="F71" s="134"/>
      <c r="G71" s="134"/>
      <c r="H71" s="134"/>
      <c r="I71" s="134"/>
      <c r="J71" s="134"/>
      <c r="K71" s="134"/>
      <c r="L71" s="134"/>
      <c r="M71" s="134"/>
      <c r="N71" s="134"/>
    </row>
    <row r="72" spans="1:15">
      <c r="D72" s="134"/>
      <c r="E72" s="134"/>
      <c r="F72" s="134"/>
      <c r="G72" s="134"/>
      <c r="H72" s="134"/>
      <c r="I72" s="134"/>
      <c r="J72" s="134"/>
      <c r="K72" s="134"/>
      <c r="L72" s="134"/>
      <c r="M72" s="134"/>
      <c r="N72" s="134"/>
    </row>
    <row r="73" spans="1:15">
      <c r="D73" s="134"/>
      <c r="E73" s="134"/>
      <c r="F73" s="134"/>
      <c r="G73" s="134"/>
      <c r="H73" s="134"/>
      <c r="I73" s="134"/>
      <c r="J73" s="134"/>
      <c r="K73" s="134"/>
      <c r="L73" s="134"/>
      <c r="M73" s="134"/>
      <c r="N73" s="134"/>
    </row>
    <row r="74" spans="1:15">
      <c r="D74" s="134"/>
      <c r="E74" s="134"/>
      <c r="F74" s="134"/>
      <c r="G74" s="134"/>
      <c r="H74" s="134"/>
      <c r="I74" s="134"/>
      <c r="J74" s="134"/>
      <c r="K74" s="134"/>
      <c r="L74" s="134"/>
      <c r="M74" s="134"/>
      <c r="N74" s="134"/>
    </row>
    <row r="75" spans="1:15">
      <c r="D75" s="134"/>
      <c r="E75" s="134"/>
      <c r="F75" s="134"/>
      <c r="G75" s="134"/>
      <c r="H75" s="134"/>
      <c r="I75" s="134"/>
      <c r="J75" s="134"/>
      <c r="K75" s="134"/>
      <c r="L75" s="134"/>
      <c r="M75" s="134"/>
      <c r="N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M22:N22"/>
    <mergeCell ref="M24:N24"/>
    <mergeCell ref="M25:N25"/>
    <mergeCell ref="I22:J22"/>
    <mergeCell ref="D55:L57"/>
    <mergeCell ref="G49:I49"/>
    <mergeCell ref="G24:H24"/>
    <mergeCell ref="F27:K27"/>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decimal" allowBlank="1" showErrorMessage="1" errorTitle="Prix unitaire" error="Tapez un nombre dans cette cellule." promptTitle="Prix unitaire" sqref="L28:L42 M29:M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Facture!$M$46</f>
        <v>5036.68</v>
      </c>
      <c r="K8" s="62" t="str">
        <f>Facture!$L$24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2022-03-29T10:03:49Z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5036.68</vt:r8>
  </property>
</Properties>
</file>