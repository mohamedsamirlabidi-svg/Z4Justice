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<sst xmlns="http://schemas.openxmlformats.org/spreadsheetml/2006/main" count="84" uniqueCount="74">
  <si>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</si>
  <si>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</si>
  <si>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</si>
  <si>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</si>
  <si>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</si>
  <si>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</si>
  <si>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</si>
  <si>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</si>
  <si>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</si>
  <si>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</si>
  <si>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</si>
  <si>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</si>
  <si>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</si>
  <si>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</si>
  <si>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</si>
  <si>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</si>
  <si>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</si>
  <si>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</si>
  <si>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</si>
  <si>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</si>
  <si>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</si>
  <si>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</si>
  <si>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</si>
  <si>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</si>
  <si>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</si>
  <si>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</si>
  <si>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</si>
  <si>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</si>
  <si>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</si>
  <si>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</si>
  <si>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</si>
  <si>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</si>
  <si>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</si>
  <si>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</si>
  <si>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</si>
  <si>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</si>
  <si>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</si>
  <si>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</si>
  <si>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</si>
  <si>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</si>
  <si>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</si>
  <si>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</si>
  <si>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</si>
  <si>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</si>
  <si>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</si>
  <si>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</si>
  <si>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</si>
  <si>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</si>
  <si>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</si>
  <si>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</si>
  <si>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</si>
  <si>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</si>
  <si>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</si>
  <si>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</si>
  <si>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</si>
  <si>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</si>
  <si>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</si>
  <si>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</si>
  <si>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</si>
  <si>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</si>
  <si>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</si>
  <si>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</si>
  <si>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</si>
  <si>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</si>
  <si>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</si>
  <si>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</si>
  <si>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</si>
  <si>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</si>
  <si>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</si>
  <si>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Responsable: MR OUSSEMA</t>
  </si>
  <si>
    <t>Date : 29/04/2019</t>
  </si>
  <si>
    <t>N° Bon de commande :262</t>
  </si>
  <si>
    <t xml:space="preserve">longe double elastique </t>
  </si>
  <si>
    <t>BON DE LIVRAISON                                        N° 2019013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</si>
</sst>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6" zoomScale="60" zoomScaleNormal="60" workbookViewId="0">
      <selection activeCell="D46" sqref="D46:L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2" t="s">
        <v>73</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70</v>
      </c>
      <c r="M22" s="175"/>
      <c r="N22" s="52"/>
      <c r="O22" s="9"/>
    </row>
    <row r="23" spans="2:15" ht="33.75" x14ac:dyDescent="0.5">
      <c r="B23" s="7"/>
      <c r="C23" s="3"/>
      <c r="D23" s="103" t="s">
        <v>54</v>
      </c>
      <c r="E23" s="166" t="s">
        <v>67</v>
      </c>
      <c r="F23" s="166"/>
      <c r="G23" s="166"/>
      <c r="H23" s="166"/>
      <c r="I23" s="166"/>
      <c r="J23" s="166"/>
      <c r="K23" s="166"/>
      <c r="L23" s="105" t="s">
        <v>71</v>
      </c>
      <c r="M23" s="105"/>
      <c r="N23" s="53"/>
      <c r="O23" s="9"/>
    </row>
    <row r="24" spans="2:15" ht="33.75" x14ac:dyDescent="0.5">
      <c r="B24" s="7"/>
      <c r="C24" s="3"/>
      <c r="D24" s="103" t="s">
        <v>55</v>
      </c>
      <c r="E24" s="116">
        <v>2088</v>
      </c>
      <c r="F24" s="106" t="s">
        <v>8</v>
      </c>
      <c r="G24" s="167" t="s">
        <v>68</v>
      </c>
      <c r="H24" s="167"/>
      <c r="I24" s="107" t="s">
        <v>9</v>
      </c>
      <c r="J24" s="108" t="s">
        <v>59</v>
      </c>
      <c r="K24" s="104"/>
      <c r="L24" s="176" t="s">
        <v>69</v>
      </c>
      <c r="M24" s="176"/>
      <c r="N24" s="3"/>
      <c r="O24" s="9"/>
    </row>
    <row r="25" spans="2:15" ht="33.75" x14ac:dyDescent="0.5">
      <c r="B25" s="7"/>
      <c r="C25" s="3"/>
      <c r="D25" s="103" t="s">
        <v>56</v>
      </c>
      <c r="E25" s="178" t="s">
        <v>66</v>
      </c>
      <c r="F25" s="178"/>
      <c r="G25" s="178"/>
      <c r="H25" s="178"/>
      <c r="I25" s="178"/>
      <c r="J25" s="178"/>
      <c r="K25" s="104"/>
      <c r="L25" s="176" t="s">
        <v>65</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68" t="s">
        <v>23</v>
      </c>
      <c r="G27" s="169"/>
      <c r="H27" s="169"/>
      <c r="I27" s="169"/>
      <c r="J27" s="169"/>
      <c r="K27" s="170"/>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v>7030201</v>
      </c>
      <c r="E29" s="111">
        <v>6</v>
      </c>
      <c r="F29" s="121" t="s">
        <v>72</v>
      </c>
      <c r="G29" s="143"/>
      <c r="H29" s="143"/>
      <c r="I29" s="143"/>
      <c r="J29" s="143"/>
      <c r="K29" s="144"/>
      <c r="L29" s="112"/>
      <c r="M29" s="117">
        <f t="shared" ref="M29:M39" si="1">IF(E29&lt;&gt;"",E29*L29,"")</f>
        <v>0</v>
      </c>
      <c r="N29" s="95"/>
      <c r="O29" s="9"/>
    </row>
    <row r="30" spans="2:15" ht="30" x14ac:dyDescent="0.4">
      <c r="B30" s="7"/>
      <c r="C30" s="3"/>
      <c r="D30" s="151"/>
      <c r="E30" s="111"/>
      <c r="F30" s="152"/>
      <c r="G30" s="143"/>
      <c r="H30" s="143"/>
      <c r="I30" s="143"/>
      <c r="J30" s="143"/>
      <c r="K30" s="144"/>
      <c r="L30" s="112"/>
      <c r="M30" s="117" t="str">
        <f t="shared" si="1"/>
        <v/>
      </c>
      <c r="N30" s="95"/>
      <c r="O30" s="9"/>
    </row>
    <row r="31" spans="2:15" ht="30" x14ac:dyDescent="0.4">
      <c r="B31" s="7"/>
      <c r="C31" s="3"/>
      <c r="D31" s="151"/>
      <c r="E31" s="111"/>
      <c r="F31" s="154"/>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c r="E33" s="111"/>
      <c r="F33" s="121"/>
      <c r="G33" s="143"/>
      <c r="H33" s="143"/>
      <c r="I33" s="143"/>
      <c r="J33" s="143"/>
      <c r="K33" s="144"/>
      <c r="L33" s="112"/>
      <c r="M33" s="117" t="str">
        <f t="shared" si="1"/>
        <v/>
      </c>
      <c r="N33" s="54"/>
      <c r="O33" s="9"/>
    </row>
    <row r="34" spans="2:15" ht="30" x14ac:dyDescent="0.4">
      <c r="B34" s="7"/>
      <c r="C34" s="3"/>
      <c r="D34" s="151"/>
      <c r="E34" s="111"/>
      <c r="F34" s="121"/>
      <c r="G34" s="143"/>
      <c r="H34" s="143"/>
      <c r="I34" s="143"/>
      <c r="J34" s="143"/>
      <c r="K34" s="144"/>
      <c r="L34" s="112"/>
      <c r="M34" s="117" t="str">
        <f t="shared" si="1"/>
        <v/>
      </c>
      <c r="N34" s="54"/>
      <c r="O34" s="9"/>
    </row>
    <row r="35" spans="2:15" ht="30" x14ac:dyDescent="0.4">
      <c r="B35" s="7"/>
      <c r="C35" s="3"/>
      <c r="D35" s="151"/>
      <c r="E35" s="111"/>
      <c r="F35" s="121"/>
      <c r="G35" s="143"/>
      <c r="H35" s="143"/>
      <c r="I35" s="143"/>
      <c r="J35" s="143"/>
      <c r="K35" s="144"/>
      <c r="L35" s="112"/>
      <c r="M35" s="117" t="str">
        <f t="shared" si="1"/>
        <v/>
      </c>
      <c r="N35" s="54"/>
      <c r="O35" s="9"/>
    </row>
    <row r="36" spans="2:15" ht="30" x14ac:dyDescent="0.4">
      <c r="B36" s="7"/>
      <c r="C36" s="3"/>
      <c r="D36" s="151"/>
      <c r="E36" s="111"/>
      <c r="F36" s="121"/>
      <c r="G36" s="143"/>
      <c r="H36" s="143"/>
      <c r="I36" s="143"/>
      <c r="J36" s="143"/>
      <c r="K36" s="144"/>
      <c r="L36" s="112"/>
      <c r="M36" s="117" t="str">
        <f t="shared" si="1"/>
        <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3"/>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0</v>
      </c>
      <c r="N40" s="54"/>
      <c r="O40" s="9"/>
    </row>
    <row r="41" spans="2:15" ht="35.25" x14ac:dyDescent="0.5">
      <c r="B41" s="7"/>
      <c r="C41" s="3"/>
      <c r="D41" s="102"/>
      <c r="E41" s="98" t="s">
        <v>57</v>
      </c>
      <c r="F41" s="77"/>
      <c r="G41" s="77"/>
      <c r="H41" s="77"/>
      <c r="I41" s="77"/>
      <c r="J41" s="78"/>
      <c r="K41" s="93"/>
      <c r="L41" s="128" t="s">
        <v>47</v>
      </c>
      <c r="M41" s="109"/>
      <c r="N41" s="54"/>
      <c r="O41" s="9"/>
    </row>
    <row r="42" spans="2:15" ht="35.25" x14ac:dyDescent="0.5">
      <c r="B42" s="7"/>
      <c r="C42" s="3"/>
      <c r="D42" s="99"/>
      <c r="E42" s="98" t="s">
        <v>58</v>
      </c>
      <c r="F42" s="77"/>
      <c r="G42" s="77"/>
      <c r="H42" s="77"/>
      <c r="I42" s="77"/>
      <c r="J42" s="80"/>
      <c r="K42" s="94"/>
      <c r="L42" s="130">
        <v>0.19</v>
      </c>
      <c r="M42" s="109">
        <f>(M40)*0.19</f>
        <v>0</v>
      </c>
      <c r="N42" s="54"/>
      <c r="O42" s="9"/>
    </row>
    <row r="43" spans="2:15" ht="35.25" x14ac:dyDescent="0.5">
      <c r="B43" s="7"/>
      <c r="C43" s="3"/>
      <c r="D43" s="85"/>
      <c r="E43" s="101"/>
      <c r="F43" s="97"/>
      <c r="G43" s="82"/>
      <c r="H43" s="81"/>
      <c r="I43" s="77"/>
      <c r="J43" s="83"/>
      <c r="K43" s="93"/>
      <c r="L43" s="110" t="s">
        <v>28</v>
      </c>
      <c r="M43" s="109">
        <f>+M40+M41+M42</f>
        <v>0</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1"/>
      <c r="E46" s="171"/>
      <c r="F46" s="171"/>
      <c r="G46" s="171"/>
      <c r="H46" s="171"/>
      <c r="I46" s="171"/>
      <c r="J46" s="171"/>
      <c r="K46" s="171"/>
      <c r="L46" s="171"/>
      <c r="M46" s="123"/>
      <c r="N46" s="54"/>
      <c r="O46" s="9"/>
    </row>
    <row r="47" spans="2:15" ht="26.25" x14ac:dyDescent="0.4">
      <c r="B47" s="7"/>
      <c r="C47" s="3"/>
      <c r="D47" s="171"/>
      <c r="E47" s="171"/>
      <c r="F47" s="171"/>
      <c r="G47" s="171"/>
      <c r="H47" s="171"/>
      <c r="I47" s="171"/>
      <c r="J47" s="171"/>
      <c r="K47" s="171"/>
      <c r="L47" s="171"/>
      <c r="M47" s="133"/>
      <c r="N47" s="54"/>
      <c r="O47" s="9"/>
    </row>
    <row r="48" spans="2:15" ht="26.25" x14ac:dyDescent="0.4">
      <c r="B48" s="7"/>
      <c r="C48" s="3"/>
      <c r="D48" s="123"/>
      <c r="E48" s="123"/>
      <c r="F48" s="133"/>
      <c r="G48" s="139"/>
      <c r="H48" s="139"/>
      <c r="I48" s="139"/>
      <c r="J48" s="78"/>
      <c r="K48" s="120"/>
      <c r="L48" s="155" t="s">
        <v>63</v>
      </c>
      <c r="M48" s="155"/>
      <c r="N48" s="114"/>
      <c r="O48" s="9"/>
    </row>
    <row r="49" spans="1:16" ht="23.25" x14ac:dyDescent="0.25">
      <c r="B49" s="7"/>
      <c r="C49" s="3"/>
      <c r="D49" s="123"/>
      <c r="E49" s="123"/>
      <c r="F49" s="140"/>
      <c r="G49" s="165"/>
      <c r="H49" s="165"/>
      <c r="I49" s="165"/>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6"/>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64" t="s">
        <v>52</v>
      </c>
      <c r="E55" s="164"/>
      <c r="F55" s="164"/>
      <c r="G55" s="164"/>
      <c r="H55" s="164"/>
      <c r="I55" s="164"/>
      <c r="J55" s="164"/>
      <c r="K55" s="164"/>
      <c r="L55" s="164"/>
      <c r="M55" s="88"/>
      <c r="N55" s="92"/>
      <c r="O55" s="9"/>
    </row>
    <row r="56" spans="1:16" ht="15" customHeight="1" x14ac:dyDescent="0.2">
      <c r="B56" s="7"/>
      <c r="C56" s="3"/>
      <c r="D56" s="164"/>
      <c r="E56" s="164"/>
      <c r="F56" s="164"/>
      <c r="G56" s="164"/>
      <c r="H56" s="164"/>
      <c r="I56" s="164"/>
      <c r="J56" s="164"/>
      <c r="K56" s="164"/>
      <c r="L56" s="164"/>
      <c r="M56" s="89"/>
      <c r="N56" s="54"/>
      <c r="O56" s="9"/>
    </row>
    <row r="57" spans="1:16" ht="20.100000000000001" customHeight="1" x14ac:dyDescent="0.2">
      <c r="B57" s="7"/>
      <c r="C57" s="3"/>
      <c r="D57" s="164"/>
      <c r="E57" s="164"/>
      <c r="F57" s="164"/>
      <c r="G57" s="164"/>
      <c r="H57" s="164"/>
      <c r="I57" s="164"/>
      <c r="J57" s="164"/>
      <c r="K57" s="164"/>
      <c r="L57" s="164"/>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49:I49"/>
    <mergeCell ref="E23:K23"/>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29/04/2019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Facture!$M$43</f>
        <v>0</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2019-04-29T07:54:08Z</cp:lastPrinted>
  <dcterms:created xsi:type="dcterms:W3CDTF">1995-05-29T15:50:39Z</dcterms:created>
  <dcterms:modified xsi:type="dcterms:W3CDTF">2019-04-29T07:55:06Z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vt:r8>
  </property>
</Properties>
</file>