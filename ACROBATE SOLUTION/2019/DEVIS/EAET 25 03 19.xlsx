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4" i="3"/>
  <c r="M35" i="3"/>
  <c r="M36" i="3"/>
  <c r="M37" i="3"/>
  <c r="M38" i="3"/>
  <c r="M39" i="3"/>
  <c r="M40" i="3"/>
  <c r="M41" i="3"/>
  <c r="M42" i="3"/>
  <c r="M30" i="3"/>
  <c r="M31" i="3"/>
  <c r="M32" i="3"/>
  <c r="M44" i="3" l="1"/>
  <c r="M28" i="3"/>
  <c r="M29" i="3"/>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<sst xmlns="http://schemas.openxmlformats.org/spreadsheetml/2006/main" count="92" uniqueCount="82">
  <si>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</si>
  <si>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</si>
  <si>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</si>
  <si>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</si>
  <si>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</si>
  <si>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</si>
  <si>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</si>
  <si>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</si>
  <si>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</si>
  <si>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</si>
  <si>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</si>
  <si>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</si>
  <si>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</si>
  <si>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</si>
  <si>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</si>
  <si>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</si>
  <si>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</si>
  <si>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</si>
  <si>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</si>
  <si>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</si>
  <si>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</si>
  <si>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</si>
  <si>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</si>
  <si>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</si>
  <si>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</si>
  <si>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</si>
  <si>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</si>
  <si>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</si>
  <si>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</si>
  <si>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</si>
  <si>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</si>
  <si>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</si>
  <si>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</si>
  <si>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</si>
  <si>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</si>
  <si>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</si>
  <si>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</si>
  <si>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</si>
  <si>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</si>
  <si>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</si>
  <si>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</si>
  <si>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</si>
  <si>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</si>
  <si>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</si>
  <si>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</si>
  <si>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</si>
  <si>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</si>
  <si>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</si>
  <si>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</si>
  <si>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</si>
  <si>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</si>
  <si>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</si>
  <si>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</si>
  <si>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</si>
  <si>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</si>
  <si>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</si>
  <si>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</si>
  <si>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</si>
  <si>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</si>
  <si>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</si>
  <si>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</si>
  <si>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</si>
  <si>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</si>
  <si>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</si>
  <si>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</si>
  <si>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</si>
  <si>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</si>
  <si>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Date : 25/03/2019</t>
  </si>
  <si>
    <t xml:space="preserve">Responsable: Mme Houda </t>
  </si>
  <si>
    <t>EAET</t>
  </si>
  <si>
    <t xml:space="preserve">ARIANA </t>
  </si>
  <si>
    <t xml:space="preserve">10 RUE EL MAAMOURA Z.I KSAR SAID </t>
  </si>
  <si>
    <t>MF:1135172Y/B/M/000</t>
  </si>
  <si>
    <t xml:space="preserve">LONGE DE MAINTIEN </t>
  </si>
  <si>
    <t>EN 358</t>
  </si>
  <si>
    <t xml:space="preserve">MOUSQUETONS </t>
  </si>
  <si>
    <t>EN 362</t>
  </si>
  <si>
    <t>COBRA 6M</t>
  </si>
  <si>
    <t>COBRA 10 M</t>
  </si>
  <si>
    <t>DEVIS 20190159</t>
  </si>
  <si>
    <t>ANTICHUTE CAMP</t>
  </si>
  <si>
    <t>ARRETE LA PRESENTE DEVIS  A LA SOMME DE :TROIS MILLE HUIT CENT DIX HUIT  DINARS 596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</si>
</sst>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79</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69</v>
      </c>
      <c r="F22" s="167"/>
      <c r="G22" s="167"/>
      <c r="H22" s="167"/>
      <c r="I22" s="167"/>
      <c r="J22" s="167"/>
      <c r="K22" s="101"/>
      <c r="L22" s="164" t="s">
        <v>67</v>
      </c>
      <c r="M22" s="164"/>
      <c r="N22" s="52"/>
      <c r="O22" s="9"/>
    </row>
    <row r="23" spans="2:15" ht="33.75" x14ac:dyDescent="0.5">
      <c r="B23" s="7"/>
      <c r="C23" s="3"/>
      <c r="D23" s="100" t="s">
        <v>54</v>
      </c>
      <c r="E23" s="159" t="s">
        <v>71</v>
      </c>
      <c r="F23" s="160"/>
      <c r="G23" s="160"/>
      <c r="H23" s="160"/>
      <c r="I23" s="160"/>
      <c r="J23" s="160"/>
      <c r="K23" s="147"/>
      <c r="L23" s="151" t="s">
        <v>64</v>
      </c>
      <c r="M23" s="151"/>
      <c r="N23" s="53"/>
      <c r="O23" s="9"/>
    </row>
    <row r="24" spans="2:15" ht="33.75" x14ac:dyDescent="0.5">
      <c r="B24" s="7"/>
      <c r="C24" s="3"/>
      <c r="D24" s="100" t="s">
        <v>55</v>
      </c>
      <c r="E24" s="140">
        <v>2041</v>
      </c>
      <c r="F24" s="150" t="s">
        <v>8</v>
      </c>
      <c r="G24" s="172" t="s">
        <v>70</v>
      </c>
      <c r="H24" s="172"/>
      <c r="I24" s="150" t="s">
        <v>9</v>
      </c>
      <c r="J24" s="138" t="s">
        <v>59</v>
      </c>
      <c r="K24" s="101"/>
      <c r="L24" s="165" t="s">
        <v>68</v>
      </c>
      <c r="M24" s="165"/>
      <c r="N24" s="3"/>
      <c r="O24" s="9"/>
    </row>
    <row r="25" spans="2:15" ht="33.75" x14ac:dyDescent="0.5">
      <c r="B25" s="7"/>
      <c r="C25" s="3"/>
      <c r="D25" s="100" t="s">
        <v>56</v>
      </c>
      <c r="E25" s="168">
        <v>29835403</v>
      </c>
      <c r="F25" s="169"/>
      <c r="G25" s="169"/>
      <c r="H25" s="169"/>
      <c r="I25" s="169"/>
      <c r="J25" s="169"/>
      <c r="K25" s="101"/>
      <c r="L25" s="165" t="s">
        <v>72</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v>2120</v>
      </c>
      <c r="E29" s="103">
        <v>4</v>
      </c>
      <c r="F29" s="117" t="s">
        <v>65</v>
      </c>
      <c r="G29" s="113"/>
      <c r="H29" s="113"/>
      <c r="I29" s="113"/>
      <c r="J29" s="113"/>
      <c r="K29" s="114"/>
      <c r="L29" s="104">
        <v>250</v>
      </c>
      <c r="M29" s="108">
        <f t="shared" si="0"/>
        <v>1000</v>
      </c>
      <c r="N29" s="54"/>
      <c r="O29" s="9"/>
    </row>
    <row r="30" spans="2:15" ht="30" x14ac:dyDescent="0.4">
      <c r="B30" s="7"/>
      <c r="C30" s="3"/>
      <c r="D30" s="139"/>
      <c r="E30" s="103"/>
      <c r="F30" s="117" t="s">
        <v>66</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2031</v>
      </c>
      <c r="E32" s="103">
        <v>4</v>
      </c>
      <c r="F32" s="117" t="s">
        <v>73</v>
      </c>
      <c r="G32" s="113"/>
      <c r="H32" s="113"/>
      <c r="I32" s="113"/>
      <c r="J32" s="113"/>
      <c r="K32" s="148"/>
      <c r="L32" s="104">
        <v>131.1</v>
      </c>
      <c r="M32" s="108">
        <f t="shared" si="0"/>
        <v>524.4</v>
      </c>
      <c r="N32" s="54"/>
      <c r="O32" s="9"/>
    </row>
    <row r="33" spans="2:15" ht="30" x14ac:dyDescent="0.4">
      <c r="B33" s="7"/>
      <c r="C33" s="3"/>
      <c r="D33" s="139"/>
      <c r="E33" s="103"/>
      <c r="F33" s="117" t="s">
        <v>74</v>
      </c>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v>981</v>
      </c>
      <c r="E35" s="103">
        <v>1</v>
      </c>
      <c r="F35" s="117" t="s">
        <v>75</v>
      </c>
      <c r="G35" s="113"/>
      <c r="H35" s="113"/>
      <c r="I35" s="113"/>
      <c r="J35" s="113"/>
      <c r="K35" s="148"/>
      <c r="L35" s="104">
        <v>19</v>
      </c>
      <c r="M35" s="108">
        <f t="shared" si="0"/>
        <v>19</v>
      </c>
      <c r="N35" s="54"/>
      <c r="O35" s="9"/>
    </row>
    <row r="36" spans="2:15" ht="30" x14ac:dyDescent="0.4">
      <c r="B36" s="7"/>
      <c r="C36" s="3"/>
      <c r="D36" s="139"/>
      <c r="E36" s="103"/>
      <c r="F36" s="117" t="s">
        <v>76</v>
      </c>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v>2075</v>
      </c>
      <c r="E38" s="103">
        <v>1</v>
      </c>
      <c r="F38" s="117" t="s">
        <v>77</v>
      </c>
      <c r="G38" s="113"/>
      <c r="H38" s="113"/>
      <c r="I38" s="113"/>
      <c r="J38" s="113"/>
      <c r="K38" s="148"/>
      <c r="L38" s="104">
        <v>680</v>
      </c>
      <c r="M38" s="108">
        <f t="shared" si="0"/>
        <v>680</v>
      </c>
      <c r="N38" s="54"/>
      <c r="O38" s="9"/>
    </row>
    <row r="39" spans="2:15" ht="30" x14ac:dyDescent="0.4">
      <c r="B39" s="7"/>
      <c r="C39" s="3"/>
      <c r="D39" s="139">
        <v>2076</v>
      </c>
      <c r="E39" s="103">
        <v>1</v>
      </c>
      <c r="F39" s="117" t="s">
        <v>78</v>
      </c>
      <c r="G39" s="113"/>
      <c r="H39" s="137"/>
      <c r="I39" s="113"/>
      <c r="J39" s="113"/>
      <c r="K39" s="137"/>
      <c r="L39" s="104">
        <v>985</v>
      </c>
      <c r="M39" s="108">
        <f t="shared" si="0"/>
        <v>985</v>
      </c>
      <c r="N39" s="54"/>
      <c r="O39" s="9"/>
    </row>
    <row r="40" spans="2:15" ht="30" x14ac:dyDescent="0.4">
      <c r="B40" s="7"/>
      <c r="C40" s="3"/>
      <c r="D40" s="139">
        <v>1317</v>
      </c>
      <c r="E40" s="103">
        <v>10</v>
      </c>
      <c r="F40" s="117" t="s">
        <v>80</v>
      </c>
      <c r="G40" s="113"/>
      <c r="H40" s="137"/>
      <c r="I40" s="113"/>
      <c r="J40" s="113"/>
      <c r="K40" s="114"/>
      <c r="L40" s="104">
        <v>450</v>
      </c>
      <c r="M40" s="108">
        <f t="shared" si="0"/>
        <v>4500</v>
      </c>
      <c r="N40" s="54"/>
      <c r="O40" s="9"/>
    </row>
    <row r="41" spans="2:15" ht="30" x14ac:dyDescent="0.4">
      <c r="B41" s="7"/>
      <c r="C41" s="3"/>
      <c r="D41" s="139"/>
      <c r="E41" s="103"/>
      <c r="F41" s="144"/>
      <c r="G41" s="148"/>
      <c r="H41" s="148"/>
      <c r="I41" s="148"/>
      <c r="J41" s="148"/>
      <c r="K41" s="114"/>
      <c r="L41" s="104"/>
      <c r="M41" s="108" t="str">
        <f t="shared" si="0"/>
        <v/>
      </c>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+M29+M32+M35+M38+M39</f>
        <v>3208.4</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609.596</v>
      </c>
      <c r="N46" s="54"/>
      <c r="O46" s="9"/>
    </row>
    <row r="47" spans="2:15" ht="35.25" x14ac:dyDescent="0.5">
      <c r="B47" s="7"/>
      <c r="C47" s="3"/>
      <c r="D47" s="145"/>
      <c r="E47" s="98"/>
      <c r="F47" s="94"/>
      <c r="G47" s="82"/>
      <c r="H47" s="81"/>
      <c r="I47" s="77"/>
      <c r="J47" s="83"/>
      <c r="K47" s="92"/>
      <c r="L47" s="131" t="s">
        <v>28</v>
      </c>
      <c r="M47" s="130">
        <f>+M44+M45+M46</f>
        <v>3818.596</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76" t="s">
        <v>81</v>
      </c>
      <c r="E50" s="176"/>
      <c r="F50" s="176"/>
      <c r="G50" s="176"/>
      <c r="H50" s="176"/>
      <c r="I50" s="176"/>
      <c r="J50" s="176"/>
      <c r="K50" s="176"/>
      <c r="L50" s="176"/>
      <c r="M50" s="116"/>
      <c r="N50" s="54"/>
      <c r="O50" s="9"/>
    </row>
    <row r="51" spans="1:16" ht="26.25" x14ac:dyDescent="0.4">
      <c r="B51" s="7"/>
      <c r="C51" s="3"/>
      <c r="D51" s="176"/>
      <c r="E51" s="176"/>
      <c r="F51" s="176"/>
      <c r="G51" s="176"/>
      <c r="H51" s="176"/>
      <c r="I51" s="176"/>
      <c r="J51" s="176"/>
      <c r="K51" s="176"/>
      <c r="L51" s="176"/>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71"/>
      <c r="H53" s="171"/>
      <c r="I53" s="17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70" t="s">
        <v>52</v>
      </c>
      <c r="E59" s="170"/>
      <c r="F59" s="170"/>
      <c r="G59" s="170"/>
      <c r="H59" s="170"/>
      <c r="I59" s="170"/>
      <c r="J59" s="170"/>
      <c r="K59" s="170"/>
      <c r="L59" s="170"/>
      <c r="M59" s="87"/>
      <c r="N59" s="54"/>
      <c r="O59" s="9"/>
    </row>
    <row r="60" spans="1:16" ht="20.100000000000001" customHeight="1" x14ac:dyDescent="0.2">
      <c r="B60" s="7"/>
      <c r="C60" s="3"/>
      <c r="D60" s="170"/>
      <c r="E60" s="170"/>
      <c r="F60" s="170"/>
      <c r="G60" s="170"/>
      <c r="H60" s="170"/>
      <c r="I60" s="170"/>
      <c r="J60" s="170"/>
      <c r="K60" s="170"/>
      <c r="L60" s="170"/>
      <c r="M60" s="88"/>
      <c r="N60" s="54"/>
      <c r="O60" s="9"/>
    </row>
    <row r="61" spans="1:16" ht="15" x14ac:dyDescent="0.2">
      <c r="B61" s="7"/>
      <c r="C61" s="3"/>
      <c r="D61" s="170"/>
      <c r="E61" s="170"/>
      <c r="F61" s="170"/>
      <c r="G61" s="170"/>
      <c r="H61" s="170"/>
      <c r="I61" s="170"/>
      <c r="J61" s="170"/>
      <c r="K61" s="170"/>
      <c r="L61" s="17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G24:H24"/>
    <mergeCell ref="F27:K27"/>
    <mergeCell ref="D50:L50"/>
    <mergeCell ref="D51:L5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25/03/2019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3818.596</v>
      </c>
      <c r="K8" s="64" t="str">
        <f>Facture!$L$24</f>
        <v xml:space="preserve">Responsable: Mme Houda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2019-12-10T16:14:17Z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3818.596</vt:r8>
  </property>
</Properties>
</file>