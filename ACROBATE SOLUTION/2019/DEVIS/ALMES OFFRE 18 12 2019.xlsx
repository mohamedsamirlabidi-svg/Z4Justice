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<sst xmlns="http://schemas.openxmlformats.org/spreadsheetml/2006/main" count="89" uniqueCount="79">
  <si>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</si>
  <si>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</si>
  <si>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</si>
  <si>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</si>
  <si>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</si>
  <si>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</si>
  <si>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</si>
  <si>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</si>
  <si>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</si>
  <si>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</si>
  <si>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</si>
  <si>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</si>
  <si>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</si>
  <si>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</si>
  <si>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</si>
  <si>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</si>
  <si>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</si>
  <si>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</si>
  <si>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</si>
  <si>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</si>
  <si>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</si>
  <si>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</si>
  <si>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</si>
  <si>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</si>
  <si>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</si>
  <si>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</si>
  <si>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</si>
  <si>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</si>
  <si>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</si>
  <si>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</si>
  <si>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</si>
  <si>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</si>
  <si>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</si>
  <si>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</si>
  <si>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</si>
  <si>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</si>
  <si>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</si>
  <si>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</si>
  <si>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</si>
  <si>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</si>
  <si>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</si>
  <si>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</si>
  <si>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</si>
  <si>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</si>
  <si>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</si>
  <si>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</si>
  <si>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</si>
  <si>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</si>
  <si>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</si>
  <si>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</si>
  <si>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</si>
  <si>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</si>
  <si>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</si>
  <si>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</si>
  <si>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</si>
  <si>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</si>
  <si>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</si>
  <si>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</si>
  <si>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</si>
  <si>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</si>
  <si>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</si>
  <si>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</si>
  <si>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</si>
  <si>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</si>
  <si>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ALMES </t>
  </si>
  <si>
    <t>Réf commande:</t>
  </si>
  <si>
    <t>MF:</t>
  </si>
  <si>
    <t>GP1, KM 12 BOUMHEL</t>
  </si>
  <si>
    <t>74273888      Fax: 74273889</t>
  </si>
  <si>
    <t>VERIFICATION ETAT GENERAL DU TOUCAN</t>
  </si>
  <si>
    <t>SYNCRONISATION MODULE DE FREINAGE/SYSTÈME ANTIPANIQUE</t>
  </si>
  <si>
    <t>ESSAI SUR TOUR</t>
  </si>
  <si>
    <t>ENTRETIEN GENERAL</t>
  </si>
  <si>
    <t>REMISE EN CONFORMITE</t>
  </si>
  <si>
    <t>MR 209</t>
  </si>
  <si>
    <t>Responsable: Mr.MOHAMED ELLOUZE</t>
  </si>
  <si>
    <t>OFFRE DE PRIX  20198657</t>
  </si>
  <si>
    <t>Date : 18/12/2019</t>
  </si>
  <si>
    <t>ARRETE LA PRESENTE OFFRE   A LA SOMME DE :SIX CENT TRENTE ET UN DINARS ET 300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</si>
</sst>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4" fillId="0" borderId="28"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31" zoomScale="60" zoomScaleNormal="60" workbookViewId="0">
      <selection activeCell="F40" sqref="F40:K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6" t="s">
        <v>76</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82" t="s">
        <v>64</v>
      </c>
      <c r="F22" s="182"/>
      <c r="G22" s="182"/>
      <c r="H22" s="182"/>
      <c r="I22" s="182"/>
      <c r="J22" s="182"/>
      <c r="K22" s="103"/>
      <c r="L22" s="179" t="s">
        <v>77</v>
      </c>
      <c r="M22" s="179"/>
      <c r="N22" s="52"/>
      <c r="O22" s="9"/>
    </row>
    <row r="23" spans="2:15" ht="33.75" x14ac:dyDescent="0.5">
      <c r="B23" s="7"/>
      <c r="C23" s="3"/>
      <c r="D23" s="102" t="s">
        <v>54</v>
      </c>
      <c r="E23" s="192" t="s">
        <v>67</v>
      </c>
      <c r="F23" s="192"/>
      <c r="G23" s="192"/>
      <c r="H23" s="192"/>
      <c r="I23" s="192"/>
      <c r="J23" s="192"/>
      <c r="K23" s="192"/>
      <c r="L23" s="104" t="s">
        <v>65</v>
      </c>
      <c r="M23" s="104"/>
      <c r="N23" s="53"/>
      <c r="O23" s="9"/>
    </row>
    <row r="24" spans="2:15" ht="33.75" x14ac:dyDescent="0.5">
      <c r="B24" s="7"/>
      <c r="C24" s="3"/>
      <c r="D24" s="102" t="s">
        <v>55</v>
      </c>
      <c r="E24" s="115">
        <v>1053</v>
      </c>
      <c r="F24" s="105" t="s">
        <v>8</v>
      </c>
      <c r="G24" s="193"/>
      <c r="H24" s="193"/>
      <c r="I24" s="106" t="s">
        <v>9</v>
      </c>
      <c r="J24" s="107" t="s">
        <v>59</v>
      </c>
      <c r="K24" s="103"/>
      <c r="L24" s="180" t="s">
        <v>75</v>
      </c>
      <c r="M24" s="181"/>
      <c r="N24" s="3"/>
      <c r="O24" s="9"/>
    </row>
    <row r="25" spans="2:15" ht="33.75" x14ac:dyDescent="0.5">
      <c r="B25" s="7"/>
      <c r="C25" s="3"/>
      <c r="D25" s="102" t="s">
        <v>56</v>
      </c>
      <c r="E25" s="183" t="s">
        <v>68</v>
      </c>
      <c r="F25" s="183"/>
      <c r="G25" s="183"/>
      <c r="H25" s="183"/>
      <c r="I25" s="183"/>
      <c r="J25" s="183"/>
      <c r="K25" s="103"/>
      <c r="L25" s="181" t="s">
        <v>66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4" t="s">
        <v>23</v>
      </c>
      <c r="G27" s="195"/>
      <c r="H27" s="195"/>
      <c r="I27" s="195"/>
      <c r="J27" s="195"/>
      <c r="K27" s="196"/>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59" t="s">
        <v>74</v>
      </c>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27"/>
      <c r="E31" s="158">
        <v>1</v>
      </c>
      <c r="F31" s="100" t="s">
        <v>69</v>
      </c>
      <c r="G31" s="100"/>
      <c r="H31" s="100"/>
      <c r="I31" s="100"/>
      <c r="J31" s="100"/>
      <c r="K31" s="100"/>
      <c r="L31" s="110">
        <v>570</v>
      </c>
      <c r="M31" s="116">
        <f>IF(E31&lt;&gt;"",E31*L31,"")</f>
        <v>570</v>
      </c>
      <c r="N31" s="54"/>
      <c r="O31" s="9"/>
    </row>
    <row r="32" spans="2:15" ht="30" x14ac:dyDescent="0.4">
      <c r="B32" s="7"/>
      <c r="C32" s="3"/>
      <c r="D32" s="127"/>
      <c r="E32" s="108"/>
      <c r="F32" s="100" t="s">
        <v>70</v>
      </c>
      <c r="G32" s="100"/>
      <c r="H32" s="100"/>
      <c r="I32" s="100"/>
      <c r="J32" s="100"/>
      <c r="K32" s="100"/>
      <c r="L32" s="111"/>
      <c r="M32" s="116" t="str">
        <f t="shared" ref="M32:M46" si="0">IF(E32&lt;&gt;"",E32*L32,"")</f>
        <v/>
      </c>
      <c r="N32" s="54"/>
      <c r="O32" s="9"/>
    </row>
    <row r="33" spans="2:15" ht="30" x14ac:dyDescent="0.4">
      <c r="B33" s="7"/>
      <c r="C33" s="3"/>
      <c r="D33" s="127"/>
      <c r="E33" s="108"/>
      <c r="F33" s="100" t="s">
        <v>71</v>
      </c>
      <c r="G33" s="100"/>
      <c r="H33" s="100"/>
      <c r="I33" s="100"/>
      <c r="J33" s="100"/>
      <c r="K33" s="100"/>
      <c r="L33" s="111"/>
      <c r="M33" s="116" t="str">
        <f t="shared" si="0"/>
        <v/>
      </c>
      <c r="N33" s="54"/>
      <c r="O33" s="9"/>
    </row>
    <row r="34" spans="2:15" ht="30" x14ac:dyDescent="0.4">
      <c r="B34" s="7"/>
      <c r="C34" s="3"/>
      <c r="D34" s="127"/>
      <c r="E34" s="108"/>
      <c r="F34" s="153" t="s">
        <v>72</v>
      </c>
      <c r="G34" s="100"/>
      <c r="H34" s="100"/>
      <c r="I34" s="100"/>
      <c r="J34" s="100"/>
      <c r="K34" s="100"/>
      <c r="L34" s="111"/>
      <c r="M34" s="116" t="str">
        <f t="shared" si="0"/>
        <v/>
      </c>
      <c r="N34" s="54"/>
      <c r="O34" s="9"/>
    </row>
    <row r="35" spans="2:15" ht="30" x14ac:dyDescent="0.4">
      <c r="B35" s="7"/>
      <c r="C35" s="3"/>
      <c r="D35" s="127"/>
      <c r="E35" s="108"/>
      <c r="F35" s="157" t="s">
        <v>73</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85"/>
      <c r="G40" s="186"/>
      <c r="H40" s="186"/>
      <c r="I40" s="186"/>
      <c r="J40" s="186"/>
      <c r="K40" s="187"/>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8"/>
      <c r="G48" s="189"/>
      <c r="H48" s="189"/>
      <c r="I48" s="189"/>
      <c r="J48" s="189"/>
      <c r="K48" s="190"/>
      <c r="L48" s="152"/>
      <c r="M48" s="138"/>
      <c r="N48" s="54"/>
      <c r="O48" s="9"/>
    </row>
    <row r="49" spans="2:16" ht="35.25" x14ac:dyDescent="0.5">
      <c r="B49" s="7"/>
      <c r="C49" s="3"/>
      <c r="D49" s="85"/>
      <c r="E49" s="95"/>
      <c r="F49" s="133"/>
      <c r="G49" s="130"/>
      <c r="H49" s="130"/>
      <c r="I49" s="130"/>
      <c r="J49" s="131"/>
      <c r="K49" s="132"/>
      <c r="L49" s="163" t="s">
        <v>26</v>
      </c>
      <c r="M49" s="164">
        <f>M31</f>
        <v>570</v>
      </c>
      <c r="N49" s="54"/>
      <c r="O49" s="9"/>
    </row>
    <row r="50" spans="2:16" ht="35.25" x14ac:dyDescent="0.5">
      <c r="B50" s="7"/>
      <c r="C50" s="3"/>
      <c r="D50" s="101"/>
      <c r="E50" s="97" t="s">
        <v>57</v>
      </c>
      <c r="F50" s="77"/>
      <c r="G50" s="77"/>
      <c r="H50" s="77"/>
      <c r="I50" s="77"/>
      <c r="J50" s="78"/>
      <c r="K50" s="92"/>
      <c r="L50" s="165" t="s">
        <v>47</v>
      </c>
      <c r="M50" s="164">
        <v>0.6</v>
      </c>
      <c r="N50" s="54"/>
      <c r="O50" s="9"/>
    </row>
    <row r="51" spans="2:16" ht="35.25" x14ac:dyDescent="0.5">
      <c r="B51" s="7"/>
      <c r="C51" s="3"/>
      <c r="D51" s="98"/>
      <c r="E51" s="97" t="s">
        <v>58</v>
      </c>
      <c r="F51" s="77"/>
      <c r="G51" s="77"/>
      <c r="H51" s="77"/>
      <c r="I51" s="77"/>
      <c r="J51" s="80"/>
      <c r="K51" s="93"/>
      <c r="L51" s="166">
        <v>0.19</v>
      </c>
      <c r="M51" s="164">
        <f>+M49*19%</f>
        <v>108.3</v>
      </c>
      <c r="N51" s="54"/>
      <c r="O51" s="9"/>
    </row>
    <row r="52" spans="2:16" ht="35.25" x14ac:dyDescent="0.5">
      <c r="B52" s="7"/>
      <c r="C52" s="3"/>
      <c r="D52" s="85"/>
      <c r="E52" s="100"/>
      <c r="F52" s="96"/>
      <c r="G52" s="82"/>
      <c r="H52" s="81"/>
      <c r="I52" s="77"/>
      <c r="J52" s="83"/>
      <c r="K52" s="92"/>
      <c r="L52" s="167" t="s">
        <v>28</v>
      </c>
      <c r="M52" s="168">
        <f>+M49+M50+M51</f>
        <v>678.9</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97" t="s">
        <v>78</v>
      </c>
      <c r="E54" s="197"/>
      <c r="F54" s="197"/>
      <c r="G54" s="197"/>
      <c r="H54" s="197"/>
      <c r="I54" s="197"/>
      <c r="J54" s="197"/>
      <c r="K54" s="197"/>
      <c r="L54" s="197"/>
      <c r="M54" s="126"/>
      <c r="N54" s="54"/>
      <c r="O54" s="9"/>
    </row>
    <row r="55" spans="2:16" ht="26.25" x14ac:dyDescent="0.4">
      <c r="B55" s="7"/>
      <c r="C55" s="3"/>
      <c r="D55" s="197"/>
      <c r="E55" s="197"/>
      <c r="F55" s="197"/>
      <c r="G55" s="197"/>
      <c r="H55" s="197"/>
      <c r="I55" s="197"/>
      <c r="J55" s="197"/>
      <c r="K55" s="197"/>
      <c r="L55" s="197"/>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91"/>
      <c r="H57" s="191"/>
      <c r="I57" s="191"/>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84" t="s">
        <v>52</v>
      </c>
      <c r="E63" s="184"/>
      <c r="F63" s="184"/>
      <c r="G63" s="184"/>
      <c r="H63" s="184"/>
      <c r="I63" s="184"/>
      <c r="J63" s="184"/>
      <c r="K63" s="184"/>
      <c r="L63" s="184"/>
      <c r="M63" s="87"/>
      <c r="N63" s="91"/>
      <c r="O63" s="9"/>
    </row>
    <row r="64" spans="2:16" ht="15" customHeight="1" x14ac:dyDescent="0.2">
      <c r="B64" s="7"/>
      <c r="C64" s="3"/>
      <c r="D64" s="184"/>
      <c r="E64" s="184"/>
      <c r="F64" s="184"/>
      <c r="G64" s="184"/>
      <c r="H64" s="184"/>
      <c r="I64" s="184"/>
      <c r="J64" s="184"/>
      <c r="K64" s="184"/>
      <c r="L64" s="184"/>
      <c r="M64" s="88"/>
      <c r="N64" s="54"/>
      <c r="O64" s="9"/>
    </row>
    <row r="65" spans="1:15" ht="20.100000000000001" customHeight="1" x14ac:dyDescent="0.2">
      <c r="B65" s="7"/>
      <c r="C65" s="3"/>
      <c r="D65" s="184"/>
      <c r="E65" s="184"/>
      <c r="F65" s="184"/>
      <c r="G65" s="184"/>
      <c r="H65" s="184"/>
      <c r="I65" s="184"/>
      <c r="J65" s="184"/>
      <c r="K65" s="184"/>
      <c r="L65" s="184"/>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40:K40"/>
    <mergeCell ref="F48:K48"/>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18/12/2019</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678.9</v>
      </c>
      <c r="K8" s="64" t="str">
        <f>Facture!$L$24</f>
        <v>Responsable: Mr.MOHAMED ELLOUZE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2017-06-13T09:47:22Z</cp:lastPrinted>
  <dcterms:created xsi:type="dcterms:W3CDTF">1995-05-29T15:50:39Z</dcterms:created>
  <dcterms:modified xsi:type="dcterms:W3CDTF">2019-12-18T14:14:48Z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678.9</vt:r8>
  </property>
</Properties>
</file>