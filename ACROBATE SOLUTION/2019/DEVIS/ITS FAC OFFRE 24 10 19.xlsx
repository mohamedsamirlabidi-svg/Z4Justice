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9" i="3" l="1"/>
  <c r="M31" i="3" l="1"/>
  <c r="M35" i="3"/>
  <c r="M34" i="3"/>
  <c r="M28" i="3"/>
  <c r="M29" i="3"/>
  <c r="M36" i="3"/>
  <c r="M38" i="3"/>
  <c r="M39" i="3"/>
  <c r="M41" i="3"/>
  <c r="M42" i="3"/>
  <c r="M43" i="3"/>
  <c r="M44" i="3" l="1"/>
  <c r="M45" i="3"/>
  <c r="M46" i="3"/>
  <c r="M47" i="3"/>
  <c r="M48"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<sst xmlns="http://schemas.openxmlformats.org/spreadsheetml/2006/main" count="83" uniqueCount="73">
  <si>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</si>
  <si>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</si>
  <si>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</si>
  <si>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</si>
  <si>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</si>
  <si>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</si>
  <si>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</si>
  <si>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</si>
  <si>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</si>
  <si>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</si>
  <si>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</si>
  <si>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</si>
  <si>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</si>
  <si>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</si>
  <si>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</si>
  <si>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</si>
  <si>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</si>
  <si>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</si>
  <si>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</si>
  <si>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</si>
  <si>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</si>
  <si>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</si>
  <si>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</si>
  <si>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</si>
  <si>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</si>
  <si>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</si>
  <si>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</si>
  <si>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</si>
  <si>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</si>
  <si>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</si>
  <si>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</si>
  <si>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</si>
  <si>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</si>
  <si>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</si>
  <si>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</si>
  <si>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</si>
  <si>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</si>
  <si>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</si>
  <si>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</si>
  <si>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</si>
  <si>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</si>
  <si>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</si>
  <si>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</si>
  <si>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</si>
  <si>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</si>
  <si>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</si>
  <si>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</si>
  <si>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</si>
  <si>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</si>
  <si>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</si>
  <si>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</si>
  <si>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</si>
  <si>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</si>
  <si>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</si>
  <si>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</si>
  <si>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</si>
  <si>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</si>
  <si>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</si>
  <si>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</si>
  <si>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</si>
  <si>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</si>
  <si>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</si>
  <si>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</si>
  <si>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</si>
  <si>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</si>
  <si>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</si>
  <si>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HARNAIS COLDEN TOP</t>
  </si>
  <si>
    <t>POULIE</t>
  </si>
  <si>
    <t xml:space="preserve">LONGE DOUBLE ELASTIQUE </t>
  </si>
  <si>
    <t>MF:987850V/A/M/000</t>
  </si>
  <si>
    <t xml:space="preserve">ITS COM </t>
  </si>
  <si>
    <t>Date : 24/10/2019</t>
  </si>
  <si>
    <t>OFFRE DE PRIX  201909877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</si>
</sst>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28" sqref="M28: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70</v>
      </c>
      <c r="F22" s="176"/>
      <c r="G22" s="176"/>
      <c r="H22" s="176"/>
      <c r="I22" s="176"/>
      <c r="J22" s="176"/>
      <c r="K22" s="96"/>
      <c r="L22" s="174" t="s">
        <v>71</v>
      </c>
      <c r="M22" s="174"/>
      <c r="N22" s="52"/>
      <c r="O22" s="9"/>
    </row>
    <row r="23" spans="2:15" ht="33.75" x14ac:dyDescent="0.5">
      <c r="B23" s="7"/>
      <c r="C23" s="3"/>
      <c r="D23" s="95" t="s">
        <v>54</v>
      </c>
      <c r="E23" s="164"/>
      <c r="F23" s="164"/>
      <c r="G23" s="164"/>
      <c r="H23" s="164"/>
      <c r="I23" s="164"/>
      <c r="J23" s="164"/>
      <c r="K23" s="164"/>
      <c r="L23" s="97" t="s">
        <v>65</v>
      </c>
      <c r="M23" s="97"/>
      <c r="N23" s="53"/>
      <c r="O23" s="9"/>
    </row>
    <row r="24" spans="2:15" ht="33.75" x14ac:dyDescent="0.5">
      <c r="B24" s="7"/>
      <c r="C24" s="3"/>
      <c r="D24" s="95" t="s">
        <v>55</v>
      </c>
      <c r="E24" s="109"/>
      <c r="F24" s="98" t="s">
        <v>8</v>
      </c>
      <c r="G24" s="165"/>
      <c r="H24" s="165"/>
      <c r="I24" s="99" t="s">
        <v>9</v>
      </c>
      <c r="J24" s="100" t="s">
        <v>59</v>
      </c>
      <c r="K24" s="96"/>
      <c r="L24" s="175"/>
      <c r="M24" s="175"/>
      <c r="N24" s="3"/>
      <c r="O24" s="9"/>
    </row>
    <row r="25" spans="2:15" ht="33.75" x14ac:dyDescent="0.5">
      <c r="B25" s="7"/>
      <c r="C25" s="3"/>
      <c r="D25" s="95" t="s">
        <v>56</v>
      </c>
      <c r="E25" s="177"/>
      <c r="F25" s="177"/>
      <c r="G25" s="177"/>
      <c r="H25" s="177"/>
      <c r="I25" s="177"/>
      <c r="J25" s="177"/>
      <c r="K25" s="96"/>
      <c r="L25" s="175" t="s">
        <v>69</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v>92111</v>
      </c>
      <c r="E28" s="145">
        <v>4</v>
      </c>
      <c r="F28" s="114" t="s">
        <v>66</v>
      </c>
      <c r="G28" s="135"/>
      <c r="H28" s="135"/>
      <c r="I28" s="137"/>
      <c r="J28" s="137"/>
      <c r="K28" s="138"/>
      <c r="L28" s="104">
        <v>520</v>
      </c>
      <c r="M28" s="110">
        <f t="shared" ref="M28:M31" si="0">IF(E28&lt;&gt;"",E28*L28,"")</f>
        <v>2080</v>
      </c>
      <c r="N28" s="87"/>
      <c r="O28" s="9"/>
    </row>
    <row r="29" spans="2:15" ht="30" x14ac:dyDescent="0.4">
      <c r="B29" s="7"/>
      <c r="C29" s="3"/>
      <c r="D29" s="143"/>
      <c r="E29" s="145"/>
      <c r="F29" s="154"/>
      <c r="G29" s="135"/>
      <c r="H29" s="154"/>
      <c r="I29" s="137"/>
      <c r="J29" s="137"/>
      <c r="K29" s="138"/>
      <c r="L29" s="104"/>
      <c r="M29" s="110" t="str">
        <f t="shared" si="0"/>
        <v/>
      </c>
      <c r="N29" s="87"/>
      <c r="O29" s="9"/>
    </row>
    <row r="30" spans="2:15" ht="30" x14ac:dyDescent="0.4">
      <c r="B30" s="7"/>
      <c r="C30" s="3"/>
      <c r="D30" s="143"/>
      <c r="E30" s="145"/>
      <c r="F30" s="154"/>
      <c r="G30" s="154"/>
      <c r="H30" s="154"/>
      <c r="I30" s="137"/>
      <c r="J30" s="137"/>
      <c r="K30" s="138"/>
      <c r="L30" s="104"/>
      <c r="M30" s="110"/>
      <c r="N30" s="87"/>
      <c r="O30" s="9"/>
    </row>
    <row r="31" spans="2:15" ht="30" x14ac:dyDescent="0.4">
      <c r="B31" s="7"/>
      <c r="C31" s="3"/>
      <c r="D31" s="143">
        <v>7030201</v>
      </c>
      <c r="E31" s="145">
        <v>4</v>
      </c>
      <c r="F31" s="151" t="s">
        <v>68</v>
      </c>
      <c r="G31" s="135"/>
      <c r="H31" s="135"/>
      <c r="I31" s="137"/>
      <c r="J31" s="137"/>
      <c r="K31" s="138"/>
      <c r="L31" s="104">
        <v>192</v>
      </c>
      <c r="M31" s="110">
        <f t="shared" si="0"/>
        <v>768</v>
      </c>
      <c r="N31" s="87"/>
      <c r="O31" s="9"/>
    </row>
    <row r="32" spans="2:15" ht="30" x14ac:dyDescent="0.4">
      <c r="B32" s="7"/>
      <c r="C32" s="3"/>
      <c r="D32" s="143"/>
      <c r="E32" s="145"/>
      <c r="F32" s="151"/>
      <c r="G32" s="135"/>
      <c r="H32" s="135"/>
      <c r="I32" s="137"/>
      <c r="J32" s="137"/>
      <c r="K32" s="138"/>
      <c r="L32" s="104"/>
      <c r="M32" s="110"/>
      <c r="N32" s="87"/>
      <c r="O32" s="9"/>
    </row>
    <row r="33" spans="2:15" ht="30" x14ac:dyDescent="0.4">
      <c r="B33" s="7"/>
      <c r="C33" s="3"/>
      <c r="D33" s="143"/>
      <c r="E33" s="145"/>
      <c r="F33" s="151"/>
      <c r="G33" s="135"/>
      <c r="H33" s="137"/>
      <c r="I33" s="137"/>
      <c r="J33" s="137"/>
      <c r="K33" s="138"/>
      <c r="L33" s="104"/>
      <c r="M33" s="110"/>
      <c r="N33" s="87"/>
      <c r="O33" s="9"/>
    </row>
    <row r="34" spans="2:15" ht="30" x14ac:dyDescent="0.4">
      <c r="B34" s="7"/>
      <c r="C34" s="3"/>
      <c r="D34" s="143">
        <v>2152</v>
      </c>
      <c r="E34" s="145">
        <v>4</v>
      </c>
      <c r="F34" s="114" t="s">
        <v>67</v>
      </c>
      <c r="G34" s="135"/>
      <c r="H34" s="137"/>
      <c r="I34" s="137"/>
      <c r="J34" s="137"/>
      <c r="K34" s="138"/>
      <c r="L34" s="104">
        <v>99</v>
      </c>
      <c r="M34" s="110">
        <f>IF(E34&lt;&gt;"",E34*L34,"")</f>
        <v>396</v>
      </c>
      <c r="N34" s="87"/>
      <c r="O34" s="9"/>
    </row>
    <row r="35" spans="2:15" ht="30" x14ac:dyDescent="0.4">
      <c r="B35" s="7"/>
      <c r="C35" s="3"/>
      <c r="D35" s="143"/>
      <c r="E35" s="103"/>
      <c r="F35" s="137"/>
      <c r="G35" s="135"/>
      <c r="H35" s="137"/>
      <c r="I35" s="137"/>
      <c r="J35" s="137"/>
      <c r="K35" s="138"/>
      <c r="L35" s="104"/>
      <c r="M35" s="110" t="str">
        <f>IF(E35&lt;&gt;"",E35*L35,"")</f>
        <v/>
      </c>
      <c r="N35" s="87"/>
      <c r="O35" s="9"/>
    </row>
    <row r="36" spans="2:15" ht="30" x14ac:dyDescent="0.4">
      <c r="B36" s="7"/>
      <c r="C36" s="3"/>
      <c r="D36" s="144"/>
      <c r="E36" s="102"/>
      <c r="F36" s="142"/>
      <c r="G36" s="135"/>
      <c r="H36" s="135"/>
      <c r="I36" s="135"/>
      <c r="J36" s="135"/>
      <c r="K36" s="136"/>
      <c r="L36" s="104"/>
      <c r="M36" s="110" t="str">
        <f t="shared" ref="M36:M43" si="1">IF(E36&lt;&gt;"",E36*L36,"")</f>
        <v/>
      </c>
      <c r="N36" s="54"/>
      <c r="O36" s="9"/>
    </row>
    <row r="37" spans="2:15" ht="30" x14ac:dyDescent="0.4">
      <c r="B37" s="7"/>
      <c r="C37" s="3"/>
      <c r="D37" s="144"/>
      <c r="E37" s="102"/>
      <c r="F37" s="137"/>
      <c r="G37" s="137"/>
      <c r="H37" s="137"/>
      <c r="I37" s="137"/>
      <c r="J37" s="137"/>
      <c r="K37" s="136"/>
      <c r="L37" s="104"/>
      <c r="M37" s="110"/>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37"/>
      <c r="G39" s="137"/>
      <c r="H39" s="137"/>
      <c r="I39" s="135"/>
      <c r="J39" s="135"/>
      <c r="K39" s="136"/>
      <c r="L39" s="105"/>
      <c r="M39" s="110" t="str">
        <f t="shared" si="1"/>
        <v/>
      </c>
      <c r="N39" s="54"/>
      <c r="O39" s="9"/>
    </row>
    <row r="40" spans="2:15" ht="30" x14ac:dyDescent="0.4">
      <c r="B40" s="7"/>
      <c r="C40" s="3"/>
      <c r="D40" s="139"/>
      <c r="E40" s="102"/>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t="s">
        <v>64</v>
      </c>
      <c r="G48" s="141"/>
      <c r="H48" s="141"/>
      <c r="I48" s="132"/>
      <c r="J48" s="132"/>
      <c r="K48" s="133"/>
      <c r="L48" s="146"/>
      <c r="M48" s="110" t="str">
        <f t="shared" si="2"/>
        <v/>
      </c>
      <c r="N48" s="54"/>
      <c r="O48" s="9"/>
    </row>
    <row r="49" spans="1:16" ht="35.25" x14ac:dyDescent="0.5">
      <c r="B49" s="7"/>
      <c r="C49" s="3"/>
      <c r="D49" s="81"/>
      <c r="E49" s="90"/>
      <c r="F49" s="120"/>
      <c r="G49" s="117"/>
      <c r="H49" s="117"/>
      <c r="I49" s="117"/>
      <c r="J49" s="118"/>
      <c r="K49" s="119"/>
      <c r="L49" s="147" t="s">
        <v>26</v>
      </c>
      <c r="M49" s="101">
        <f>SUM(M28:M48)</f>
        <v>3244</v>
      </c>
      <c r="N49" s="54"/>
      <c r="O49" s="9"/>
    </row>
    <row r="50" spans="1:16" ht="35.25" x14ac:dyDescent="0.5">
      <c r="B50" s="7"/>
      <c r="C50" s="3"/>
      <c r="D50" s="94"/>
      <c r="E50" s="91" t="s">
        <v>57</v>
      </c>
      <c r="F50" s="77"/>
      <c r="G50" s="77"/>
      <c r="H50" s="77"/>
      <c r="I50" s="77"/>
      <c r="J50" s="78"/>
      <c r="K50" s="88"/>
      <c r="L50" s="148" t="s">
        <v>47</v>
      </c>
      <c r="M50" s="101">
        <v>0.6</v>
      </c>
      <c r="N50" s="54"/>
      <c r="O50" s="9"/>
    </row>
    <row r="51" spans="1:16" ht="35.25" x14ac:dyDescent="0.5">
      <c r="B51" s="7"/>
      <c r="C51" s="3"/>
      <c r="D51" s="92"/>
      <c r="E51" s="91" t="s">
        <v>58</v>
      </c>
      <c r="F51" s="77"/>
      <c r="G51" s="77"/>
      <c r="H51" s="77"/>
      <c r="I51" s="77"/>
      <c r="J51" s="79"/>
      <c r="K51" s="89"/>
      <c r="L51" s="149">
        <v>0.19</v>
      </c>
      <c r="M51" s="101">
        <f>+M49*19%</f>
        <v>616.36</v>
      </c>
      <c r="N51" s="54"/>
      <c r="O51" s="9"/>
    </row>
    <row r="52" spans="1:16" ht="35.25" x14ac:dyDescent="0.5">
      <c r="B52" s="7"/>
      <c r="C52" s="3"/>
      <c r="D52" s="76"/>
      <c r="E52" s="82"/>
      <c r="F52" s="93"/>
      <c r="G52" s="77"/>
      <c r="H52" s="64"/>
      <c r="I52" s="77"/>
      <c r="J52" s="80" t="s">
        <v>27</v>
      </c>
      <c r="K52" s="78"/>
      <c r="L52" s="150" t="s">
        <v>28</v>
      </c>
      <c r="M52" s="101">
        <f>+M49+M50+M51</f>
        <v>3860.96</v>
      </c>
      <c r="N52" s="54"/>
      <c r="O52" s="9"/>
    </row>
    <row r="53" spans="1:16" ht="15.75" x14ac:dyDescent="0.25">
      <c r="B53" s="7"/>
      <c r="C53" s="3"/>
      <c r="D53" s="169"/>
      <c r="E53" s="169"/>
      <c r="F53" s="169"/>
      <c r="G53" s="169"/>
      <c r="H53" s="169"/>
      <c r="I53" s="169"/>
      <c r="J53" s="169"/>
      <c r="K53" s="169"/>
      <c r="L53" s="169"/>
      <c r="M53" s="115"/>
      <c r="N53" s="54"/>
      <c r="O53" s="9"/>
    </row>
    <row r="54" spans="1:16" ht="26.25" x14ac:dyDescent="0.4">
      <c r="B54" s="7"/>
      <c r="C54" s="3"/>
      <c r="D54" s="170"/>
      <c r="E54" s="170"/>
      <c r="F54" s="170"/>
      <c r="G54" s="170"/>
      <c r="H54" s="170"/>
      <c r="I54" s="170"/>
      <c r="J54" s="170"/>
      <c r="K54" s="170"/>
      <c r="L54" s="170"/>
      <c r="M54" s="123"/>
      <c r="N54" s="54"/>
      <c r="O54" s="9"/>
    </row>
    <row r="55" spans="1:16" ht="26.25" x14ac:dyDescent="0.4">
      <c r="B55" s="7"/>
      <c r="C55" s="3"/>
      <c r="D55" s="115"/>
      <c r="E55" s="115"/>
      <c r="F55" s="123"/>
      <c r="G55" s="129"/>
      <c r="H55" s="129"/>
      <c r="I55" s="129"/>
      <c r="J55" s="78"/>
      <c r="K55" s="113"/>
      <c r="L55" s="153" t="s">
        <v>63</v>
      </c>
      <c r="M55" s="153"/>
      <c r="N55" s="107"/>
      <c r="O55" s="9"/>
    </row>
    <row r="56" spans="1:16" ht="23.25" x14ac:dyDescent="0.25">
      <c r="B56" s="7"/>
      <c r="C56" s="3"/>
      <c r="D56" s="115"/>
      <c r="E56" s="115"/>
      <c r="F56" s="130"/>
      <c r="G56" s="163"/>
      <c r="H56" s="163"/>
      <c r="I56" s="163"/>
      <c r="J56" s="78"/>
      <c r="K56" s="113"/>
      <c r="L56" s="107"/>
      <c r="M56" s="107"/>
      <c r="N56" s="107"/>
      <c r="O56" s="9"/>
    </row>
    <row r="57" spans="1:16" ht="20.25" x14ac:dyDescent="0.3">
      <c r="B57" s="7"/>
      <c r="C57" s="3"/>
      <c r="D57" s="111" t="s">
        <v>60</v>
      </c>
      <c r="E57" s="152"/>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2" t="s">
        <v>52</v>
      </c>
      <c r="E59" s="162"/>
      <c r="F59" s="162"/>
      <c r="G59" s="162"/>
      <c r="H59" s="162"/>
      <c r="I59" s="162"/>
      <c r="J59" s="162"/>
      <c r="K59" s="162"/>
      <c r="L59" s="162"/>
      <c r="M59" s="83"/>
      <c r="N59" s="87"/>
      <c r="O59" s="9"/>
    </row>
    <row r="60" spans="1:16" ht="20.100000000000001" customHeight="1" x14ac:dyDescent="0.2">
      <c r="B60" s="7"/>
      <c r="C60" s="3"/>
      <c r="D60" s="162"/>
      <c r="E60" s="162"/>
      <c r="F60" s="162"/>
      <c r="G60" s="162"/>
      <c r="H60" s="162"/>
      <c r="I60" s="162"/>
      <c r="J60" s="162"/>
      <c r="K60" s="162"/>
      <c r="L60" s="162"/>
      <c r="M60" s="84"/>
      <c r="N60" s="54"/>
      <c r="O60" s="9"/>
    </row>
    <row r="61" spans="1:16" ht="18" customHeight="1" x14ac:dyDescent="0.2">
      <c r="B61" s="7"/>
      <c r="C61" s="3"/>
      <c r="D61" s="162"/>
      <c r="E61" s="162"/>
      <c r="F61" s="162"/>
      <c r="G61" s="162"/>
      <c r="H61" s="162"/>
      <c r="I61" s="162"/>
      <c r="J61" s="162"/>
      <c r="K61" s="162"/>
      <c r="L61" s="162"/>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24/10/2019</v>
      </c>
      <c r="D8" s="67" t="str">
        <f>Facture!$E$22</f>
        <v xml:space="preserve">ITS COM </v>
      </c>
      <c r="E8" s="64">
        <f>Facture!$E$23</f>
        <v>0</v>
      </c>
      <c r="F8" s="64">
        <f>Facture!$E$24</f>
        <v>0</v>
      </c>
      <c r="G8" s="67">
        <f>Facture!$G$24</f>
        <v>0</v>
      </c>
      <c r="H8" s="67" t="str">
        <f>Facture!$J$24</f>
        <v>TN</v>
      </c>
      <c r="I8" s="64">
        <f>Facture!$E$25</f>
        <v>0</v>
      </c>
      <c r="J8" s="68">
        <f>Facture!$M$52</f>
        <v>3860.96</v>
      </c>
      <c r="K8" s="64">
        <f>Facture!$L$24</f>
        <v>0</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2019-10-08T08:43:25Z</cp:lastPrinted>
  <dcterms:created xsi:type="dcterms:W3CDTF">1995-05-29T15:50:39Z</dcterms:created>
  <dcterms:modified xsi:type="dcterms:W3CDTF">2019-10-24T14:42:09Z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 </vt:lpwstr>
  </property>
  <property fmtid="{D5CDD505-2E9C-101B-9397-08002B2CF9AE}" pid="11" name="Montant de la facture" linkTarget="TOT">
    <vt:r8>3860.96</vt:r8>
  </property>
</Properties>
</file>