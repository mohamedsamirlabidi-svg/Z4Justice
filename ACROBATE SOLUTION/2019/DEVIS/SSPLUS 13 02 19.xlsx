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28" i="3"/>
  <c r="M29" i="3"/>
  <c r="M39" i="3"/>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<sst xmlns="http://schemas.openxmlformats.org/spreadsheetml/2006/main" count="87" uniqueCount="77">
  <si>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</si>
  <si>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</si>
  <si>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</si>
  <si>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</si>
  <si>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</si>
  <si>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</si>
  <si>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</si>
  <si>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</si>
  <si>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</si>
  <si>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</si>
  <si>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</si>
  <si>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</si>
  <si>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</si>
  <si>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</si>
  <si>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</si>
  <si>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</si>
  <si>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</si>
  <si>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</si>
  <si>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</si>
  <si>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</si>
  <si>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</si>
  <si>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</si>
  <si>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</si>
  <si>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</si>
  <si>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</si>
  <si>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</si>
  <si>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</si>
  <si>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</si>
  <si>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</si>
  <si>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</si>
  <si>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</si>
  <si>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</si>
  <si>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</si>
  <si>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</si>
  <si>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</si>
  <si>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</si>
  <si>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</si>
  <si>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</si>
  <si>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</si>
  <si>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</si>
  <si>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</si>
  <si>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</si>
  <si>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</si>
  <si>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</si>
  <si>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</si>
  <si>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</si>
  <si>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</si>
  <si>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</si>
  <si>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</si>
  <si>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</si>
  <si>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</si>
  <si>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</si>
  <si>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</si>
  <si>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</si>
  <si>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</si>
  <si>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</si>
  <si>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</si>
  <si>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</si>
  <si>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</si>
  <si>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</si>
  <si>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</si>
  <si>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</si>
  <si>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</si>
  <si>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</si>
  <si>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</si>
  <si>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13 RUE DE GRECE TUNIS 1000</t>
  </si>
  <si>
    <t>71 240 666  Fax : 71 340 085</t>
  </si>
  <si>
    <t>ARRETE LA PRESENTE DEVIS  A LA SOMME DE : CINQ CENT QUARANTE HUIT DINARS  .</t>
  </si>
  <si>
    <t xml:space="preserve">HARNAIS DE SECURITE </t>
  </si>
  <si>
    <t>DEVIS 2019052</t>
  </si>
  <si>
    <t>Date : 13/02/2018</t>
  </si>
  <si>
    <t>MF:1328432V/B/M/000</t>
  </si>
  <si>
    <t>Orbital EN 358-361</t>
  </si>
  <si>
    <t xml:space="preserve">LDV </t>
  </si>
  <si>
    <t>LIGNE DE VIE FALLPROTEC</t>
  </si>
  <si>
    <t xml:space="preserve">SECURITE SERVICES + EQUIPEMENTS </t>
  </si>
  <si>
    <t>Responsable: MR KARIM BEN SALEM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</si>
</sst>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0" fontId="38" fillId="0" borderId="0" xfId="0" applyFont="1" applyFill="1" applyBorder="1" applyAlignment="1">
      <alignment horizontal="left"/>
    </xf>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14" fontId="33" fillId="3" borderId="33" xfId="0" applyNumberFormat="1" applyFont="1" applyFill="1" applyBorder="1" applyAlignment="1">
      <alignment horizontal="left"/>
    </xf>
    <xf numFmtId="49" fontId="33" fillId="3" borderId="33" xfId="0" applyNumberFormat="1" applyFont="1" applyFill="1" applyBorder="1" applyAlignment="1">
      <alignment horizontal="left"/>
    </xf>
    <xf numFmtId="0" fontId="33"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31"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56" t="s">
        <v>69</v>
      </c>
      <c r="M18" s="3"/>
      <c r="N18" s="3"/>
      <c r="O18" s="9"/>
    </row>
    <row r="19" spans="2:15" ht="21.95" customHeight="1" thickTop="1" x14ac:dyDescent="0.3">
      <c r="B19" s="7"/>
      <c r="C19" s="3"/>
      <c r="D19" s="55"/>
      <c r="E19" s="55"/>
      <c r="F19" s="55"/>
      <c r="G19" s="55"/>
      <c r="H19" s="55"/>
      <c r="I19" s="55"/>
      <c r="J19" s="56"/>
      <c r="K19" s="56"/>
      <c r="L19" s="157"/>
      <c r="M19" s="56"/>
      <c r="N19" s="20"/>
      <c r="O19" s="9"/>
    </row>
    <row r="20" spans="2:15" ht="21.95" customHeight="1" thickBot="1" x14ac:dyDescent="0.25">
      <c r="B20" s="7"/>
      <c r="C20" s="3"/>
      <c r="D20" s="3"/>
      <c r="E20" s="3"/>
      <c r="F20" s="3"/>
      <c r="G20" s="3"/>
      <c r="H20" s="3"/>
      <c r="I20" s="3"/>
      <c r="J20" s="3"/>
      <c r="K20" s="3"/>
      <c r="L20" s="15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59" t="s">
        <v>75</v>
      </c>
      <c r="F22" s="160"/>
      <c r="G22" s="160"/>
      <c r="H22" s="160"/>
      <c r="I22" s="160"/>
      <c r="J22" s="160"/>
      <c r="K22" s="101"/>
      <c r="L22" s="172" t="s">
        <v>70</v>
      </c>
      <c r="M22" s="172"/>
      <c r="N22" s="52"/>
      <c r="O22" s="9"/>
    </row>
    <row r="23" spans="2:15" ht="33.75" x14ac:dyDescent="0.5">
      <c r="B23" s="7"/>
      <c r="C23" s="3"/>
      <c r="D23" s="100" t="s">
        <v>54</v>
      </c>
      <c r="E23" s="159" t="s">
        <v>65</v>
      </c>
      <c r="F23" s="160"/>
      <c r="G23" s="160"/>
      <c r="H23" s="160"/>
      <c r="I23" s="160"/>
      <c r="J23" s="160"/>
      <c r="K23" s="148"/>
      <c r="L23" s="173" t="s">
        <v>64</v>
      </c>
      <c r="M23" s="173"/>
      <c r="N23" s="53"/>
      <c r="O23" s="9"/>
    </row>
    <row r="24" spans="2:15" ht="33.75" x14ac:dyDescent="0.5">
      <c r="B24" s="7"/>
      <c r="C24" s="3"/>
      <c r="D24" s="100" t="s">
        <v>55</v>
      </c>
      <c r="E24" s="140">
        <v>1000</v>
      </c>
      <c r="F24" s="171" t="s">
        <v>8</v>
      </c>
      <c r="G24" s="164"/>
      <c r="H24" s="164"/>
      <c r="I24" s="171" t="s">
        <v>9</v>
      </c>
      <c r="J24" s="138" t="s">
        <v>59</v>
      </c>
      <c r="K24" s="101"/>
      <c r="L24" s="174" t="s">
        <v>76</v>
      </c>
      <c r="M24" s="174"/>
      <c r="N24" s="3"/>
      <c r="O24" s="9"/>
    </row>
    <row r="25" spans="2:15" ht="33.75" x14ac:dyDescent="0.5">
      <c r="B25" s="7"/>
      <c r="C25" s="3"/>
      <c r="D25" s="100" t="s">
        <v>56</v>
      </c>
      <c r="E25" s="161" t="s">
        <v>66</v>
      </c>
      <c r="F25" s="161"/>
      <c r="G25" s="161"/>
      <c r="H25" s="161"/>
      <c r="I25" s="161"/>
      <c r="J25" s="161"/>
      <c r="K25" s="101"/>
      <c r="L25" s="174" t="s">
        <v>71</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5" t="s">
        <v>23</v>
      </c>
      <c r="G27" s="166"/>
      <c r="H27" s="166"/>
      <c r="I27" s="166"/>
      <c r="J27" s="166"/>
      <c r="K27" s="167"/>
      <c r="L27" s="89" t="s">
        <v>24</v>
      </c>
      <c r="M27" s="90" t="s">
        <v>25</v>
      </c>
      <c r="N27" s="91"/>
      <c r="O27" s="9"/>
    </row>
    <row r="28" spans="2:15" ht="30" x14ac:dyDescent="0.4">
      <c r="B28" s="7"/>
      <c r="C28" s="3"/>
      <c r="D28" s="139"/>
      <c r="E28" s="103"/>
      <c r="F28" s="145"/>
      <c r="G28" s="113"/>
      <c r="H28" s="113"/>
      <c r="I28" s="113"/>
      <c r="J28" s="113"/>
      <c r="K28" s="114"/>
      <c r="L28" s="104"/>
      <c r="M28" s="108" t="str">
        <f t="shared" ref="M28:M39" si="0">IF(E28&lt;&gt;"",E28*L28,"")</f>
        <v/>
      </c>
      <c r="N28" s="54"/>
      <c r="O28" s="9"/>
    </row>
    <row r="29" spans="2:15" ht="30" x14ac:dyDescent="0.4">
      <c r="B29" s="7"/>
      <c r="C29" s="3"/>
      <c r="D29" s="139">
        <v>2120</v>
      </c>
      <c r="E29" s="103">
        <v>12</v>
      </c>
      <c r="F29" s="117" t="s">
        <v>68</v>
      </c>
      <c r="G29" s="113"/>
      <c r="H29" s="113"/>
      <c r="I29" s="113"/>
      <c r="J29" s="113"/>
      <c r="K29" s="114"/>
      <c r="L29" s="104">
        <v>267.315</v>
      </c>
      <c r="M29" s="108">
        <f t="shared" si="0"/>
        <v>3207.7799999999997</v>
      </c>
      <c r="N29" s="54"/>
      <c r="O29" s="9"/>
    </row>
    <row r="30" spans="2:15" ht="30" x14ac:dyDescent="0.4">
      <c r="B30" s="7"/>
      <c r="C30" s="3"/>
      <c r="D30" s="139"/>
      <c r="E30" s="103"/>
      <c r="F30" s="117" t="s">
        <v>72</v>
      </c>
      <c r="G30" s="113"/>
      <c r="H30" s="113"/>
      <c r="I30" s="113"/>
      <c r="J30" s="113"/>
      <c r="K30" s="169"/>
      <c r="L30" s="104"/>
      <c r="M30" s="108"/>
      <c r="N30" s="54"/>
      <c r="O30" s="9"/>
    </row>
    <row r="31" spans="2:15" ht="30" x14ac:dyDescent="0.4">
      <c r="B31" s="7"/>
      <c r="C31" s="3"/>
      <c r="D31" s="139"/>
      <c r="E31" s="103"/>
      <c r="F31" s="117"/>
      <c r="G31" s="113"/>
      <c r="H31" s="113"/>
      <c r="I31" s="113"/>
      <c r="J31" s="113"/>
      <c r="K31" s="169"/>
      <c r="L31" s="104"/>
      <c r="M31" s="108"/>
      <c r="N31" s="54"/>
      <c r="O31" s="9"/>
    </row>
    <row r="32" spans="2:15" ht="30" x14ac:dyDescent="0.4">
      <c r="B32" s="7"/>
      <c r="C32" s="3"/>
      <c r="D32" s="139" t="s">
        <v>73</v>
      </c>
      <c r="E32" s="103">
        <v>12</v>
      </c>
      <c r="F32" s="117" t="s">
        <v>74</v>
      </c>
      <c r="G32" s="113"/>
      <c r="H32" s="113"/>
      <c r="I32" s="113"/>
      <c r="J32" s="113"/>
      <c r="K32" s="169"/>
      <c r="L32" s="104"/>
      <c r="M32" s="108"/>
      <c r="N32" s="54"/>
      <c r="O32" s="9"/>
    </row>
    <row r="33" spans="2:15" ht="30" x14ac:dyDescent="0.4">
      <c r="B33" s="7"/>
      <c r="C33" s="3"/>
      <c r="D33" s="139"/>
      <c r="E33" s="103"/>
      <c r="F33" s="117"/>
      <c r="G33" s="113"/>
      <c r="H33" s="113"/>
      <c r="I33" s="113"/>
      <c r="J33" s="113"/>
      <c r="K33" s="169"/>
      <c r="L33" s="104"/>
      <c r="M33" s="108"/>
      <c r="N33" s="54"/>
      <c r="O33" s="9"/>
    </row>
    <row r="34" spans="2:15" ht="30" x14ac:dyDescent="0.4">
      <c r="B34" s="7"/>
      <c r="C34" s="3"/>
      <c r="D34" s="139"/>
      <c r="E34" s="103"/>
      <c r="F34" s="117"/>
      <c r="G34" s="113"/>
      <c r="H34" s="113"/>
      <c r="I34" s="113"/>
      <c r="J34" s="113"/>
      <c r="K34" s="169"/>
      <c r="L34" s="104"/>
      <c r="M34" s="108"/>
      <c r="N34" s="54"/>
      <c r="O34" s="9"/>
    </row>
    <row r="35" spans="2:15" ht="30" x14ac:dyDescent="0.4">
      <c r="B35" s="7"/>
      <c r="C35" s="3"/>
      <c r="D35" s="139"/>
      <c r="E35" s="103"/>
      <c r="F35" s="117"/>
      <c r="G35" s="113"/>
      <c r="H35" s="113"/>
      <c r="I35" s="113"/>
      <c r="J35" s="113"/>
      <c r="K35" s="169"/>
      <c r="L35" s="104"/>
      <c r="M35" s="108"/>
      <c r="N35" s="54"/>
      <c r="O35" s="9"/>
    </row>
    <row r="36" spans="2:15" ht="30" x14ac:dyDescent="0.4">
      <c r="B36" s="7"/>
      <c r="C36" s="3"/>
      <c r="D36" s="139"/>
      <c r="E36" s="103"/>
      <c r="F36" s="117"/>
      <c r="G36" s="113"/>
      <c r="H36" s="113"/>
      <c r="I36" s="113"/>
      <c r="J36" s="113"/>
      <c r="K36" s="169"/>
      <c r="L36" s="104"/>
      <c r="M36" s="108"/>
      <c r="N36" s="54"/>
      <c r="O36" s="9"/>
    </row>
    <row r="37" spans="2:15" ht="30" x14ac:dyDescent="0.4">
      <c r="B37" s="7"/>
      <c r="C37" s="3"/>
      <c r="D37" s="139"/>
      <c r="E37" s="103"/>
      <c r="F37" s="117"/>
      <c r="G37" s="113"/>
      <c r="H37" s="113"/>
      <c r="I37" s="113"/>
      <c r="J37" s="113"/>
      <c r="K37" s="169"/>
      <c r="L37" s="104"/>
      <c r="M37" s="108"/>
      <c r="N37" s="54"/>
      <c r="O37" s="9"/>
    </row>
    <row r="38" spans="2:15" ht="30" x14ac:dyDescent="0.4">
      <c r="B38" s="7"/>
      <c r="C38" s="3"/>
      <c r="D38" s="139"/>
      <c r="E38" s="103"/>
      <c r="F38" s="117"/>
      <c r="G38" s="113"/>
      <c r="H38" s="113"/>
      <c r="I38" s="113"/>
      <c r="J38" s="113"/>
      <c r="K38" s="169"/>
      <c r="L38" s="104"/>
      <c r="M38" s="108"/>
      <c r="N38" s="54"/>
      <c r="O38" s="9"/>
    </row>
    <row r="39" spans="2:15" ht="30" x14ac:dyDescent="0.4">
      <c r="B39" s="7"/>
      <c r="C39" s="3"/>
      <c r="D39" s="139"/>
      <c r="E39" s="103"/>
      <c r="F39" s="145"/>
      <c r="G39" s="113"/>
      <c r="H39" s="137"/>
      <c r="I39" s="113"/>
      <c r="J39" s="113"/>
      <c r="K39" s="137"/>
      <c r="L39" s="104"/>
      <c r="M39" s="108" t="str">
        <f t="shared" si="0"/>
        <v/>
      </c>
      <c r="N39" s="54"/>
      <c r="O39" s="9"/>
    </row>
    <row r="40" spans="2:15" ht="30" x14ac:dyDescent="0.4">
      <c r="B40" s="7"/>
      <c r="C40" s="3"/>
      <c r="D40" s="139"/>
      <c r="E40" s="103"/>
      <c r="F40" s="144"/>
      <c r="G40" s="113"/>
      <c r="H40" s="137"/>
      <c r="I40" s="113"/>
      <c r="J40" s="113"/>
      <c r="K40" s="114"/>
      <c r="L40" s="104"/>
      <c r="M40" s="108"/>
      <c r="N40" s="54"/>
      <c r="O40" s="9"/>
    </row>
    <row r="41" spans="2:15" ht="30" x14ac:dyDescent="0.4">
      <c r="B41" s="7"/>
      <c r="C41" s="3"/>
      <c r="D41" s="139"/>
      <c r="E41" s="103"/>
      <c r="F41" s="145"/>
      <c r="G41" s="169"/>
      <c r="H41" s="169"/>
      <c r="I41" s="169"/>
      <c r="J41" s="169"/>
      <c r="K41" s="114"/>
      <c r="L41" s="104"/>
      <c r="M41" s="108"/>
      <c r="N41" s="54"/>
      <c r="O41" s="9"/>
    </row>
    <row r="42" spans="2:15" ht="30" x14ac:dyDescent="0.4">
      <c r="B42" s="7"/>
      <c r="C42" s="3"/>
      <c r="D42" s="139"/>
      <c r="E42" s="103"/>
      <c r="F42" s="117"/>
      <c r="G42" s="170"/>
      <c r="H42" s="170"/>
      <c r="I42" s="170"/>
      <c r="J42" s="170"/>
      <c r="K42" s="170"/>
      <c r="L42" s="104"/>
      <c r="M42" s="108"/>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+M29</f>
        <v>3207.7799999999997</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609.47820000000002</v>
      </c>
      <c r="N46" s="54"/>
      <c r="O46" s="9"/>
    </row>
    <row r="47" spans="2:15" ht="35.25" x14ac:dyDescent="0.5">
      <c r="B47" s="7"/>
      <c r="C47" s="3"/>
      <c r="D47" s="146"/>
      <c r="E47" s="98"/>
      <c r="F47" s="94"/>
      <c r="G47" s="82"/>
      <c r="H47" s="81"/>
      <c r="I47" s="77"/>
      <c r="J47" s="83"/>
      <c r="K47" s="92"/>
      <c r="L47" s="131" t="s">
        <v>28</v>
      </c>
      <c r="M47" s="130">
        <f>+M44+M45+M46</f>
        <v>3817.8581999999997</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68" t="s">
        <v>67</v>
      </c>
      <c r="E50" s="168"/>
      <c r="F50" s="168"/>
      <c r="G50" s="168"/>
      <c r="H50" s="168"/>
      <c r="I50" s="168"/>
      <c r="J50" s="168"/>
      <c r="K50" s="168"/>
      <c r="L50" s="168"/>
      <c r="M50" s="116"/>
      <c r="N50" s="54"/>
      <c r="O50" s="9"/>
    </row>
    <row r="51" spans="1:16" ht="26.25" x14ac:dyDescent="0.4">
      <c r="B51" s="7"/>
      <c r="C51" s="3"/>
      <c r="D51" s="168"/>
      <c r="E51" s="168"/>
      <c r="F51" s="168"/>
      <c r="G51" s="168"/>
      <c r="H51" s="168"/>
      <c r="I51" s="168"/>
      <c r="J51" s="168"/>
      <c r="K51" s="168"/>
      <c r="L51" s="168"/>
      <c r="M51" s="120"/>
      <c r="N51" s="119"/>
      <c r="O51" s="3"/>
      <c r="P51" s="74"/>
    </row>
    <row r="52" spans="1:16" ht="26.25" x14ac:dyDescent="0.4">
      <c r="B52" s="7"/>
      <c r="C52" s="3"/>
      <c r="D52" s="116"/>
      <c r="E52" s="116"/>
      <c r="F52" s="120"/>
      <c r="G52" s="124"/>
      <c r="H52" s="124"/>
      <c r="I52" s="124"/>
      <c r="J52" s="78"/>
      <c r="K52" s="112"/>
      <c r="L52" s="147" t="s">
        <v>63</v>
      </c>
      <c r="M52" s="147"/>
      <c r="N52" s="106"/>
      <c r="O52" s="3"/>
      <c r="P52" s="74"/>
    </row>
    <row r="53" spans="1:16" ht="23.25" x14ac:dyDescent="0.25">
      <c r="B53" s="7"/>
      <c r="C53" s="3"/>
      <c r="D53" s="116"/>
      <c r="E53" s="116"/>
      <c r="F53" s="125"/>
      <c r="G53" s="163"/>
      <c r="H53" s="163"/>
      <c r="I53" s="163"/>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62" t="s">
        <v>52</v>
      </c>
      <c r="E59" s="162"/>
      <c r="F59" s="162"/>
      <c r="G59" s="162"/>
      <c r="H59" s="162"/>
      <c r="I59" s="162"/>
      <c r="J59" s="162"/>
      <c r="K59" s="162"/>
      <c r="L59" s="162"/>
      <c r="M59" s="87"/>
      <c r="N59" s="54"/>
      <c r="O59" s="9"/>
    </row>
    <row r="60" spans="1:16" ht="20.100000000000001" customHeight="1" x14ac:dyDescent="0.2">
      <c r="B60" s="7"/>
      <c r="C60" s="3"/>
      <c r="D60" s="162"/>
      <c r="E60" s="162"/>
      <c r="F60" s="162"/>
      <c r="G60" s="162"/>
      <c r="H60" s="162"/>
      <c r="I60" s="162"/>
      <c r="J60" s="162"/>
      <c r="K60" s="162"/>
      <c r="L60" s="162"/>
      <c r="M60" s="88"/>
      <c r="N60" s="54"/>
      <c r="O60" s="9"/>
    </row>
    <row r="61" spans="1:16" ht="15" x14ac:dyDescent="0.2">
      <c r="B61" s="7"/>
      <c r="C61" s="3"/>
      <c r="D61" s="162"/>
      <c r="E61" s="162"/>
      <c r="F61" s="162"/>
      <c r="G61" s="162"/>
      <c r="H61" s="162"/>
      <c r="I61" s="162"/>
      <c r="J61" s="162"/>
      <c r="K61" s="162"/>
      <c r="L61" s="162"/>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G24:H24"/>
    <mergeCell ref="F27:K27"/>
    <mergeCell ref="D50:L50"/>
    <mergeCell ref="D51:L51"/>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13/02/2018</v>
      </c>
      <c r="D8" s="67" t="str">
        <f>Facture!$E$22</f>
        <v xml:space="preserve">SECURITE SERVICES + EQUIPEMENTS </v>
      </c>
      <c r="E8" s="64" t="str">
        <f>Facture!$E$23</f>
        <v>13 RUE DE GRECE TUNIS 1000</v>
      </c>
      <c r="F8" s="64">
        <f>Facture!$E$24</f>
        <v>1000</v>
      </c>
      <c r="G8" s="67">
        <f>Facture!$G$24</f>
        <v>0</v>
      </c>
      <c r="H8" s="67" t="str">
        <f>Facture!$J$24</f>
        <v>TN</v>
      </c>
      <c r="I8" s="64" t="str">
        <f>Facture!$E$25</f>
        <v>71 240 666  Fax : 71 340 085</v>
      </c>
      <c r="J8" s="68">
        <f>Facture!$M$47</f>
        <v>3817.8581999999997</v>
      </c>
      <c r="K8" s="64" t="str">
        <f>Facture!$L$24</f>
        <v>Responsable: MR KARIM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2019-02-13T07:56:22Z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 EQUIPEMENTS </vt:lpwstr>
  </property>
  <property fmtid="{D5CDD505-2E9C-101B-9397-08002B2CF9AE}" pid="11" name="Montant de la facture" linkTarget="TOT">
    <vt:r8>3817.8582</vt:r8>
  </property>
</Properties>
</file>