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3" i="3" l="1"/>
  <c r="M41" i="3"/>
  <c r="M28" i="3" l="1"/>
  <c r="M34" i="3" l="1"/>
  <c r="M35" i="3"/>
  <c r="M36" i="3"/>
  <c r="M37" i="3"/>
  <c r="M38" i="3"/>
  <c r="M39" i="3"/>
  <c r="M40" i="3"/>
  <c r="M30" i="3"/>
  <c r="M31" i="3" l="1"/>
  <c r="M32" i="3"/>
  <c r="M33" i="3"/>
  <c r="F33" i="2" l="1"/>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<sst xmlns="http://schemas.openxmlformats.org/spreadsheetml/2006/main" count="88" uniqueCount="78">
  <si>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</si>
  <si>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</si>
  <si>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</si>
  <si>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</si>
  <si>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</si>
  <si>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</si>
  <si>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</si>
  <si>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</si>
  <si>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</si>
  <si>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</si>
  <si>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</si>
  <si>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</si>
  <si>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</si>
  <si>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</si>
  <si>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</si>
  <si>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</si>
  <si>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</si>
  <si>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</si>
  <si>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</si>
  <si>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</si>
  <si>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</si>
  <si>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</si>
  <si>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</si>
  <si>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</si>
  <si>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</si>
  <si>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</si>
  <si>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</si>
  <si>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</si>
  <si>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</si>
  <si>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</si>
  <si>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</si>
  <si>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</si>
  <si>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</si>
  <si>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</si>
  <si>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</si>
  <si>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</si>
  <si>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</si>
  <si>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</si>
  <si>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</si>
  <si>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</si>
  <si>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</si>
  <si>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</si>
  <si>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</si>
  <si>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</si>
  <si>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</si>
  <si>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</si>
  <si>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</si>
  <si>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</si>
  <si>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</si>
  <si>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</si>
  <si>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</si>
  <si>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</si>
  <si>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</si>
  <si>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</si>
  <si>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</si>
  <si>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</si>
  <si>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</si>
  <si>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</si>
  <si>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</si>
  <si>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</si>
  <si>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</si>
  <si>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</si>
  <si>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</si>
  <si>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</si>
  <si>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</si>
  <si>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</si>
  <si>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</si>
  <si>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</si>
  <si>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</si>
  <si>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</si>
  <si>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OFFRE DE PRIX   201909815</t>
  </si>
  <si>
    <t>Date : 15/11/2019</t>
  </si>
  <si>
    <t>DIVERS</t>
  </si>
  <si>
    <t>CHAUSSURES DE SECURITE BICAP S1P</t>
  </si>
  <si>
    <t>CB</t>
  </si>
  <si>
    <t>COMBINAISON BLEU MRINE</t>
  </si>
  <si>
    <t xml:space="preserve">Option serigraphie une seule couleur </t>
  </si>
  <si>
    <t>SC</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</si>
</sst>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70</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64</v>
      </c>
      <c r="F22" s="192"/>
      <c r="G22" s="192"/>
      <c r="H22" s="192"/>
      <c r="I22" s="192"/>
      <c r="J22" s="192"/>
      <c r="K22" s="104"/>
      <c r="L22" s="190" t="s">
        <v>71</v>
      </c>
      <c r="M22" s="190"/>
      <c r="N22" s="52"/>
      <c r="O22" s="9"/>
    </row>
    <row r="23" spans="2:15" ht="33.75" x14ac:dyDescent="0.5">
      <c r="B23" s="7"/>
      <c r="C23" s="3"/>
      <c r="D23" s="103" t="s">
        <v>52</v>
      </c>
      <c r="E23" s="196" t="s">
        <v>65</v>
      </c>
      <c r="F23" s="196"/>
      <c r="G23" s="196"/>
      <c r="H23" s="196"/>
      <c r="I23" s="196"/>
      <c r="J23" s="196"/>
      <c r="K23" s="196"/>
      <c r="L23" s="191" t="s">
        <v>69</v>
      </c>
      <c r="M23" s="191"/>
      <c r="N23" s="53"/>
      <c r="O23" s="9"/>
    </row>
    <row r="24" spans="2:15" ht="33.75" x14ac:dyDescent="0.5">
      <c r="B24" s="7"/>
      <c r="C24" s="3"/>
      <c r="D24" s="103" t="s">
        <v>53</v>
      </c>
      <c r="E24" s="115"/>
      <c r="F24" s="105" t="s">
        <v>8</v>
      </c>
      <c r="G24" s="197"/>
      <c r="H24" s="197"/>
      <c r="I24" s="106" t="s">
        <v>9</v>
      </c>
      <c r="J24" s="107" t="s">
        <v>57</v>
      </c>
      <c r="K24" s="104"/>
      <c r="L24" s="191" t="s">
        <v>67</v>
      </c>
      <c r="M24" s="191"/>
      <c r="N24" s="3"/>
      <c r="O24" s="9"/>
    </row>
    <row r="25" spans="2:15" ht="33.75" x14ac:dyDescent="0.5">
      <c r="B25" s="7"/>
      <c r="C25" s="3"/>
      <c r="D25" s="103" t="s">
        <v>54</v>
      </c>
      <c r="E25" s="193" t="s">
        <v>66</v>
      </c>
      <c r="F25" s="193"/>
      <c r="G25" s="193"/>
      <c r="H25" s="193"/>
      <c r="I25" s="193"/>
      <c r="J25" s="193"/>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8" t="s">
        <v>23</v>
      </c>
      <c r="G27" s="199"/>
      <c r="H27" s="199"/>
      <c r="I27" s="199"/>
      <c r="J27" s="199"/>
      <c r="K27" s="200"/>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c r="E31" s="152"/>
      <c r="F31" s="179"/>
      <c r="G31" s="144"/>
      <c r="H31" s="144"/>
      <c r="I31" s="144"/>
      <c r="J31" s="170"/>
      <c r="K31" s="173"/>
      <c r="L31" s="167"/>
      <c r="M31" s="168" t="str">
        <f t="shared" ref="M31:M40" si="0">IF(E31&lt;&gt;"",E31*L31,"")</f>
        <v/>
      </c>
      <c r="N31" s="54"/>
      <c r="O31" s="9"/>
    </row>
    <row r="32" spans="2:15" ht="30" x14ac:dyDescent="0.4">
      <c r="B32" s="7"/>
      <c r="C32" s="3"/>
      <c r="D32" s="161" t="s">
        <v>72</v>
      </c>
      <c r="E32" s="152">
        <v>52</v>
      </c>
      <c r="F32" s="179" t="s">
        <v>73</v>
      </c>
      <c r="G32" s="144"/>
      <c r="H32" s="144"/>
      <c r="I32" s="144"/>
      <c r="J32" s="170"/>
      <c r="K32" s="173"/>
      <c r="L32" s="174">
        <v>145</v>
      </c>
      <c r="M32" s="175">
        <f t="shared" si="0"/>
        <v>7540</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t="s">
        <v>74</v>
      </c>
      <c r="E34" s="152">
        <v>49</v>
      </c>
      <c r="F34" s="179" t="s">
        <v>75</v>
      </c>
      <c r="G34" s="144"/>
      <c r="H34" s="144"/>
      <c r="I34" s="144"/>
      <c r="J34" s="144"/>
      <c r="K34" s="145"/>
      <c r="L34" s="174">
        <v>95</v>
      </c>
      <c r="M34" s="175">
        <f t="shared" si="0"/>
        <v>4655</v>
      </c>
      <c r="N34" s="95"/>
      <c r="O34" s="9"/>
    </row>
    <row r="35" spans="2:15" ht="30" x14ac:dyDescent="0.4">
      <c r="B35" s="7"/>
      <c r="C35" s="3"/>
      <c r="D35" s="161"/>
      <c r="E35" s="160"/>
      <c r="F35" s="169"/>
      <c r="G35" s="144"/>
      <c r="H35" s="144"/>
      <c r="I35" s="144"/>
      <c r="J35" s="144"/>
      <c r="K35" s="145"/>
      <c r="L35" s="111"/>
      <c r="M35" s="116" t="str">
        <f t="shared" si="0"/>
        <v/>
      </c>
      <c r="N35" s="95"/>
      <c r="O35" s="9"/>
    </row>
    <row r="36" spans="2:15" ht="30" x14ac:dyDescent="0.4">
      <c r="B36" s="7"/>
      <c r="C36" s="3"/>
      <c r="D36" s="161" t="s">
        <v>77</v>
      </c>
      <c r="E36" s="160">
        <v>49</v>
      </c>
      <c r="F36" s="121" t="s">
        <v>76</v>
      </c>
      <c r="G36" s="144"/>
      <c r="H36" s="144"/>
      <c r="I36" s="144"/>
      <c r="J36" s="144"/>
      <c r="K36" s="145"/>
      <c r="L36" s="111">
        <v>6</v>
      </c>
      <c r="M36" s="116">
        <f t="shared" si="0"/>
        <v>294</v>
      </c>
      <c r="N36" s="95"/>
      <c r="O36" s="9"/>
    </row>
    <row r="37" spans="2:15" ht="30" x14ac:dyDescent="0.4">
      <c r="B37" s="7"/>
      <c r="C37" s="3"/>
      <c r="D37" s="161"/>
      <c r="E37" s="110"/>
      <c r="F37" s="121"/>
      <c r="G37" s="144"/>
      <c r="H37" s="144"/>
      <c r="I37" s="144"/>
      <c r="J37" s="144"/>
      <c r="K37" s="145"/>
      <c r="L37" s="111"/>
      <c r="M37" s="116" t="str">
        <f t="shared" si="0"/>
        <v/>
      </c>
      <c r="N37" s="54"/>
      <c r="O37" s="9"/>
    </row>
    <row r="38" spans="2:15" ht="30" x14ac:dyDescent="0.4">
      <c r="B38" s="7"/>
      <c r="C38" s="3"/>
      <c r="D38" s="161"/>
      <c r="E38" s="110"/>
      <c r="F38" s="121"/>
      <c r="G38" s="144"/>
      <c r="H38" s="144"/>
      <c r="I38" s="144"/>
      <c r="J38" s="144"/>
      <c r="K38" s="145"/>
      <c r="L38" s="111"/>
      <c r="M38" s="116" t="str">
        <f t="shared" si="0"/>
        <v/>
      </c>
      <c r="N38" s="54"/>
      <c r="O38" s="9"/>
    </row>
    <row r="39" spans="2:15" ht="30" x14ac:dyDescent="0.4">
      <c r="B39" s="7"/>
      <c r="C39" s="3"/>
      <c r="D39" s="159"/>
      <c r="E39" s="110"/>
      <c r="F39" s="121"/>
      <c r="G39" s="144"/>
      <c r="H39" s="178"/>
      <c r="I39" s="178"/>
      <c r="J39" s="144"/>
      <c r="K39" s="145"/>
      <c r="L39" s="111"/>
      <c r="M39" s="116" t="str">
        <f t="shared" si="0"/>
        <v/>
      </c>
      <c r="N39" s="54"/>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t="s">
        <v>25</v>
      </c>
      <c r="M41" s="134">
        <f>SUM(M28:M40)</f>
        <v>12489</v>
      </c>
      <c r="N41" s="54"/>
      <c r="O41" s="9"/>
    </row>
    <row r="42" spans="2:15" ht="35.25" x14ac:dyDescent="0.5">
      <c r="B42" s="7"/>
      <c r="C42" s="3"/>
      <c r="D42" s="102"/>
      <c r="E42" s="98" t="s">
        <v>55</v>
      </c>
      <c r="F42" s="77"/>
      <c r="G42" s="77"/>
      <c r="H42" s="77"/>
      <c r="I42" s="77"/>
      <c r="J42" s="78"/>
      <c r="K42" s="93"/>
      <c r="L42" s="128" t="s">
        <v>46</v>
      </c>
      <c r="M42" s="108">
        <v>0.6</v>
      </c>
      <c r="N42" s="54"/>
      <c r="O42" s="9"/>
    </row>
    <row r="43" spans="2:15" ht="35.25" x14ac:dyDescent="0.5">
      <c r="B43" s="7"/>
      <c r="C43" s="3"/>
      <c r="D43" s="99"/>
      <c r="E43" s="98" t="s">
        <v>56</v>
      </c>
      <c r="F43" s="77"/>
      <c r="G43" s="77"/>
      <c r="H43" s="77"/>
      <c r="I43" s="77"/>
      <c r="J43" s="80"/>
      <c r="K43" s="94"/>
      <c r="L43" s="130">
        <v>0.19</v>
      </c>
      <c r="M43" s="108">
        <f>(M41)*0.19</f>
        <v>2372.91</v>
      </c>
      <c r="N43" s="54"/>
      <c r="O43" s="9"/>
    </row>
    <row r="44" spans="2:15" ht="35.25" x14ac:dyDescent="0.5">
      <c r="B44" s="7"/>
      <c r="C44" s="3"/>
      <c r="D44" s="85"/>
      <c r="E44" s="101"/>
      <c r="F44" s="97"/>
      <c r="G44" s="82"/>
      <c r="H44" s="81"/>
      <c r="I44" s="77"/>
      <c r="J44" s="83"/>
      <c r="K44" s="93"/>
      <c r="L44" s="109" t="s">
        <v>27</v>
      </c>
      <c r="M44" s="108">
        <f>+M41+M42+M43</f>
        <v>14862.51</v>
      </c>
      <c r="N44" s="54"/>
      <c r="O44" s="9"/>
    </row>
    <row r="45" spans="2:15" ht="18" x14ac:dyDescent="0.2">
      <c r="B45" s="7"/>
      <c r="C45" s="3"/>
      <c r="D45" s="76"/>
      <c r="E45" s="86"/>
      <c r="F45" s="100"/>
      <c r="G45" s="77"/>
      <c r="H45" s="64"/>
      <c r="I45" s="77"/>
      <c r="J45" s="84" t="s">
        <v>26</v>
      </c>
      <c r="K45" s="78"/>
      <c r="L45" s="146"/>
      <c r="M45" s="146"/>
      <c r="N45" s="54"/>
      <c r="O45" s="9"/>
    </row>
    <row r="46" spans="2:15" ht="35.25" x14ac:dyDescent="0.5">
      <c r="B46" s="7"/>
      <c r="C46" s="3"/>
      <c r="D46" s="177"/>
      <c r="E46" s="123"/>
      <c r="F46" s="101"/>
      <c r="G46" s="122"/>
      <c r="H46" s="122"/>
      <c r="I46" s="122"/>
      <c r="J46" s="87"/>
      <c r="K46" s="87"/>
      <c r="L46" s="109"/>
      <c r="M46" s="147"/>
      <c r="N46" s="54"/>
      <c r="O46" s="9"/>
    </row>
    <row r="47" spans="2:15" ht="15.75" x14ac:dyDescent="0.25">
      <c r="B47" s="7"/>
      <c r="C47" s="3"/>
      <c r="D47" s="201"/>
      <c r="E47" s="201"/>
      <c r="F47" s="201"/>
      <c r="G47" s="201"/>
      <c r="H47" s="201"/>
      <c r="I47" s="201"/>
      <c r="J47" s="201"/>
      <c r="K47" s="201"/>
      <c r="L47" s="201"/>
      <c r="M47" s="123"/>
      <c r="N47" s="54"/>
      <c r="O47" s="9"/>
    </row>
    <row r="48" spans="2:15" ht="26.25" x14ac:dyDescent="0.4">
      <c r="B48" s="7"/>
      <c r="C48" s="3"/>
      <c r="D48" s="202"/>
      <c r="E48" s="202"/>
      <c r="F48" s="202"/>
      <c r="G48" s="202"/>
      <c r="H48" s="202"/>
      <c r="I48" s="202"/>
      <c r="J48" s="202"/>
      <c r="K48" s="202"/>
      <c r="L48" s="202"/>
      <c r="M48" s="133"/>
      <c r="N48" s="54"/>
      <c r="O48" s="9"/>
    </row>
    <row r="49" spans="1:16" ht="26.25" x14ac:dyDescent="0.4">
      <c r="B49" s="7"/>
      <c r="C49" s="3"/>
      <c r="D49" s="123"/>
      <c r="E49" s="123"/>
      <c r="F49" s="133"/>
      <c r="G49" s="139"/>
      <c r="H49" s="139"/>
      <c r="I49" s="139"/>
      <c r="J49" s="78"/>
      <c r="K49" s="120"/>
      <c r="L49" s="176" t="s">
        <v>61</v>
      </c>
      <c r="M49" s="176"/>
      <c r="N49" s="54"/>
      <c r="O49" s="9"/>
    </row>
    <row r="50" spans="1:16" ht="23.25" x14ac:dyDescent="0.25">
      <c r="B50" s="7"/>
      <c r="C50" s="3"/>
      <c r="D50" s="123"/>
      <c r="E50" s="123"/>
      <c r="F50" s="140"/>
      <c r="G50" s="195"/>
      <c r="H50" s="195"/>
      <c r="I50" s="195"/>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113"/>
      <c r="O52" s="9"/>
    </row>
    <row r="53" spans="1:16" ht="20.25" x14ac:dyDescent="0.3">
      <c r="B53" s="7"/>
      <c r="C53" s="3"/>
      <c r="D53" s="117" t="s">
        <v>58</v>
      </c>
      <c r="E53" s="118"/>
      <c r="F53" s="78"/>
      <c r="G53" s="78"/>
      <c r="H53" s="78"/>
      <c r="I53" s="78"/>
      <c r="J53" s="80"/>
      <c r="K53" s="88"/>
      <c r="L53" s="88"/>
      <c r="M53" s="89"/>
      <c r="N53" s="113"/>
      <c r="O53" s="9"/>
    </row>
    <row r="54" spans="1:16" ht="20.25" x14ac:dyDescent="0.3">
      <c r="B54" s="7"/>
      <c r="C54" s="3"/>
      <c r="D54" s="119" t="s">
        <v>59</v>
      </c>
      <c r="E54" s="119"/>
      <c r="F54" s="78"/>
      <c r="G54" s="78"/>
      <c r="H54" s="78"/>
      <c r="I54" s="78"/>
      <c r="J54" s="80"/>
      <c r="K54" s="88"/>
      <c r="L54" s="88"/>
      <c r="M54" s="88"/>
      <c r="N54" s="113"/>
      <c r="O54" s="9"/>
    </row>
    <row r="55" spans="1:16" ht="15" x14ac:dyDescent="0.2">
      <c r="B55" s="7"/>
      <c r="C55" s="3"/>
      <c r="D55" s="76"/>
      <c r="E55" s="76"/>
      <c r="F55" s="78"/>
      <c r="G55" s="78"/>
      <c r="H55" s="78"/>
      <c r="I55" s="78"/>
      <c r="J55" s="80"/>
      <c r="K55" s="88"/>
      <c r="L55" s="88"/>
      <c r="M55" s="88"/>
      <c r="N55" s="54"/>
      <c r="O55" s="9"/>
    </row>
    <row r="56" spans="1:16" ht="15" x14ac:dyDescent="0.2">
      <c r="B56" s="7"/>
      <c r="C56" s="3"/>
      <c r="D56" s="194" t="s">
        <v>63</v>
      </c>
      <c r="E56" s="194"/>
      <c r="F56" s="194"/>
      <c r="G56" s="194"/>
      <c r="H56" s="194"/>
      <c r="I56" s="194"/>
      <c r="J56" s="194"/>
      <c r="K56" s="194"/>
      <c r="L56" s="194"/>
      <c r="M56" s="88"/>
      <c r="N56" s="54"/>
      <c r="O56" s="135"/>
      <c r="P56" s="136"/>
    </row>
    <row r="57" spans="1:16" ht="18" x14ac:dyDescent="0.25">
      <c r="B57" s="7"/>
      <c r="C57" s="3"/>
      <c r="D57" s="194"/>
      <c r="E57" s="194"/>
      <c r="F57" s="194"/>
      <c r="G57" s="194"/>
      <c r="H57" s="194"/>
      <c r="I57" s="194"/>
      <c r="J57" s="194"/>
      <c r="K57" s="194"/>
      <c r="L57" s="194"/>
      <c r="M57" s="89"/>
      <c r="N57" s="92"/>
      <c r="O57" s="137"/>
      <c r="P57" s="138"/>
    </row>
    <row r="58" spans="1:16" ht="18" x14ac:dyDescent="0.25">
      <c r="B58" s="7"/>
      <c r="C58" s="3"/>
      <c r="D58" s="194"/>
      <c r="E58" s="194"/>
      <c r="F58" s="194"/>
      <c r="G58" s="194"/>
      <c r="H58" s="194"/>
      <c r="I58" s="194"/>
      <c r="J58" s="194"/>
      <c r="K58" s="194"/>
      <c r="L58" s="194"/>
      <c r="M58" s="89"/>
      <c r="N58" s="92"/>
      <c r="O58" s="9"/>
    </row>
    <row r="59" spans="1:16" ht="18" customHeight="1" thickBot="1" x14ac:dyDescent="0.3">
      <c r="B59" s="7"/>
      <c r="C59" s="3"/>
      <c r="D59" s="3"/>
      <c r="E59" s="3"/>
      <c r="F59" s="3"/>
      <c r="G59" s="3"/>
      <c r="H59" s="3"/>
      <c r="I59" s="3"/>
      <c r="J59" s="3"/>
      <c r="K59" s="3"/>
      <c r="L59" s="3"/>
      <c r="M59" s="3"/>
      <c r="N59" s="92"/>
      <c r="O59" s="9"/>
    </row>
    <row r="60" spans="1:16" ht="15" customHeight="1" thickTop="1" x14ac:dyDescent="0.2">
      <c r="B60" s="7"/>
      <c r="C60" s="3"/>
      <c r="D60" s="55"/>
      <c r="E60" s="55"/>
      <c r="F60" s="55"/>
      <c r="G60" s="55"/>
      <c r="H60" s="55"/>
      <c r="I60" s="55"/>
      <c r="J60" s="55"/>
      <c r="K60" s="55"/>
      <c r="L60" s="55"/>
      <c r="M60" s="55"/>
      <c r="N60" s="54"/>
      <c r="O60" s="9"/>
    </row>
    <row r="61" spans="1:16" ht="20.100000000000001" customHeight="1" x14ac:dyDescent="0.2">
      <c r="B61" s="7"/>
      <c r="C61" s="3"/>
      <c r="D61" s="131"/>
      <c r="E61" s="131"/>
      <c r="F61" s="131"/>
      <c r="G61" s="131"/>
      <c r="H61" s="131"/>
      <c r="I61" s="131"/>
      <c r="J61" s="131"/>
      <c r="K61" s="131"/>
      <c r="L61" s="131"/>
      <c r="M61" s="132"/>
      <c r="N61" s="54"/>
      <c r="O61" s="9"/>
    </row>
    <row r="62" spans="1:16" x14ac:dyDescent="0.2">
      <c r="B62" s="7"/>
      <c r="C62" s="3"/>
      <c r="N62" s="54"/>
      <c r="O62" s="9"/>
    </row>
    <row r="63" spans="1:16" x14ac:dyDescent="0.2">
      <c r="B63" s="7"/>
      <c r="C63" s="3"/>
      <c r="N63" s="54"/>
      <c r="O63" s="9"/>
    </row>
    <row r="64" spans="1:16" x14ac:dyDescent="0.2">
      <c r="A64" s="131"/>
      <c r="B64" s="131"/>
      <c r="C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E23:K23"/>
    <mergeCell ref="G24:H24"/>
    <mergeCell ref="F27:K27"/>
    <mergeCell ref="D47:L47"/>
    <mergeCell ref="D48:L48"/>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15/11/2019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Facture!$M$44</f>
        <v>14862.51</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2019-04-26T14:30:50Z</cp:lastPrinted>
  <dcterms:created xsi:type="dcterms:W3CDTF">1995-05-29T15:50:39Z</dcterms:created>
  <dcterms:modified xsi:type="dcterms:W3CDTF">2019-11-15T14:08:53Z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14862.51</vt:r8>
  </property>
</Properties>
</file>