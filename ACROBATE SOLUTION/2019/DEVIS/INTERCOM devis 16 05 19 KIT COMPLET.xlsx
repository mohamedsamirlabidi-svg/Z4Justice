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<sst xmlns="http://schemas.openxmlformats.org/spreadsheetml/2006/main" count="93" uniqueCount="82">
  <si>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</si>
  <si>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</si>
  <si>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</si>
  <si>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</si>
  <si>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</si>
  <si>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</si>
  <si>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</si>
  <si>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</si>
  <si>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</si>
  <si>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</si>
  <si>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</si>
  <si>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</si>
  <si>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</si>
  <si>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</si>
  <si>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</si>
  <si>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</si>
  <si>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</si>
  <si>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</si>
  <si>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</si>
  <si>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</si>
  <si>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</si>
  <si>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</si>
  <si>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</si>
  <si>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</si>
  <si>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</si>
  <si>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</si>
  <si>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</si>
  <si>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</si>
  <si>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</si>
  <si>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</si>
  <si>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</si>
  <si>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</si>
  <si>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</si>
  <si>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</si>
  <si>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</si>
  <si>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</si>
  <si>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</si>
  <si>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</si>
  <si>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</si>
  <si>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</si>
  <si>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</si>
  <si>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</si>
  <si>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</si>
  <si>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</si>
  <si>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</si>
  <si>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</si>
  <si>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</si>
  <si>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</si>
  <si>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</si>
  <si>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</si>
  <si>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</si>
  <si>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</si>
  <si>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</si>
  <si>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</si>
  <si>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</si>
  <si>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</si>
  <si>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</si>
  <si>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</si>
  <si>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</si>
  <si>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</si>
  <si>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</si>
  <si>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</si>
  <si>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</si>
  <si>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</si>
  <si>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</si>
  <si>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</si>
  <si>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</si>
  <si>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</si>
  <si>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r>
      <rPr>
        <sz val="16"/>
        <color rgb="FFFF0000"/>
        <rFont val="Arial"/>
        <family val="2"/>
      </rPr>
      <t>*</t>
    </r>
    <r>
      <rPr>
        <sz val="16"/>
        <rFont val="Arial"/>
        <family val="2"/>
      </rPr>
      <t xml:space="preserve">HARNAIS GOLDEN TOP PLUS CONFORME 3 NORMES </t>
    </r>
  </si>
  <si>
    <r>
      <rPr>
        <sz val="16"/>
        <color rgb="FFFF0000"/>
        <rFont val="Arial"/>
        <family val="2"/>
      </rPr>
      <t>*</t>
    </r>
    <r>
      <rPr>
        <sz val="16"/>
        <rFont val="Arial"/>
        <family val="2"/>
      </rPr>
      <t xml:space="preserve"> LONGE DOUBLE ELASTIQUE CONFORME EN 355</t>
    </r>
  </si>
  <si>
    <r>
      <rPr>
        <sz val="16"/>
        <color rgb="FFFF0000"/>
        <rFont val="Arial"/>
        <family val="2"/>
      </rPr>
      <t>*</t>
    </r>
    <r>
      <rPr>
        <sz val="16"/>
        <rFont val="Arial"/>
        <family val="2"/>
      </rPr>
      <t xml:space="preserve"> LONGE DE MAINTIEN CONFORME EN 358</t>
    </r>
  </si>
  <si>
    <t>092111-1</t>
  </si>
  <si>
    <t xml:space="preserve">+ SAC PYLONIER GRATUIT </t>
  </si>
  <si>
    <t xml:space="preserve">DIVERS </t>
  </si>
  <si>
    <t xml:space="preserve">CHAUSSURE DE SECURITE </t>
  </si>
  <si>
    <t>POINTURE : 40-44</t>
  </si>
  <si>
    <t xml:space="preserve">ARRETE LA PRESENTE DEVIS  A LA SOMME DE:  MILLE CINQ CENT CINQUANTE TROIS DINARS ET 907 MILLIMES </t>
  </si>
  <si>
    <t>INTERCOM TECHNOLOGIES</t>
  </si>
  <si>
    <t>Date : 16/05/2019</t>
  </si>
  <si>
    <t>MF:</t>
  </si>
  <si>
    <t>Responsable: MR Hamdi Essai</t>
  </si>
  <si>
    <t>Offre de prix 201906582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</si>
</sst>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16"/>
      <color rgb="FFFF0000"/>
      <name val="Arial"/>
      <family val="2"/>
    </font>
    <font>
      <u/>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3" fillId="0" borderId="28" xfId="0" applyNumberFormat="1" applyFont="1" applyFill="1" applyBorder="1" applyAlignment="1"/>
    <xf numFmtId="49" fontId="44" fillId="0" borderId="0" xfId="5" applyNumberFormat="1" applyFont="1" applyFill="1" applyBorder="1" applyAlignment="1"/>
    <xf numFmtId="3" fontId="3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3" zoomScale="60" zoomScaleNormal="60" workbookViewId="0">
      <selection activeCell="M34" sqref="M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81</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77</v>
      </c>
      <c r="F22" s="173"/>
      <c r="G22" s="173"/>
      <c r="H22" s="173"/>
      <c r="I22" s="173"/>
      <c r="J22" s="173"/>
      <c r="K22" s="104"/>
      <c r="L22" s="171" t="s">
        <v>78</v>
      </c>
      <c r="M22" s="171"/>
      <c r="N22" s="52"/>
      <c r="O22" s="9"/>
    </row>
    <row r="23" spans="2:15" ht="33.75" x14ac:dyDescent="0.5">
      <c r="B23" s="7"/>
      <c r="C23" s="3"/>
      <c r="D23" s="103" t="s">
        <v>54</v>
      </c>
      <c r="E23" s="177"/>
      <c r="F23" s="177"/>
      <c r="G23" s="177"/>
      <c r="H23" s="177"/>
      <c r="I23" s="177"/>
      <c r="J23" s="177"/>
      <c r="K23" s="177"/>
      <c r="L23" s="105" t="s">
        <v>64</v>
      </c>
      <c r="M23" s="105"/>
      <c r="N23" s="53"/>
      <c r="O23" s="9"/>
    </row>
    <row r="24" spans="2:15" ht="33.75" x14ac:dyDescent="0.5">
      <c r="B24" s="7"/>
      <c r="C24" s="3"/>
      <c r="D24" s="103" t="s">
        <v>55</v>
      </c>
      <c r="E24" s="117"/>
      <c r="F24" s="106" t="s">
        <v>8</v>
      </c>
      <c r="G24" s="178"/>
      <c r="H24" s="178"/>
      <c r="I24" s="107" t="s">
        <v>9</v>
      </c>
      <c r="J24" s="108" t="s">
        <v>59</v>
      </c>
      <c r="K24" s="104"/>
      <c r="L24" s="172" t="s">
        <v>80</v>
      </c>
      <c r="M24" s="172"/>
      <c r="N24" s="3"/>
      <c r="O24" s="9"/>
    </row>
    <row r="25" spans="2:15" ht="33.75" x14ac:dyDescent="0.5">
      <c r="B25" s="7"/>
      <c r="C25" s="3"/>
      <c r="D25" s="103" t="s">
        <v>56</v>
      </c>
      <c r="E25" s="185">
        <v>24231858</v>
      </c>
      <c r="F25" s="174"/>
      <c r="G25" s="174"/>
      <c r="H25" s="174"/>
      <c r="I25" s="174"/>
      <c r="J25" s="174"/>
      <c r="K25" s="104"/>
      <c r="L25" s="172" t="s">
        <v>79</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4" t="s">
        <v>65</v>
      </c>
      <c r="E28" s="155">
        <v>1</v>
      </c>
      <c r="F28" s="122" t="s">
        <v>65</v>
      </c>
      <c r="G28" s="144"/>
      <c r="H28" s="144"/>
      <c r="I28" s="144"/>
      <c r="J28" s="144"/>
      <c r="K28" s="145"/>
      <c r="L28" s="112">
        <v>1137.3</v>
      </c>
      <c r="M28" s="118">
        <f>IF(E28&lt;&gt;"",E28*L28,"")</f>
        <v>1137.3</v>
      </c>
      <c r="N28" s="54"/>
      <c r="O28" s="9"/>
    </row>
    <row r="29" spans="2:15" ht="30" x14ac:dyDescent="0.4">
      <c r="B29" s="7"/>
      <c r="C29" s="3"/>
      <c r="D29" s="154"/>
      <c r="E29" s="111"/>
      <c r="F29" s="156" t="s">
        <v>66</v>
      </c>
      <c r="G29" s="146"/>
      <c r="H29" s="146"/>
      <c r="I29" s="146"/>
      <c r="J29" s="146"/>
      <c r="K29" s="147"/>
      <c r="L29" s="113"/>
      <c r="M29" s="118" t="str">
        <f>IF(E29&lt;&gt;"",E29*L29,"")</f>
        <v/>
      </c>
      <c r="N29" s="54"/>
      <c r="O29" s="9"/>
    </row>
    <row r="30" spans="2:15" ht="30" x14ac:dyDescent="0.4">
      <c r="B30" s="7"/>
      <c r="C30" s="3"/>
      <c r="D30" s="154" t="s">
        <v>71</v>
      </c>
      <c r="E30" s="111"/>
      <c r="F30" s="156" t="s">
        <v>68</v>
      </c>
      <c r="G30" s="146"/>
      <c r="H30" s="146"/>
      <c r="I30" s="146"/>
      <c r="J30" s="146"/>
      <c r="K30" s="147"/>
      <c r="L30" s="113"/>
      <c r="M30" s="118" t="str">
        <f t="shared" ref="M30:M44" si="0">IF(E30&lt;&gt;"",E30*L30,"")</f>
        <v/>
      </c>
      <c r="N30" s="54"/>
      <c r="O30" s="9"/>
    </row>
    <row r="31" spans="2:15" ht="30" x14ac:dyDescent="0.4">
      <c r="B31" s="7"/>
      <c r="C31" s="3"/>
      <c r="D31" s="154"/>
      <c r="E31" s="111"/>
      <c r="F31" s="156" t="s">
        <v>67</v>
      </c>
      <c r="G31" s="146"/>
      <c r="H31" s="146"/>
      <c r="I31" s="146"/>
      <c r="J31" s="146"/>
      <c r="K31" s="147"/>
      <c r="L31" s="113"/>
      <c r="M31" s="118"/>
      <c r="N31" s="54"/>
      <c r="O31" s="9"/>
    </row>
    <row r="32" spans="2:15" ht="30" x14ac:dyDescent="0.4">
      <c r="B32" s="7"/>
      <c r="C32" s="3"/>
      <c r="D32" s="154">
        <v>7030201</v>
      </c>
      <c r="E32" s="111"/>
      <c r="F32" s="156" t="s">
        <v>69</v>
      </c>
      <c r="G32" s="146"/>
      <c r="H32" s="146"/>
      <c r="I32" s="146"/>
      <c r="J32" s="146"/>
      <c r="K32" s="147"/>
      <c r="L32" s="113"/>
      <c r="M32" s="118" t="str">
        <f t="shared" si="0"/>
        <v/>
      </c>
      <c r="N32" s="54"/>
      <c r="O32" s="9"/>
    </row>
    <row r="33" spans="2:15" ht="30" x14ac:dyDescent="0.4">
      <c r="B33" s="7"/>
      <c r="C33" s="3"/>
      <c r="D33" s="154">
        <v>203115</v>
      </c>
      <c r="E33" s="111"/>
      <c r="F33" s="156" t="s">
        <v>70</v>
      </c>
      <c r="G33" s="146"/>
      <c r="H33" s="146"/>
      <c r="I33" s="146"/>
      <c r="J33" s="146"/>
      <c r="K33" s="147"/>
      <c r="L33" s="113"/>
      <c r="M33" s="118"/>
      <c r="N33" s="54"/>
      <c r="O33" s="9"/>
    </row>
    <row r="34" spans="2:15" ht="30" x14ac:dyDescent="0.4">
      <c r="B34" s="7"/>
      <c r="C34" s="3"/>
      <c r="D34" s="154"/>
      <c r="E34" s="111"/>
      <c r="F34" s="122"/>
      <c r="G34" s="146"/>
      <c r="H34" s="146"/>
      <c r="I34" s="146"/>
      <c r="J34" s="146"/>
      <c r="K34" s="147"/>
      <c r="L34" s="113"/>
      <c r="M34" s="118" t="str">
        <f t="shared" si="0"/>
        <v/>
      </c>
      <c r="N34" s="95"/>
      <c r="O34" s="9"/>
    </row>
    <row r="35" spans="2:15" ht="30" x14ac:dyDescent="0.4">
      <c r="B35" s="7"/>
      <c r="C35" s="3"/>
      <c r="D35" s="154"/>
      <c r="E35" s="111"/>
      <c r="F35" s="183" t="s">
        <v>72</v>
      </c>
      <c r="G35" s="184"/>
      <c r="H35" s="184"/>
      <c r="I35" s="184"/>
      <c r="J35" s="146"/>
      <c r="K35" s="147"/>
      <c r="L35" s="113"/>
      <c r="M35" s="118" t="str">
        <f t="shared" si="0"/>
        <v/>
      </c>
      <c r="N35" s="95"/>
      <c r="O35" s="9"/>
    </row>
    <row r="36" spans="2:15" ht="30" x14ac:dyDescent="0.4">
      <c r="B36" s="7"/>
      <c r="C36" s="3"/>
      <c r="D36" s="154"/>
      <c r="E36" s="111"/>
      <c r="F36" s="158"/>
      <c r="G36" s="146"/>
      <c r="H36" s="146"/>
      <c r="I36" s="146"/>
      <c r="J36" s="146"/>
      <c r="K36" s="147"/>
      <c r="L36" s="113"/>
      <c r="M36" s="118" t="str">
        <f t="shared" si="0"/>
        <v/>
      </c>
      <c r="N36" s="95"/>
      <c r="O36" s="9"/>
    </row>
    <row r="37" spans="2:15" ht="30" x14ac:dyDescent="0.4">
      <c r="B37" s="7"/>
      <c r="C37" s="3"/>
      <c r="D37" s="154" t="s">
        <v>73</v>
      </c>
      <c r="E37" s="111">
        <v>2</v>
      </c>
      <c r="F37" s="122" t="s">
        <v>74</v>
      </c>
      <c r="G37" s="146"/>
      <c r="H37" s="146"/>
      <c r="I37" s="146"/>
      <c r="J37" s="146"/>
      <c r="K37" s="147"/>
      <c r="L37" s="113">
        <v>84</v>
      </c>
      <c r="M37" s="118">
        <f t="shared" si="0"/>
        <v>168</v>
      </c>
      <c r="N37" s="95"/>
      <c r="O37" s="9"/>
    </row>
    <row r="38" spans="2:15" ht="30" x14ac:dyDescent="0.4">
      <c r="B38" s="7"/>
      <c r="C38" s="3"/>
      <c r="D38" s="154"/>
      <c r="E38" s="111"/>
      <c r="F38" s="122" t="s">
        <v>75</v>
      </c>
      <c r="G38" s="146"/>
      <c r="H38" s="146"/>
      <c r="I38" s="146"/>
      <c r="J38" s="146"/>
      <c r="K38" s="147"/>
      <c r="L38" s="113"/>
      <c r="M38" s="118" t="str">
        <f t="shared" si="0"/>
        <v/>
      </c>
      <c r="N38" s="54"/>
      <c r="O38" s="9"/>
    </row>
    <row r="39" spans="2:15" ht="30" x14ac:dyDescent="0.4">
      <c r="B39" s="7"/>
      <c r="C39" s="3"/>
      <c r="D39" s="154"/>
      <c r="E39" s="111"/>
      <c r="F39" s="122"/>
      <c r="G39" s="146"/>
      <c r="H39" s="146"/>
      <c r="I39" s="146"/>
      <c r="J39" s="146"/>
      <c r="K39" s="147"/>
      <c r="L39" s="113"/>
      <c r="M39" s="118" t="str">
        <f t="shared" si="0"/>
        <v/>
      </c>
      <c r="N39" s="54"/>
      <c r="O39" s="9"/>
    </row>
    <row r="40" spans="2:15" ht="30" x14ac:dyDescent="0.4">
      <c r="B40" s="7"/>
      <c r="C40" s="3"/>
      <c r="D40" s="154"/>
      <c r="E40" s="111"/>
      <c r="F40" s="122"/>
      <c r="G40" s="146"/>
      <c r="H40" s="146"/>
      <c r="I40" s="146"/>
      <c r="J40" s="146"/>
      <c r="K40" s="147"/>
      <c r="L40" s="113"/>
      <c r="M40" s="118" t="str">
        <f t="shared" si="0"/>
        <v/>
      </c>
      <c r="N40" s="54"/>
      <c r="O40" s="9"/>
    </row>
    <row r="41" spans="2:15" ht="30" x14ac:dyDescent="0.4">
      <c r="B41" s="7"/>
      <c r="C41" s="3"/>
      <c r="D41" s="154"/>
      <c r="E41" s="111"/>
      <c r="F41" s="122"/>
      <c r="G41" s="146"/>
      <c r="H41" s="146"/>
      <c r="I41" s="146"/>
      <c r="J41" s="146"/>
      <c r="K41" s="147"/>
      <c r="L41" s="113"/>
      <c r="M41" s="118" t="str">
        <f t="shared" si="0"/>
        <v/>
      </c>
      <c r="N41" s="54"/>
      <c r="O41" s="9"/>
    </row>
    <row r="42" spans="2:15" ht="30" x14ac:dyDescent="0.4">
      <c r="B42" s="7"/>
      <c r="C42" s="3"/>
      <c r="D42" s="154"/>
      <c r="E42" s="111"/>
      <c r="F42" s="122"/>
      <c r="G42" s="146"/>
      <c r="H42" s="146"/>
      <c r="I42" s="146"/>
      <c r="J42" s="146"/>
      <c r="K42" s="147"/>
      <c r="L42" s="113"/>
      <c r="M42" s="118" t="str">
        <f t="shared" si="0"/>
        <v/>
      </c>
      <c r="N42" s="54"/>
      <c r="O42" s="9"/>
    </row>
    <row r="43" spans="2:15" ht="30" x14ac:dyDescent="0.4">
      <c r="B43" s="7"/>
      <c r="C43" s="3"/>
      <c r="D43" s="154"/>
      <c r="E43" s="111"/>
      <c r="F43" s="122"/>
      <c r="G43" s="146"/>
      <c r="H43" s="146"/>
      <c r="I43" s="146"/>
      <c r="J43" s="146"/>
      <c r="K43" s="147"/>
      <c r="L43" s="113"/>
      <c r="M43" s="118" t="str">
        <f t="shared" si="0"/>
        <v/>
      </c>
      <c r="N43" s="54"/>
      <c r="O43" s="9"/>
    </row>
    <row r="44" spans="2:15" ht="30" x14ac:dyDescent="0.4">
      <c r="B44" s="7"/>
      <c r="C44" s="3"/>
      <c r="D44" s="157"/>
      <c r="E44" s="150"/>
      <c r="F44" s="151"/>
      <c r="G44" s="142"/>
      <c r="H44" s="142"/>
      <c r="I44" s="142"/>
      <c r="J44" s="142"/>
      <c r="K44" s="143"/>
      <c r="L44" s="152"/>
      <c r="M44" s="153" t="str">
        <f t="shared" si="0"/>
        <v/>
      </c>
      <c r="N44" s="54"/>
      <c r="O44" s="9"/>
    </row>
    <row r="45" spans="2:15" ht="35.25" x14ac:dyDescent="0.5">
      <c r="B45" s="7"/>
      <c r="C45" s="3"/>
      <c r="D45" s="85"/>
      <c r="E45" s="96"/>
      <c r="F45" s="128"/>
      <c r="G45" s="125"/>
      <c r="H45" s="125"/>
      <c r="I45" s="125"/>
      <c r="J45" s="126"/>
      <c r="K45" s="127"/>
      <c r="L45" s="130" t="s">
        <v>26</v>
      </c>
      <c r="M45" s="135">
        <f>SUM(M28:M44)</f>
        <v>1305.3</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248.00700000000001</v>
      </c>
      <c r="N47" s="54"/>
      <c r="O47" s="9"/>
    </row>
    <row r="48" spans="2:15" ht="35.25" x14ac:dyDescent="0.5">
      <c r="B48" s="7"/>
      <c r="C48" s="3"/>
      <c r="D48" s="85"/>
      <c r="E48" s="101"/>
      <c r="F48" s="97"/>
      <c r="G48" s="82"/>
      <c r="H48" s="81"/>
      <c r="I48" s="77"/>
      <c r="J48" s="83"/>
      <c r="K48" s="93"/>
      <c r="L48" s="110" t="s">
        <v>28</v>
      </c>
      <c r="M48" s="109">
        <f>+M45+M46+M47</f>
        <v>1553.9069999999999</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82" t="s">
        <v>76</v>
      </c>
      <c r="E51" s="182"/>
      <c r="F51" s="182"/>
      <c r="G51" s="182"/>
      <c r="H51" s="182"/>
      <c r="I51" s="182"/>
      <c r="J51" s="182"/>
      <c r="K51" s="182"/>
      <c r="L51" s="182"/>
      <c r="M51" s="124"/>
      <c r="N51" s="54"/>
      <c r="O51" s="9"/>
    </row>
    <row r="52" spans="2:16" ht="26.25" x14ac:dyDescent="0.4">
      <c r="B52" s="7"/>
      <c r="C52" s="3"/>
      <c r="D52" s="182"/>
      <c r="E52" s="182"/>
      <c r="F52" s="182"/>
      <c r="G52" s="182"/>
      <c r="H52" s="182"/>
      <c r="I52" s="182"/>
      <c r="J52" s="182"/>
      <c r="K52" s="182"/>
      <c r="L52" s="182"/>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6"/>
      <c r="H54" s="176"/>
      <c r="I54" s="176"/>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5" t="s">
        <v>52</v>
      </c>
      <c r="E60" s="175"/>
      <c r="F60" s="175"/>
      <c r="G60" s="175"/>
      <c r="H60" s="175"/>
      <c r="I60" s="175"/>
      <c r="J60" s="175"/>
      <c r="K60" s="175"/>
      <c r="L60" s="175"/>
      <c r="M60" s="88"/>
      <c r="N60" s="92"/>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x14ac:dyDescent="0.2">
      <c r="B62" s="7"/>
      <c r="C62" s="3"/>
      <c r="D62" s="175"/>
      <c r="E62" s="175"/>
      <c r="F62" s="175"/>
      <c r="G62" s="175"/>
      <c r="H62" s="175"/>
      <c r="I62" s="175"/>
      <c r="J62" s="175"/>
      <c r="K62" s="175"/>
      <c r="L62" s="17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16/05/2019</v>
      </c>
      <c r="D8" s="67" t="str">
        <f>Facture!$E$22</f>
        <v>INTERCOM TECHNOLOGIES</v>
      </c>
      <c r="E8" s="64">
        <f>Facture!$E$23</f>
        <v>0</v>
      </c>
      <c r="F8" s="64">
        <f>Facture!$E$24</f>
        <v>0</v>
      </c>
      <c r="G8" s="67">
        <f>Facture!$G$24</f>
        <v>0</v>
      </c>
      <c r="H8" s="67" t="str">
        <f>Facture!$J$24</f>
        <v>TN</v>
      </c>
      <c r="I8" s="64">
        <f>Facture!$E$25</f>
        <v>24231858</v>
      </c>
      <c r="J8" s="68">
        <f>Facture!$M$48</f>
        <v>1553.9069999999999</v>
      </c>
      <c r="K8" s="64" t="str">
        <f>Facture!$L$24</f>
        <v>Responsable: MR Hamdi Essai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2019-05-16T08:01:56Z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INTERCOM TECHNOLOGIES</vt:lpwstr>
  </property>
  <property fmtid="{D5CDD505-2E9C-101B-9397-08002B2CF9AE}" pid="11" name="Montant de la facture" linkTarget="TOT">
    <vt:r8>1553.907</vt:r8>
  </property>
</Properties>
</file>