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<sst xmlns="http://schemas.openxmlformats.org/spreadsheetml/2006/main" count="83" uniqueCount="73">
  <si>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</si>
  <si>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</si>
  <si>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</si>
  <si>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</si>
  <si>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</si>
  <si>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</si>
  <si>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</si>
  <si>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</si>
  <si>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</si>
  <si>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</si>
  <si>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</si>
  <si>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</si>
  <si>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</si>
  <si>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</si>
  <si>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</si>
  <si>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</si>
  <si>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</si>
  <si>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</si>
  <si>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</si>
  <si>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</si>
  <si>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</si>
  <si>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</si>
  <si>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</si>
  <si>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</si>
  <si>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</si>
  <si>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</si>
  <si>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</si>
  <si>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</si>
  <si>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</si>
  <si>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</si>
  <si>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</si>
  <si>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</si>
  <si>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</si>
  <si>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</si>
  <si>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</si>
  <si>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</si>
  <si>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</si>
  <si>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</si>
  <si>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</si>
  <si>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</si>
  <si>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</si>
  <si>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</si>
  <si>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</si>
  <si>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</si>
  <si>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</si>
  <si>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</si>
  <si>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</si>
  <si>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</si>
  <si>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</si>
  <si>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</si>
  <si>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</si>
  <si>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</si>
  <si>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</si>
  <si>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</si>
  <si>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</si>
  <si>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</si>
  <si>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</si>
  <si>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</si>
  <si>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</si>
  <si>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</si>
  <si>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</si>
  <si>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</si>
  <si>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</si>
  <si>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</si>
  <si>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</si>
  <si>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Réf commande:</t>
  </si>
  <si>
    <t>ITS</t>
  </si>
  <si>
    <t>Date : 07/10/2019</t>
  </si>
  <si>
    <t>HARNAIS COLDEN TOP</t>
  </si>
  <si>
    <t>SAC</t>
  </si>
  <si>
    <t>POULIE</t>
  </si>
  <si>
    <t>LONGE DOUBLE</t>
  </si>
  <si>
    <t>devis 20198745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</si>
</sst>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50</xdr:row>
      <xdr:rowOff>412750</xdr:rowOff>
    </xdr:from>
    <xdr:to>
      <xdr:col>12</xdr:col>
      <xdr:colOff>2022475</xdr:colOff>
      <xdr:row>57</xdr:row>
      <xdr:rowOff>174625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7" zoomScale="60" zoomScaleNormal="60" workbookViewId="0">
      <selection activeCell="D33" sqref="D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0" t="s">
        <v>72</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5" t="s">
        <v>66</v>
      </c>
      <c r="F22" s="175"/>
      <c r="G22" s="175"/>
      <c r="H22" s="175"/>
      <c r="I22" s="175"/>
      <c r="J22" s="175"/>
      <c r="K22" s="96"/>
      <c r="L22" s="173" t="s">
        <v>67</v>
      </c>
      <c r="M22" s="173"/>
      <c r="N22" s="52"/>
      <c r="O22" s="9"/>
    </row>
    <row r="23" spans="2:15" ht="33.75" x14ac:dyDescent="0.5">
      <c r="B23" s="7"/>
      <c r="C23" s="3"/>
      <c r="D23" s="95" t="s">
        <v>54</v>
      </c>
      <c r="E23" s="163"/>
      <c r="F23" s="163"/>
      <c r="G23" s="163"/>
      <c r="H23" s="163"/>
      <c r="I23" s="163"/>
      <c r="J23" s="163"/>
      <c r="K23" s="163"/>
      <c r="L23" s="97" t="s">
        <v>65</v>
      </c>
      <c r="M23" s="97"/>
      <c r="N23" s="53"/>
      <c r="O23" s="9"/>
    </row>
    <row r="24" spans="2:15" ht="33.75" x14ac:dyDescent="0.5">
      <c r="B24" s="7"/>
      <c r="C24" s="3"/>
      <c r="D24" s="95" t="s">
        <v>55</v>
      </c>
      <c r="E24" s="109">
        <v>1080</v>
      </c>
      <c r="F24" s="98" t="s">
        <v>8</v>
      </c>
      <c r="G24" s="164"/>
      <c r="H24" s="164"/>
      <c r="I24" s="99" t="s">
        <v>9</v>
      </c>
      <c r="J24" s="100" t="s">
        <v>59</v>
      </c>
      <c r="K24" s="96"/>
      <c r="L24" s="174"/>
      <c r="M24" s="174"/>
      <c r="N24" s="3"/>
      <c r="O24" s="9"/>
    </row>
    <row r="25" spans="2:15" ht="33.75" x14ac:dyDescent="0.5">
      <c r="B25" s="7"/>
      <c r="C25" s="3"/>
      <c r="D25" s="95" t="s">
        <v>56</v>
      </c>
      <c r="E25" s="176"/>
      <c r="F25" s="176"/>
      <c r="G25" s="176"/>
      <c r="H25" s="176"/>
      <c r="I25" s="176"/>
      <c r="J25" s="176"/>
      <c r="K25" s="96"/>
      <c r="L25" s="174"/>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5" t="s">
        <v>23</v>
      </c>
      <c r="G27" s="166"/>
      <c r="H27" s="166"/>
      <c r="I27" s="166"/>
      <c r="J27" s="166"/>
      <c r="K27" s="167"/>
      <c r="L27" s="85" t="s">
        <v>24</v>
      </c>
      <c r="M27" s="86" t="s">
        <v>25</v>
      </c>
      <c r="N27" s="87"/>
      <c r="O27" s="9"/>
    </row>
    <row r="28" spans="2:15" ht="30" x14ac:dyDescent="0.4">
      <c r="B28" s="7"/>
      <c r="C28" s="3"/>
      <c r="D28" s="143"/>
      <c r="E28" s="145">
        <v>4</v>
      </c>
      <c r="F28" s="114" t="s">
        <v>68</v>
      </c>
      <c r="G28" s="135"/>
      <c r="H28" s="135"/>
      <c r="I28" s="137"/>
      <c r="J28" s="137"/>
      <c r="K28" s="138"/>
      <c r="L28" s="104">
        <v>520</v>
      </c>
      <c r="M28" s="110">
        <f t="shared" ref="M28:M34" si="0">IF(E28&lt;&gt;"",E28*L28,"")</f>
        <v>2080</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c r="E30" s="145">
        <v>4</v>
      </c>
      <c r="F30" s="151" t="s">
        <v>71</v>
      </c>
      <c r="G30" s="135"/>
      <c r="H30" s="135"/>
      <c r="I30" s="137"/>
      <c r="J30" s="137"/>
      <c r="K30" s="138"/>
      <c r="L30" s="104">
        <v>192</v>
      </c>
      <c r="M30" s="110">
        <f t="shared" si="0"/>
        <v>768</v>
      </c>
      <c r="N30" s="87"/>
      <c r="O30" s="9"/>
    </row>
    <row r="31" spans="2:15" ht="30" x14ac:dyDescent="0.4">
      <c r="B31" s="7"/>
      <c r="C31" s="3"/>
      <c r="D31" s="143"/>
      <c r="E31" s="145">
        <v>4</v>
      </c>
      <c r="F31" s="151" t="s">
        <v>69</v>
      </c>
      <c r="G31" s="135"/>
      <c r="H31" s="137"/>
      <c r="I31" s="137"/>
      <c r="J31" s="137"/>
      <c r="K31" s="138"/>
      <c r="L31" s="104">
        <v>35</v>
      </c>
      <c r="M31" s="110">
        <f t="shared" si="0"/>
        <v>140</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v>8</v>
      </c>
      <c r="F33" s="114" t="s">
        <v>70</v>
      </c>
      <c r="G33" s="135"/>
      <c r="H33" s="137"/>
      <c r="I33" s="137"/>
      <c r="J33" s="137"/>
      <c r="K33" s="138"/>
      <c r="L33" s="104">
        <v>99</v>
      </c>
      <c r="M33" s="110">
        <f t="shared" si="0"/>
        <v>792</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3780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718.2</v>
      </c>
      <c r="N50" s="54"/>
      <c r="O50" s="9"/>
    </row>
    <row r="51" spans="1:16" ht="35.25" x14ac:dyDescent="0.5">
      <c r="B51" s="7"/>
      <c r="C51" s="3"/>
      <c r="D51" s="76"/>
      <c r="E51" s="82"/>
      <c r="F51" s="93"/>
      <c r="G51" s="77"/>
      <c r="H51" s="64"/>
      <c r="I51" s="77"/>
      <c r="J51" s="80" t="s">
        <v>27</v>
      </c>
      <c r="K51" s="78"/>
      <c r="L51" s="150" t="s">
        <v>28</v>
      </c>
      <c r="M51" s="101">
        <f>+M48+M49+M50</f>
        <v>4498.8</v>
      </c>
      <c r="N51" s="54"/>
      <c r="O51" s="9"/>
    </row>
    <row r="52" spans="1:16" ht="15.75" x14ac:dyDescent="0.25">
      <c r="B52" s="7"/>
      <c r="C52" s="3"/>
      <c r="D52" s="168"/>
      <c r="E52" s="169"/>
      <c r="F52" s="169"/>
      <c r="G52" s="169"/>
      <c r="H52" s="169"/>
      <c r="I52" s="169"/>
      <c r="J52" s="169"/>
      <c r="K52" s="169"/>
      <c r="L52" s="169"/>
      <c r="M52" s="115"/>
      <c r="N52" s="54"/>
      <c r="O52" s="9"/>
    </row>
    <row r="53" spans="1:16" ht="26.25" x14ac:dyDescent="0.4">
      <c r="B53" s="7"/>
      <c r="C53" s="3"/>
      <c r="D53" s="169"/>
      <c r="E53" s="169"/>
      <c r="F53" s="169"/>
      <c r="G53" s="169"/>
      <c r="H53" s="169"/>
      <c r="I53" s="169"/>
      <c r="J53" s="169"/>
      <c r="K53" s="169"/>
      <c r="L53" s="169"/>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2"/>
      <c r="H55" s="162"/>
      <c r="I55" s="162"/>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1" t="s">
        <v>52</v>
      </c>
      <c r="E58" s="161"/>
      <c r="F58" s="161"/>
      <c r="G58" s="161"/>
      <c r="H58" s="161"/>
      <c r="I58" s="161"/>
      <c r="J58" s="161"/>
      <c r="K58" s="161"/>
      <c r="L58" s="161"/>
      <c r="M58" s="83"/>
      <c r="N58" s="87"/>
      <c r="O58" s="9"/>
    </row>
    <row r="59" spans="1:16" ht="15" customHeight="1" x14ac:dyDescent="0.2">
      <c r="B59" s="7"/>
      <c r="C59" s="3"/>
      <c r="D59" s="161"/>
      <c r="E59" s="161"/>
      <c r="F59" s="161"/>
      <c r="G59" s="161"/>
      <c r="H59" s="161"/>
      <c r="I59" s="161"/>
      <c r="J59" s="161"/>
      <c r="K59" s="161"/>
      <c r="L59" s="161"/>
      <c r="M59" s="84"/>
      <c r="N59" s="54"/>
      <c r="O59" s="9"/>
    </row>
    <row r="60" spans="1:16" ht="20.100000000000001" customHeight="1" x14ac:dyDescent="0.2">
      <c r="B60" s="7"/>
      <c r="C60" s="3"/>
      <c r="D60" s="161"/>
      <c r="E60" s="161"/>
      <c r="F60" s="161"/>
      <c r="G60" s="161"/>
      <c r="H60" s="161"/>
      <c r="I60" s="161"/>
      <c r="J60" s="161"/>
      <c r="K60" s="161"/>
      <c r="L60" s="161"/>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07/10/2019</v>
      </c>
      <c r="D8" s="67" t="str">
        <f>Facture!$E$22</f>
        <v>ITS</v>
      </c>
      <c r="E8" s="64">
        <f>Facture!$E$23</f>
        <v>0</v>
      </c>
      <c r="F8" s="64">
        <f>Facture!$E$24</f>
        <v>1080</v>
      </c>
      <c r="G8" s="67">
        <f>Facture!$G$24</f>
        <v>0</v>
      </c>
      <c r="H8" s="67" t="str">
        <f>Facture!$J$24</f>
        <v>TN</v>
      </c>
      <c r="I8" s="64">
        <f>Facture!$E$25</f>
        <v>0</v>
      </c>
      <c r="J8" s="68">
        <f>Facture!$M$51</f>
        <v>4498.8</v>
      </c>
      <c r="K8" s="64">
        <f>Facture!$L$24</f>
        <v>0</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2019-10-07T14:09:48Z</cp:lastPrinted>
  <dcterms:created xsi:type="dcterms:W3CDTF">1995-05-29T15:50:39Z</dcterms:created>
  <dcterms:modified xsi:type="dcterms:W3CDTF">2019-10-07T15:27:26Z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vt:lpwstr>
  </property>
  <property fmtid="{D5CDD505-2E9C-101B-9397-08002B2CF9AE}" pid="11" name="Montant de la facture" linkTarget="TOT">
    <vt:r8>4498.8</vt:r8>
  </property>
</Properties>
</file>