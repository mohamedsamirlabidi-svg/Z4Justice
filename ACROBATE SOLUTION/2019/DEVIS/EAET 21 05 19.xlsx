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L41" i="3" l="1"/>
  <c r="M33" i="3" l="1"/>
  <c r="M34" i="3"/>
  <c r="M35" i="3"/>
  <c r="M36" i="3"/>
  <c r="M37" i="3"/>
  <c r="M38" i="3"/>
  <c r="M39" i="3"/>
  <c r="M40" i="3"/>
  <c r="M41" i="3"/>
  <c r="M42" i="3"/>
  <c r="M31" i="3"/>
  <c r="M32" i="3"/>
  <c r="M44" i="3" l="1"/>
  <c r="M28"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<sst xmlns="http://schemas.openxmlformats.org/spreadsheetml/2006/main" count="86" uniqueCount="76">
  <si>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</si>
  <si>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</si>
  <si>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</si>
  <si>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</si>
  <si>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</si>
  <si>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</si>
  <si>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</si>
  <si>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</si>
  <si>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</si>
  <si>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</si>
  <si>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</si>
  <si>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</si>
  <si>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</si>
  <si>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</si>
  <si>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</si>
  <si>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</si>
  <si>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</si>
  <si>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</si>
  <si>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</si>
  <si>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</si>
  <si>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</si>
  <si>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</si>
  <si>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</si>
  <si>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</si>
  <si>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</si>
  <si>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</si>
  <si>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</si>
  <si>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</si>
  <si>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</si>
  <si>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</si>
  <si>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</si>
  <si>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</si>
  <si>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</si>
  <si>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</si>
  <si>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</si>
  <si>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</si>
  <si>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</si>
  <si>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</si>
  <si>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</si>
  <si>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</si>
  <si>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</si>
  <si>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</si>
  <si>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</si>
  <si>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</si>
  <si>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</si>
  <si>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</si>
  <si>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</si>
  <si>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</si>
  <si>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</si>
  <si>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</si>
  <si>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</si>
  <si>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</si>
  <si>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</si>
  <si>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</si>
  <si>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</si>
  <si>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</si>
  <si>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</si>
  <si>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</si>
  <si>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</si>
  <si>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</si>
  <si>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</si>
  <si>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</si>
  <si>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</si>
  <si>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</si>
  <si>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</si>
  <si>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EAET</t>
  </si>
  <si>
    <t xml:space="preserve">ARIANA </t>
  </si>
  <si>
    <t xml:space="preserve">10 RUE EL MAAMOURA Z.I KSAR SAID </t>
  </si>
  <si>
    <t>DEVIS 20190940</t>
  </si>
  <si>
    <t>Date : 21/05/2019</t>
  </si>
  <si>
    <t xml:space="preserve">Responsable: MR AYMEN  </t>
  </si>
  <si>
    <t>ROPE LANYARD - Longe en corde</t>
  </si>
  <si>
    <t xml:space="preserve"> EN 354</t>
  </si>
  <si>
    <t>ARRETE LA PRESENTE DEVIS  A LA SOMME DE :CINQ CENT QUATRE VINGT SIX DINARS 080 MILLIMES   .</t>
  </si>
  <si>
    <t>Remise 15%</t>
  </si>
  <si>
    <t>MF:</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</si>
</sst>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170" fontId="28" fillId="0" borderId="50"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46" fillId="0" borderId="0" xfId="0" applyFont="1" applyFill="1" applyBorder="1" applyAlignment="1">
      <alignment horizontal="center"/>
    </xf>
    <xf numFmtId="0" fontId="46" fillId="0" borderId="38" xfId="0" applyFont="1" applyFill="1" applyBorder="1" applyAlignment="1">
      <alignment horizontal="center"/>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1" t="s">
        <v>68</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6" t="s">
        <v>65</v>
      </c>
      <c r="F22" s="177"/>
      <c r="G22" s="177"/>
      <c r="H22" s="177"/>
      <c r="I22" s="177"/>
      <c r="J22" s="177"/>
      <c r="K22" s="101"/>
      <c r="L22" s="174" t="s">
        <v>69</v>
      </c>
      <c r="M22" s="174"/>
      <c r="N22" s="52"/>
      <c r="O22" s="9"/>
    </row>
    <row r="23" spans="2:15" ht="33.75" x14ac:dyDescent="0.5">
      <c r="B23" s="7"/>
      <c r="C23" s="3"/>
      <c r="D23" s="100" t="s">
        <v>54</v>
      </c>
      <c r="E23" s="169" t="s">
        <v>67</v>
      </c>
      <c r="F23" s="170"/>
      <c r="G23" s="170"/>
      <c r="H23" s="170"/>
      <c r="I23" s="170"/>
      <c r="J23" s="170"/>
      <c r="K23" s="147"/>
      <c r="L23" s="151" t="s">
        <v>64</v>
      </c>
      <c r="M23" s="151"/>
      <c r="N23" s="53"/>
      <c r="O23" s="9"/>
    </row>
    <row r="24" spans="2:15" ht="33.75" x14ac:dyDescent="0.5">
      <c r="B24" s="7"/>
      <c r="C24" s="3"/>
      <c r="D24" s="100" t="s">
        <v>55</v>
      </c>
      <c r="E24" s="140">
        <v>2041</v>
      </c>
      <c r="F24" s="150" t="s">
        <v>8</v>
      </c>
      <c r="G24" s="162" t="s">
        <v>66</v>
      </c>
      <c r="H24" s="162"/>
      <c r="I24" s="150" t="s">
        <v>9</v>
      </c>
      <c r="J24" s="138" t="s">
        <v>59</v>
      </c>
      <c r="K24" s="101"/>
      <c r="L24" s="175" t="s">
        <v>70</v>
      </c>
      <c r="M24" s="175"/>
      <c r="N24" s="3"/>
      <c r="O24" s="9"/>
    </row>
    <row r="25" spans="2:15" ht="33.75" x14ac:dyDescent="0.5">
      <c r="B25" s="7"/>
      <c r="C25" s="3"/>
      <c r="D25" s="100" t="s">
        <v>56</v>
      </c>
      <c r="E25" s="178">
        <v>29835403</v>
      </c>
      <c r="F25" s="179"/>
      <c r="G25" s="179"/>
      <c r="H25" s="179"/>
      <c r="I25" s="179"/>
      <c r="J25" s="179"/>
      <c r="K25" s="101"/>
      <c r="L25" s="175" t="s">
        <v>75</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3" t="s">
        <v>23</v>
      </c>
      <c r="G27" s="164"/>
      <c r="H27" s="164"/>
      <c r="I27" s="164"/>
      <c r="J27" s="164"/>
      <c r="K27" s="165"/>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c r="E29" s="103"/>
      <c r="F29" s="117"/>
      <c r="G29" s="113"/>
      <c r="H29" s="113"/>
      <c r="I29" s="113"/>
      <c r="J29" s="113"/>
      <c r="K29" s="114"/>
      <c r="L29" s="104"/>
      <c r="M29" s="108"/>
      <c r="N29" s="54"/>
      <c r="O29" s="9"/>
    </row>
    <row r="30" spans="2:15" ht="30" x14ac:dyDescent="0.4">
      <c r="B30" s="7"/>
      <c r="C30" s="3"/>
      <c r="D30" s="139"/>
      <c r="E30" s="103"/>
      <c r="F30" s="117"/>
      <c r="G30" s="113"/>
      <c r="H30" s="113"/>
      <c r="I30" s="113"/>
      <c r="J30" s="113"/>
      <c r="K30" s="148"/>
      <c r="L30" s="104"/>
      <c r="M30" s="108"/>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203008</v>
      </c>
      <c r="E32" s="103">
        <v>3</v>
      </c>
      <c r="F32" s="117" t="s">
        <v>71</v>
      </c>
      <c r="G32" s="113"/>
      <c r="H32" s="113"/>
      <c r="I32" s="113"/>
      <c r="J32" s="113"/>
      <c r="K32" s="148"/>
      <c r="L32" s="104">
        <v>192.941</v>
      </c>
      <c r="M32" s="108">
        <f t="shared" si="0"/>
        <v>578.82299999999998</v>
      </c>
      <c r="N32" s="54"/>
      <c r="O32" s="9"/>
    </row>
    <row r="33" spans="2:15" ht="30" x14ac:dyDescent="0.4">
      <c r="B33" s="7"/>
      <c r="C33" s="3"/>
      <c r="D33" s="139"/>
      <c r="E33" s="103"/>
      <c r="F33" s="117" t="s">
        <v>72</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v>3</v>
      </c>
      <c r="F41" s="144"/>
      <c r="G41" s="148"/>
      <c r="H41" s="148"/>
      <c r="I41" s="148"/>
      <c r="J41" s="167" t="s">
        <v>74</v>
      </c>
      <c r="K41" s="168"/>
      <c r="L41" s="104">
        <f>+L32*15%</f>
        <v>28.94115</v>
      </c>
      <c r="M41" s="108">
        <f t="shared" si="0"/>
        <v>86.823450000000008</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+M32-M41</f>
        <v>491.99955</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93.479914500000007</v>
      </c>
      <c r="N46" s="54"/>
      <c r="O46" s="9"/>
    </row>
    <row r="47" spans="2:15" ht="35.25" x14ac:dyDescent="0.5">
      <c r="B47" s="7"/>
      <c r="C47" s="3"/>
      <c r="D47" s="145"/>
      <c r="E47" s="98"/>
      <c r="F47" s="94"/>
      <c r="G47" s="82"/>
      <c r="H47" s="81"/>
      <c r="I47" s="77"/>
      <c r="J47" s="83"/>
      <c r="K47" s="92"/>
      <c r="L47" s="131" t="s">
        <v>28</v>
      </c>
      <c r="M47" s="152">
        <v>586.08000000000004</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6" t="s">
        <v>73</v>
      </c>
      <c r="E50" s="166"/>
      <c r="F50" s="166"/>
      <c r="G50" s="166"/>
      <c r="H50" s="166"/>
      <c r="I50" s="166"/>
      <c r="J50" s="166"/>
      <c r="K50" s="166"/>
      <c r="L50" s="166"/>
      <c r="M50" s="116"/>
      <c r="N50" s="54"/>
      <c r="O50" s="9"/>
    </row>
    <row r="51" spans="1:16" ht="26.25" x14ac:dyDescent="0.4">
      <c r="B51" s="7"/>
      <c r="C51" s="3"/>
      <c r="D51" s="166"/>
      <c r="E51" s="166"/>
      <c r="F51" s="166"/>
      <c r="G51" s="166"/>
      <c r="H51" s="166"/>
      <c r="I51" s="166"/>
      <c r="J51" s="166"/>
      <c r="K51" s="166"/>
      <c r="L51" s="16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61"/>
      <c r="H53" s="161"/>
      <c r="I53" s="16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0" t="s">
        <v>52</v>
      </c>
      <c r="E59" s="160"/>
      <c r="F59" s="160"/>
      <c r="G59" s="160"/>
      <c r="H59" s="160"/>
      <c r="I59" s="160"/>
      <c r="J59" s="160"/>
      <c r="K59" s="160"/>
      <c r="L59" s="160"/>
      <c r="M59" s="87"/>
      <c r="N59" s="54"/>
      <c r="O59" s="9"/>
    </row>
    <row r="60" spans="1:16" ht="20.100000000000001" customHeight="1" x14ac:dyDescent="0.2">
      <c r="B60" s="7"/>
      <c r="C60" s="3"/>
      <c r="D60" s="160"/>
      <c r="E60" s="160"/>
      <c r="F60" s="160"/>
      <c r="G60" s="160"/>
      <c r="H60" s="160"/>
      <c r="I60" s="160"/>
      <c r="J60" s="160"/>
      <c r="K60" s="160"/>
      <c r="L60" s="160"/>
      <c r="M60" s="88"/>
      <c r="N60" s="54"/>
      <c r="O60" s="9"/>
    </row>
    <row r="61" spans="1:16" ht="15" x14ac:dyDescent="0.2">
      <c r="B61" s="7"/>
      <c r="C61" s="3"/>
      <c r="D61" s="160"/>
      <c r="E61" s="160"/>
      <c r="F61" s="160"/>
      <c r="G61" s="160"/>
      <c r="H61" s="160"/>
      <c r="I61" s="160"/>
      <c r="J61" s="160"/>
      <c r="K61" s="160"/>
      <c r="L61" s="16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E23:J23"/>
    <mergeCell ref="L18:L20"/>
    <mergeCell ref="L22:M22"/>
    <mergeCell ref="L24:M24"/>
    <mergeCell ref="L25:M25"/>
    <mergeCell ref="E22:J22"/>
    <mergeCell ref="E25:J25"/>
    <mergeCell ref="D59:L61"/>
    <mergeCell ref="G53:I53"/>
    <mergeCell ref="G24:H24"/>
    <mergeCell ref="F27:K27"/>
    <mergeCell ref="D50:L50"/>
    <mergeCell ref="D51:L51"/>
    <mergeCell ref="J41:K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21/05/2019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586.08000000000004</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2022-07-29T11:13:33Z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586.08</vt:r8>
  </property>
</Properties>
</file>