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<sst xmlns="http://schemas.openxmlformats.org/spreadsheetml/2006/main" count="98" uniqueCount="88">
  <si>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</si>
  <si>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</si>
  <si>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</si>
  <si>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</si>
  <si>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</si>
  <si>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</si>
  <si>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</si>
  <si>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</si>
  <si>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</si>
  <si>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</si>
  <si>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</si>
  <si>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</si>
  <si>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</si>
  <si>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</si>
  <si>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</si>
  <si>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</si>
  <si>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</si>
  <si>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</si>
  <si>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</si>
  <si>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</si>
  <si>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</si>
  <si>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</si>
  <si>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</si>
  <si>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</si>
  <si>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</si>
  <si>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</si>
  <si>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</si>
  <si>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</si>
  <si>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</si>
  <si>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</si>
  <si>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</si>
  <si>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</si>
  <si>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</si>
  <si>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</si>
  <si>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</si>
  <si>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</si>
  <si>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</si>
  <si>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</si>
  <si>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</si>
  <si>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</si>
  <si>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</si>
  <si>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</si>
  <si>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</si>
  <si>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</si>
  <si>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</si>
  <si>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</si>
  <si>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</si>
  <si>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</si>
  <si>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</si>
  <si>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</si>
  <si>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</si>
  <si>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</si>
  <si>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</si>
  <si>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</si>
  <si>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</si>
  <si>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</si>
  <si>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</si>
  <si>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</si>
  <si>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</si>
  <si>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</si>
  <si>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</si>
  <si>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</si>
  <si>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</si>
  <si>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</si>
  <si>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</si>
  <si>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</si>
  <si>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</si>
  <si>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MF:1004295G/A/M/000</t>
  </si>
  <si>
    <t>N° COMMANDE :</t>
  </si>
  <si>
    <t xml:space="preserve">Responsable: Mr LASSAD </t>
  </si>
  <si>
    <t>LDV006</t>
  </si>
  <si>
    <t>LDV009</t>
  </si>
  <si>
    <t>LDV012</t>
  </si>
  <si>
    <t>LDV020</t>
  </si>
  <si>
    <t>LDV030</t>
  </si>
  <si>
    <t>LDV036</t>
  </si>
  <si>
    <t>LDV046</t>
  </si>
  <si>
    <t>LDV066</t>
  </si>
  <si>
    <t>Ligne de vie 06m</t>
  </si>
  <si>
    <t>Ligne de vie 09m</t>
  </si>
  <si>
    <t>Ligne de vie 12m</t>
  </si>
  <si>
    <t>Ligne de vie 20m</t>
  </si>
  <si>
    <t>Ligne de vie 30m</t>
  </si>
  <si>
    <t>Ligne de vie 36m</t>
  </si>
  <si>
    <t>Ligne de vie 46m</t>
  </si>
  <si>
    <t>Ligne de vie 66m</t>
  </si>
  <si>
    <t>Date : 21/11/2019</t>
  </si>
  <si>
    <t>OFFRE DE PRIX             N° 201909968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</si>
</sst>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0" fontId="30" fillId="0" borderId="29" xfId="0" applyNumberFormat="1" applyFont="1" applyFill="1" applyBorder="1" applyAlignment="1"/>
    <xf numFmtId="0" fontId="41" fillId="6" borderId="0" xfId="0" applyFont="1" applyFill="1" applyBorder="1" applyAlignment="1">
      <alignment vertical="top"/>
    </xf>
    <xf numFmtId="0" fontId="2" fillId="0" borderId="0" xfId="0" applyFont="1" applyFill="1" applyBorder="1"/>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1889125</xdr:colOff>
      <xdr:row>48</xdr:row>
      <xdr:rowOff>269875</xdr:rowOff>
    </xdr:from>
    <xdr:to>
      <xdr:col>12</xdr:col>
      <xdr:colOff>1657350</xdr:colOff>
      <xdr:row>56</xdr:row>
      <xdr:rowOff>161925</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28250" y="14192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1" t="s">
        <v>87</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6" t="s">
        <v>64</v>
      </c>
      <c r="F22" s="196"/>
      <c r="G22" s="196"/>
      <c r="H22" s="196"/>
      <c r="I22" s="196"/>
      <c r="J22" s="196"/>
      <c r="K22" s="104"/>
      <c r="L22" s="194" t="s">
        <v>86</v>
      </c>
      <c r="M22" s="194"/>
      <c r="N22" s="52"/>
      <c r="O22" s="9"/>
    </row>
    <row r="23" spans="2:15" ht="33.75" x14ac:dyDescent="0.5">
      <c r="B23" s="7"/>
      <c r="C23" s="3"/>
      <c r="D23" s="103" t="s">
        <v>52</v>
      </c>
      <c r="E23" s="184" t="s">
        <v>65</v>
      </c>
      <c r="F23" s="184"/>
      <c r="G23" s="184"/>
      <c r="H23" s="184"/>
      <c r="I23" s="184"/>
      <c r="J23" s="184"/>
      <c r="K23" s="184"/>
      <c r="L23" s="195" t="s">
        <v>68</v>
      </c>
      <c r="M23" s="195"/>
      <c r="N23" s="53"/>
      <c r="O23" s="9"/>
    </row>
    <row r="24" spans="2:15" ht="33.75" x14ac:dyDescent="0.5">
      <c r="B24" s="7"/>
      <c r="C24" s="3"/>
      <c r="D24" s="103" t="s">
        <v>53</v>
      </c>
      <c r="E24" s="115"/>
      <c r="F24" s="105" t="s">
        <v>8</v>
      </c>
      <c r="G24" s="185"/>
      <c r="H24" s="185"/>
      <c r="I24" s="106" t="s">
        <v>9</v>
      </c>
      <c r="J24" s="107" t="s">
        <v>57</v>
      </c>
      <c r="K24" s="104"/>
      <c r="L24" s="195" t="s">
        <v>69</v>
      </c>
      <c r="M24" s="195"/>
      <c r="N24" s="3"/>
      <c r="O24" s="9"/>
    </row>
    <row r="25" spans="2:15" ht="33.75" x14ac:dyDescent="0.5">
      <c r="B25" s="7"/>
      <c r="C25" s="3"/>
      <c r="D25" s="103" t="s">
        <v>54</v>
      </c>
      <c r="E25" s="197" t="s">
        <v>66</v>
      </c>
      <c r="F25" s="197"/>
      <c r="G25" s="197"/>
      <c r="H25" s="197"/>
      <c r="I25" s="197"/>
      <c r="J25" s="197"/>
      <c r="K25" s="104"/>
      <c r="L25" s="195" t="s">
        <v>67</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6" t="s">
        <v>23</v>
      </c>
      <c r="G27" s="187"/>
      <c r="H27" s="187"/>
      <c r="I27" s="187"/>
      <c r="J27" s="187"/>
      <c r="K27" s="188"/>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68"/>
      <c r="K30" s="169"/>
      <c r="L30" s="111"/>
      <c r="M30" s="111" t="str">
        <f>IF(E30&lt;&gt;"",E30*L30,"")</f>
        <v/>
      </c>
      <c r="N30" s="54"/>
      <c r="O30" s="9"/>
    </row>
    <row r="31" spans="2:15" ht="30" x14ac:dyDescent="0.4">
      <c r="B31" s="7"/>
      <c r="C31" s="3"/>
      <c r="D31" s="161" t="s">
        <v>70</v>
      </c>
      <c r="E31" s="152">
        <v>1</v>
      </c>
      <c r="F31" s="121" t="s">
        <v>78</v>
      </c>
      <c r="G31" s="144"/>
      <c r="H31" s="144"/>
      <c r="I31" s="144"/>
      <c r="J31" s="167"/>
      <c r="K31" s="170"/>
      <c r="L31" s="171">
        <v>743.4</v>
      </c>
      <c r="M31" s="171">
        <f t="shared" ref="M31:M43" si="0">IF(E31&lt;&gt;"",E31*L31,"")</f>
        <v>743.4</v>
      </c>
      <c r="N31" s="54"/>
      <c r="O31" s="9"/>
    </row>
    <row r="32" spans="2:15" ht="30" x14ac:dyDescent="0.4">
      <c r="B32" s="7"/>
      <c r="C32" s="3"/>
      <c r="D32" s="161" t="s">
        <v>71</v>
      </c>
      <c r="E32" s="152">
        <v>1</v>
      </c>
      <c r="F32" s="121" t="s">
        <v>79</v>
      </c>
      <c r="G32" s="144"/>
      <c r="H32" s="144"/>
      <c r="I32" s="144"/>
      <c r="J32" s="167"/>
      <c r="K32" s="170"/>
      <c r="L32" s="171">
        <v>1115.0999999999999</v>
      </c>
      <c r="M32" s="171">
        <f t="shared" si="0"/>
        <v>1115.0999999999999</v>
      </c>
      <c r="N32" s="54"/>
      <c r="O32" s="9"/>
    </row>
    <row r="33" spans="2:15" ht="30" x14ac:dyDescent="0.4">
      <c r="B33" s="7"/>
      <c r="C33" s="3"/>
      <c r="D33" s="161" t="s">
        <v>72</v>
      </c>
      <c r="E33" s="152">
        <v>1</v>
      </c>
      <c r="F33" s="121" t="s">
        <v>80</v>
      </c>
      <c r="G33" s="144"/>
      <c r="H33" s="144"/>
      <c r="I33" s="144"/>
      <c r="J33" s="167"/>
      <c r="K33" s="170"/>
      <c r="L33" s="171">
        <v>1309</v>
      </c>
      <c r="M33" s="171">
        <f t="shared" si="0"/>
        <v>1309</v>
      </c>
      <c r="N33" s="95"/>
      <c r="O33" s="9"/>
    </row>
    <row r="34" spans="2:15" ht="30" x14ac:dyDescent="0.4">
      <c r="B34" s="7"/>
      <c r="C34" s="3"/>
      <c r="D34" s="161" t="s">
        <v>73</v>
      </c>
      <c r="E34" s="152">
        <v>1</v>
      </c>
      <c r="F34" s="121" t="s">
        <v>81</v>
      </c>
      <c r="G34" s="144"/>
      <c r="H34" s="144"/>
      <c r="I34" s="144"/>
      <c r="J34" s="167"/>
      <c r="K34" s="170"/>
      <c r="L34" s="171">
        <v>1596</v>
      </c>
      <c r="M34" s="171">
        <f t="shared" si="0"/>
        <v>1596</v>
      </c>
      <c r="N34" s="95"/>
      <c r="O34" s="9"/>
    </row>
    <row r="35" spans="2:15" ht="30" x14ac:dyDescent="0.4">
      <c r="B35" s="7"/>
      <c r="C35" s="3"/>
      <c r="D35" s="161" t="s">
        <v>74</v>
      </c>
      <c r="E35" s="152">
        <v>1</v>
      </c>
      <c r="F35" s="121" t="s">
        <v>82</v>
      </c>
      <c r="G35" s="144"/>
      <c r="H35" s="144"/>
      <c r="I35" s="144"/>
      <c r="J35" s="167"/>
      <c r="K35" s="170"/>
      <c r="L35" s="171">
        <v>1831</v>
      </c>
      <c r="M35" s="171">
        <f t="shared" si="0"/>
        <v>1831</v>
      </c>
      <c r="N35" s="95"/>
      <c r="O35" s="9"/>
    </row>
    <row r="36" spans="2:15" ht="30" x14ac:dyDescent="0.4">
      <c r="B36" s="7"/>
      <c r="C36" s="3"/>
      <c r="D36" s="161" t="s">
        <v>75</v>
      </c>
      <c r="E36" s="152">
        <v>1</v>
      </c>
      <c r="F36" s="121" t="s">
        <v>83</v>
      </c>
      <c r="G36" s="144"/>
      <c r="H36" s="144"/>
      <c r="I36" s="144"/>
      <c r="J36" s="167"/>
      <c r="K36" s="170"/>
      <c r="L36" s="171">
        <v>2014</v>
      </c>
      <c r="M36" s="171">
        <f t="shared" si="0"/>
        <v>2014</v>
      </c>
      <c r="N36" s="95"/>
      <c r="O36" s="9"/>
    </row>
    <row r="37" spans="2:15" ht="30" x14ac:dyDescent="0.4">
      <c r="B37" s="7"/>
      <c r="C37" s="3"/>
      <c r="D37" s="161" t="s">
        <v>76</v>
      </c>
      <c r="E37" s="152">
        <v>1</v>
      </c>
      <c r="F37" s="121" t="s">
        <v>84</v>
      </c>
      <c r="G37" s="144"/>
      <c r="H37" s="144"/>
      <c r="I37" s="144"/>
      <c r="J37" s="144"/>
      <c r="K37" s="145"/>
      <c r="L37" s="171">
        <v>2324.15</v>
      </c>
      <c r="M37" s="171">
        <f t="shared" si="0"/>
        <v>2324.15</v>
      </c>
      <c r="N37" s="54"/>
      <c r="O37" s="9"/>
    </row>
    <row r="38" spans="2:15" ht="30" x14ac:dyDescent="0.4">
      <c r="B38" s="7"/>
      <c r="C38" s="3"/>
      <c r="D38" s="161" t="s">
        <v>77</v>
      </c>
      <c r="E38" s="152">
        <v>1</v>
      </c>
      <c r="F38" s="121" t="s">
        <v>85</v>
      </c>
      <c r="G38" s="146"/>
      <c r="H38" s="146"/>
      <c r="I38" s="144"/>
      <c r="J38" s="144"/>
      <c r="K38" s="145"/>
      <c r="L38" s="171">
        <v>2910.6</v>
      </c>
      <c r="M38" s="171">
        <f t="shared" si="0"/>
        <v>2910.6</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74"/>
      <c r="I42" s="17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13843.25</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2630.2175000000002</v>
      </c>
      <c r="N46" s="54"/>
      <c r="O46" s="9"/>
    </row>
    <row r="47" spans="2:15" ht="35.25" x14ac:dyDescent="0.5">
      <c r="B47" s="7"/>
      <c r="C47" s="3"/>
      <c r="D47" s="85"/>
      <c r="E47" s="101"/>
      <c r="F47" s="97"/>
      <c r="G47" s="82"/>
      <c r="H47" s="81"/>
      <c r="I47" s="77"/>
      <c r="J47" s="83"/>
      <c r="K47" s="93"/>
      <c r="L47" s="109" t="s">
        <v>27</v>
      </c>
      <c r="M47" s="108">
        <f>+M44+M45+M46</f>
        <v>16474.067500000001</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3"/>
      <c r="E49" s="123"/>
      <c r="F49" s="101"/>
      <c r="G49" s="122"/>
      <c r="H49" s="122"/>
      <c r="I49" s="122"/>
      <c r="J49" s="87"/>
      <c r="K49" s="87"/>
      <c r="L49" s="109"/>
      <c r="M49" s="147"/>
      <c r="N49" s="54"/>
      <c r="O49" s="9"/>
    </row>
    <row r="50" spans="1:16" ht="15.75" x14ac:dyDescent="0.25">
      <c r="B50" s="7"/>
      <c r="C50" s="3"/>
      <c r="D50" s="189"/>
      <c r="E50" s="189"/>
      <c r="F50" s="189"/>
      <c r="G50" s="189"/>
      <c r="H50" s="189"/>
      <c r="I50" s="189"/>
      <c r="J50" s="189"/>
      <c r="K50" s="189"/>
      <c r="L50" s="189"/>
      <c r="M50" s="123"/>
      <c r="N50" s="54"/>
      <c r="O50" s="9"/>
    </row>
    <row r="51" spans="1:16" ht="26.25" x14ac:dyDescent="0.4">
      <c r="B51" s="7"/>
      <c r="C51" s="3"/>
      <c r="D51" s="190"/>
      <c r="E51" s="190"/>
      <c r="F51" s="190"/>
      <c r="G51" s="190"/>
      <c r="H51" s="190"/>
      <c r="I51" s="190"/>
      <c r="J51" s="190"/>
      <c r="K51" s="190"/>
      <c r="L51" s="190"/>
      <c r="M51" s="133"/>
      <c r="N51" s="54"/>
      <c r="O51" s="9"/>
    </row>
    <row r="52" spans="1:16" ht="26.25" x14ac:dyDescent="0.4">
      <c r="B52" s="7"/>
      <c r="C52" s="3"/>
      <c r="D52" s="123"/>
      <c r="E52" s="123"/>
      <c r="F52" s="133"/>
      <c r="G52" s="139"/>
      <c r="H52" s="139"/>
      <c r="I52" s="139"/>
      <c r="J52" s="78"/>
      <c r="K52" s="120"/>
      <c r="L52" s="172" t="s">
        <v>61</v>
      </c>
      <c r="M52" s="172"/>
      <c r="N52" s="113"/>
      <c r="O52" s="9"/>
    </row>
    <row r="53" spans="1:16" ht="23.25" x14ac:dyDescent="0.25">
      <c r="B53" s="7"/>
      <c r="C53" s="3"/>
      <c r="D53" s="123"/>
      <c r="E53" s="123"/>
      <c r="F53" s="140"/>
      <c r="G53" s="183"/>
      <c r="H53" s="183"/>
      <c r="I53" s="183"/>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2" t="s">
        <v>63</v>
      </c>
      <c r="E59" s="182"/>
      <c r="F59" s="182"/>
      <c r="G59" s="182"/>
      <c r="H59" s="182"/>
      <c r="I59" s="182"/>
      <c r="J59" s="182"/>
      <c r="K59" s="182"/>
      <c r="L59" s="182"/>
      <c r="M59" s="88"/>
      <c r="N59" s="92"/>
      <c r="O59" s="9"/>
    </row>
    <row r="60" spans="1:16" ht="15" customHeight="1" x14ac:dyDescent="0.2">
      <c r="B60" s="7"/>
      <c r="C60" s="3"/>
      <c r="D60" s="182"/>
      <c r="E60" s="182"/>
      <c r="F60" s="182"/>
      <c r="G60" s="182"/>
      <c r="H60" s="182"/>
      <c r="I60" s="182"/>
      <c r="J60" s="182"/>
      <c r="K60" s="182"/>
      <c r="L60" s="182"/>
      <c r="M60" s="89"/>
      <c r="N60" s="54"/>
      <c r="O60" s="9"/>
    </row>
    <row r="61" spans="1:16" ht="20.100000000000001" customHeight="1" x14ac:dyDescent="0.2">
      <c r="B61" s="7"/>
      <c r="C61" s="3"/>
      <c r="D61" s="182"/>
      <c r="E61" s="182"/>
      <c r="F61" s="182"/>
      <c r="G61" s="182"/>
      <c r="H61" s="182"/>
      <c r="I61" s="182"/>
      <c r="J61" s="182"/>
      <c r="K61" s="182"/>
      <c r="L61" s="18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21/11/2019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16474.067500000001</v>
      </c>
      <c r="K8" s="64" t="str">
        <f>Facture!$L$24</f>
        <v xml:space="preserve">Responsable: Mr LASSAD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2019-11-21T10:20:45Z</cp:lastPrinted>
  <dcterms:created xsi:type="dcterms:W3CDTF">1995-05-29T15:50:39Z</dcterms:created>
  <dcterms:modified xsi:type="dcterms:W3CDTF">2019-11-21T10:41:10Z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16474.0675</vt:r8>
  </property>
</Properties>
</file>