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7" i="3" l="1"/>
  <c r="M31" i="3"/>
  <c r="M32" i="3"/>
  <c r="M33" i="3"/>
  <c r="M40" i="3" l="1"/>
  <c r="M41" i="3"/>
  <c r="M42" i="3"/>
  <c r="M43" i="3"/>
  <c r="M44" i="3"/>
  <c r="M45" i="3"/>
  <c r="M46" i="3"/>
  <c r="M29" i="3"/>
  <c r="M30" i="3"/>
  <c r="M28" i="3" l="1"/>
  <c r="M34" i="3"/>
  <c r="M36" i="3"/>
  <c r="M37" i="3"/>
  <c r="M38" i="3"/>
  <c r="M39"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<sst xmlns="http://schemas.openxmlformats.org/spreadsheetml/2006/main" count="86" uniqueCount="76">
  <si>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</si>
  <si>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</si>
  <si>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</si>
  <si>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</si>
  <si>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</si>
  <si>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</si>
  <si>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</si>
  <si>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</si>
  <si>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</si>
  <si>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</si>
  <si>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</si>
  <si>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</si>
  <si>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</si>
  <si>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</si>
  <si>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</si>
  <si>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</si>
  <si>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</si>
  <si>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</si>
  <si>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</si>
  <si>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</si>
  <si>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</si>
  <si>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</si>
  <si>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</si>
  <si>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</si>
  <si>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</si>
  <si>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</si>
  <si>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</si>
  <si>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</si>
  <si>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</si>
  <si>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</si>
  <si>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</si>
  <si>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</si>
  <si>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</si>
  <si>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</si>
  <si>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</si>
  <si>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</si>
  <si>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</si>
  <si>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</si>
  <si>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</si>
  <si>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</si>
  <si>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</si>
  <si>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</si>
  <si>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</si>
  <si>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</si>
  <si>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</si>
  <si>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</si>
  <si>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</si>
  <si>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</si>
  <si>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</si>
  <si>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</si>
  <si>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</si>
  <si>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</si>
  <si>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</si>
  <si>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</si>
  <si>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</si>
  <si>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</si>
  <si>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</si>
  <si>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</si>
  <si>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</si>
  <si>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</si>
  <si>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</si>
  <si>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</si>
  <si>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</si>
  <si>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</si>
  <si>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</si>
  <si>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INTERCOM TECHNOLOGIES</t>
  </si>
  <si>
    <t>MF:</t>
  </si>
  <si>
    <t>Responsable: MR Hamdi Essai</t>
  </si>
  <si>
    <t>Date : 17/05/2019</t>
  </si>
  <si>
    <t>GFJ001</t>
  </si>
  <si>
    <t>Offre de prix 201906585</t>
  </si>
  <si>
    <t>GILET FLUORESCENT  JAUNE</t>
  </si>
  <si>
    <t>GILET FLUORESCENT ORANGE</t>
  </si>
  <si>
    <t>GFO002</t>
  </si>
  <si>
    <t xml:space="preserve">Poulie </t>
  </si>
  <si>
    <t xml:space="preserve">ARRETE LA PRESENTE DEVIS  A LA SOMME DE:  DEUX MILLE CENT SOIXANTE DIX HUIT DINARS ET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</si>
</sst>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16"/>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1" zoomScale="60" zoomScaleNormal="60" workbookViewId="0">
      <selection activeCell="L43" sqref="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70</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65</v>
      </c>
      <c r="F22" s="175"/>
      <c r="G22" s="175"/>
      <c r="H22" s="175"/>
      <c r="I22" s="175"/>
      <c r="J22" s="175"/>
      <c r="K22" s="104"/>
      <c r="L22" s="173" t="s">
        <v>68</v>
      </c>
      <c r="M22" s="173"/>
      <c r="N22" s="52"/>
      <c r="O22" s="9"/>
    </row>
    <row r="23" spans="2:15" ht="33.75" x14ac:dyDescent="0.5">
      <c r="B23" s="7"/>
      <c r="C23" s="3"/>
      <c r="D23" s="103" t="s">
        <v>54</v>
      </c>
      <c r="E23" s="180"/>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74" t="s">
        <v>67</v>
      </c>
      <c r="M24" s="174"/>
      <c r="N24" s="3"/>
      <c r="O24" s="9"/>
    </row>
    <row r="25" spans="2:15" ht="33.75" x14ac:dyDescent="0.5">
      <c r="B25" s="7"/>
      <c r="C25" s="3"/>
      <c r="D25" s="103" t="s">
        <v>56</v>
      </c>
      <c r="E25" s="176">
        <v>24231858</v>
      </c>
      <c r="F25" s="177"/>
      <c r="G25" s="177"/>
      <c r="H25" s="177"/>
      <c r="I25" s="177"/>
      <c r="J25" s="177"/>
      <c r="K25" s="104"/>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4" t="s">
        <v>69</v>
      </c>
      <c r="E28" s="155">
        <v>25</v>
      </c>
      <c r="F28" s="122" t="s">
        <v>71</v>
      </c>
      <c r="G28" s="144"/>
      <c r="H28" s="144"/>
      <c r="I28" s="144"/>
      <c r="J28" s="144"/>
      <c r="K28" s="145"/>
      <c r="L28" s="112">
        <v>37</v>
      </c>
      <c r="M28" s="118">
        <f>IF(E28&lt;&gt;"",E28*L28,"")</f>
        <v>925</v>
      </c>
      <c r="N28" s="54"/>
      <c r="O28" s="9"/>
    </row>
    <row r="29" spans="2:15" ht="30" x14ac:dyDescent="0.4">
      <c r="B29" s="7"/>
      <c r="C29" s="3"/>
      <c r="D29" s="154"/>
      <c r="E29" s="111"/>
      <c r="F29" s="156"/>
      <c r="G29" s="146"/>
      <c r="H29" s="146"/>
      <c r="I29" s="146"/>
      <c r="J29" s="146"/>
      <c r="K29" s="147"/>
      <c r="L29" s="112"/>
      <c r="M29" s="118" t="str">
        <f>IF(E29&lt;&gt;"",E29*L29,"")</f>
        <v/>
      </c>
      <c r="N29" s="54"/>
      <c r="O29" s="9"/>
    </row>
    <row r="30" spans="2:15" ht="30" x14ac:dyDescent="0.4">
      <c r="B30" s="7"/>
      <c r="C30" s="3"/>
      <c r="D30" s="154" t="s">
        <v>73</v>
      </c>
      <c r="E30" s="111">
        <v>5</v>
      </c>
      <c r="F30" s="156" t="s">
        <v>72</v>
      </c>
      <c r="G30" s="146"/>
      <c r="H30" s="146"/>
      <c r="I30" s="146"/>
      <c r="J30" s="146"/>
      <c r="K30" s="147"/>
      <c r="L30" s="112">
        <v>37</v>
      </c>
      <c r="M30" s="118">
        <f t="shared" ref="M30:M46" si="0">IF(E30&lt;&gt;"",E30*L30,"")</f>
        <v>185</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v>2152</v>
      </c>
      <c r="E32" s="111">
        <v>6</v>
      </c>
      <c r="F32" s="156" t="s">
        <v>74</v>
      </c>
      <c r="G32" s="146"/>
      <c r="H32" s="148"/>
      <c r="I32" s="146"/>
      <c r="J32" s="146"/>
      <c r="K32" s="147"/>
      <c r="L32" s="113">
        <v>120</v>
      </c>
      <c r="M32" s="118">
        <f t="shared" si="0"/>
        <v>720</v>
      </c>
      <c r="N32" s="54"/>
      <c r="O32" s="9"/>
    </row>
    <row r="33" spans="2:15" ht="30" x14ac:dyDescent="0.4">
      <c r="B33" s="7"/>
      <c r="C33" s="3"/>
      <c r="D33" s="154"/>
      <c r="E33" s="111"/>
      <c r="F33" s="156"/>
      <c r="G33" s="146"/>
      <c r="H33" s="148"/>
      <c r="I33" s="146"/>
      <c r="J33" s="146"/>
      <c r="K33" s="147"/>
      <c r="L33" s="113"/>
      <c r="M33" s="118" t="str">
        <f t="shared" si="0"/>
        <v/>
      </c>
      <c r="N33" s="54"/>
      <c r="O33" s="9"/>
    </row>
    <row r="34" spans="2:15" ht="30" x14ac:dyDescent="0.4">
      <c r="B34" s="7"/>
      <c r="C34" s="3"/>
      <c r="D34" s="154"/>
      <c r="E34" s="111"/>
      <c r="F34" s="156"/>
      <c r="G34" s="146"/>
      <c r="H34" s="146"/>
      <c r="I34" s="146"/>
      <c r="J34" s="146"/>
      <c r="K34" s="147"/>
      <c r="L34" s="113"/>
      <c r="M34" s="118" t="str">
        <f t="shared" si="0"/>
        <v/>
      </c>
      <c r="N34" s="54"/>
      <c r="O34" s="9"/>
    </row>
    <row r="35" spans="2:15" ht="30" x14ac:dyDescent="0.4">
      <c r="B35" s="7"/>
      <c r="C35" s="3"/>
      <c r="D35" s="154"/>
      <c r="E35" s="111"/>
      <c r="F35" s="156"/>
      <c r="G35" s="146"/>
      <c r="H35" s="146"/>
      <c r="I35" s="146"/>
      <c r="J35" s="146"/>
      <c r="K35" s="147"/>
      <c r="L35" s="113"/>
      <c r="M35" s="118"/>
      <c r="N35" s="54"/>
      <c r="O35" s="9"/>
    </row>
    <row r="36" spans="2:15" ht="30" x14ac:dyDescent="0.4">
      <c r="B36" s="7"/>
      <c r="C36" s="3"/>
      <c r="D36" s="154"/>
      <c r="E36" s="111"/>
      <c r="F36" s="122"/>
      <c r="G36" s="146"/>
      <c r="H36" s="146"/>
      <c r="I36" s="146"/>
      <c r="J36" s="146"/>
      <c r="K36" s="147"/>
      <c r="L36" s="113"/>
      <c r="M36" s="118" t="str">
        <f t="shared" si="0"/>
        <v/>
      </c>
      <c r="N36" s="95"/>
      <c r="O36" s="9"/>
    </row>
    <row r="37" spans="2:15" ht="30" x14ac:dyDescent="0.4">
      <c r="B37" s="7"/>
      <c r="C37" s="3"/>
      <c r="D37" s="154"/>
      <c r="E37" s="111"/>
      <c r="F37" s="161"/>
      <c r="G37" s="162"/>
      <c r="H37" s="162"/>
      <c r="I37" s="162"/>
      <c r="J37" s="146"/>
      <c r="K37" s="147"/>
      <c r="L37" s="113"/>
      <c r="M37" s="118" t="str">
        <f t="shared" si="0"/>
        <v/>
      </c>
      <c r="N37" s="95"/>
      <c r="O37" s="9"/>
    </row>
    <row r="38" spans="2:15" ht="30" x14ac:dyDescent="0.4">
      <c r="B38" s="7"/>
      <c r="C38" s="3"/>
      <c r="D38" s="154"/>
      <c r="E38" s="111"/>
      <c r="F38" s="158"/>
      <c r="G38" s="146"/>
      <c r="H38" s="146"/>
      <c r="I38" s="146"/>
      <c r="J38" s="146"/>
      <c r="K38" s="147"/>
      <c r="L38" s="113"/>
      <c r="M38" s="118" t="str">
        <f t="shared" si="0"/>
        <v/>
      </c>
      <c r="N38" s="95"/>
      <c r="O38" s="9"/>
    </row>
    <row r="39" spans="2:15" ht="30" x14ac:dyDescent="0.4">
      <c r="B39" s="7"/>
      <c r="C39" s="3"/>
      <c r="D39" s="154"/>
      <c r="E39" s="111"/>
      <c r="F39" s="122"/>
      <c r="G39" s="146"/>
      <c r="H39" s="146"/>
      <c r="I39" s="146"/>
      <c r="J39" s="146"/>
      <c r="K39" s="147"/>
      <c r="L39" s="113"/>
      <c r="M39" s="118" t="str">
        <f t="shared" si="0"/>
        <v/>
      </c>
      <c r="N39" s="95"/>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4"/>
      <c r="E44" s="111"/>
      <c r="F44" s="122"/>
      <c r="G44" s="146"/>
      <c r="H44" s="146"/>
      <c r="I44" s="146"/>
      <c r="J44" s="146"/>
      <c r="K44" s="147"/>
      <c r="L44" s="113"/>
      <c r="M44" s="118" t="str">
        <f t="shared" si="0"/>
        <v/>
      </c>
      <c r="N44" s="54"/>
      <c r="O44" s="9"/>
    </row>
    <row r="45" spans="2:15" ht="30" x14ac:dyDescent="0.4">
      <c r="B45" s="7"/>
      <c r="C45" s="3"/>
      <c r="D45" s="154"/>
      <c r="E45" s="111"/>
      <c r="F45" s="122"/>
      <c r="G45" s="146"/>
      <c r="H45" s="146"/>
      <c r="I45" s="146"/>
      <c r="J45" s="146"/>
      <c r="K45" s="147"/>
      <c r="L45" s="113"/>
      <c r="M45" s="118" t="str">
        <f t="shared" si="0"/>
        <v/>
      </c>
      <c r="N45" s="54"/>
      <c r="O45" s="9"/>
    </row>
    <row r="46" spans="2:15" ht="30" x14ac:dyDescent="0.4">
      <c r="B46" s="7"/>
      <c r="C46" s="3"/>
      <c r="D46" s="157"/>
      <c r="E46" s="150"/>
      <c r="F46" s="151"/>
      <c r="G46" s="142"/>
      <c r="H46" s="142"/>
      <c r="I46" s="142"/>
      <c r="J46" s="142"/>
      <c r="K46" s="143"/>
      <c r="L46" s="152"/>
      <c r="M46" s="153" t="str">
        <f t="shared" si="0"/>
        <v/>
      </c>
      <c r="N46" s="54"/>
      <c r="O46" s="9"/>
    </row>
    <row r="47" spans="2:15" ht="35.25" x14ac:dyDescent="0.5">
      <c r="B47" s="7"/>
      <c r="C47" s="3"/>
      <c r="D47" s="85"/>
      <c r="E47" s="96"/>
      <c r="F47" s="128"/>
      <c r="G47" s="125"/>
      <c r="H47" s="125"/>
      <c r="I47" s="125"/>
      <c r="J47" s="126"/>
      <c r="K47" s="127"/>
      <c r="L47" s="130" t="s">
        <v>26</v>
      </c>
      <c r="M47" s="135">
        <f>SUM(M28:M46)</f>
        <v>1830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347.7</v>
      </c>
      <c r="N49" s="54"/>
      <c r="O49" s="9"/>
    </row>
    <row r="50" spans="2:16" ht="35.25" x14ac:dyDescent="0.5">
      <c r="B50" s="7"/>
      <c r="C50" s="3"/>
      <c r="D50" s="85"/>
      <c r="E50" s="101"/>
      <c r="F50" s="97"/>
      <c r="G50" s="82"/>
      <c r="H50" s="81"/>
      <c r="I50" s="77"/>
      <c r="J50" s="83"/>
      <c r="K50" s="93"/>
      <c r="L50" s="110" t="s">
        <v>28</v>
      </c>
      <c r="M50" s="109">
        <f>+M47+M48+M49</f>
        <v>2178.2999999999997</v>
      </c>
      <c r="N50" s="54"/>
      <c r="O50" s="9"/>
    </row>
    <row r="51" spans="2:16" ht="18" x14ac:dyDescent="0.2">
      <c r="B51" s="7"/>
      <c r="C51" s="3"/>
      <c r="D51" s="76"/>
      <c r="E51" s="86"/>
      <c r="F51" s="100"/>
      <c r="G51" s="77"/>
      <c r="H51" s="64"/>
      <c r="I51" s="77"/>
      <c r="J51" s="84" t="s">
        <v>27</v>
      </c>
      <c r="K51" s="78"/>
      <c r="L51" s="148"/>
      <c r="M51" s="148"/>
      <c r="N51" s="54"/>
      <c r="O51" s="9"/>
    </row>
    <row r="52" spans="2:16" ht="35.25" x14ac:dyDescent="0.5">
      <c r="B52" s="7"/>
      <c r="C52" s="3"/>
      <c r="D52" s="124"/>
      <c r="E52" s="124"/>
      <c r="F52" s="101"/>
      <c r="G52" s="123"/>
      <c r="H52" s="123"/>
      <c r="I52" s="123"/>
      <c r="J52" s="87"/>
      <c r="K52" s="87"/>
      <c r="L52" s="110"/>
      <c r="M52" s="149"/>
      <c r="N52" s="54"/>
      <c r="O52" s="9"/>
    </row>
    <row r="53" spans="2:16" x14ac:dyDescent="0.2">
      <c r="B53" s="7"/>
      <c r="C53" s="3"/>
      <c r="D53" s="185" t="s">
        <v>75</v>
      </c>
      <c r="E53" s="185"/>
      <c r="F53" s="185"/>
      <c r="G53" s="185"/>
      <c r="H53" s="185"/>
      <c r="I53" s="185"/>
      <c r="J53" s="185"/>
      <c r="K53" s="185"/>
      <c r="L53" s="185"/>
      <c r="M53" s="124"/>
      <c r="N53" s="54"/>
      <c r="O53" s="9"/>
    </row>
    <row r="54" spans="2:16" ht="26.25" x14ac:dyDescent="0.4">
      <c r="B54" s="7"/>
      <c r="C54" s="3"/>
      <c r="D54" s="185"/>
      <c r="E54" s="185"/>
      <c r="F54" s="185"/>
      <c r="G54" s="185"/>
      <c r="H54" s="185"/>
      <c r="I54" s="185"/>
      <c r="J54" s="185"/>
      <c r="K54" s="185"/>
      <c r="L54" s="185"/>
      <c r="M54" s="134"/>
      <c r="N54" s="54"/>
      <c r="O54" s="9"/>
    </row>
    <row r="55" spans="2:16" ht="26.25" x14ac:dyDescent="0.4">
      <c r="B55" s="7"/>
      <c r="C55" s="3"/>
      <c r="D55" s="124"/>
      <c r="E55" s="124"/>
      <c r="F55" s="134"/>
      <c r="G55" s="140"/>
      <c r="H55" s="140"/>
      <c r="I55" s="140"/>
      <c r="J55" s="78"/>
      <c r="K55" s="121"/>
      <c r="L55" s="159" t="s">
        <v>63</v>
      </c>
      <c r="M55" s="159"/>
      <c r="N55" s="115"/>
      <c r="O55" s="9"/>
    </row>
    <row r="56" spans="2:16" ht="23.25" x14ac:dyDescent="0.25">
      <c r="B56" s="7"/>
      <c r="C56" s="3"/>
      <c r="D56" s="124"/>
      <c r="E56" s="124"/>
      <c r="F56" s="141"/>
      <c r="G56" s="179"/>
      <c r="H56" s="179"/>
      <c r="I56" s="17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9"/>
    </row>
    <row r="59" spans="2:16" ht="20.25" x14ac:dyDescent="0.3">
      <c r="B59" s="7"/>
      <c r="C59" s="3"/>
      <c r="D59" s="119" t="s">
        <v>60</v>
      </c>
      <c r="E59" s="160"/>
      <c r="F59" s="78"/>
      <c r="G59" s="78"/>
      <c r="H59" s="78"/>
      <c r="I59" s="78"/>
      <c r="J59" s="78"/>
      <c r="K59" s="88"/>
      <c r="L59" s="88"/>
      <c r="M59" s="89"/>
      <c r="N59" s="54"/>
      <c r="O59" s="136"/>
      <c r="P59" s="137"/>
    </row>
    <row r="60" spans="2:16" ht="20.25" x14ac:dyDescent="0.3">
      <c r="B60" s="7"/>
      <c r="C60" s="3"/>
      <c r="D60" s="120" t="s">
        <v>61</v>
      </c>
      <c r="E60" s="120"/>
      <c r="F60" s="78"/>
      <c r="G60" s="78"/>
      <c r="H60" s="78"/>
      <c r="I60" s="78"/>
      <c r="J60" s="80"/>
      <c r="K60" s="88"/>
      <c r="L60" s="88"/>
      <c r="M60" s="88"/>
      <c r="N60" s="92"/>
      <c r="O60" s="138"/>
      <c r="P60" s="139"/>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78" t="s">
        <v>52</v>
      </c>
      <c r="E62" s="178"/>
      <c r="F62" s="178"/>
      <c r="G62" s="178"/>
      <c r="H62" s="178"/>
      <c r="I62" s="178"/>
      <c r="J62" s="178"/>
      <c r="K62" s="178"/>
      <c r="L62" s="178"/>
      <c r="M62" s="88"/>
      <c r="N62" s="92"/>
      <c r="O62" s="9"/>
    </row>
    <row r="63" spans="2:16" ht="15" customHeight="1" x14ac:dyDescent="0.2">
      <c r="B63" s="7"/>
      <c r="C63" s="3"/>
      <c r="D63" s="178"/>
      <c r="E63" s="178"/>
      <c r="F63" s="178"/>
      <c r="G63" s="178"/>
      <c r="H63" s="178"/>
      <c r="I63" s="178"/>
      <c r="J63" s="178"/>
      <c r="K63" s="178"/>
      <c r="L63" s="178"/>
      <c r="M63" s="89"/>
      <c r="N63" s="54"/>
      <c r="O63" s="9"/>
    </row>
    <row r="64" spans="2:16" ht="20.100000000000001" customHeight="1" x14ac:dyDescent="0.2">
      <c r="B64" s="7"/>
      <c r="C64" s="3"/>
      <c r="D64" s="178"/>
      <c r="E64" s="178"/>
      <c r="F64" s="178"/>
      <c r="G64" s="178"/>
      <c r="H64" s="178"/>
      <c r="I64" s="178"/>
      <c r="J64" s="178"/>
      <c r="K64" s="178"/>
      <c r="L64" s="178"/>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2"/>
      <c r="B67" s="13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17/05/2019</v>
      </c>
      <c r="D8" s="67" t="str">
        <f>Facture!$E$22</f>
        <v>INTERCOM TECHNOLOGIES</v>
      </c>
      <c r="E8" s="64">
        <f>Facture!$E$23</f>
        <v>0</v>
      </c>
      <c r="F8" s="64">
        <f>Facture!$E$24</f>
        <v>0</v>
      </c>
      <c r="G8" s="67">
        <f>Facture!$G$24</f>
        <v>0</v>
      </c>
      <c r="H8" s="67" t="str">
        <f>Facture!$J$24</f>
        <v>TN</v>
      </c>
      <c r="I8" s="64">
        <f>Facture!$E$25</f>
        <v>24231858</v>
      </c>
      <c r="J8" s="68">
        <f>Facture!$M$50</f>
        <v>2178.2999999999997</v>
      </c>
      <c r="K8" s="64" t="str">
        <f>Facture!$L$24</f>
        <v>Responsable: MR Hamdi Essai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2019-05-17T10:33:55Z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INTERCOM TECHNOLOGIES</vt:lpwstr>
  </property>
  <property fmtid="{D5CDD505-2E9C-101B-9397-08002B2CF9AE}" pid="11" name="Montant de la facture" linkTarget="TOT">
    <vt:r8>2178.3</vt:r8>
  </property>
</Properties>
</file>