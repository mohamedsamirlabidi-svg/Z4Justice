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<sst xmlns="http://schemas.openxmlformats.org/spreadsheetml/2006/main" count="93" uniqueCount="83">
  <si>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</si>
  <si>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</si>
  <si>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</si>
  <si>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</si>
  <si>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</si>
  <si>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</si>
  <si>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</si>
  <si>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</si>
  <si>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</si>
  <si>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</si>
  <si>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</si>
  <si>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</si>
  <si>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</si>
  <si>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</si>
  <si>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</si>
  <si>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</si>
  <si>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</si>
  <si>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</si>
  <si>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</si>
  <si>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</si>
  <si>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</si>
  <si>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</si>
  <si>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</si>
  <si>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</si>
  <si>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</si>
  <si>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</si>
  <si>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</si>
  <si>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</si>
  <si>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</si>
  <si>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</si>
  <si>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</si>
  <si>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</si>
  <si>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</si>
  <si>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</si>
  <si>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</si>
  <si>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</si>
  <si>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</si>
  <si>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</si>
  <si>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</si>
  <si>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</si>
  <si>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</si>
  <si>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</si>
  <si>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</si>
  <si>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</si>
  <si>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</si>
  <si>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</si>
  <si>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</si>
  <si>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</si>
  <si>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</si>
  <si>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</si>
  <si>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</si>
  <si>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</si>
  <si>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</si>
  <si>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</si>
  <si>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</si>
  <si>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</si>
  <si>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</si>
  <si>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</si>
  <si>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</si>
  <si>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</si>
  <si>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</si>
  <si>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</si>
  <si>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</si>
  <si>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</si>
  <si>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</si>
  <si>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</si>
  <si>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</si>
  <si>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</si>
  <si>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</si>
  <si>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Responsable:Dous Boutheyna</t>
  </si>
  <si>
    <t>GANTS</t>
  </si>
  <si>
    <t>CORDE POLYAMIDE 12mm</t>
  </si>
  <si>
    <t>1084P012</t>
  </si>
  <si>
    <t xml:space="preserve">LONGE DOUBLE CORDAGE </t>
  </si>
  <si>
    <t>Facture 2019003</t>
  </si>
  <si>
    <t>Date : 06/03/2019</t>
  </si>
  <si>
    <t>Réf commande: 2022315</t>
  </si>
  <si>
    <t>ARRETE LE PRESENTE FACTURE A LA SOMME DE :CINQ MILLE SEPT CENT TRENTE HUIT DINARS ET 780 MILLIMES</t>
  </si>
  <si>
    <t>ID:0176/0117</t>
  </si>
  <si>
    <t>ID:0109/0117</t>
  </si>
  <si>
    <t>ID:0170/0117</t>
  </si>
  <si>
    <t>ID:0108/0117</t>
  </si>
  <si>
    <t>ID:0074/1115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</si>
</sst>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I37" sqref="I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74</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75</v>
      </c>
      <c r="M22" s="173"/>
      <c r="N22" s="52"/>
      <c r="O22" s="9"/>
    </row>
    <row r="23" spans="2:15" ht="33.75" x14ac:dyDescent="0.5">
      <c r="B23" s="7"/>
      <c r="C23" s="3"/>
      <c r="D23" s="95" t="s">
        <v>54</v>
      </c>
      <c r="E23" s="163" t="s">
        <v>66</v>
      </c>
      <c r="F23" s="163"/>
      <c r="G23" s="163"/>
      <c r="H23" s="163"/>
      <c r="I23" s="163"/>
      <c r="J23" s="163"/>
      <c r="K23" s="163"/>
      <c r="L23" s="97" t="s">
        <v>76</v>
      </c>
      <c r="M23" s="97"/>
      <c r="N23" s="53"/>
      <c r="O23" s="9"/>
    </row>
    <row r="24" spans="2:15" ht="33.75" x14ac:dyDescent="0.5">
      <c r="B24" s="7"/>
      <c r="C24" s="3"/>
      <c r="D24" s="95" t="s">
        <v>55</v>
      </c>
      <c r="E24" s="109">
        <v>1080</v>
      </c>
      <c r="F24" s="98" t="s">
        <v>8</v>
      </c>
      <c r="G24" s="164"/>
      <c r="H24" s="164"/>
      <c r="I24" s="99" t="s">
        <v>9</v>
      </c>
      <c r="J24" s="100" t="s">
        <v>59</v>
      </c>
      <c r="K24" s="96"/>
      <c r="L24" s="174" t="s">
        <v>69</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t="s">
        <v>72</v>
      </c>
      <c r="E28" s="145">
        <v>400</v>
      </c>
      <c r="F28" s="114" t="s">
        <v>71</v>
      </c>
      <c r="G28" s="135"/>
      <c r="H28" s="135"/>
      <c r="I28" s="137"/>
      <c r="J28" s="137"/>
      <c r="K28" s="138"/>
      <c r="L28" s="104">
        <v>4.5999999999999996</v>
      </c>
      <c r="M28" s="110">
        <f t="shared" ref="M28:M34" si="0">IF(E28&lt;&gt;"",E28*L28,"")</f>
        <v>1839.9999999999998</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v>2122</v>
      </c>
      <c r="E30" s="145">
        <v>28</v>
      </c>
      <c r="F30" s="151" t="s">
        <v>70</v>
      </c>
      <c r="G30" s="135"/>
      <c r="H30" s="135"/>
      <c r="I30" s="137"/>
      <c r="J30" s="137"/>
      <c r="K30" s="138"/>
      <c r="L30" s="104">
        <v>75</v>
      </c>
      <c r="M30" s="110">
        <f t="shared" si="0"/>
        <v>2100</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v>203008</v>
      </c>
      <c r="E33" s="145">
        <v>5</v>
      </c>
      <c r="F33" s="114" t="s">
        <v>73</v>
      </c>
      <c r="G33" s="135"/>
      <c r="H33" s="137"/>
      <c r="I33" s="137"/>
      <c r="J33" s="137"/>
      <c r="K33" s="138"/>
      <c r="L33" s="104">
        <v>176.4</v>
      </c>
      <c r="M33" s="110">
        <f t="shared" si="0"/>
        <v>882</v>
      </c>
      <c r="N33" s="87"/>
      <c r="O33" s="9"/>
    </row>
    <row r="34" spans="2:15" ht="30" x14ac:dyDescent="0.4">
      <c r="B34" s="7"/>
      <c r="C34" s="3"/>
      <c r="D34" s="143"/>
      <c r="E34" s="103"/>
      <c r="F34" s="142" t="s">
        <v>78</v>
      </c>
      <c r="G34" s="135"/>
      <c r="H34" s="137"/>
      <c r="I34" s="137"/>
      <c r="J34" s="137"/>
      <c r="K34" s="138"/>
      <c r="L34" s="104"/>
      <c r="M34" s="110" t="str">
        <f t="shared" si="0"/>
        <v/>
      </c>
      <c r="N34" s="87"/>
      <c r="O34" s="9"/>
    </row>
    <row r="35" spans="2:15" ht="30" x14ac:dyDescent="0.4">
      <c r="B35" s="7"/>
      <c r="C35" s="3"/>
      <c r="D35" s="144"/>
      <c r="E35" s="102"/>
      <c r="F35" s="142" t="s">
        <v>82</v>
      </c>
      <c r="G35" s="135"/>
      <c r="H35" s="135"/>
      <c r="I35" s="135"/>
      <c r="J35" s="135"/>
      <c r="K35" s="136"/>
      <c r="L35" s="104"/>
      <c r="M35" s="110" t="str">
        <f t="shared" ref="M35:M42" si="1">IF(E35&lt;&gt;"",E35*L35,"")</f>
        <v/>
      </c>
      <c r="N35" s="54"/>
      <c r="O35" s="9"/>
    </row>
    <row r="36" spans="2:15" ht="30" x14ac:dyDescent="0.4">
      <c r="B36" s="7"/>
      <c r="C36" s="3"/>
      <c r="D36" s="144"/>
      <c r="E36" s="102"/>
      <c r="F36" s="142" t="s">
        <v>79</v>
      </c>
      <c r="G36" s="135"/>
      <c r="H36" s="135"/>
      <c r="I36" s="135"/>
      <c r="J36" s="135"/>
      <c r="K36" s="136"/>
      <c r="L36" s="104"/>
      <c r="M36" s="110"/>
      <c r="N36" s="54"/>
      <c r="O36" s="9"/>
    </row>
    <row r="37" spans="2:15" ht="30" x14ac:dyDescent="0.4">
      <c r="B37" s="7"/>
      <c r="C37" s="3"/>
      <c r="D37" s="139"/>
      <c r="E37" s="102"/>
      <c r="F37" s="142" t="s">
        <v>80</v>
      </c>
      <c r="G37" s="135"/>
      <c r="H37" s="135"/>
      <c r="I37" s="135"/>
      <c r="J37" s="135"/>
      <c r="K37" s="136"/>
      <c r="L37" s="105"/>
      <c r="M37" s="110" t="str">
        <f t="shared" si="1"/>
        <v/>
      </c>
      <c r="N37" s="54"/>
      <c r="O37" s="9"/>
    </row>
    <row r="38" spans="2:15" ht="30" x14ac:dyDescent="0.4">
      <c r="B38" s="7"/>
      <c r="C38" s="3"/>
      <c r="D38" s="139"/>
      <c r="E38" s="102"/>
      <c r="F38" s="142" t="s">
        <v>81</v>
      </c>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4822</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916.18000000000006</v>
      </c>
      <c r="N50" s="54"/>
      <c r="O50" s="9"/>
    </row>
    <row r="51" spans="1:16" ht="35.25" x14ac:dyDescent="0.5">
      <c r="B51" s="7"/>
      <c r="C51" s="3"/>
      <c r="D51" s="76"/>
      <c r="E51" s="82"/>
      <c r="F51" s="93"/>
      <c r="G51" s="77"/>
      <c r="H51" s="64"/>
      <c r="I51" s="77"/>
      <c r="J51" s="80" t="s">
        <v>27</v>
      </c>
      <c r="K51" s="78"/>
      <c r="L51" s="150" t="s">
        <v>28</v>
      </c>
      <c r="M51" s="101">
        <f>+M48+M49+M50</f>
        <v>5738.7800000000007</v>
      </c>
      <c r="N51" s="54"/>
      <c r="O51" s="9"/>
    </row>
    <row r="52" spans="1:16" ht="15.75" x14ac:dyDescent="0.25">
      <c r="B52" s="7"/>
      <c r="C52" s="3"/>
      <c r="D52" s="168" t="s">
        <v>77</v>
      </c>
      <c r="E52" s="169"/>
      <c r="F52" s="169"/>
      <c r="G52" s="169"/>
      <c r="H52" s="169"/>
      <c r="I52" s="169"/>
      <c r="J52" s="169"/>
      <c r="K52" s="169"/>
      <c r="L52" s="169"/>
      <c r="M52" s="115"/>
      <c r="N52" s="54"/>
      <c r="O52" s="9"/>
    </row>
    <row r="53" spans="1:16" ht="26.25" x14ac:dyDescent="0.4">
      <c r="B53" s="7"/>
      <c r="C53" s="3"/>
      <c r="D53" s="169"/>
      <c r="E53" s="169"/>
      <c r="F53" s="169"/>
      <c r="G53" s="169"/>
      <c r="H53" s="169"/>
      <c r="I53" s="169"/>
      <c r="J53" s="169"/>
      <c r="K53" s="169"/>
      <c r="L53" s="169"/>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5738.7800000000007</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2019-03-11T13:45:59Z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5738.78</vt:r8>
  </property>
</Properties>
</file>