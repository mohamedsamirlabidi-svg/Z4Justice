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39" i="3"/>
  <c r="M40" i="3" l="1"/>
  <c r="M45" i="3" s="1"/>
  <c r="M41" i="3"/>
  <c r="M42" i="3"/>
  <c r="M43" i="3"/>
  <c r="M44"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<sst xmlns="http://schemas.openxmlformats.org/spreadsheetml/2006/main" count="100" uniqueCount="90">
  <si>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</si>
  <si>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</si>
  <si>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</si>
  <si>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</si>
  <si>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</si>
  <si>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</si>
  <si>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</si>
  <si>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</si>
  <si>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</si>
  <si>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</si>
  <si>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</si>
  <si>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</si>
  <si>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</si>
  <si>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</si>
  <si>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</si>
  <si>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</si>
  <si>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</si>
  <si>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</si>
  <si>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</si>
  <si>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</si>
  <si>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</si>
  <si>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</si>
  <si>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</si>
  <si>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</si>
  <si>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</si>
  <si>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</si>
  <si>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</si>
  <si>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</si>
  <si>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</si>
  <si>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</si>
  <si>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</si>
  <si>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</si>
  <si>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</si>
  <si>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</si>
  <si>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</si>
  <si>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</si>
  <si>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</si>
  <si>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</si>
  <si>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</si>
  <si>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</si>
  <si>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</si>
  <si>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</si>
  <si>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</si>
  <si>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</si>
  <si>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</si>
  <si>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</si>
  <si>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</si>
  <si>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</si>
  <si>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</si>
  <si>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</si>
  <si>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</si>
  <si>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</si>
  <si>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</si>
  <si>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</si>
  <si>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</si>
  <si>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</si>
  <si>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</si>
  <si>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</si>
  <si>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</si>
  <si>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</si>
  <si>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</si>
  <si>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</si>
  <si>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</si>
  <si>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</si>
  <si>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</si>
  <si>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</si>
  <si>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</si>
  <si>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</si>
  <si>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</si>
  <si>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</si>
  <si>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2022798</t>
  </si>
  <si>
    <t xml:space="preserve">Responsable :SERVICE ACHAT </t>
  </si>
  <si>
    <t>OUT010034000022</t>
  </si>
  <si>
    <t>KIT COMPLET COMPOSE:</t>
  </si>
  <si>
    <t>ID:1218/0141</t>
  </si>
  <si>
    <t>ID:1218/0465</t>
  </si>
  <si>
    <t>ID:1218/0338</t>
  </si>
  <si>
    <t>* HARNAIS GOLDEN TOP PLUS:</t>
  </si>
  <si>
    <t>* LONGE DE MAINTIEN :</t>
  </si>
  <si>
    <t>ID:0319/0456</t>
  </si>
  <si>
    <t>ID:0319/0474</t>
  </si>
  <si>
    <t>ID:0319/0453</t>
  </si>
  <si>
    <t xml:space="preserve">*LONGE DOUBLE ELASTIQUE </t>
  </si>
  <si>
    <t>ID:1018/0411</t>
  </si>
  <si>
    <t>ID:1018/2769</t>
  </si>
  <si>
    <t>ID:1018/1082</t>
  </si>
  <si>
    <t>Date : 03/07/2019</t>
  </si>
  <si>
    <t>AVOIR N°201901</t>
  </si>
  <si>
    <t>ARRETE LE PRESENTE LA FACTURE D'AVOIR  A LA SOMME DE TROIS MILLE QUATRE CENT SOIXANTE TREIZE DINARS ET 610 MILLIMES</t>
  </si>
  <si>
    <t>SUR FACTURE 2019034 LE 03/07/2019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</si>
</sst>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M37" sqref="M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87</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65</v>
      </c>
      <c r="F22" s="167"/>
      <c r="G22" s="167"/>
      <c r="H22" s="167"/>
      <c r="I22" s="167"/>
      <c r="J22" s="167"/>
      <c r="K22" s="96"/>
      <c r="L22" s="165" t="s">
        <v>86</v>
      </c>
      <c r="M22" s="165"/>
      <c r="N22" s="52"/>
      <c r="O22" s="9"/>
    </row>
    <row r="23" spans="2:15" ht="33.75" x14ac:dyDescent="0.5">
      <c r="B23" s="7"/>
      <c r="C23" s="3"/>
      <c r="D23" s="95" t="s">
        <v>54</v>
      </c>
      <c r="E23" s="171" t="s">
        <v>66</v>
      </c>
      <c r="F23" s="171"/>
      <c r="G23" s="171"/>
      <c r="H23" s="171"/>
      <c r="I23" s="171"/>
      <c r="J23" s="171"/>
      <c r="K23" s="171"/>
      <c r="L23" s="97" t="s">
        <v>69</v>
      </c>
      <c r="M23" s="97" t="s">
        <v>70</v>
      </c>
      <c r="N23" s="53"/>
      <c r="O23" s="9"/>
    </row>
    <row r="24" spans="2:15" ht="33.75" x14ac:dyDescent="0.5">
      <c r="B24" s="7"/>
      <c r="C24" s="3"/>
      <c r="D24" s="95" t="s">
        <v>55</v>
      </c>
      <c r="E24" s="109">
        <v>1080</v>
      </c>
      <c r="F24" s="98" t="s">
        <v>8</v>
      </c>
      <c r="G24" s="172"/>
      <c r="H24" s="172"/>
      <c r="I24" s="99" t="s">
        <v>9</v>
      </c>
      <c r="J24" s="100" t="s">
        <v>59</v>
      </c>
      <c r="K24" s="96"/>
      <c r="L24" s="166" t="s">
        <v>71</v>
      </c>
      <c r="M24" s="166"/>
      <c r="N24" s="3"/>
      <c r="O24" s="9"/>
    </row>
    <row r="25" spans="2:15" ht="33.75" x14ac:dyDescent="0.5">
      <c r="B25" s="7"/>
      <c r="C25" s="3"/>
      <c r="D25" s="95" t="s">
        <v>56</v>
      </c>
      <c r="E25" s="168" t="s">
        <v>67</v>
      </c>
      <c r="F25" s="168"/>
      <c r="G25" s="168"/>
      <c r="H25" s="168"/>
      <c r="I25" s="168"/>
      <c r="J25" s="168"/>
      <c r="K25" s="96"/>
      <c r="L25" s="166" t="s">
        <v>68</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2" t="s">
        <v>72</v>
      </c>
      <c r="E28" s="143">
        <v>3</v>
      </c>
      <c r="F28" s="114" t="s">
        <v>73</v>
      </c>
      <c r="G28" s="135"/>
      <c r="H28" s="135"/>
      <c r="I28" s="137"/>
      <c r="J28" s="137"/>
      <c r="K28" s="138"/>
      <c r="L28" s="104">
        <v>973</v>
      </c>
      <c r="M28" s="110">
        <f t="shared" ref="M28:M34" si="0">IF(E28&lt;&gt;"",E28*L28,"")</f>
        <v>2919</v>
      </c>
      <c r="N28" s="87"/>
      <c r="O28" s="9"/>
    </row>
    <row r="29" spans="2:15" ht="30" x14ac:dyDescent="0.4">
      <c r="B29" s="7"/>
      <c r="C29" s="3"/>
      <c r="D29" s="142"/>
      <c r="E29" s="143"/>
      <c r="F29" s="149" t="s">
        <v>77</v>
      </c>
      <c r="G29" s="135"/>
      <c r="H29" s="135"/>
      <c r="I29" s="137"/>
      <c r="J29" s="137"/>
      <c r="K29" s="138"/>
      <c r="L29" s="104"/>
      <c r="M29" s="110" t="str">
        <f t="shared" si="0"/>
        <v/>
      </c>
      <c r="N29" s="87"/>
      <c r="O29" s="9"/>
    </row>
    <row r="30" spans="2:15" ht="30" x14ac:dyDescent="0.4">
      <c r="B30" s="7"/>
      <c r="C30" s="3"/>
      <c r="D30" s="142"/>
      <c r="E30" s="143"/>
      <c r="F30" s="135" t="s">
        <v>74</v>
      </c>
      <c r="G30" s="135"/>
      <c r="H30" s="135" t="s">
        <v>75</v>
      </c>
      <c r="I30" s="152"/>
      <c r="J30" s="135" t="s">
        <v>76</v>
      </c>
      <c r="K30" s="138"/>
      <c r="L30" s="104"/>
      <c r="M30" s="110" t="str">
        <f t="shared" si="0"/>
        <v/>
      </c>
      <c r="N30" s="87"/>
      <c r="O30" s="9"/>
    </row>
    <row r="31" spans="2:15" ht="30" x14ac:dyDescent="0.4">
      <c r="B31" s="7"/>
      <c r="C31" s="3"/>
      <c r="D31" s="142"/>
      <c r="E31" s="143"/>
      <c r="F31" s="149" t="s">
        <v>78</v>
      </c>
      <c r="G31" s="135"/>
      <c r="H31" s="137"/>
      <c r="I31" s="137"/>
      <c r="J31" s="137"/>
      <c r="K31" s="138"/>
      <c r="L31" s="104"/>
      <c r="M31" s="110" t="str">
        <f t="shared" si="0"/>
        <v/>
      </c>
      <c r="N31" s="87"/>
      <c r="O31" s="9"/>
    </row>
    <row r="32" spans="2:15" ht="30" x14ac:dyDescent="0.4">
      <c r="B32" s="7"/>
      <c r="C32" s="3"/>
      <c r="D32" s="142"/>
      <c r="E32" s="143"/>
      <c r="F32" s="135" t="s">
        <v>79</v>
      </c>
      <c r="G32" s="135"/>
      <c r="H32" s="135" t="s">
        <v>80</v>
      </c>
      <c r="I32" s="135"/>
      <c r="J32" s="135" t="s">
        <v>81</v>
      </c>
      <c r="K32" s="135"/>
      <c r="L32" s="104"/>
      <c r="M32" s="110"/>
      <c r="N32" s="87"/>
      <c r="O32" s="9"/>
    </row>
    <row r="33" spans="2:15" ht="30" x14ac:dyDescent="0.4">
      <c r="B33" s="7"/>
      <c r="C33" s="3"/>
      <c r="D33" s="142"/>
      <c r="E33" s="143"/>
      <c r="F33" s="149" t="s">
        <v>82</v>
      </c>
      <c r="G33" s="135"/>
      <c r="H33" s="137"/>
      <c r="I33" s="137"/>
      <c r="J33" s="137"/>
      <c r="K33" s="138"/>
      <c r="L33" s="104"/>
      <c r="M33" s="110" t="str">
        <f t="shared" si="0"/>
        <v/>
      </c>
      <c r="N33" s="87"/>
      <c r="O33" s="9"/>
    </row>
    <row r="34" spans="2:15" ht="30" x14ac:dyDescent="0.4">
      <c r="B34" s="7"/>
      <c r="C34" s="3"/>
      <c r="D34" s="142"/>
      <c r="E34" s="103"/>
      <c r="F34" s="135" t="s">
        <v>83</v>
      </c>
      <c r="G34" s="135"/>
      <c r="H34" s="135" t="s">
        <v>84</v>
      </c>
      <c r="I34" s="135"/>
      <c r="J34" s="135" t="s">
        <v>85</v>
      </c>
      <c r="K34" s="135"/>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78" t="s">
        <v>89</v>
      </c>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64</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t="s">
        <v>26</v>
      </c>
      <c r="M45" s="101">
        <f>SUM(M28:M44)</f>
        <v>2919</v>
      </c>
      <c r="N45" s="54"/>
      <c r="O45" s="9"/>
    </row>
    <row r="46" spans="2:15" ht="35.25" x14ac:dyDescent="0.5">
      <c r="B46" s="7"/>
      <c r="C46" s="3"/>
      <c r="D46" s="94"/>
      <c r="E46" s="91" t="s">
        <v>57</v>
      </c>
      <c r="F46" s="77"/>
      <c r="G46" s="77"/>
      <c r="H46" s="77"/>
      <c r="I46" s="77"/>
      <c r="J46" s="78"/>
      <c r="K46" s="88"/>
      <c r="L46" s="146" t="s">
        <v>47</v>
      </c>
      <c r="M46" s="101"/>
      <c r="N46" s="54"/>
      <c r="O46" s="9"/>
    </row>
    <row r="47" spans="2:15" ht="30" customHeight="1" x14ac:dyDescent="0.5">
      <c r="B47" s="7"/>
      <c r="C47" s="3"/>
      <c r="D47" s="92"/>
      <c r="E47" s="91" t="s">
        <v>58</v>
      </c>
      <c r="F47" s="77"/>
      <c r="G47" s="77"/>
      <c r="H47" s="77"/>
      <c r="I47" s="77"/>
      <c r="J47" s="79"/>
      <c r="K47" s="89"/>
      <c r="L47" s="147">
        <v>0.19</v>
      </c>
      <c r="M47" s="101">
        <f>+M45*19%</f>
        <v>554.61</v>
      </c>
      <c r="N47" s="54"/>
      <c r="O47" s="9"/>
    </row>
    <row r="48" spans="2:15" ht="35.25" x14ac:dyDescent="0.5">
      <c r="B48" s="7"/>
      <c r="C48" s="3"/>
      <c r="D48" s="76"/>
      <c r="E48" s="82"/>
      <c r="F48" s="93"/>
      <c r="G48" s="77"/>
      <c r="H48" s="64"/>
      <c r="I48" s="77"/>
      <c r="J48" s="80" t="s">
        <v>27</v>
      </c>
      <c r="K48" s="78"/>
      <c r="L48" s="148" t="s">
        <v>28</v>
      </c>
      <c r="M48" s="101">
        <f>+M45+M46+M47</f>
        <v>3473.61</v>
      </c>
      <c r="N48" s="54"/>
      <c r="O48" s="9"/>
    </row>
    <row r="49" spans="1:16" ht="15.75" x14ac:dyDescent="0.25">
      <c r="B49" s="7"/>
      <c r="C49" s="3"/>
      <c r="D49" s="176" t="s">
        <v>88</v>
      </c>
      <c r="E49" s="177"/>
      <c r="F49" s="177"/>
      <c r="G49" s="177"/>
      <c r="H49" s="177"/>
      <c r="I49" s="177"/>
      <c r="J49" s="177"/>
      <c r="K49" s="177"/>
      <c r="L49" s="177"/>
      <c r="M49" s="115"/>
      <c r="N49" s="54"/>
      <c r="O49" s="9"/>
    </row>
    <row r="50" spans="1:16" ht="26.25" x14ac:dyDescent="0.4">
      <c r="B50" s="7"/>
      <c r="C50" s="3"/>
      <c r="D50" s="177"/>
      <c r="E50" s="177"/>
      <c r="F50" s="177"/>
      <c r="G50" s="177"/>
      <c r="H50" s="177"/>
      <c r="I50" s="177"/>
      <c r="J50" s="177"/>
      <c r="K50" s="177"/>
      <c r="L50" s="177"/>
      <c r="M50" s="123"/>
      <c r="N50" s="54"/>
      <c r="O50" s="9"/>
    </row>
    <row r="51" spans="1:16" ht="26.25" x14ac:dyDescent="0.4">
      <c r="B51" s="7"/>
      <c r="C51" s="3"/>
      <c r="D51" s="115"/>
      <c r="E51" s="115"/>
      <c r="F51" s="123"/>
      <c r="G51" s="129"/>
      <c r="H51" s="129"/>
      <c r="I51" s="129"/>
      <c r="J51" s="78"/>
      <c r="K51" s="113"/>
      <c r="L51" s="151" t="s">
        <v>63</v>
      </c>
      <c r="M51" s="151"/>
      <c r="N51" s="107"/>
      <c r="O51" s="9"/>
    </row>
    <row r="52" spans="1:16" ht="23.25" x14ac:dyDescent="0.25">
      <c r="B52" s="7"/>
      <c r="C52" s="3"/>
      <c r="D52" s="115"/>
      <c r="E52" s="115"/>
      <c r="F52" s="130"/>
      <c r="G52" s="170"/>
      <c r="H52" s="170"/>
      <c r="I52" s="170"/>
      <c r="J52" s="78"/>
      <c r="K52" s="113"/>
      <c r="L52" s="107"/>
      <c r="M52" s="107"/>
      <c r="N52" s="107"/>
      <c r="O52" s="9"/>
    </row>
    <row r="53" spans="1:16" ht="20.25" x14ac:dyDescent="0.3">
      <c r="B53" s="7"/>
      <c r="C53" s="3"/>
      <c r="D53" s="111" t="s">
        <v>60</v>
      </c>
      <c r="E53" s="150"/>
      <c r="F53" s="78"/>
      <c r="G53" s="78"/>
      <c r="H53" s="78"/>
      <c r="I53" s="78"/>
      <c r="J53" s="78"/>
      <c r="K53" s="83"/>
      <c r="L53" s="83"/>
      <c r="M53" s="84"/>
      <c r="N53" s="54"/>
      <c r="O53" s="125"/>
      <c r="P53" s="126"/>
    </row>
    <row r="54" spans="1:16" ht="20.25" x14ac:dyDescent="0.3">
      <c r="B54" s="7"/>
      <c r="C54" s="3"/>
      <c r="D54" s="112" t="s">
        <v>61</v>
      </c>
      <c r="E54" s="112"/>
      <c r="F54" s="78"/>
      <c r="G54" s="78"/>
      <c r="H54" s="78"/>
      <c r="I54" s="78"/>
      <c r="J54" s="78"/>
      <c r="K54" s="83"/>
      <c r="L54" s="83"/>
      <c r="M54" s="83"/>
      <c r="N54" s="87"/>
      <c r="O54" s="127"/>
      <c r="P54" s="128"/>
    </row>
    <row r="55" spans="1:16" ht="18" x14ac:dyDescent="0.25">
      <c r="B55" s="7"/>
      <c r="C55" s="3"/>
      <c r="D55" s="169" t="s">
        <v>52</v>
      </c>
      <c r="E55" s="169"/>
      <c r="F55" s="169"/>
      <c r="G55" s="169"/>
      <c r="H55" s="169"/>
      <c r="I55" s="169"/>
      <c r="J55" s="169"/>
      <c r="K55" s="169"/>
      <c r="L55" s="169"/>
      <c r="M55" s="83"/>
      <c r="N55" s="87"/>
      <c r="O55" s="9"/>
    </row>
    <row r="56" spans="1:16" ht="15" x14ac:dyDescent="0.2">
      <c r="B56" s="7"/>
      <c r="C56" s="3"/>
      <c r="D56" s="169"/>
      <c r="E56" s="169"/>
      <c r="F56" s="169"/>
      <c r="G56" s="169"/>
      <c r="H56" s="169"/>
      <c r="I56" s="169"/>
      <c r="J56" s="169"/>
      <c r="K56" s="169"/>
      <c r="L56" s="169"/>
      <c r="M56" s="84"/>
      <c r="N56" s="54"/>
      <c r="O56" s="9"/>
    </row>
    <row r="57" spans="1:16" ht="15" x14ac:dyDescent="0.2">
      <c r="B57" s="7"/>
      <c r="C57" s="3"/>
      <c r="D57" s="169"/>
      <c r="E57" s="169"/>
      <c r="F57" s="169"/>
      <c r="G57" s="169"/>
      <c r="H57" s="169"/>
      <c r="I57" s="169"/>
      <c r="J57" s="169"/>
      <c r="K57" s="169"/>
      <c r="L57" s="169"/>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52"/>
      <c r="B60" s="153"/>
      <c r="C60" s="121"/>
      <c r="D60" s="121"/>
      <c r="E60" s="121"/>
      <c r="F60" s="121"/>
      <c r="G60" s="121"/>
      <c r="H60" s="121"/>
      <c r="I60" s="121"/>
      <c r="J60" s="121"/>
      <c r="K60" s="121"/>
      <c r="L60" s="121"/>
      <c r="M60" s="122"/>
      <c r="N60" s="154"/>
      <c r="O60" s="9"/>
    </row>
    <row r="61" spans="1:16" x14ac:dyDescent="0.2">
      <c r="A61" s="152"/>
      <c r="B61" s="153"/>
      <c r="C61" s="152"/>
      <c r="D61" s="152"/>
      <c r="E61" s="152"/>
      <c r="F61" s="152"/>
      <c r="G61" s="152"/>
      <c r="H61" s="152"/>
      <c r="I61" s="152"/>
      <c r="J61" s="152"/>
      <c r="K61" s="152"/>
      <c r="L61" s="152"/>
      <c r="M61" s="152"/>
      <c r="N61" s="152"/>
    </row>
    <row r="62" spans="1:16" x14ac:dyDescent="0.2">
      <c r="A62" s="152"/>
      <c r="B62" s="153"/>
      <c r="C62" s="152"/>
      <c r="D62" s="152"/>
      <c r="E62" s="152"/>
      <c r="F62" s="152"/>
      <c r="G62" s="152"/>
      <c r="H62" s="152"/>
      <c r="I62" s="152"/>
      <c r="J62" s="152"/>
      <c r="K62" s="152"/>
      <c r="L62" s="152"/>
      <c r="M62" s="152"/>
      <c r="N62" s="152"/>
    </row>
    <row r="63" spans="1:16" x14ac:dyDescent="0.2">
      <c r="A63" s="121"/>
      <c r="B63" s="121"/>
      <c r="C63" s="152"/>
      <c r="D63" s="152"/>
      <c r="E63" s="152"/>
      <c r="F63" s="152"/>
      <c r="G63" s="152"/>
      <c r="H63" s="152"/>
      <c r="I63" s="152"/>
      <c r="J63" s="152"/>
      <c r="K63" s="152"/>
      <c r="L63" s="152"/>
      <c r="M63" s="152"/>
      <c r="N63"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3473.61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2019-12-28T09:51:44Z</cp:lastPrinted>
  <dcterms:created xsi:type="dcterms:W3CDTF">1995-05-29T15:50:39Z</dcterms:created>
  <dcterms:modified xsi:type="dcterms:W3CDTF">2019-12-28T09:51:46Z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3473.61</vt:r8>
  </property>
</Properties>
</file>