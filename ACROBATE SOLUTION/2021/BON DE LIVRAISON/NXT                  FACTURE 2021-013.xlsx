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9" i="3" l="1"/>
  <c r="N5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<sst xmlns="http://schemas.openxmlformats.org/spreadsheetml/2006/main" count="102" uniqueCount="85">
  <si>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</si>
  <si>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</si>
  <si>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</si>
  <si>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</si>
  <si>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</si>
  <si>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</si>
  <si>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</si>
  <si>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</si>
  <si>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</si>
  <si>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</si>
  <si>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</si>
  <si>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</si>
  <si>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</si>
  <si>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</si>
  <si>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</si>
  <si>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</si>
  <si>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</si>
  <si>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</si>
  <si>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</si>
  <si>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</si>
  <si>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</si>
  <si>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</si>
  <si>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</si>
  <si>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</si>
  <si>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</si>
  <si>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</si>
  <si>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</si>
  <si>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</si>
  <si>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</si>
  <si>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</si>
  <si>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</si>
  <si>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</si>
  <si>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</si>
  <si>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</si>
  <si>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</si>
  <si>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</si>
  <si>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</si>
  <si>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</si>
  <si>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</si>
  <si>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</si>
  <si>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</si>
  <si>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</si>
  <si>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</si>
  <si>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</si>
  <si>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</si>
  <si>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</si>
  <si>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</si>
  <si>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</si>
  <si>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</si>
  <si>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</si>
  <si>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</si>
  <si>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</si>
  <si>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</si>
  <si>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</si>
  <si>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</si>
  <si>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</si>
  <si>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</si>
  <si>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</si>
  <si>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</si>
  <si>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</si>
  <si>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</si>
  <si>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</si>
  <si>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</si>
  <si>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</si>
  <si>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</si>
  <si>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FR2020154</t>
  </si>
  <si>
    <t xml:space="preserve">HARNAIS ORBITAL </t>
  </si>
  <si>
    <t>CONTRÔLE DE CONFORMITE :</t>
  </si>
  <si>
    <t xml:space="preserve">LONGE DE MAINTIEN </t>
  </si>
  <si>
    <t xml:space="preserve">LONGE DOUBLE ESLASTIQUE </t>
  </si>
  <si>
    <t>ID:0143-03/2015</t>
  </si>
  <si>
    <t xml:space="preserve">ID:0166-01/2016 </t>
  </si>
  <si>
    <t>ID:1581-03/2015</t>
  </si>
  <si>
    <t>ID:0298-06/2015</t>
  </si>
  <si>
    <t>ID:0122-06/2015</t>
  </si>
  <si>
    <t>ID:0108-06/2015</t>
  </si>
  <si>
    <t>ID:0176-11/2015</t>
  </si>
  <si>
    <t>ID:0881-04/2013</t>
  </si>
  <si>
    <t>ID:0150-01/2016</t>
  </si>
  <si>
    <t>ID:*****</t>
  </si>
  <si>
    <t>ID:1842-01/2015</t>
  </si>
  <si>
    <t>ID:1735-03/2015</t>
  </si>
  <si>
    <t>ID:4135-07/2015</t>
  </si>
  <si>
    <t>ID:1435-07/2015</t>
  </si>
  <si>
    <t>BON DE LIVRAISON  2021-013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</si>
</sst>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49" fontId="33"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18548</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17044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44</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9" zoomScale="95" workbookViewId="0">
      <selection activeCell="F51" sqref="F51:F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8" t="s">
        <v>53</v>
      </c>
      <c r="N13" s="159"/>
      <c r="O13" s="3"/>
      <c r="P13" s="8"/>
    </row>
    <row r="14" spans="2:16" x14ac:dyDescent="0.2">
      <c r="B14" s="7"/>
      <c r="C14" s="3"/>
      <c r="D14" s="3"/>
      <c r="E14" s="3"/>
      <c r="F14" s="3"/>
      <c r="G14" s="3"/>
      <c r="H14" s="185"/>
      <c r="I14" s="185"/>
      <c r="J14" s="185"/>
      <c r="K14" s="185"/>
      <c r="L14" s="185"/>
      <c r="M14" s="3"/>
      <c r="N14" s="3"/>
      <c r="O14" s="3"/>
      <c r="P14" s="8"/>
    </row>
    <row r="15" spans="2:16" ht="20.100000000000001" customHeight="1" x14ac:dyDescent="0.2">
      <c r="B15" s="7"/>
      <c r="C15" s="3"/>
      <c r="D15" s="3"/>
      <c r="E15" s="3"/>
      <c r="F15" s="3"/>
      <c r="G15" s="3"/>
      <c r="H15" s="185"/>
      <c r="I15" s="185"/>
      <c r="J15" s="185"/>
      <c r="K15" s="185"/>
      <c r="L15" s="18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0" t="s">
        <v>84</v>
      </c>
      <c r="N17" s="171"/>
      <c r="O17" s="3"/>
      <c r="P17" s="8"/>
    </row>
    <row r="18" spans="1:16" ht="19.5" thickTop="1" x14ac:dyDescent="0.3">
      <c r="B18" s="7"/>
      <c r="C18" s="3"/>
      <c r="D18" s="58"/>
      <c r="E18" s="58"/>
      <c r="F18" s="58"/>
      <c r="G18" s="58"/>
      <c r="H18" s="58"/>
      <c r="I18" s="58"/>
      <c r="J18" s="59"/>
      <c r="K18" s="59"/>
      <c r="L18" s="59"/>
      <c r="M18" s="172"/>
      <c r="N18" s="173"/>
      <c r="O18" s="19"/>
      <c r="P18" s="8"/>
    </row>
    <row r="19" spans="1:16" ht="13.5" thickBot="1" x14ac:dyDescent="0.25">
      <c r="B19" s="7"/>
      <c r="C19" s="3"/>
      <c r="D19" s="3"/>
      <c r="E19" s="3"/>
      <c r="F19" s="3"/>
      <c r="G19" s="3"/>
      <c r="H19" s="3"/>
      <c r="I19" s="3"/>
      <c r="J19" s="3"/>
      <c r="K19" s="3"/>
      <c r="L19" s="3"/>
      <c r="M19" s="174"/>
      <c r="N19" s="17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4" t="s">
        <v>61</v>
      </c>
      <c r="F21" s="165"/>
      <c r="G21" s="165"/>
      <c r="H21" s="165"/>
      <c r="I21" s="165"/>
      <c r="J21" s="165"/>
      <c r="K21" s="82"/>
      <c r="L21" s="84" t="s">
        <v>18</v>
      </c>
      <c r="M21" s="153">
        <v>44238</v>
      </c>
      <c r="N21" s="154"/>
      <c r="O21" s="55"/>
      <c r="P21" s="8"/>
    </row>
    <row r="22" spans="1:16" ht="14.25" x14ac:dyDescent="0.2">
      <c r="B22" s="7"/>
      <c r="C22" s="3"/>
      <c r="D22" s="82" t="s">
        <v>5</v>
      </c>
      <c r="E22" s="162" t="s">
        <v>62</v>
      </c>
      <c r="F22" s="163"/>
      <c r="G22" s="163"/>
      <c r="H22" s="163"/>
      <c r="I22" s="163"/>
      <c r="J22" s="163"/>
      <c r="K22" s="82"/>
      <c r="L22" s="124" t="s">
        <v>58</v>
      </c>
      <c r="M22" s="179" t="s">
        <v>65</v>
      </c>
      <c r="N22" s="180"/>
      <c r="O22" s="56"/>
      <c r="P22" s="8"/>
    </row>
    <row r="23" spans="1:16" x14ac:dyDescent="0.2">
      <c r="B23" s="7"/>
      <c r="C23" s="3"/>
      <c r="D23" s="82" t="s">
        <v>7</v>
      </c>
      <c r="E23" s="89"/>
      <c r="F23" s="90" t="s">
        <v>8</v>
      </c>
      <c r="G23" s="160"/>
      <c r="H23" s="161"/>
      <c r="I23" s="91" t="s">
        <v>9</v>
      </c>
      <c r="J23" s="88" t="s">
        <v>50</v>
      </c>
      <c r="K23" s="82"/>
      <c r="L23" s="84" t="s">
        <v>19</v>
      </c>
      <c r="M23" s="155" t="s">
        <v>59</v>
      </c>
      <c r="N23" s="156"/>
      <c r="O23" s="3"/>
      <c r="P23" s="8"/>
    </row>
    <row r="24" spans="1:16" x14ac:dyDescent="0.2">
      <c r="B24" s="7"/>
      <c r="C24" s="3"/>
      <c r="D24" s="82" t="s">
        <v>20</v>
      </c>
      <c r="E24" s="166" t="s">
        <v>63</v>
      </c>
      <c r="F24" s="167"/>
      <c r="G24" s="167"/>
      <c r="H24" s="167"/>
      <c r="I24" s="167"/>
      <c r="J24" s="167"/>
      <c r="K24" s="82"/>
      <c r="L24" s="84" t="s">
        <v>46</v>
      </c>
      <c r="M24" s="157" t="s">
        <v>64</v>
      </c>
      <c r="N24" s="15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76" t="s">
        <v>22</v>
      </c>
      <c r="G26" s="177"/>
      <c r="H26" s="177"/>
      <c r="I26" s="177"/>
      <c r="J26" s="177"/>
      <c r="K26" s="177"/>
      <c r="L26" s="178"/>
      <c r="M26" s="52" t="s">
        <v>52</v>
      </c>
      <c r="N26" s="113" t="s">
        <v>23</v>
      </c>
      <c r="O26" s="57"/>
      <c r="P26" s="8"/>
    </row>
    <row r="27" spans="1:16" ht="15.75" x14ac:dyDescent="0.25">
      <c r="B27" s="7"/>
      <c r="C27" s="3"/>
      <c r="D27" s="93"/>
      <c r="E27" s="75"/>
      <c r="F27" s="168"/>
      <c r="G27" s="169"/>
      <c r="H27" s="169"/>
      <c r="I27" s="169"/>
      <c r="J27" s="169"/>
      <c r="K27" s="169"/>
      <c r="L27" s="129"/>
      <c r="M27" s="128"/>
      <c r="N27" s="96" t="str">
        <f t="shared" ref="N27" si="0">IF(E27&lt;&gt;"",E27*M27,"")</f>
        <v/>
      </c>
      <c r="O27" s="57"/>
      <c r="P27" s="8"/>
    </row>
    <row r="28" spans="1:16" ht="18.75" x14ac:dyDescent="0.3">
      <c r="B28" s="7"/>
      <c r="C28" s="3"/>
      <c r="D28" s="93"/>
      <c r="E28" s="75"/>
      <c r="F28" s="136" t="s">
        <v>67</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5</v>
      </c>
      <c r="F30" s="134" t="s">
        <v>66</v>
      </c>
      <c r="G30" s="135"/>
      <c r="H30" s="81"/>
      <c r="I30" s="109"/>
      <c r="J30" s="109"/>
      <c r="K30" s="81"/>
      <c r="L30" s="130"/>
      <c r="M30" s="116"/>
      <c r="N30" s="96"/>
      <c r="O30" s="57"/>
      <c r="P30" s="8"/>
    </row>
    <row r="31" spans="1:16" ht="15" x14ac:dyDescent="0.2">
      <c r="A31" s="99" t="s">
        <v>54</v>
      </c>
      <c r="B31" s="7"/>
      <c r="C31" s="3"/>
      <c r="D31" s="108"/>
      <c r="E31" s="75"/>
      <c r="F31" s="141" t="s">
        <v>73</v>
      </c>
      <c r="G31" s="137"/>
      <c r="H31" s="139" t="s">
        <v>70</v>
      </c>
      <c r="I31" s="139"/>
      <c r="J31" s="139" t="s">
        <v>74</v>
      </c>
      <c r="K31" s="138"/>
      <c r="L31" s="140"/>
      <c r="M31" s="116"/>
      <c r="N31" s="96"/>
      <c r="O31" s="57"/>
      <c r="P31" s="8"/>
    </row>
    <row r="32" spans="1:16" ht="15" x14ac:dyDescent="0.2">
      <c r="B32" s="7"/>
      <c r="C32" s="3"/>
      <c r="D32" s="108"/>
      <c r="E32" s="75"/>
      <c r="F32" s="141" t="s">
        <v>75</v>
      </c>
      <c r="G32" s="137"/>
      <c r="H32" s="139" t="s">
        <v>76</v>
      </c>
      <c r="I32" s="139"/>
      <c r="J32" s="139"/>
      <c r="K32" s="138"/>
      <c r="L32" s="140"/>
      <c r="M32" s="116"/>
      <c r="N32" s="96"/>
      <c r="O32" s="57"/>
      <c r="P32" s="8"/>
    </row>
    <row r="33" spans="2:16" ht="15" x14ac:dyDescent="0.2">
      <c r="B33" s="7"/>
      <c r="C33" s="3"/>
      <c r="D33" s="108"/>
      <c r="E33" s="75"/>
      <c r="F33" s="134"/>
      <c r="G33" s="135"/>
      <c r="H33" s="81"/>
      <c r="I33" s="109"/>
      <c r="J33" s="109"/>
      <c r="K33" s="81"/>
      <c r="L33" s="130"/>
      <c r="M33" s="116"/>
      <c r="N33" s="96"/>
      <c r="O33" s="57"/>
      <c r="P33" s="8"/>
    </row>
    <row r="34" spans="2:16" ht="15" x14ac:dyDescent="0.2">
      <c r="B34" s="7"/>
      <c r="C34" s="3"/>
      <c r="D34" s="108"/>
      <c r="E34" s="75"/>
      <c r="F34" s="141"/>
      <c r="G34" s="137"/>
      <c r="H34" s="139"/>
      <c r="I34" s="139"/>
      <c r="J34" s="139"/>
      <c r="K34" s="138"/>
      <c r="L34" s="140"/>
      <c r="M34" s="116"/>
      <c r="N34" s="96"/>
      <c r="O34" s="57"/>
      <c r="P34" s="8"/>
    </row>
    <row r="35" spans="2:16" ht="15" x14ac:dyDescent="0.2">
      <c r="B35" s="7"/>
      <c r="C35" s="3"/>
      <c r="D35" s="108">
        <v>203111</v>
      </c>
      <c r="E35" s="75">
        <v>5</v>
      </c>
      <c r="F35" s="134" t="s">
        <v>68</v>
      </c>
      <c r="G35" s="135"/>
      <c r="H35" s="81"/>
      <c r="I35" s="109"/>
      <c r="J35" s="109"/>
      <c r="K35" s="81"/>
      <c r="L35" s="130"/>
      <c r="M35" s="116"/>
      <c r="N35" s="96"/>
      <c r="O35" s="57"/>
      <c r="P35" s="8"/>
    </row>
    <row r="36" spans="2:16" ht="15" x14ac:dyDescent="0.2">
      <c r="B36" s="7"/>
      <c r="C36" s="3"/>
      <c r="D36" s="108"/>
      <c r="E36" s="75"/>
      <c r="F36" s="141" t="s">
        <v>71</v>
      </c>
      <c r="G36" s="137"/>
      <c r="H36" s="139" t="s">
        <v>78</v>
      </c>
      <c r="I36" s="139"/>
      <c r="J36" s="139" t="s">
        <v>77</v>
      </c>
      <c r="K36" s="138"/>
      <c r="L36" s="140"/>
      <c r="M36" s="116"/>
      <c r="N36" s="96"/>
      <c r="O36" s="57"/>
      <c r="P36" s="8"/>
    </row>
    <row r="37" spans="2:16" ht="15" x14ac:dyDescent="0.2">
      <c r="B37" s="7"/>
      <c r="C37" s="3"/>
      <c r="D37" s="108"/>
      <c r="E37" s="75"/>
      <c r="F37" s="191" t="s">
        <v>79</v>
      </c>
      <c r="G37" s="137"/>
      <c r="H37" s="139" t="s">
        <v>79</v>
      </c>
      <c r="I37" s="139"/>
      <c r="J37" s="139"/>
      <c r="K37" s="138"/>
      <c r="L37" s="140"/>
      <c r="M37" s="116"/>
      <c r="N37" s="96"/>
      <c r="O37" s="57"/>
      <c r="P37" s="8"/>
    </row>
    <row r="38" spans="2:16" ht="15" x14ac:dyDescent="0.2">
      <c r="B38" s="7"/>
      <c r="C38" s="3"/>
      <c r="D38" s="108">
        <v>7030201</v>
      </c>
      <c r="E38" s="75">
        <v>3</v>
      </c>
      <c r="F38" s="81" t="s">
        <v>69</v>
      </c>
      <c r="G38" s="135"/>
      <c r="H38" s="81"/>
      <c r="I38" s="109"/>
      <c r="J38" s="81"/>
      <c r="K38" s="81"/>
      <c r="L38" s="130"/>
      <c r="M38" s="116"/>
      <c r="N38" s="96"/>
      <c r="O38" s="57"/>
      <c r="P38" s="8"/>
    </row>
    <row r="39" spans="2:16" ht="15" x14ac:dyDescent="0.2">
      <c r="B39" s="7"/>
      <c r="C39" s="3"/>
      <c r="D39" s="108"/>
      <c r="E39" s="75"/>
      <c r="F39" s="141" t="s">
        <v>80</v>
      </c>
      <c r="G39" s="137"/>
      <c r="H39" s="139" t="s">
        <v>72</v>
      </c>
      <c r="I39" s="139"/>
      <c r="J39" s="139" t="s">
        <v>81</v>
      </c>
      <c r="K39" s="138"/>
      <c r="L39" s="140"/>
      <c r="M39" s="96"/>
      <c r="N39" s="96"/>
      <c r="O39" s="57"/>
      <c r="P39" s="8"/>
    </row>
    <row r="40" spans="2:16" ht="18" x14ac:dyDescent="0.25">
      <c r="B40" s="7"/>
      <c r="C40" s="3"/>
      <c r="D40" s="108"/>
      <c r="E40" s="75"/>
      <c r="F40" s="141" t="s">
        <v>82</v>
      </c>
      <c r="G40" s="123"/>
      <c r="H40" s="139" t="s">
        <v>83</v>
      </c>
      <c r="I40" s="109"/>
      <c r="J40" s="109"/>
      <c r="K40" s="81"/>
      <c r="L40" s="109"/>
      <c r="M40" s="96"/>
      <c r="N40" s="96"/>
      <c r="O40" s="57"/>
      <c r="P40" s="8"/>
    </row>
    <row r="41" spans="2:16" ht="18" x14ac:dyDescent="0.25">
      <c r="B41" s="7"/>
      <c r="C41" s="3"/>
      <c r="D41" s="108"/>
      <c r="E41" s="75"/>
      <c r="F41" s="81"/>
      <c r="G41" s="123"/>
      <c r="H41" s="81"/>
      <c r="I41" s="109"/>
      <c r="J41" s="81"/>
      <c r="K41" s="81"/>
      <c r="L41" s="109"/>
      <c r="M41" s="96"/>
      <c r="N41" s="96"/>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51"/>
      <c r="G50" s="152"/>
      <c r="H50" s="152"/>
      <c r="I50" s="152"/>
      <c r="J50" s="152"/>
      <c r="K50" s="152"/>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0</v>
      </c>
      <c r="O51" s="57"/>
      <c r="P51" s="8"/>
    </row>
    <row r="52" spans="1:16" ht="15" customHeight="1" x14ac:dyDescent="0.2">
      <c r="B52" s="7"/>
      <c r="C52" s="3"/>
      <c r="D52" s="3"/>
      <c r="E52" s="82"/>
      <c r="F52" s="82"/>
      <c r="G52" s="82"/>
      <c r="H52" s="82"/>
      <c r="I52" s="82"/>
      <c r="J52" s="76"/>
      <c r="K52" s="76"/>
      <c r="L52" s="76"/>
      <c r="M52" s="106" t="s">
        <v>45</v>
      </c>
      <c r="N52" s="104"/>
      <c r="O52" s="57"/>
      <c r="P52" s="8"/>
    </row>
    <row r="53" spans="1:16" ht="15" customHeight="1" x14ac:dyDescent="0.2">
      <c r="B53" s="7"/>
      <c r="C53" s="3"/>
      <c r="D53" s="3"/>
      <c r="E53" s="83"/>
      <c r="F53" s="107"/>
      <c r="G53" s="82"/>
      <c r="H53" s="82"/>
      <c r="I53" s="82"/>
      <c r="J53" s="78"/>
      <c r="K53" s="78"/>
      <c r="L53" s="77"/>
      <c r="M53" s="105">
        <v>0.19</v>
      </c>
      <c r="N53" s="104">
        <f>N51*0.19</f>
        <v>0</v>
      </c>
      <c r="O53" s="57"/>
      <c r="P53" s="8"/>
    </row>
    <row r="54" spans="1:16" ht="12.75" customHeight="1" x14ac:dyDescent="0.25">
      <c r="B54" s="7"/>
      <c r="C54" s="3"/>
      <c r="D54" s="3"/>
      <c r="E54" s="85"/>
      <c r="F54" s="131"/>
      <c r="G54" s="87"/>
      <c r="H54" s="85"/>
      <c r="I54" s="82"/>
      <c r="J54" s="79"/>
      <c r="K54" s="76"/>
      <c r="L54" s="76"/>
      <c r="M54" s="187" t="s">
        <v>26</v>
      </c>
      <c r="N54" s="188">
        <f>+N51+N52+N53</f>
        <v>0</v>
      </c>
      <c r="O54" s="57"/>
      <c r="P54" s="8"/>
    </row>
    <row r="55" spans="1:16" ht="3" customHeight="1" x14ac:dyDescent="0.2">
      <c r="B55" s="7"/>
      <c r="C55" s="3"/>
      <c r="D55" s="3"/>
      <c r="E55" s="85">
        <v>2</v>
      </c>
      <c r="F55" s="107"/>
      <c r="G55" s="82"/>
      <c r="H55" s="86"/>
      <c r="I55" s="82"/>
      <c r="J55" s="80" t="s">
        <v>25</v>
      </c>
      <c r="K55" s="76"/>
      <c r="L55" s="76"/>
      <c r="M55" s="187"/>
      <c r="N55" s="189"/>
      <c r="O55" s="57"/>
      <c r="P55" s="8"/>
    </row>
    <row r="56" spans="1:16" ht="15" x14ac:dyDescent="0.2">
      <c r="B56" s="7"/>
      <c r="C56" s="3"/>
      <c r="D56" s="3"/>
      <c r="E56" s="85"/>
      <c r="F56" s="107"/>
      <c r="G56" s="82"/>
      <c r="H56" s="86"/>
      <c r="I56" s="82"/>
      <c r="J56" s="80"/>
      <c r="K56" s="76"/>
      <c r="L56" s="76"/>
      <c r="M56" s="100"/>
      <c r="N56" s="101"/>
      <c r="O56" s="57"/>
      <c r="P56" s="8"/>
    </row>
    <row r="57" spans="1:16" ht="15.75" customHeight="1" x14ac:dyDescent="0.2">
      <c r="B57" s="7"/>
      <c r="C57" s="125"/>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60</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90"/>
      <c r="D61" s="190"/>
      <c r="E61" s="190"/>
      <c r="F61" s="190"/>
      <c r="G61" s="190"/>
      <c r="H61" s="190"/>
      <c r="I61" s="190"/>
      <c r="J61" s="190"/>
      <c r="K61" s="190"/>
      <c r="L61" s="190"/>
      <c r="M61" s="100"/>
      <c r="N61" s="101"/>
      <c r="O61" s="57"/>
      <c r="P61" s="8"/>
    </row>
    <row r="62" spans="1:16" x14ac:dyDescent="0.2">
      <c r="A62" s="120"/>
      <c r="B62" s="7"/>
      <c r="C62" s="3"/>
      <c r="D62" s="3"/>
      <c r="E62" s="186" t="s">
        <v>57</v>
      </c>
      <c r="F62" s="186"/>
      <c r="G62" s="186"/>
      <c r="H62" s="186"/>
      <c r="I62" s="186"/>
      <c r="J62" s="186"/>
      <c r="K62" s="186"/>
      <c r="L62" s="186"/>
      <c r="M62" s="186"/>
      <c r="N62" s="186"/>
      <c r="O62" s="57"/>
      <c r="P62" s="8"/>
    </row>
    <row r="63" spans="1:16" ht="13.5" thickBot="1" x14ac:dyDescent="0.25">
      <c r="A63" s="120"/>
      <c r="B63" s="7"/>
      <c r="C63" s="3"/>
      <c r="D63" s="3"/>
      <c r="E63" s="186"/>
      <c r="F63" s="186"/>
      <c r="G63" s="186"/>
      <c r="H63" s="186"/>
      <c r="I63" s="186"/>
      <c r="J63" s="186"/>
      <c r="K63" s="186"/>
      <c r="L63" s="186"/>
      <c r="M63" s="186"/>
      <c r="N63" s="186"/>
      <c r="O63" s="57"/>
      <c r="P63" s="8"/>
    </row>
    <row r="64" spans="1:16" ht="12.75" customHeight="1" thickTop="1" thickBot="1" x14ac:dyDescent="0.25">
      <c r="A64" s="120"/>
      <c r="B64" s="58"/>
      <c r="C64" s="3"/>
      <c r="D64" s="3"/>
      <c r="E64" s="186"/>
      <c r="F64" s="186"/>
      <c r="G64" s="186"/>
      <c r="H64" s="186"/>
      <c r="I64" s="186"/>
      <c r="J64" s="186"/>
      <c r="K64" s="186"/>
      <c r="L64" s="186"/>
      <c r="M64" s="186"/>
      <c r="N64" s="186"/>
      <c r="O64" s="57"/>
      <c r="P64" s="8"/>
    </row>
    <row r="65" spans="1:16" ht="16.5" thickTop="1" x14ac:dyDescent="0.2">
      <c r="A65" s="114"/>
      <c r="B65" s="122"/>
      <c r="C65" s="3"/>
      <c r="D65" s="3"/>
      <c r="E65" s="18"/>
      <c r="F65" s="183" t="s">
        <v>55</v>
      </c>
      <c r="G65" s="183"/>
      <c r="H65" s="183"/>
      <c r="I65" s="183"/>
      <c r="J65" s="183"/>
      <c r="K65" s="183"/>
      <c r="L65" s="183"/>
      <c r="M65" s="98"/>
      <c r="N65" s="98"/>
      <c r="O65" s="57"/>
      <c r="P65" s="8"/>
    </row>
    <row r="66" spans="1:16" ht="15.75" x14ac:dyDescent="0.2">
      <c r="A66" s="120"/>
      <c r="B66" s="121"/>
      <c r="C66" s="3"/>
      <c r="D66" s="3"/>
      <c r="E66" s="184" t="s">
        <v>56</v>
      </c>
      <c r="F66" s="184"/>
      <c r="G66" s="184"/>
      <c r="H66" s="184"/>
      <c r="I66" s="184"/>
      <c r="J66" s="184"/>
      <c r="K66" s="184"/>
      <c r="L66" s="184"/>
      <c r="M66" s="184"/>
      <c r="N66" s="98"/>
      <c r="O66" s="57"/>
    </row>
    <row r="67" spans="1:16" ht="15.75" x14ac:dyDescent="0.2">
      <c r="A67" s="120"/>
      <c r="C67" s="3"/>
      <c r="D67" s="3"/>
      <c r="E67" s="184"/>
      <c r="F67" s="184"/>
      <c r="G67" s="184"/>
      <c r="H67" s="184"/>
      <c r="I67" s="184"/>
      <c r="J67" s="184"/>
      <c r="K67" s="184"/>
      <c r="L67" s="184"/>
      <c r="M67" s="184"/>
      <c r="N67" s="98"/>
      <c r="O67" s="57"/>
    </row>
    <row r="68" spans="1:16" ht="13.5" thickBot="1" x14ac:dyDescent="0.25">
      <c r="A68" s="100"/>
      <c r="C68" s="119"/>
      <c r="D68" s="119"/>
      <c r="E68" s="120"/>
      <c r="F68" s="120"/>
      <c r="G68" s="120"/>
      <c r="H68" s="182"/>
      <c r="I68" s="182"/>
      <c r="J68" s="182"/>
      <c r="K68" s="182"/>
      <c r="L68" s="182"/>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81"/>
      <c r="L70" s="181"/>
      <c r="M70" s="181"/>
      <c r="N70" s="181"/>
      <c r="O70" s="181"/>
    </row>
    <row r="71" spans="1:16" x14ac:dyDescent="0.2">
      <c r="C71" s="121"/>
      <c r="D71" s="121"/>
      <c r="E71" s="121"/>
      <c r="F71" s="121"/>
      <c r="G71" s="121"/>
      <c r="H71" s="121"/>
      <c r="I71" s="121"/>
      <c r="J71" s="121"/>
      <c r="K71" s="182"/>
      <c r="L71" s="182"/>
      <c r="M71" s="182"/>
      <c r="N71" s="182"/>
      <c r="O71" s="18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5:L65"/>
    <mergeCell ref="H68:L68"/>
    <mergeCell ref="E66:M67"/>
    <mergeCell ref="H14:L15"/>
    <mergeCell ref="E62:N64"/>
    <mergeCell ref="M54:M55"/>
    <mergeCell ref="N54:N55"/>
    <mergeCell ref="C61:L61"/>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44238</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0</v>
      </c>
      <c r="K8" s="68" t="str">
        <f>Facture!$M$23</f>
        <v xml:space="preserve">MR ZAHI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2021-02-11T14:15:41Z</cp:lastPrinted>
  <dcterms:created xsi:type="dcterms:W3CDTF">1995-05-29T15:50:39Z</dcterms:created>
  <dcterms:modified xsi:type="dcterms:W3CDTF">2021-02-11T14:16:36Z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