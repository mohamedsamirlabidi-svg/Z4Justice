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M36" i="3"/>
  <c r="M37" i="3"/>
  <c r="M38" i="3"/>
  <c r="M39" i="3"/>
  <c r="M40" i="3"/>
  <c r="M35" i="3" l="1"/>
  <c r="M34" i="3"/>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<sst xmlns="http://schemas.openxmlformats.org/spreadsheetml/2006/main" count="93" uniqueCount="83">
  <si>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</si>
  <si>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</si>
  <si>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</si>
  <si>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</si>
  <si>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</si>
  <si>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</si>
  <si>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</si>
  <si>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</si>
  <si>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</si>
  <si>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</si>
  <si>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</si>
  <si>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</si>
  <si>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</si>
  <si>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</si>
  <si>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</si>
  <si>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</si>
  <si>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</si>
  <si>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</si>
  <si>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</si>
  <si>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</si>
  <si>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</si>
  <si>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</si>
  <si>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</si>
  <si>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</si>
  <si>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</si>
  <si>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</si>
  <si>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</si>
  <si>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</si>
  <si>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</si>
  <si>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</si>
  <si>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</si>
  <si>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</si>
  <si>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</si>
  <si>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</si>
  <si>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</si>
  <si>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</si>
  <si>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</si>
  <si>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</si>
  <si>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</si>
  <si>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</si>
  <si>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</si>
  <si>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</si>
  <si>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</si>
  <si>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</si>
  <si>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</si>
  <si>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</si>
  <si>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</si>
  <si>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</si>
  <si>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</si>
  <si>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</si>
  <si>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</si>
  <si>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</si>
  <si>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</si>
  <si>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</si>
  <si>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</si>
  <si>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</si>
  <si>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</si>
  <si>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</si>
  <si>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</si>
  <si>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</si>
  <si>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</si>
  <si>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</si>
  <si>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</si>
  <si>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</si>
  <si>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</si>
  <si>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SECUROP 12</t>
  </si>
  <si>
    <t>kryptcom</t>
  </si>
  <si>
    <t>Ariana</t>
  </si>
  <si>
    <t>Charguia 2</t>
  </si>
  <si>
    <t>90 39 32 48</t>
  </si>
  <si>
    <t>SECUROP 9</t>
  </si>
  <si>
    <t>Responsable: MR IMED BEN CHAMEKH</t>
  </si>
  <si>
    <t>LONGUEUR  12M/6 m2</t>
  </si>
  <si>
    <t xml:space="preserve">18 rue des entrepreneurs </t>
  </si>
  <si>
    <t>MF:1421927Q/A/M/000</t>
  </si>
  <si>
    <t xml:space="preserve">Chéque </t>
  </si>
  <si>
    <t xml:space="preserve">Virement </t>
  </si>
  <si>
    <t>Commande:</t>
  </si>
  <si>
    <t>LONGUEUR    6M/6 m2</t>
  </si>
  <si>
    <t>Date :08/02/2021</t>
  </si>
  <si>
    <t>BON DE LIVRAISON                                                                  N°2021-005</t>
  </si>
  <si>
    <t>LTE 020</t>
  </si>
  <si>
    <t>LTE 072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</si>
</sst>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16" zoomScale="60" zoomScaleNormal="60" workbookViewId="0">
      <selection activeCell="F38" sqref="F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7" t="s">
        <v>80</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3" t="s">
        <v>66</v>
      </c>
      <c r="F22" s="193"/>
      <c r="G22" s="193"/>
      <c r="H22" s="193"/>
      <c r="I22" s="193"/>
      <c r="J22" s="193"/>
      <c r="K22" s="102"/>
      <c r="L22" s="190" t="s">
        <v>79</v>
      </c>
      <c r="M22" s="190"/>
      <c r="N22" s="52"/>
      <c r="O22" s="9"/>
    </row>
    <row r="23" spans="2:15" ht="33.75" x14ac:dyDescent="0.5">
      <c r="B23" s="7"/>
      <c r="C23" s="3"/>
      <c r="D23" s="101" t="s">
        <v>52</v>
      </c>
      <c r="E23" s="180" t="s">
        <v>73</v>
      </c>
      <c r="F23" s="180"/>
      <c r="G23" s="180"/>
      <c r="H23" s="180"/>
      <c r="I23" s="180"/>
      <c r="J23" s="180"/>
      <c r="K23" s="180"/>
      <c r="L23" s="103" t="s">
        <v>77</v>
      </c>
      <c r="M23" s="103"/>
      <c r="N23" s="53"/>
      <c r="O23" s="9"/>
    </row>
    <row r="24" spans="2:15" ht="33.75" x14ac:dyDescent="0.5">
      <c r="B24" s="7"/>
      <c r="C24" s="3"/>
      <c r="D24" s="101" t="s">
        <v>53</v>
      </c>
      <c r="E24" s="168" t="s">
        <v>68</v>
      </c>
      <c r="F24" s="104" t="s">
        <v>8</v>
      </c>
      <c r="G24" s="181" t="s">
        <v>67</v>
      </c>
      <c r="H24" s="181"/>
      <c r="I24" s="105" t="s">
        <v>9</v>
      </c>
      <c r="J24" s="106" t="s">
        <v>56</v>
      </c>
      <c r="K24" s="102"/>
      <c r="L24" s="191" t="s">
        <v>71</v>
      </c>
      <c r="M24" s="192"/>
      <c r="N24" s="3"/>
      <c r="O24" s="9"/>
    </row>
    <row r="25" spans="2:15" ht="33.75" x14ac:dyDescent="0.5">
      <c r="B25" s="7"/>
      <c r="C25" s="3"/>
      <c r="D25" s="101" t="s">
        <v>54</v>
      </c>
      <c r="E25" s="194" t="s">
        <v>69</v>
      </c>
      <c r="F25" s="195"/>
      <c r="G25" s="195"/>
      <c r="H25" s="195"/>
      <c r="I25" s="195"/>
      <c r="J25" s="195"/>
      <c r="K25" s="102"/>
      <c r="L25" s="192" t="s">
        <v>74</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2" t="s">
        <v>23</v>
      </c>
      <c r="G27" s="183"/>
      <c r="H27" s="183"/>
      <c r="I27" s="183"/>
      <c r="J27" s="183"/>
      <c r="K27" s="184"/>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t="s">
        <v>70</v>
      </c>
      <c r="E31" s="157">
        <v>1</v>
      </c>
      <c r="F31" s="119" t="s">
        <v>78</v>
      </c>
      <c r="G31" s="141"/>
      <c r="H31" s="141"/>
      <c r="I31" s="141"/>
      <c r="J31" s="163"/>
      <c r="K31" s="164"/>
      <c r="L31" s="166"/>
      <c r="M31" s="165"/>
      <c r="N31" s="94"/>
      <c r="O31" s="9"/>
    </row>
    <row r="32" spans="2:15" ht="30" x14ac:dyDescent="0.4">
      <c r="B32" s="7"/>
      <c r="C32" s="3"/>
      <c r="D32" s="158"/>
      <c r="E32" s="157"/>
      <c r="F32" s="119" t="s">
        <v>81</v>
      </c>
      <c r="G32" s="141"/>
      <c r="H32" s="141"/>
      <c r="I32" s="141"/>
      <c r="J32" s="163"/>
      <c r="K32" s="164"/>
      <c r="L32" s="166"/>
      <c r="M32" s="165"/>
      <c r="N32" s="94"/>
      <c r="O32" s="3"/>
    </row>
    <row r="33" spans="2:17" ht="30" x14ac:dyDescent="0.4">
      <c r="B33" s="7"/>
      <c r="C33" s="3"/>
      <c r="D33" s="158" t="s">
        <v>65</v>
      </c>
      <c r="E33" s="157">
        <v>1</v>
      </c>
      <c r="F33" s="119" t="s">
        <v>72</v>
      </c>
      <c r="G33" s="141"/>
      <c r="H33" s="141"/>
      <c r="I33" s="141"/>
      <c r="J33" s="163"/>
      <c r="K33" s="164"/>
      <c r="L33" s="166"/>
      <c r="M33" s="165"/>
      <c r="N33" s="54"/>
      <c r="O33" s="3"/>
    </row>
    <row r="34" spans="2:17" ht="30" x14ac:dyDescent="0.4">
      <c r="B34" s="7"/>
      <c r="C34" s="3"/>
      <c r="D34" s="158"/>
      <c r="E34" s="157"/>
      <c r="F34" s="119" t="s">
        <v>82</v>
      </c>
      <c r="G34" s="141"/>
      <c r="H34" s="141"/>
      <c r="I34" s="141"/>
      <c r="J34" s="163"/>
      <c r="K34" s="164"/>
      <c r="L34" s="166"/>
      <c r="M34" s="165" t="str">
        <f>IF(E34&lt;&gt;"",E34*L34,"")</f>
        <v/>
      </c>
      <c r="N34" s="94"/>
      <c r="O34" s="3"/>
    </row>
    <row r="35" spans="2:17" ht="30" x14ac:dyDescent="0.4">
      <c r="B35" s="7"/>
      <c r="C35" s="3"/>
      <c r="D35" s="158"/>
      <c r="E35" s="157"/>
      <c r="F35" s="119"/>
      <c r="G35" s="141"/>
      <c r="H35" s="141"/>
      <c r="I35" s="141"/>
      <c r="J35" s="163"/>
      <c r="K35" s="164"/>
      <c r="L35" s="166"/>
      <c r="M35" s="165" t="str">
        <f t="shared" ref="M35:M40" si="0">IF(E35&lt;&gt;"",E35*L35,"")</f>
        <v/>
      </c>
      <c r="N35" s="94"/>
      <c r="O35" s="9"/>
    </row>
    <row r="36" spans="2:17" ht="30" x14ac:dyDescent="0.4">
      <c r="B36" s="7"/>
      <c r="C36" s="3"/>
      <c r="D36" s="158"/>
      <c r="E36" s="157"/>
      <c r="F36" s="119"/>
      <c r="G36" s="141"/>
      <c r="H36" s="141"/>
      <c r="I36" s="141"/>
      <c r="J36" s="141"/>
      <c r="K36" s="142"/>
      <c r="L36" s="110"/>
      <c r="M36" s="114" t="str">
        <f t="shared" si="0"/>
        <v/>
      </c>
      <c r="N36" s="54"/>
      <c r="O36" s="9"/>
    </row>
    <row r="37" spans="2:17" ht="30" x14ac:dyDescent="0.4">
      <c r="B37" s="7"/>
      <c r="C37" s="3"/>
      <c r="D37" s="158"/>
      <c r="E37" s="109"/>
      <c r="F37" s="119"/>
      <c r="G37" s="141"/>
      <c r="H37" s="141"/>
      <c r="I37" s="141"/>
      <c r="J37" s="141"/>
      <c r="K37" s="142"/>
      <c r="L37" s="110"/>
      <c r="M37" s="114" t="str">
        <f t="shared" si="0"/>
        <v/>
      </c>
      <c r="N37" s="54"/>
      <c r="O37" s="9"/>
    </row>
    <row r="38" spans="2:17" ht="30" x14ac:dyDescent="0.4">
      <c r="B38" s="7"/>
      <c r="C38" s="3"/>
      <c r="D38" s="158"/>
      <c r="E38" s="109"/>
      <c r="F38" s="119"/>
      <c r="G38" s="141"/>
      <c r="H38" s="141"/>
      <c r="I38" s="141"/>
      <c r="J38" s="141"/>
      <c r="K38" s="142"/>
      <c r="L38" s="110"/>
      <c r="M38" s="114" t="str">
        <f t="shared" si="0"/>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0</v>
      </c>
      <c r="N41" s="54"/>
      <c r="O41" s="9"/>
    </row>
    <row r="42" spans="2:17" ht="35.25" x14ac:dyDescent="0.5">
      <c r="B42" s="7"/>
      <c r="C42" s="3"/>
      <c r="D42" s="100"/>
      <c r="E42" s="97" t="s">
        <v>55</v>
      </c>
      <c r="F42" s="77"/>
      <c r="G42" s="77"/>
      <c r="H42" s="77"/>
      <c r="I42" s="77"/>
      <c r="J42" s="78"/>
      <c r="K42" s="92"/>
      <c r="L42" s="125" t="s">
        <v>46</v>
      </c>
      <c r="M42" s="107">
        <v>0</v>
      </c>
      <c r="N42" s="54"/>
      <c r="O42" s="9"/>
    </row>
    <row r="43" spans="2:17" ht="35.25" x14ac:dyDescent="0.5">
      <c r="B43" s="7"/>
      <c r="C43" s="3"/>
      <c r="D43" s="98"/>
      <c r="E43" s="97" t="s">
        <v>75</v>
      </c>
      <c r="F43" s="77"/>
      <c r="G43" s="77"/>
      <c r="H43" s="77"/>
      <c r="I43" s="77"/>
      <c r="J43" s="80"/>
      <c r="K43" s="93"/>
      <c r="L43" s="127">
        <v>0.19</v>
      </c>
      <c r="M43" s="107">
        <f>(M41)*0.19</f>
        <v>0</v>
      </c>
      <c r="N43" s="54"/>
      <c r="O43" s="9"/>
    </row>
    <row r="44" spans="2:17" ht="35.25" x14ac:dyDescent="0.5">
      <c r="B44" s="7"/>
      <c r="C44" s="3"/>
      <c r="D44" s="98"/>
      <c r="E44" s="97" t="s">
        <v>76</v>
      </c>
      <c r="F44" s="96"/>
      <c r="G44" s="82"/>
      <c r="H44" s="81"/>
      <c r="I44" s="77"/>
      <c r="J44" s="83"/>
      <c r="K44" s="92"/>
      <c r="L44" s="108" t="s">
        <v>27</v>
      </c>
      <c r="M44" s="107">
        <f>+M41+M42+M43</f>
        <v>0</v>
      </c>
      <c r="N44" s="54"/>
      <c r="O44" s="9"/>
    </row>
    <row r="45" spans="2:17" ht="35.25" customHeight="1" x14ac:dyDescent="0.25">
      <c r="B45" s="7"/>
      <c r="C45" s="170"/>
      <c r="D45" s="76"/>
      <c r="E45" s="86"/>
      <c r="F45" s="99"/>
      <c r="G45" s="77"/>
      <c r="H45" s="64"/>
      <c r="I45" s="77"/>
      <c r="J45" s="84" t="s">
        <v>26</v>
      </c>
      <c r="K45" s="78"/>
      <c r="L45" s="143"/>
      <c r="M45" s="143"/>
      <c r="N45" s="54"/>
      <c r="O45" s="9"/>
    </row>
    <row r="46" spans="2:17" ht="34.5" x14ac:dyDescent="0.45">
      <c r="B46" s="7"/>
      <c r="C46" s="3"/>
      <c r="D46" s="170"/>
      <c r="E46" s="170"/>
      <c r="F46" s="170"/>
      <c r="G46" s="170"/>
      <c r="H46" s="170"/>
      <c r="I46" s="170"/>
      <c r="J46" s="170"/>
      <c r="K46" s="170"/>
      <c r="L46" s="170"/>
      <c r="M46" s="144"/>
      <c r="N46" s="54"/>
      <c r="O46" s="9"/>
    </row>
    <row r="47" spans="2:17" ht="15.75" x14ac:dyDescent="0.25">
      <c r="B47" s="7"/>
      <c r="C47" s="3"/>
      <c r="D47" s="185"/>
      <c r="E47" s="185"/>
      <c r="F47" s="185"/>
      <c r="G47" s="185"/>
      <c r="H47" s="185"/>
      <c r="I47" s="185"/>
      <c r="J47" s="185"/>
      <c r="K47" s="185"/>
      <c r="L47" s="185"/>
      <c r="M47" s="120"/>
      <c r="N47" s="54"/>
      <c r="O47" s="9"/>
    </row>
    <row r="48" spans="2:17" ht="26.25" x14ac:dyDescent="0.4">
      <c r="B48" s="7"/>
      <c r="C48" s="3"/>
      <c r="D48" s="186"/>
      <c r="E48" s="186"/>
      <c r="F48" s="186"/>
      <c r="G48" s="186"/>
      <c r="H48" s="186"/>
      <c r="I48" s="186"/>
      <c r="J48" s="186"/>
      <c r="K48" s="186"/>
      <c r="L48" s="186"/>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79"/>
      <c r="H50" s="179"/>
      <c r="I50" s="179"/>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78" t="s">
        <v>64</v>
      </c>
      <c r="E56" s="178"/>
      <c r="F56" s="178"/>
      <c r="G56" s="178"/>
      <c r="H56" s="178"/>
      <c r="I56" s="178"/>
      <c r="J56" s="178"/>
      <c r="K56" s="178"/>
      <c r="L56" s="178"/>
      <c r="M56" s="87"/>
      <c r="N56" s="91"/>
      <c r="O56" s="9"/>
    </row>
    <row r="57" spans="1:17" ht="15" x14ac:dyDescent="0.2">
      <c r="B57" s="7"/>
      <c r="C57" s="3"/>
      <c r="D57" s="178"/>
      <c r="E57" s="178"/>
      <c r="F57" s="178"/>
      <c r="G57" s="178"/>
      <c r="H57" s="178"/>
      <c r="I57" s="178"/>
      <c r="J57" s="178"/>
      <c r="K57" s="178"/>
      <c r="L57" s="178"/>
      <c r="M57" s="88"/>
      <c r="N57" s="54"/>
      <c r="O57" s="9"/>
    </row>
    <row r="58" spans="1:17" ht="15" x14ac:dyDescent="0.2">
      <c r="B58" s="7"/>
      <c r="C58" s="3"/>
      <c r="D58" s="178"/>
      <c r="E58" s="178"/>
      <c r="F58" s="178"/>
      <c r="G58" s="178"/>
      <c r="H58" s="178"/>
      <c r="I58" s="178"/>
      <c r="J58" s="178"/>
      <c r="K58" s="178"/>
      <c r="L58" s="178"/>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:08/02/2021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0</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2021-02-08T09:44:00Z</cp:lastPrinted>
  <dcterms:created xsi:type="dcterms:W3CDTF">1995-05-29T15:50:39Z</dcterms:created>
  <dcterms:modified xsi:type="dcterms:W3CDTF">2021-02-08T09:58:23Z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