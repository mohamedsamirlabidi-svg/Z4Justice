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Facture!$M$43</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Facture!$F$22</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Facture!$F$51</definedName>
    <definedName name="data67">Facture!$F$52</definedName>
    <definedName name="data68">Facture!$G$56</definedName>
    <definedName name="data69">Facture!$K$56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Facture!$F$40:$K$40</definedName>
    <definedName name="qzqzqz26">Facture!$F$51:$I$51</definedName>
    <definedName name="qzqzqz27">Facture!#REF!</definedName>
    <definedName name="qzqzqz28">Facture!$F$52:$I$52</definedName>
    <definedName name="qzqzqz29">Facture!$K$56:$N$56</definedName>
    <definedName name="qzqzqz3">Facture!$E$22:$J$22</definedName>
    <definedName name="qzqzqz30">Facture!$G$56:$I$56</definedName>
    <definedName name="qzqzqz31">Facture!$G$56:$H$56</definedName>
    <definedName name="qzqzqz32">Facture!$K$52:$N$56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31" i="3" l="1"/>
  <c r="N32" i="3"/>
  <c r="N33" i="3"/>
  <c r="N34" i="3"/>
  <c r="N30" i="3"/>
  <c r="N28" i="3" l="1"/>
  <c r="N29" i="3" l="1"/>
  <c r="N39" i="3" l="1"/>
  <c r="N40" i="3"/>
  <c r="K8" i="8" l="1"/>
  <c r="I8" i="8"/>
  <c r="H8" i="8"/>
  <c r="G8" i="8"/>
  <c r="F8" i="8"/>
  <c r="E8" i="8"/>
  <c r="D8" i="8"/>
  <c r="C8" i="8"/>
  <c r="B8" i="8"/>
  <c r="N27" i="3"/>
  <c r="N41" i="3" s="1"/>
  <c r="F33" i="2"/>
  <c r="N43" i="3" l="1"/>
  <c r="N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<sst xmlns="http://schemas.openxmlformats.org/spreadsheetml/2006/main" count="87" uniqueCount="71">
  <si>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</si>
  <si>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</si>
  <si>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</si>
  <si>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</si>
  <si>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</si>
  <si>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</si>
  <si>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</si>
  <si>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</si>
  <si>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</si>
  <si>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</si>
  <si>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</si>
  <si>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</si>
  <si>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</si>
  <si>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</si>
  <si>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</si>
  <si>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</si>
  <si>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</si>
  <si>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</si>
  <si>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</si>
  <si>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</si>
  <si>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</si>
  <si>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</si>
  <si>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</si>
  <si>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</si>
  <si>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</si>
  <si>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</si>
  <si>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</si>
  <si>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</si>
  <si>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</si>
  <si>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</si>
  <si>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</si>
  <si>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</si>
  <si>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</si>
  <si>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</si>
  <si>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</si>
  <si>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</si>
  <si>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</si>
  <si>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</si>
  <si>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</si>
  <si>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</si>
  <si>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</si>
  <si>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</si>
  <si>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</si>
  <si>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</si>
  <si>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</si>
  <si>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</si>
  <si>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</si>
  <si>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</si>
  <si>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</si>
  <si>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</si>
  <si>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</si>
  <si>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</si>
  <si>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</si>
  <si>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</si>
  <si>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</si>
  <si>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</si>
  <si>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</si>
  <si>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</si>
  <si>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</si>
  <si>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</si>
  <si>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</si>
  <si>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</si>
  <si>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</si>
  <si>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</si>
  <si>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</si>
  <si>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</si>
  <si>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</si>
  <si>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</si>
  <si>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DEVIS N° 2021-0600</t>
  </si>
  <si>
    <t>tools bag</t>
  </si>
  <si>
    <t>ARRETE LA PRESENTE DEVIS A LA SOMME DE: CENT SEPT DINARS ET 700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</si>
</sst>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16" fillId="0" borderId="32" xfId="0" applyNumberFormat="1" applyFont="1" applyFill="1" applyBorder="1" applyAlignment="1"/>
    <xf numFmtId="0" fontId="16" fillId="6"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9023</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59155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twoCellAnchor editAs="oneCell">
    <xdr:from>
      <xdr:col>9</xdr:col>
      <xdr:colOff>140368</xdr:colOff>
      <xdr:row>40</xdr:row>
      <xdr:rowOff>60160</xdr:rowOff>
    </xdr:from>
    <xdr:to>
      <xdr:col>11</xdr:col>
      <xdr:colOff>641684</xdr:colOff>
      <xdr:row>44</xdr:row>
      <xdr:rowOff>130342</xdr:rowOff>
    </xdr:to>
    <xdr:pic>
      <xdr:nvPicPr>
        <xdr:cNvPr id="14" name="Image 13"/>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421605" y="9023686"/>
          <a:ext cx="1203158" cy="882314"/>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6" t="s">
        <v>0</v>
      </c>
      <c r="E4" s="137"/>
      <c r="F4" s="137"/>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8" t="s">
        <v>2</v>
      </c>
      <c r="E10" s="13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0" t="s">
        <v>45</v>
      </c>
      <c r="E19" s="13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1" t="str">
        <f>LOWER(TemplateInformation!B3)</f>
        <v>c:\program files\microsoft office\office\macrolib\factbd.xls</v>
      </c>
      <c r="G33" s="14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8" t="s">
        <v>16</v>
      </c>
      <c r="E36" s="13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10" zoomScale="95" workbookViewId="0">
      <selection activeCell="C48" sqref="C4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9"/>
      <c r="N9" s="160"/>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8" t="s">
        <v>54</v>
      </c>
      <c r="N13" s="169"/>
      <c r="O13" s="3"/>
      <c r="P13" s="8"/>
    </row>
    <row r="14" spans="2:16" x14ac:dyDescent="0.2">
      <c r="B14" s="7"/>
      <c r="C14" s="3"/>
      <c r="D14" s="3"/>
      <c r="E14" s="3"/>
      <c r="F14" s="3"/>
      <c r="G14" s="3"/>
      <c r="H14" s="158"/>
      <c r="I14" s="158"/>
      <c r="J14" s="158"/>
      <c r="K14" s="158"/>
      <c r="L14" s="158"/>
      <c r="M14" s="3"/>
      <c r="N14" s="3"/>
      <c r="O14" s="3"/>
      <c r="P14" s="8"/>
    </row>
    <row r="15" spans="2:16" ht="20.100000000000001" customHeight="1" x14ac:dyDescent="0.2">
      <c r="B15" s="7"/>
      <c r="C15" s="3"/>
      <c r="D15" s="3"/>
      <c r="E15" s="3"/>
      <c r="F15" s="3"/>
      <c r="G15" s="3"/>
      <c r="H15" s="158"/>
      <c r="I15" s="158"/>
      <c r="J15" s="158"/>
      <c r="K15" s="158"/>
      <c r="L15" s="158"/>
      <c r="M15" s="3"/>
      <c r="N15" s="3"/>
      <c r="O15" s="3"/>
      <c r="P15" s="8"/>
    </row>
    <row r="16" spans="2:16" ht="3" customHeight="1" thickBot="1" x14ac:dyDescent="0.25">
      <c r="B16" s="7"/>
      <c r="C16" s="3"/>
      <c r="D16" s="3"/>
      <c r="E16" s="3"/>
      <c r="F16" s="3"/>
      <c r="G16" s="3"/>
      <c r="H16" s="3"/>
      <c r="I16" s="3"/>
      <c r="J16" s="3"/>
      <c r="K16" s="3"/>
      <c r="L16" s="3"/>
      <c r="M16" s="3"/>
      <c r="N16" s="3"/>
      <c r="O16" s="3"/>
      <c r="P16" s="8"/>
    </row>
    <row r="17" spans="2:16" ht="14.1" customHeight="1" thickBot="1" x14ac:dyDescent="0.25">
      <c r="B17" s="7"/>
      <c r="C17" s="3"/>
      <c r="D17" s="3"/>
      <c r="E17" s="3"/>
      <c r="F17" s="3"/>
      <c r="G17" s="3"/>
      <c r="H17" s="109"/>
      <c r="I17" s="3"/>
      <c r="J17" s="99"/>
      <c r="K17" s="3"/>
      <c r="L17" s="3"/>
      <c r="M17" s="146" t="s">
        <v>68</v>
      </c>
      <c r="N17" s="147"/>
      <c r="O17" s="3"/>
      <c r="P17" s="8"/>
    </row>
    <row r="18" spans="2:16" ht="19.5" thickTop="1" x14ac:dyDescent="0.3">
      <c r="B18" s="7"/>
      <c r="C18" s="3"/>
      <c r="D18" s="58"/>
      <c r="E18" s="58"/>
      <c r="F18" s="58"/>
      <c r="G18" s="58"/>
      <c r="H18" s="58"/>
      <c r="I18" s="58"/>
      <c r="J18" s="59"/>
      <c r="K18" s="59"/>
      <c r="L18" s="59"/>
      <c r="M18" s="148"/>
      <c r="N18" s="149"/>
      <c r="O18" s="19"/>
      <c r="P18" s="8"/>
    </row>
    <row r="19" spans="2:16" ht="13.5" thickBot="1" x14ac:dyDescent="0.25">
      <c r="B19" s="7"/>
      <c r="C19" s="3"/>
      <c r="D19" s="3"/>
      <c r="E19" s="3"/>
      <c r="F19" s="3"/>
      <c r="G19" s="3"/>
      <c r="H19" s="3"/>
      <c r="I19" s="3"/>
      <c r="J19" s="3"/>
      <c r="K19" s="3"/>
      <c r="L19" s="3"/>
      <c r="M19" s="150"/>
      <c r="N19" s="151"/>
      <c r="O19" s="3"/>
      <c r="P19" s="8"/>
    </row>
    <row r="20" spans="2:16" x14ac:dyDescent="0.2">
      <c r="B20" s="7"/>
      <c r="C20" s="3"/>
      <c r="D20" s="3"/>
      <c r="E20" s="3"/>
      <c r="F20" s="3"/>
      <c r="G20" s="3"/>
      <c r="H20" s="3"/>
      <c r="I20" s="3"/>
      <c r="J20" s="3"/>
      <c r="K20" s="3"/>
      <c r="L20" s="3"/>
      <c r="M20" s="3"/>
      <c r="N20" s="3"/>
      <c r="O20" s="3"/>
      <c r="P20" s="8"/>
    </row>
    <row r="21" spans="2:16" ht="18" x14ac:dyDescent="0.25">
      <c r="B21" s="7"/>
      <c r="C21" s="3"/>
      <c r="D21" s="82" t="s">
        <v>3</v>
      </c>
      <c r="E21" s="174" t="s">
        <v>63</v>
      </c>
      <c r="F21" s="175"/>
      <c r="G21" s="175"/>
      <c r="H21" s="175"/>
      <c r="I21" s="175"/>
      <c r="J21" s="175"/>
      <c r="K21" s="82"/>
      <c r="L21" s="84" t="s">
        <v>18</v>
      </c>
      <c r="M21" s="163">
        <v>44263</v>
      </c>
      <c r="N21" s="164"/>
      <c r="O21" s="55"/>
      <c r="P21" s="8"/>
    </row>
    <row r="22" spans="2:16" ht="14.25" x14ac:dyDescent="0.2">
      <c r="B22" s="7"/>
      <c r="C22" s="3"/>
      <c r="D22" s="82" t="s">
        <v>5</v>
      </c>
      <c r="E22" s="172" t="s">
        <v>62</v>
      </c>
      <c r="F22" s="173"/>
      <c r="G22" s="173"/>
      <c r="H22" s="173"/>
      <c r="I22" s="173"/>
      <c r="J22" s="173"/>
      <c r="K22" s="82"/>
      <c r="L22" s="126" t="s">
        <v>59</v>
      </c>
      <c r="M22" s="156"/>
      <c r="N22" s="157"/>
      <c r="O22" s="56"/>
      <c r="P22" s="8"/>
    </row>
    <row r="23" spans="2:16" x14ac:dyDescent="0.2">
      <c r="B23" s="7"/>
      <c r="C23" s="3"/>
      <c r="D23" s="82" t="s">
        <v>7</v>
      </c>
      <c r="E23" s="89">
        <v>2035</v>
      </c>
      <c r="F23" s="90" t="s">
        <v>8</v>
      </c>
      <c r="G23" s="170" t="s">
        <v>64</v>
      </c>
      <c r="H23" s="171"/>
      <c r="I23" s="91" t="s">
        <v>9</v>
      </c>
      <c r="J23" s="88" t="s">
        <v>51</v>
      </c>
      <c r="K23" s="82"/>
      <c r="L23" s="84" t="s">
        <v>19</v>
      </c>
      <c r="M23" s="165" t="s">
        <v>66</v>
      </c>
      <c r="N23" s="166"/>
      <c r="O23" s="3"/>
      <c r="P23" s="8"/>
    </row>
    <row r="24" spans="2:16" x14ac:dyDescent="0.2">
      <c r="B24" s="7"/>
      <c r="C24" s="3"/>
      <c r="D24" s="82" t="s">
        <v>20</v>
      </c>
      <c r="E24" s="176" t="s">
        <v>65</v>
      </c>
      <c r="F24" s="177"/>
      <c r="G24" s="177"/>
      <c r="H24" s="177"/>
      <c r="I24" s="177"/>
      <c r="J24" s="177"/>
      <c r="K24" s="82"/>
      <c r="L24" s="84" t="s">
        <v>47</v>
      </c>
      <c r="M24" s="167" t="s">
        <v>61</v>
      </c>
      <c r="N24" s="166"/>
      <c r="O24" s="3"/>
      <c r="P24" s="8"/>
    </row>
    <row r="25" spans="2:16" x14ac:dyDescent="0.2">
      <c r="B25" s="7"/>
      <c r="C25" s="3"/>
      <c r="D25" s="82"/>
      <c r="E25" s="82"/>
      <c r="F25" s="82"/>
      <c r="G25" s="82"/>
      <c r="H25" s="82"/>
      <c r="I25" s="82"/>
      <c r="J25" s="82"/>
      <c r="K25" s="82"/>
      <c r="L25" s="82"/>
      <c r="M25" s="82"/>
      <c r="N25" s="82"/>
      <c r="O25" s="3"/>
      <c r="P25" s="8"/>
    </row>
    <row r="26" spans="2:16" x14ac:dyDescent="0.2">
      <c r="B26" s="7"/>
      <c r="C26" s="3"/>
      <c r="D26" s="67" t="s">
        <v>34</v>
      </c>
      <c r="E26" s="51" t="s">
        <v>21</v>
      </c>
      <c r="F26" s="152" t="s">
        <v>22</v>
      </c>
      <c r="G26" s="153"/>
      <c r="H26" s="153"/>
      <c r="I26" s="153"/>
      <c r="J26" s="153"/>
      <c r="K26" s="153"/>
      <c r="L26" s="154"/>
      <c r="M26" s="52" t="s">
        <v>53</v>
      </c>
      <c r="N26" s="113" t="s">
        <v>23</v>
      </c>
      <c r="O26" s="57"/>
      <c r="P26" s="8"/>
    </row>
    <row r="27" spans="2:16" ht="15.75" x14ac:dyDescent="0.25">
      <c r="B27" s="7"/>
      <c r="C27" s="3"/>
      <c r="D27" s="93"/>
      <c r="E27" s="75"/>
      <c r="F27" s="178"/>
      <c r="G27" s="179"/>
      <c r="H27" s="179"/>
      <c r="I27" s="179"/>
      <c r="J27" s="179"/>
      <c r="K27" s="179"/>
      <c r="L27" s="131"/>
      <c r="M27" s="130"/>
      <c r="N27" s="96" t="str">
        <f t="shared" ref="N27" si="0">IF(E27&lt;&gt;"",E27*M27,"")</f>
        <v/>
      </c>
      <c r="O27" s="57"/>
      <c r="P27" s="8"/>
    </row>
    <row r="28" spans="2:16" ht="15" x14ac:dyDescent="0.2">
      <c r="B28" s="7"/>
      <c r="C28" s="3"/>
      <c r="D28" s="107"/>
      <c r="E28" s="75"/>
      <c r="F28" s="134"/>
      <c r="G28" s="135"/>
      <c r="H28" s="81"/>
      <c r="I28" s="108"/>
      <c r="J28" s="81"/>
      <c r="K28" s="81"/>
      <c r="L28" s="132"/>
      <c r="M28" s="115"/>
      <c r="N28" s="96" t="str">
        <f>IF(E28&lt;&gt;"",E28*M28,"")</f>
        <v/>
      </c>
      <c r="O28" s="57"/>
      <c r="P28" s="8"/>
    </row>
    <row r="29" spans="2:16" ht="18" x14ac:dyDescent="0.25">
      <c r="B29" s="7"/>
      <c r="C29" s="3"/>
      <c r="D29" s="107"/>
      <c r="E29" s="75"/>
      <c r="F29" s="134"/>
      <c r="G29" s="125"/>
      <c r="H29" s="81"/>
      <c r="I29" s="108"/>
      <c r="J29" s="81"/>
      <c r="K29" s="81"/>
      <c r="L29" s="108"/>
      <c r="M29" s="96"/>
      <c r="N29" s="96" t="str">
        <f t="shared" ref="N29:N34" si="1">IF(E29&lt;&gt;"",E29*M29,"")</f>
        <v/>
      </c>
      <c r="O29" s="57"/>
      <c r="P29" s="8"/>
    </row>
    <row r="30" spans="2:16" ht="18" x14ac:dyDescent="0.25">
      <c r="B30" s="7"/>
      <c r="C30" s="3"/>
      <c r="D30" s="107"/>
      <c r="E30" s="75"/>
      <c r="F30" s="134"/>
      <c r="G30" s="125"/>
      <c r="H30" s="81"/>
      <c r="I30" s="108"/>
      <c r="J30" s="108"/>
      <c r="K30" s="81"/>
      <c r="L30" s="108"/>
      <c r="M30" s="96"/>
      <c r="N30" s="96" t="str">
        <f t="shared" si="1"/>
        <v/>
      </c>
      <c r="O30" s="57"/>
      <c r="P30" s="8"/>
    </row>
    <row r="31" spans="2:16" ht="18" x14ac:dyDescent="0.25">
      <c r="B31" s="7"/>
      <c r="C31" s="3"/>
      <c r="D31" s="107"/>
      <c r="E31" s="75"/>
      <c r="F31" s="134"/>
      <c r="G31" s="125"/>
      <c r="H31" s="81"/>
      <c r="I31" s="108"/>
      <c r="J31" s="81"/>
      <c r="K31" s="81"/>
      <c r="L31" s="108"/>
      <c r="M31" s="96"/>
      <c r="N31" s="96" t="str">
        <f t="shared" si="1"/>
        <v/>
      </c>
      <c r="O31" s="57"/>
      <c r="P31" s="8"/>
    </row>
    <row r="32" spans="2:16" ht="18" x14ac:dyDescent="0.25">
      <c r="B32" s="7"/>
      <c r="C32" s="3"/>
      <c r="D32" s="107"/>
      <c r="E32" s="75"/>
      <c r="F32" s="81"/>
      <c r="G32" s="125"/>
      <c r="H32" s="81"/>
      <c r="I32" s="108"/>
      <c r="J32" s="81"/>
      <c r="K32" s="81"/>
      <c r="L32" s="108"/>
      <c r="M32" s="96"/>
      <c r="N32" s="96" t="str">
        <f t="shared" si="1"/>
        <v/>
      </c>
      <c r="O32" s="57"/>
      <c r="P32" s="8"/>
    </row>
    <row r="33" spans="2:16" ht="15" x14ac:dyDescent="0.2">
      <c r="B33" s="7"/>
      <c r="C33" s="3"/>
      <c r="D33" s="107">
        <v>2792</v>
      </c>
      <c r="E33" s="75">
        <v>2</v>
      </c>
      <c r="F33" s="81" t="s">
        <v>69</v>
      </c>
      <c r="G33" s="108"/>
      <c r="H33" s="81"/>
      <c r="I33" s="108"/>
      <c r="J33" s="81"/>
      <c r="K33" s="81"/>
      <c r="L33" s="108"/>
      <c r="M33" s="96">
        <v>45</v>
      </c>
      <c r="N33" s="96">
        <f t="shared" si="1"/>
        <v>90</v>
      </c>
      <c r="O33" s="57"/>
      <c r="P33" s="8"/>
    </row>
    <row r="34" spans="2:16" ht="15" x14ac:dyDescent="0.2">
      <c r="B34" s="7"/>
      <c r="C34" s="3"/>
      <c r="D34" s="107"/>
      <c r="E34" s="75"/>
      <c r="F34" s="81"/>
      <c r="G34" s="108"/>
      <c r="H34" s="81"/>
      <c r="I34" s="108"/>
      <c r="J34" s="108"/>
      <c r="K34" s="81"/>
      <c r="L34" s="108"/>
      <c r="M34" s="96"/>
      <c r="N34" s="96" t="str">
        <f t="shared" si="1"/>
        <v/>
      </c>
      <c r="O34" s="57"/>
      <c r="P34" s="8"/>
    </row>
    <row r="35" spans="2:16" ht="15" x14ac:dyDescent="0.2">
      <c r="B35" s="7"/>
      <c r="C35" s="3"/>
      <c r="D35" s="107"/>
      <c r="E35" s="75"/>
      <c r="F35" s="114"/>
      <c r="G35" s="108"/>
      <c r="H35" s="81"/>
      <c r="I35" s="108"/>
      <c r="J35" s="108"/>
      <c r="K35" s="81"/>
      <c r="L35" s="108"/>
      <c r="M35" s="96"/>
      <c r="N35" s="96"/>
      <c r="O35" s="57"/>
      <c r="P35" s="8"/>
    </row>
    <row r="36" spans="2:16" ht="15" x14ac:dyDescent="0.2">
      <c r="B36" s="7"/>
      <c r="C36" s="3"/>
      <c r="D36" s="107"/>
      <c r="E36" s="75"/>
      <c r="F36" s="114"/>
      <c r="G36" s="108"/>
      <c r="H36" s="81"/>
      <c r="I36" s="108"/>
      <c r="J36" s="108"/>
      <c r="K36" s="81"/>
      <c r="L36" s="108"/>
      <c r="M36" s="96"/>
      <c r="N36" s="96"/>
      <c r="O36" s="57"/>
      <c r="P36" s="8"/>
    </row>
    <row r="37" spans="2:16" ht="15" x14ac:dyDescent="0.2">
      <c r="B37" s="7"/>
      <c r="C37" s="3"/>
      <c r="D37" s="107"/>
      <c r="E37" s="75"/>
      <c r="F37" s="114"/>
      <c r="G37" s="108"/>
      <c r="H37" s="81"/>
      <c r="I37" s="108"/>
      <c r="J37" s="108"/>
      <c r="K37" s="81"/>
      <c r="L37" s="108"/>
      <c r="M37" s="96"/>
      <c r="N37" s="96"/>
      <c r="O37" s="57"/>
      <c r="P37" s="8"/>
    </row>
    <row r="38" spans="2:16" ht="15" x14ac:dyDescent="0.2">
      <c r="B38" s="7"/>
      <c r="C38" s="3"/>
      <c r="D38" s="107"/>
      <c r="E38" s="53"/>
      <c r="F38" s="114"/>
      <c r="G38" s="108"/>
      <c r="H38" s="81"/>
      <c r="I38" s="108"/>
      <c r="J38" s="108"/>
      <c r="K38" s="81"/>
      <c r="L38" s="108"/>
      <c r="M38" s="96"/>
      <c r="N38" s="96"/>
      <c r="O38" s="57"/>
      <c r="P38" s="8"/>
    </row>
    <row r="39" spans="2:16" ht="15.75" x14ac:dyDescent="0.25">
      <c r="B39" s="7"/>
      <c r="C39" s="3"/>
      <c r="D39" s="93"/>
      <c r="E39" s="53"/>
      <c r="F39" s="95"/>
      <c r="G39" s="116"/>
      <c r="H39" s="116"/>
      <c r="I39" s="116"/>
      <c r="J39" s="116"/>
      <c r="K39" s="116"/>
      <c r="L39" s="81"/>
      <c r="M39" s="96"/>
      <c r="N39" s="96" t="str">
        <f>IF(E40&lt;&gt;"",E40*M39,"")</f>
        <v/>
      </c>
      <c r="O39" s="57"/>
      <c r="P39" s="8"/>
    </row>
    <row r="40" spans="2:16" ht="15" x14ac:dyDescent="0.2">
      <c r="B40" s="7"/>
      <c r="C40" s="3"/>
      <c r="D40" s="94"/>
      <c r="E40" s="54"/>
      <c r="F40" s="161"/>
      <c r="G40" s="162"/>
      <c r="H40" s="162"/>
      <c r="I40" s="162"/>
      <c r="J40" s="162"/>
      <c r="K40" s="162"/>
      <c r="L40" s="117"/>
      <c r="M40" s="96"/>
      <c r="N40" s="96" t="str">
        <f>IF(E41&lt;&gt;"",E41*M40,"")</f>
        <v/>
      </c>
      <c r="O40" s="57"/>
      <c r="P40" s="8"/>
    </row>
    <row r="41" spans="2:16" ht="15.75" x14ac:dyDescent="0.25">
      <c r="B41" s="7"/>
      <c r="C41" s="3"/>
      <c r="D41" s="3"/>
      <c r="E41" s="82"/>
      <c r="F41" s="82"/>
      <c r="G41" s="82"/>
      <c r="H41" s="82"/>
      <c r="I41" s="82"/>
      <c r="J41" s="76"/>
      <c r="K41" s="76"/>
      <c r="L41" s="76"/>
      <c r="M41" s="102" t="s">
        <v>24</v>
      </c>
      <c r="N41" s="97">
        <f>SUM(N27:N40)</f>
        <v>90</v>
      </c>
      <c r="O41" s="57"/>
      <c r="P41" s="8"/>
    </row>
    <row r="42" spans="2:16" ht="15" x14ac:dyDescent="0.2">
      <c r="B42" s="7"/>
      <c r="C42" s="3"/>
      <c r="D42" s="3"/>
      <c r="E42" s="82"/>
      <c r="F42" s="82"/>
      <c r="G42" s="82"/>
      <c r="H42" s="82"/>
      <c r="I42" s="82"/>
      <c r="J42" s="76"/>
      <c r="K42" s="76"/>
      <c r="L42" s="76"/>
      <c r="M42" s="105" t="s">
        <v>46</v>
      </c>
      <c r="N42" s="103">
        <v>0.6</v>
      </c>
      <c r="O42" s="57"/>
      <c r="P42" s="8"/>
    </row>
    <row r="43" spans="2:16" ht="17.100000000000001" customHeight="1" x14ac:dyDescent="0.2">
      <c r="B43" s="7"/>
      <c r="C43" s="3"/>
      <c r="D43" s="3"/>
      <c r="E43" s="83"/>
      <c r="F43" s="106" t="s">
        <v>25</v>
      </c>
      <c r="G43" s="82"/>
      <c r="H43" s="82"/>
      <c r="I43" s="82"/>
      <c r="J43" s="78"/>
      <c r="K43" s="78"/>
      <c r="L43" s="77"/>
      <c r="M43" s="104">
        <v>0.19</v>
      </c>
      <c r="N43" s="103">
        <f>N41*0.19</f>
        <v>17.100000000000001</v>
      </c>
      <c r="O43" s="57"/>
      <c r="P43" s="8"/>
    </row>
    <row r="44" spans="2:16" ht="17.100000000000001" customHeight="1" x14ac:dyDescent="0.25">
      <c r="B44" s="7"/>
      <c r="C44" s="3"/>
      <c r="D44" s="3"/>
      <c r="E44" s="85"/>
      <c r="F44" s="133" t="s">
        <v>67</v>
      </c>
      <c r="G44" s="87"/>
      <c r="H44" s="85"/>
      <c r="I44" s="82"/>
      <c r="J44" s="79"/>
      <c r="K44" s="76"/>
      <c r="L44" s="76"/>
      <c r="M44" s="143" t="s">
        <v>27</v>
      </c>
      <c r="N44" s="144">
        <f>+N41+N42+N43</f>
        <v>107.69999999999999</v>
      </c>
      <c r="O44" s="57"/>
      <c r="P44" s="8"/>
    </row>
    <row r="45" spans="2:16" ht="15" x14ac:dyDescent="0.2">
      <c r="B45" s="7"/>
      <c r="C45" s="3"/>
      <c r="D45" s="3"/>
      <c r="E45" s="85">
        <v>2</v>
      </c>
      <c r="F45" s="106" t="s">
        <v>56</v>
      </c>
      <c r="G45" s="82"/>
      <c r="H45" s="86"/>
      <c r="I45" s="82"/>
      <c r="J45" s="80" t="s">
        <v>26</v>
      </c>
      <c r="K45" s="76"/>
      <c r="L45" s="76"/>
      <c r="M45" s="143"/>
      <c r="N45" s="145"/>
      <c r="O45" s="57"/>
      <c r="P45" s="8"/>
    </row>
    <row r="46" spans="2:16" ht="15" customHeight="1" x14ac:dyDescent="0.2">
      <c r="B46" s="7"/>
      <c r="C46" s="3"/>
      <c r="D46" s="3"/>
      <c r="E46" s="85"/>
      <c r="F46" s="106"/>
      <c r="G46" s="82"/>
      <c r="H46" s="86"/>
      <c r="I46" s="82"/>
      <c r="J46" s="80"/>
      <c r="K46" s="76"/>
      <c r="L46" s="76"/>
      <c r="M46" s="99"/>
      <c r="N46" s="100"/>
      <c r="O46" s="57"/>
      <c r="P46" s="8"/>
    </row>
    <row r="47" spans="2:16" ht="15" customHeight="1" x14ac:dyDescent="0.2">
      <c r="B47" s="7"/>
      <c r="C47" s="127" t="s">
        <v>70</v>
      </c>
      <c r="D47" s="127"/>
      <c r="E47" s="127"/>
      <c r="F47" s="127"/>
      <c r="G47" s="127"/>
      <c r="H47" s="127"/>
      <c r="I47" s="127"/>
      <c r="J47" s="127"/>
      <c r="K47" s="127"/>
      <c r="L47" s="127"/>
      <c r="M47" s="128"/>
      <c r="N47" s="129"/>
      <c r="O47" s="57"/>
      <c r="P47" s="8"/>
    </row>
    <row r="48" spans="2:16" ht="15" customHeight="1" x14ac:dyDescent="0.2">
      <c r="B48" s="7"/>
      <c r="C48" s="126"/>
      <c r="D48" s="126"/>
      <c r="E48" s="126"/>
      <c r="F48" s="126"/>
      <c r="G48" s="126"/>
      <c r="H48" s="126"/>
      <c r="I48" s="126"/>
      <c r="J48" s="126"/>
      <c r="K48" s="126"/>
      <c r="L48" s="126"/>
      <c r="M48" s="98" t="s">
        <v>60</v>
      </c>
      <c r="N48" s="101"/>
      <c r="O48" s="57"/>
      <c r="P48" s="8"/>
    </row>
    <row r="49" spans="1:16" x14ac:dyDescent="0.2">
      <c r="B49" s="7"/>
      <c r="C49" s="126"/>
      <c r="D49" s="126"/>
      <c r="E49" s="126"/>
      <c r="F49" s="126"/>
      <c r="G49" s="126"/>
      <c r="H49" s="126"/>
      <c r="I49" s="126"/>
      <c r="J49" s="126"/>
      <c r="K49" s="126"/>
      <c r="L49" s="126"/>
      <c r="M49" s="101"/>
      <c r="N49" s="101"/>
      <c r="O49" s="57"/>
      <c r="P49" s="8"/>
    </row>
    <row r="50" spans="1:16" x14ac:dyDescent="0.2">
      <c r="B50" s="7"/>
      <c r="C50" s="126"/>
      <c r="D50" s="126"/>
      <c r="E50" s="126"/>
      <c r="F50" s="126"/>
      <c r="G50" s="126"/>
      <c r="H50" s="126"/>
      <c r="I50" s="126"/>
      <c r="J50" s="126"/>
      <c r="K50" s="126"/>
      <c r="L50" s="126"/>
      <c r="M50" s="101"/>
      <c r="N50" s="101"/>
      <c r="O50" s="57"/>
      <c r="P50" s="8"/>
    </row>
    <row r="51" spans="1:16" ht="15" x14ac:dyDescent="0.2">
      <c r="B51" s="7"/>
      <c r="C51" s="155"/>
      <c r="D51" s="155"/>
      <c r="E51" s="155"/>
      <c r="F51" s="155"/>
      <c r="G51" s="155"/>
      <c r="H51" s="155"/>
      <c r="I51" s="155"/>
      <c r="J51" s="155"/>
      <c r="K51" s="155"/>
      <c r="L51" s="155"/>
      <c r="M51" s="99"/>
      <c r="N51" s="100"/>
      <c r="O51" s="57"/>
      <c r="P51" s="8"/>
    </row>
    <row r="52" spans="1:16" ht="15" customHeight="1" x14ac:dyDescent="0.2">
      <c r="B52" s="7"/>
      <c r="C52" s="3"/>
      <c r="D52" s="3"/>
      <c r="E52" s="18"/>
      <c r="F52" s="182"/>
      <c r="G52" s="182"/>
      <c r="H52" s="182"/>
      <c r="I52" s="182"/>
      <c r="J52" s="78"/>
      <c r="K52" s="99"/>
      <c r="L52" s="98"/>
      <c r="M52" s="98"/>
      <c r="N52" s="98"/>
      <c r="O52" s="57"/>
      <c r="P52" s="8"/>
    </row>
    <row r="53" spans="1:16" ht="15" customHeight="1" x14ac:dyDescent="0.2">
      <c r="B53" s="7"/>
      <c r="C53" s="3"/>
      <c r="D53" s="3"/>
      <c r="E53" s="18"/>
      <c r="F53" s="110"/>
      <c r="G53" s="120"/>
      <c r="H53" s="120"/>
      <c r="I53" s="120"/>
      <c r="J53" s="121"/>
      <c r="K53" s="98"/>
      <c r="L53" s="98"/>
      <c r="M53" s="98"/>
      <c r="N53" s="98"/>
      <c r="O53" s="57"/>
      <c r="P53" s="8"/>
    </row>
    <row r="54" spans="1:16" ht="12.75" customHeight="1" thickBot="1" x14ac:dyDescent="0.25">
      <c r="B54" s="7"/>
      <c r="C54" s="3"/>
      <c r="D54" s="3"/>
      <c r="E54" s="122" t="s">
        <v>58</v>
      </c>
      <c r="F54" s="122"/>
      <c r="G54" s="122"/>
      <c r="H54" s="122"/>
      <c r="I54" s="122"/>
      <c r="J54" s="122"/>
      <c r="K54" s="122"/>
      <c r="L54" s="122"/>
      <c r="M54" s="122"/>
      <c r="N54" s="98"/>
      <c r="O54" s="57"/>
      <c r="P54" s="8"/>
    </row>
    <row r="55" spans="1:16" ht="3" customHeight="1" thickTop="1" x14ac:dyDescent="0.2">
      <c r="B55" s="58"/>
      <c r="C55" s="3"/>
      <c r="D55" s="3"/>
      <c r="E55" s="18"/>
      <c r="F55" s="183" t="s">
        <v>55</v>
      </c>
      <c r="G55" s="183"/>
      <c r="H55" s="183"/>
      <c r="I55" s="183"/>
      <c r="J55" s="183"/>
      <c r="K55" s="183"/>
      <c r="L55" s="183"/>
      <c r="M55" s="98"/>
      <c r="N55" s="98"/>
      <c r="O55" s="57"/>
      <c r="P55" s="8"/>
    </row>
    <row r="56" spans="1:16" ht="15.75" x14ac:dyDescent="0.2">
      <c r="B56" s="124"/>
      <c r="C56" s="3"/>
      <c r="D56" s="3"/>
      <c r="E56" s="184" t="s">
        <v>57</v>
      </c>
      <c r="F56" s="184"/>
      <c r="G56" s="184"/>
      <c r="H56" s="184"/>
      <c r="I56" s="184"/>
      <c r="J56" s="184"/>
      <c r="K56" s="184"/>
      <c r="L56" s="184"/>
      <c r="M56" s="184"/>
      <c r="N56" s="98"/>
      <c r="O56" s="57"/>
    </row>
    <row r="57" spans="1:16" ht="15.75" customHeight="1" x14ac:dyDescent="0.2">
      <c r="B57" s="123"/>
      <c r="C57" s="3"/>
      <c r="D57" s="3"/>
      <c r="E57" s="184"/>
      <c r="F57" s="184"/>
      <c r="G57" s="184"/>
      <c r="H57" s="184"/>
      <c r="I57" s="184"/>
      <c r="J57" s="184"/>
      <c r="K57" s="184"/>
      <c r="L57" s="184"/>
      <c r="M57" s="184"/>
      <c r="N57" s="98"/>
      <c r="O57" s="57"/>
    </row>
    <row r="58" spans="1:16" ht="13.5" thickBot="1" x14ac:dyDescent="0.25">
      <c r="C58" s="118"/>
      <c r="D58" s="118"/>
      <c r="E58" s="119"/>
      <c r="F58" s="119"/>
      <c r="G58" s="119"/>
      <c r="H58" s="181"/>
      <c r="I58" s="181"/>
      <c r="J58" s="181"/>
      <c r="K58" s="181"/>
      <c r="L58" s="181"/>
      <c r="M58" s="119"/>
      <c r="N58" s="119"/>
      <c r="O58" s="118"/>
    </row>
    <row r="59" spans="1:16" ht="0.95" customHeight="1" thickTop="1" x14ac:dyDescent="0.2">
      <c r="C59" s="58"/>
      <c r="D59" s="58"/>
      <c r="E59" s="58"/>
      <c r="F59" s="58"/>
      <c r="G59" s="58"/>
      <c r="H59" s="58"/>
      <c r="I59" s="58"/>
      <c r="J59" s="58"/>
      <c r="K59" s="58"/>
      <c r="L59" s="58"/>
      <c r="M59" s="58"/>
      <c r="N59" s="58"/>
      <c r="O59" s="58"/>
    </row>
    <row r="60" spans="1:16" ht="6" customHeight="1" x14ac:dyDescent="0.2">
      <c r="C60" s="124"/>
      <c r="D60" s="124"/>
      <c r="E60" s="124"/>
      <c r="F60" s="124"/>
      <c r="G60" s="124"/>
      <c r="H60" s="124"/>
      <c r="I60" s="124"/>
      <c r="J60" s="124"/>
      <c r="K60" s="180"/>
      <c r="L60" s="180"/>
      <c r="M60" s="180"/>
      <c r="N60" s="180"/>
      <c r="O60" s="180"/>
    </row>
    <row r="61" spans="1:16" x14ac:dyDescent="0.2">
      <c r="C61" s="123"/>
      <c r="D61" s="123"/>
      <c r="E61" s="123"/>
      <c r="F61" s="123"/>
      <c r="G61" s="123"/>
      <c r="H61" s="123"/>
      <c r="I61" s="123"/>
      <c r="J61" s="123"/>
      <c r="K61" s="181"/>
      <c r="L61" s="181"/>
      <c r="M61" s="181"/>
      <c r="N61" s="181"/>
      <c r="O61" s="181"/>
    </row>
    <row r="62" spans="1:16" x14ac:dyDescent="0.2">
      <c r="A62" s="99"/>
    </row>
    <row r="64" spans="1:16" ht="12.75" customHeight="1" x14ac:dyDescent="0.2"/>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60:O61"/>
    <mergeCell ref="F52:I52"/>
    <mergeCell ref="F55:L55"/>
    <mergeCell ref="H58:L58"/>
    <mergeCell ref="E56:M57"/>
    <mergeCell ref="H14:L15"/>
    <mergeCell ref="M9:N9"/>
    <mergeCell ref="F40:K40"/>
    <mergeCell ref="M21:N21"/>
    <mergeCell ref="M23:N23"/>
    <mergeCell ref="M24:N24"/>
    <mergeCell ref="M13:N13"/>
    <mergeCell ref="G23:H23"/>
    <mergeCell ref="E22:J22"/>
    <mergeCell ref="E21:J21"/>
    <mergeCell ref="E24:J24"/>
    <mergeCell ref="F27:K27"/>
    <mergeCell ref="M44:M45"/>
    <mergeCell ref="N44:N45"/>
    <mergeCell ref="M17:N19"/>
    <mergeCell ref="F26:L26"/>
    <mergeCell ref="C51:L51"/>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3 N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1 N44">
      <formula1>0</formula1>
      <formula2>0</formula2>
    </dataValidation>
    <dataValidation type="list" allowBlank="1" showInputMessage="1" showErrorMessage="1" errorTitle="Code TVA" error="Tapez 1, 2, ou 3." sqref="L27:L40">
      <formula1>"1,2,3"</formula1>
    </dataValidation>
    <dataValidation errorStyle="warning" allowBlank="1" showInputMessage="1" errorTitle="Numéro de carte de crédit" promptTitle="Numéro de carte de crédit" prompt="Tapez ici le numéro de carte de crédit du client" sqref="F52:F53 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 M48"/>
    <dataValidation type="decimal" allowBlank="1" showErrorMessage="1" errorTitle="Prix unitaire" error="Tapez un nombre dans cette cellule." promptTitle="Prix unitaire" sqref="M27:M40">
      <formula1>0</formula1>
      <formula2>1000000000</formula2>
    </dataValidation>
    <dataValidation type="whole" errorStyle="warning" allowBlank="1" showErrorMessage="1" errorTitle="Quantité" error="Tapez un nombre dans cette cellule." promptTitle="Quantité" sqref="E27:E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43</xdr:row>
                    <xdr:rowOff>0</xdr:rowOff>
                  </from>
                  <to>
                    <xdr:col>4</xdr:col>
                    <xdr:colOff>704850</xdr:colOff>
                    <xdr:row>44</xdr:row>
                    <xdr:rowOff>9525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44263</v>
      </c>
      <c r="D8" s="71" t="str">
        <f>Facture!$E$21</f>
        <v xml:space="preserve">HAYAT COM </v>
      </c>
      <c r="E8" s="68" t="str">
        <f>Facture!$E$22</f>
        <v>250 RUE DES ENTREPRENEURS ZI CHARGUIA II</v>
      </c>
      <c r="F8" s="68">
        <f>Facture!$E$23</f>
        <v>2035</v>
      </c>
      <c r="G8" s="71" t="str">
        <f>Facture!$G$23</f>
        <v>ARIANA</v>
      </c>
      <c r="H8" s="71" t="str">
        <f>Facture!$J$23</f>
        <v>TN</v>
      </c>
      <c r="I8" s="68" t="str">
        <f>Facture!$E$24</f>
        <v xml:space="preserve">     70 103 800        Fax: 71 942 046</v>
      </c>
      <c r="J8" s="72">
        <f>Facture!$N$44</f>
        <v>107.69999999999999</v>
      </c>
      <c r="K8" s="68" t="str">
        <f>Facture!$M$23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2021-03-08T11:00:20Z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107.7</vt:r8>
  </property>
</Properties>
</file>