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l="1"/>
  <c r="M31" i="3"/>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<sst xmlns="http://schemas.openxmlformats.org/spreadsheetml/2006/main" count="85" uniqueCount="75">
  <si>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</si>
  <si>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</si>
  <si>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</si>
  <si>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</si>
  <si>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</si>
  <si>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</si>
  <si>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</si>
  <si>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</si>
  <si>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</si>
  <si>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</si>
  <si>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</si>
  <si>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</si>
  <si>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</si>
  <si>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</si>
  <si>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</si>
  <si>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</si>
  <si>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</si>
  <si>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</si>
  <si>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</si>
  <si>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</si>
  <si>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</si>
  <si>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</si>
  <si>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</si>
  <si>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</si>
  <si>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</si>
  <si>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</si>
  <si>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</si>
  <si>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</si>
  <si>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</si>
  <si>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</si>
  <si>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</si>
  <si>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</si>
  <si>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</si>
  <si>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</si>
  <si>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</si>
  <si>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</si>
  <si>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</si>
  <si>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</si>
  <si>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</si>
  <si>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</si>
  <si>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</si>
  <si>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</si>
  <si>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</si>
  <si>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</si>
  <si>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</si>
  <si>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</si>
  <si>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</si>
  <si>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</si>
  <si>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</si>
  <si>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</si>
  <si>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</si>
  <si>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</si>
  <si>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</si>
  <si>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</si>
  <si>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</si>
  <si>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</si>
  <si>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</si>
  <si>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</si>
  <si>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</si>
  <si>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</si>
  <si>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</si>
  <si>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</si>
  <si>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</si>
  <si>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</si>
  <si>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</si>
  <si>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Date : 23/08/2021</t>
  </si>
  <si>
    <r>
      <t xml:space="preserve">Responsable: </t>
    </r>
    <r>
      <rPr>
        <b/>
        <sz val="14"/>
        <rFont val="Arial"/>
        <family val="2"/>
      </rPr>
      <t>MS ZINE ALABIDINE Mohamed</t>
    </r>
  </si>
  <si>
    <t>Entreprise Lassoued de Peinture</t>
  </si>
  <si>
    <t xml:space="preserve">MF: </t>
  </si>
  <si>
    <t>DUREE DE VIE 10 ANS</t>
  </si>
  <si>
    <t>CHOCK ABSORBER REWIND</t>
  </si>
  <si>
    <t>https://www.camp.it/prodotti3.aspx?CAT=71&amp;CDV=S3&amp;B=&amp;ART=~966</t>
  </si>
  <si>
    <r>
      <t xml:space="preserve">LONGEG DOUBLE ELASTIQUE </t>
    </r>
    <r>
      <rPr>
        <b/>
        <u/>
        <sz val="16"/>
        <color rgb="FFFF0000"/>
        <rFont val="Arial"/>
        <family val="2"/>
      </rPr>
      <t>conforme EN 355</t>
    </r>
  </si>
  <si>
    <t>Offre de prix N°2021-1158</t>
  </si>
  <si>
    <t>ARRETE LA PRESENTE OFFRE DE PRIX A LA SOMME DE: NEUF CENT SOIXANTE SEIZE DINARS ET 400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</si>
</sst>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
      <sz val="18"/>
      <name val="Arial"/>
      <family val="2"/>
    </font>
    <font>
      <b/>
      <sz val="16"/>
      <color rgb="FFFF0000"/>
      <name val="Arial"/>
      <family val="2"/>
    </font>
    <font>
      <b/>
      <u/>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0" fontId="0" fillId="6" borderId="0" xfId="0" applyFill="1" applyAlignment="1">
      <alignment horizontal="center" vertical="center"/>
    </xf>
    <xf numFmtId="0" fontId="21" fillId="0" borderId="28" xfId="0" applyFont="1" applyFill="1" applyBorder="1" applyAlignment="1">
      <alignment horizontal="center"/>
    </xf>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52</xdr:row>
      <xdr:rowOff>95250</xdr:rowOff>
    </xdr:from>
    <xdr:to>
      <xdr:col>12</xdr:col>
      <xdr:colOff>1038225</xdr:colOff>
      <xdr:row>59</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5605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0" zoomScale="60" zoomScaleNormal="60" workbookViewId="0">
      <selection activeCell="D29" sqref="D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1" t="s">
        <v>73</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7" t="s">
        <v>67</v>
      </c>
      <c r="F22" s="187"/>
      <c r="G22" s="187"/>
      <c r="H22" s="187"/>
      <c r="I22" s="187"/>
      <c r="J22" s="187"/>
      <c r="K22" s="104"/>
      <c r="L22" s="184" t="s">
        <v>65</v>
      </c>
      <c r="M22" s="184"/>
      <c r="N22" s="52"/>
      <c r="O22" s="9"/>
    </row>
    <row r="23" spans="2:15" ht="33.75" x14ac:dyDescent="0.5">
      <c r="B23" s="7"/>
      <c r="C23" s="3"/>
      <c r="D23" s="103" t="s">
        <v>54</v>
      </c>
      <c r="E23" s="175"/>
      <c r="F23" s="175"/>
      <c r="G23" s="175"/>
      <c r="H23" s="175"/>
      <c r="I23" s="175"/>
      <c r="J23" s="175"/>
      <c r="K23" s="175"/>
      <c r="L23" s="105" t="s">
        <v>64</v>
      </c>
      <c r="M23" s="105"/>
      <c r="N23" s="53"/>
      <c r="O23" s="9"/>
    </row>
    <row r="24" spans="2:15" ht="33.75" x14ac:dyDescent="0.5">
      <c r="B24" s="7"/>
      <c r="C24" s="3"/>
      <c r="D24" s="103" t="s">
        <v>55</v>
      </c>
      <c r="E24" s="117"/>
      <c r="F24" s="106" t="s">
        <v>8</v>
      </c>
      <c r="G24" s="176"/>
      <c r="H24" s="176"/>
      <c r="I24" s="107" t="s">
        <v>9</v>
      </c>
      <c r="J24" s="108" t="s">
        <v>59</v>
      </c>
      <c r="K24" s="104"/>
      <c r="L24" s="185" t="s">
        <v>66</v>
      </c>
      <c r="M24" s="186"/>
      <c r="N24" s="3"/>
      <c r="O24" s="9"/>
    </row>
    <row r="25" spans="2:15" ht="33.75" x14ac:dyDescent="0.5">
      <c r="B25" s="7"/>
      <c r="C25" s="3"/>
      <c r="D25" s="103" t="s">
        <v>56</v>
      </c>
      <c r="E25" s="188">
        <v>58340385</v>
      </c>
      <c r="F25" s="188"/>
      <c r="G25" s="188"/>
      <c r="H25" s="188"/>
      <c r="I25" s="188"/>
      <c r="J25" s="188"/>
      <c r="K25" s="104"/>
      <c r="L25" s="186" t="s">
        <v>68</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64"/>
      <c r="E29" s="154">
        <v>4</v>
      </c>
      <c r="F29" s="155" t="s">
        <v>72</v>
      </c>
      <c r="G29" s="145"/>
      <c r="H29" s="145"/>
      <c r="I29" s="145"/>
      <c r="J29" s="145"/>
      <c r="K29" s="146"/>
      <c r="L29" s="112">
        <v>205</v>
      </c>
      <c r="M29" s="112">
        <f>L29*E29</f>
        <v>820</v>
      </c>
      <c r="N29" s="54"/>
      <c r="O29" s="9"/>
    </row>
    <row r="30" spans="2:15" ht="30" x14ac:dyDescent="0.4">
      <c r="B30" s="7"/>
      <c r="C30" s="3"/>
      <c r="D30" s="153"/>
      <c r="E30" s="154"/>
      <c r="F30" s="162" t="s">
        <v>70</v>
      </c>
      <c r="G30" s="145"/>
      <c r="H30" s="145"/>
      <c r="I30" s="145"/>
      <c r="J30" s="145"/>
      <c r="K30" s="146"/>
      <c r="L30" s="112"/>
      <c r="M30" s="118" t="str">
        <f t="shared" ref="M30:M31" si="0">IF(E30&lt;&gt;"",E30*L30,"")</f>
        <v/>
      </c>
      <c r="N30" s="54"/>
      <c r="O30" s="9"/>
    </row>
    <row r="31" spans="2:15" ht="30" x14ac:dyDescent="0.4">
      <c r="B31" s="7"/>
      <c r="C31" s="3"/>
      <c r="D31" s="153"/>
      <c r="E31" s="111"/>
      <c r="F31" s="155" t="s">
        <v>71</v>
      </c>
      <c r="G31" s="145"/>
      <c r="H31" s="145"/>
      <c r="I31" s="145"/>
      <c r="J31" s="145"/>
      <c r="K31" s="146"/>
      <c r="L31" s="112"/>
      <c r="M31" s="118" t="str">
        <f t="shared" si="0"/>
        <v/>
      </c>
      <c r="N31" s="54"/>
      <c r="O31" s="9"/>
    </row>
    <row r="32" spans="2:15" ht="30" x14ac:dyDescent="0.4">
      <c r="B32" s="7"/>
      <c r="C32" s="3"/>
      <c r="D32" s="153"/>
      <c r="E32" s="111"/>
      <c r="F32" s="122"/>
      <c r="G32" s="145"/>
      <c r="H32" s="145"/>
      <c r="I32" s="145"/>
      <c r="J32" s="145"/>
      <c r="K32" s="146"/>
      <c r="L32" s="112"/>
      <c r="M32" s="118" t="str">
        <f t="shared" ref="M32:M34" si="1">IF(E32&lt;&gt;"",E32*L32,"")</f>
        <v/>
      </c>
      <c r="N32" s="54"/>
      <c r="O32" s="9"/>
    </row>
    <row r="33" spans="2:15" ht="30" x14ac:dyDescent="0.4">
      <c r="B33" s="7"/>
      <c r="C33" s="3"/>
      <c r="D33" s="153"/>
      <c r="E33" s="111"/>
      <c r="F33" s="165" t="s">
        <v>69</v>
      </c>
      <c r="G33" s="145"/>
      <c r="H33" s="145"/>
      <c r="I33" s="145"/>
      <c r="J33" s="145"/>
      <c r="K33" s="146"/>
      <c r="L33" s="112"/>
      <c r="M33" s="118" t="str">
        <f t="shared" si="1"/>
        <v/>
      </c>
      <c r="N33" s="54"/>
      <c r="O33" s="9"/>
    </row>
    <row r="34" spans="2:15" ht="30" x14ac:dyDescent="0.4">
      <c r="B34" s="7"/>
      <c r="C34" s="3"/>
      <c r="D34" s="153"/>
      <c r="E34" s="111"/>
      <c r="F34" s="159"/>
      <c r="G34" s="145"/>
      <c r="H34" s="145"/>
      <c r="I34" s="145"/>
      <c r="J34" s="145"/>
      <c r="K34" s="146"/>
      <c r="L34" s="113"/>
      <c r="M34" s="118" t="str">
        <f t="shared" si="1"/>
        <v/>
      </c>
      <c r="N34" s="54"/>
      <c r="O34" s="9"/>
    </row>
    <row r="35" spans="2:15" ht="30" x14ac:dyDescent="0.4">
      <c r="B35" s="7"/>
      <c r="C35" s="3"/>
      <c r="D35" s="153"/>
      <c r="E35" s="111"/>
      <c r="F35" s="155"/>
      <c r="G35" s="145"/>
      <c r="H35" s="145"/>
      <c r="I35" s="145"/>
      <c r="J35" s="145"/>
      <c r="K35" s="146"/>
      <c r="L35" s="113"/>
      <c r="M35" s="118"/>
      <c r="N35" s="54"/>
      <c r="O35" s="9"/>
    </row>
    <row r="36" spans="2:15" ht="30" x14ac:dyDescent="0.4">
      <c r="B36" s="7"/>
      <c r="C36" s="3"/>
      <c r="D36" s="153"/>
      <c r="E36" s="111"/>
      <c r="F36" s="159"/>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63"/>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820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155.80000000000001</v>
      </c>
      <c r="N49" s="54"/>
      <c r="O49" s="9"/>
    </row>
    <row r="50" spans="2:16" ht="35.25" x14ac:dyDescent="0.5">
      <c r="B50" s="7"/>
      <c r="C50" s="3"/>
      <c r="D50" s="85"/>
      <c r="E50" s="101"/>
      <c r="F50" s="97"/>
      <c r="G50" s="82"/>
      <c r="H50" s="81"/>
      <c r="I50" s="77"/>
      <c r="J50" s="83"/>
      <c r="K50" s="93"/>
      <c r="L50" s="110" t="s">
        <v>28</v>
      </c>
      <c r="M50" s="109">
        <f>+M47+M48+M49</f>
        <v>976.40000000000009</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0" t="s">
        <v>74</v>
      </c>
      <c r="E53" s="180"/>
      <c r="F53" s="180"/>
      <c r="G53" s="180"/>
      <c r="H53" s="180"/>
      <c r="I53" s="180"/>
      <c r="J53" s="180"/>
      <c r="K53" s="180"/>
      <c r="L53" s="180"/>
      <c r="M53" s="124"/>
      <c r="N53" s="54"/>
      <c r="O53" s="9"/>
    </row>
    <row r="54" spans="2:16" ht="26.25" x14ac:dyDescent="0.4">
      <c r="B54" s="7"/>
      <c r="C54" s="3"/>
      <c r="D54" s="180"/>
      <c r="E54" s="180"/>
      <c r="F54" s="180"/>
      <c r="G54" s="180"/>
      <c r="H54" s="180"/>
      <c r="I54" s="180"/>
      <c r="J54" s="180"/>
      <c r="K54" s="180"/>
      <c r="L54" s="180"/>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4"/>
      <c r="H56" s="174"/>
      <c r="I56" s="174"/>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3" t="s">
        <v>52</v>
      </c>
      <c r="E62" s="173"/>
      <c r="F62" s="173"/>
      <c r="G62" s="173"/>
      <c r="H62" s="173"/>
      <c r="I62" s="173"/>
      <c r="J62" s="173"/>
      <c r="K62" s="173"/>
      <c r="L62" s="173"/>
      <c r="M62" s="88"/>
      <c r="N62" s="92"/>
      <c r="O62" s="9"/>
    </row>
    <row r="63" spans="2:16" ht="15" x14ac:dyDescent="0.2">
      <c r="B63" s="7"/>
      <c r="C63" s="3"/>
      <c r="D63" s="173"/>
      <c r="E63" s="173"/>
      <c r="F63" s="173"/>
      <c r="G63" s="173"/>
      <c r="H63" s="173"/>
      <c r="I63" s="173"/>
      <c r="J63" s="173"/>
      <c r="K63" s="173"/>
      <c r="L63" s="173"/>
      <c r="M63" s="89"/>
      <c r="N63" s="54"/>
      <c r="O63" s="9"/>
    </row>
    <row r="64" spans="2:16" ht="15" x14ac:dyDescent="0.2">
      <c r="B64" s="7"/>
      <c r="C64" s="3"/>
      <c r="D64" s="173"/>
      <c r="E64" s="173"/>
      <c r="F64" s="173"/>
      <c r="G64" s="173"/>
      <c r="H64" s="173"/>
      <c r="I64" s="173"/>
      <c r="J64" s="173"/>
      <c r="K64" s="173"/>
      <c r="L64" s="173"/>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23/08/2021</v>
      </c>
      <c r="D8" s="67" t="str">
        <f>Facture!$E$22</f>
        <v>Entreprise Lassoued de Peinture</v>
      </c>
      <c r="E8" s="64">
        <f>Facture!$E$23</f>
        <v>0</v>
      </c>
      <c r="F8" s="64">
        <f>Facture!$E$24</f>
        <v>0</v>
      </c>
      <c r="G8" s="67">
        <f>Facture!$G$24</f>
        <v>0</v>
      </c>
      <c r="H8" s="67" t="str">
        <f>Facture!$J$24</f>
        <v>TN</v>
      </c>
      <c r="I8" s="64">
        <f>Facture!$E$25</f>
        <v>58340385</v>
      </c>
      <c r="J8" s="68">
        <f>Facture!$M$50</f>
        <v>976.40000000000009</v>
      </c>
      <c r="K8" s="64" t="str">
        <f>Facture!$L$24</f>
        <v>Responsable: MS ZINE ALABIDINE Mohamed</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2021-08-23T11:36:14Z</cp:lastPrinted>
  <dcterms:created xsi:type="dcterms:W3CDTF">1995-05-29T15:50:39Z</dcterms:created>
  <dcterms:modified xsi:type="dcterms:W3CDTF">2022-05-24T15:27:25Z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Entreprise Lassoued de Peinture</vt:lpwstr>
  </property>
  <property fmtid="{D5CDD505-2E9C-101B-9397-08002B2CF9AE}" pid="11" name="Montant de la facture" linkTarget="TOT">
    <vt:r8>976.4</vt:r8>
  </property>
</Properties>
</file>