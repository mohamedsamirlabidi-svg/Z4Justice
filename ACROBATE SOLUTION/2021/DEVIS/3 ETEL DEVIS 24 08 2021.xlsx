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0" i="3" l="1"/>
  <c r="M31" i="3"/>
  <c r="M32" i="3" l="1"/>
  <c r="M33" i="3"/>
  <c r="M39" i="3" l="1"/>
  <c r="M40" i="3"/>
  <c r="M41" i="3"/>
  <c r="M42" i="3"/>
  <c r="M43" i="3"/>
  <c r="M44" i="3"/>
  <c r="M45" i="3"/>
  <c r="M38" i="3" l="1"/>
  <c r="M46" i="3" s="1"/>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<sst xmlns="http://schemas.openxmlformats.org/spreadsheetml/2006/main" count="84" uniqueCount="74">
  <si>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</si>
  <si>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</si>
  <si>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</si>
  <si>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</si>
  <si>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</si>
  <si>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</si>
  <si>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</si>
  <si>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</si>
  <si>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</si>
  <si>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</si>
  <si>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</si>
  <si>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</si>
  <si>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</si>
  <si>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</si>
  <si>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</si>
  <si>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</si>
  <si>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</si>
  <si>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</si>
  <si>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</si>
  <si>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</si>
  <si>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</si>
  <si>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</si>
  <si>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</si>
  <si>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</si>
  <si>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</si>
  <si>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</si>
  <si>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</si>
  <si>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</si>
  <si>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</si>
  <si>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</si>
  <si>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</si>
  <si>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</si>
  <si>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</si>
  <si>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</si>
  <si>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</si>
  <si>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</si>
  <si>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</si>
  <si>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</si>
  <si>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</si>
  <si>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</si>
  <si>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</si>
  <si>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</si>
  <si>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</si>
  <si>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</si>
  <si>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</si>
  <si>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</si>
  <si>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</si>
  <si>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</si>
  <si>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</si>
  <si>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</si>
  <si>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</si>
  <si>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</si>
  <si>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</si>
  <si>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</si>
  <si>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</si>
  <si>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</si>
  <si>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</si>
  <si>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</si>
  <si>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</si>
  <si>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</si>
  <si>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</si>
  <si>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</si>
  <si>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</si>
  <si>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</si>
  <si>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</si>
  <si>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3 ETEL </t>
  </si>
  <si>
    <t>MF:</t>
  </si>
  <si>
    <t>DEVIS N°2021-1140</t>
  </si>
  <si>
    <t>Date : 24/08/2021</t>
  </si>
  <si>
    <t>Responsable: Mme Wafa Tebai</t>
  </si>
  <si>
    <t>DESCENDEUR PETZL</t>
  </si>
  <si>
    <t>https://www.petzl.com/FR/fr/Professionnel/Descendeurs/I-D-S</t>
  </si>
  <si>
    <t>ARRETE LA PRESENTE FACTURE A LA SOMME DE: MILLE SOIXANTE ET ONZE   DINARS ET 600 MILLIMES,</t>
  </si>
  <si>
    <t>D020AA00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</si>
</sst>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23" fillId="0" borderId="28" xfId="0" applyNumberFormat="1" applyFont="1" applyFill="1" applyBorder="1" applyAlignment="1"/>
    <xf numFmtId="0" fontId="18"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0" zoomScale="60" zoomScaleNormal="60" workbookViewId="0">
      <selection activeCell="I36" sqref="I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6" t="s">
        <v>67</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65</v>
      </c>
      <c r="F22" s="181"/>
      <c r="G22" s="181"/>
      <c r="H22" s="181"/>
      <c r="I22" s="181"/>
      <c r="J22" s="181"/>
      <c r="K22" s="104"/>
      <c r="L22" s="179" t="s">
        <v>68</v>
      </c>
      <c r="M22" s="179"/>
      <c r="N22" s="52"/>
      <c r="O22" s="9"/>
    </row>
    <row r="23" spans="2:15" ht="33.75" x14ac:dyDescent="0.5">
      <c r="B23" s="7"/>
      <c r="C23" s="3"/>
      <c r="D23" s="103" t="s">
        <v>54</v>
      </c>
      <c r="E23" s="170"/>
      <c r="F23" s="170"/>
      <c r="G23" s="170"/>
      <c r="H23" s="170"/>
      <c r="I23" s="170"/>
      <c r="J23" s="170"/>
      <c r="K23" s="170"/>
      <c r="L23" s="105" t="s">
        <v>64</v>
      </c>
      <c r="M23" s="105"/>
      <c r="N23" s="53"/>
      <c r="O23" s="9"/>
    </row>
    <row r="24" spans="2:15" ht="33.75" x14ac:dyDescent="0.5">
      <c r="B24" s="7"/>
      <c r="C24" s="3"/>
      <c r="D24" s="103" t="s">
        <v>55</v>
      </c>
      <c r="E24" s="117"/>
      <c r="F24" s="106" t="s">
        <v>8</v>
      </c>
      <c r="G24" s="171"/>
      <c r="H24" s="171"/>
      <c r="I24" s="107" t="s">
        <v>9</v>
      </c>
      <c r="J24" s="108" t="s">
        <v>59</v>
      </c>
      <c r="K24" s="104"/>
      <c r="L24" s="180" t="s">
        <v>69</v>
      </c>
      <c r="M24" s="180"/>
      <c r="N24" s="3"/>
      <c r="O24" s="9"/>
    </row>
    <row r="25" spans="2:15" ht="33.75" x14ac:dyDescent="0.5">
      <c r="B25" s="7"/>
      <c r="C25" s="3"/>
      <c r="D25" s="103" t="s">
        <v>56</v>
      </c>
      <c r="E25" s="182"/>
      <c r="F25" s="182"/>
      <c r="G25" s="182"/>
      <c r="H25" s="182"/>
      <c r="I25" s="182"/>
      <c r="J25" s="182"/>
      <c r="K25" s="104"/>
      <c r="L25" s="180" t="s">
        <v>66</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73</v>
      </c>
      <c r="E30" s="154">
        <v>1</v>
      </c>
      <c r="F30" s="122" t="s">
        <v>70</v>
      </c>
      <c r="G30" s="145"/>
      <c r="H30" s="145"/>
      <c r="I30" s="145"/>
      <c r="J30" s="145"/>
      <c r="K30" s="146"/>
      <c r="L30" s="112">
        <v>900</v>
      </c>
      <c r="M30" s="118">
        <f t="shared" ref="M30:M31" si="0">IF(E30&lt;&gt;"",E30*L30,"")</f>
        <v>900</v>
      </c>
      <c r="N30" s="54"/>
      <c r="O30" s="9"/>
    </row>
    <row r="31" spans="2:15" ht="30" x14ac:dyDescent="0.4">
      <c r="B31" s="7"/>
      <c r="C31" s="3"/>
      <c r="D31" s="153"/>
      <c r="E31" s="111"/>
      <c r="F31" s="183" t="s">
        <v>71</v>
      </c>
      <c r="G31" s="145"/>
      <c r="H31" s="145"/>
      <c r="I31" s="145"/>
      <c r="J31" s="145"/>
      <c r="K31" s="146"/>
      <c r="L31" s="112"/>
      <c r="M31" s="118" t="str">
        <f t="shared" si="0"/>
        <v/>
      </c>
      <c r="N31" s="54"/>
      <c r="O31" s="9"/>
    </row>
    <row r="32" spans="2:15" ht="30" x14ac:dyDescent="0.4">
      <c r="B32" s="7"/>
      <c r="C32" s="3"/>
      <c r="D32" s="153"/>
      <c r="E32" s="111"/>
      <c r="F32" s="159"/>
      <c r="G32" s="145"/>
      <c r="H32" s="145"/>
      <c r="I32" s="145"/>
      <c r="J32" s="145"/>
      <c r="K32" s="146"/>
      <c r="L32" s="112"/>
      <c r="M32" s="118" t="str">
        <f t="shared" ref="M32:M37" si="1">IF(E32&lt;&gt;"",E32*L32,"")</f>
        <v/>
      </c>
      <c r="N32" s="54"/>
      <c r="O32" s="9"/>
    </row>
    <row r="33" spans="2:15" ht="30" x14ac:dyDescent="0.4">
      <c r="B33" s="7"/>
      <c r="C33" s="3"/>
      <c r="D33" s="153"/>
      <c r="E33" s="111"/>
      <c r="F33" s="155"/>
      <c r="G33" s="145"/>
      <c r="H33" s="145"/>
      <c r="I33" s="145"/>
      <c r="J33" s="145"/>
      <c r="K33" s="146"/>
      <c r="L33" s="112"/>
      <c r="M33" s="118" t="str">
        <f t="shared" si="1"/>
        <v/>
      </c>
      <c r="N33" s="54"/>
      <c r="O33" s="9"/>
    </row>
    <row r="34" spans="2:15" ht="30" x14ac:dyDescent="0.4">
      <c r="B34" s="7"/>
      <c r="C34" s="3"/>
      <c r="D34" s="153"/>
      <c r="E34" s="111"/>
      <c r="F34" s="159"/>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t="str">
        <f t="shared" si="1"/>
        <v/>
      </c>
      <c r="N35" s="54"/>
      <c r="O35" s="9"/>
    </row>
    <row r="36" spans="2:15" ht="30" x14ac:dyDescent="0.4">
      <c r="B36" s="7"/>
      <c r="C36" s="3"/>
      <c r="D36" s="153"/>
      <c r="E36" s="111"/>
      <c r="F36" s="159"/>
      <c r="G36" s="145"/>
      <c r="H36" s="145"/>
      <c r="I36" s="145"/>
      <c r="J36" s="145"/>
      <c r="K36" s="146"/>
      <c r="L36" s="113"/>
      <c r="M36" s="118" t="str">
        <f t="shared" si="1"/>
        <v/>
      </c>
      <c r="N36" s="95"/>
      <c r="O36" s="9"/>
    </row>
    <row r="37" spans="2:15" ht="30" x14ac:dyDescent="0.4">
      <c r="B37" s="7"/>
      <c r="C37" s="3"/>
      <c r="D37" s="153"/>
      <c r="E37" s="111"/>
      <c r="F37" s="155"/>
      <c r="G37" s="160"/>
      <c r="H37" s="160"/>
      <c r="I37" s="147"/>
      <c r="J37" s="147"/>
      <c r="K37" s="147"/>
      <c r="L37" s="113"/>
      <c r="M37" s="118" t="str">
        <f t="shared" si="1"/>
        <v/>
      </c>
      <c r="N37" s="95"/>
      <c r="O37" s="9"/>
    </row>
    <row r="38" spans="2:15" ht="30" x14ac:dyDescent="0.4">
      <c r="B38" s="7"/>
      <c r="C38" s="3"/>
      <c r="D38" s="153"/>
      <c r="E38" s="111"/>
      <c r="F38" s="122"/>
      <c r="G38" s="145"/>
      <c r="H38" s="145"/>
      <c r="I38" s="145"/>
      <c r="J38" s="145"/>
      <c r="K38" s="146"/>
      <c r="L38" s="113"/>
      <c r="M38" s="118" t="str">
        <f t="shared" ref="M38:M45" si="2">IF(E38&lt;&gt;"",E38*L38,"")</f>
        <v/>
      </c>
      <c r="N38" s="95"/>
      <c r="O38" s="9"/>
    </row>
    <row r="39" spans="2:15" ht="30" x14ac:dyDescent="0.4">
      <c r="B39" s="7"/>
      <c r="C39" s="3"/>
      <c r="D39" s="153"/>
      <c r="E39" s="111"/>
      <c r="F39" s="155"/>
      <c r="G39" s="147"/>
      <c r="H39" s="147"/>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6"/>
      <c r="E45" s="149"/>
      <c r="F45" s="150"/>
      <c r="G45" s="142"/>
      <c r="H45" s="142"/>
      <c r="I45" s="142"/>
      <c r="J45" s="142"/>
      <c r="K45" s="143"/>
      <c r="L45" s="151"/>
      <c r="M45" s="152" t="str">
        <f t="shared" si="2"/>
        <v/>
      </c>
      <c r="N45" s="54"/>
      <c r="O45" s="9"/>
    </row>
    <row r="46" spans="2:15" ht="35.25" x14ac:dyDescent="0.5">
      <c r="B46" s="7"/>
      <c r="C46" s="3"/>
      <c r="D46" s="85"/>
      <c r="E46" s="96"/>
      <c r="F46" s="128"/>
      <c r="G46" s="125"/>
      <c r="H46" s="125"/>
      <c r="I46" s="125"/>
      <c r="J46" s="126"/>
      <c r="K46" s="127"/>
      <c r="L46" s="130" t="s">
        <v>26</v>
      </c>
      <c r="M46" s="135">
        <f>SUM(M28:M45)</f>
        <v>900</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f>(M46)*0.19</f>
        <v>171</v>
      </c>
      <c r="N48" s="54"/>
      <c r="O48" s="9"/>
    </row>
    <row r="49" spans="2:16" ht="35.25" x14ac:dyDescent="0.5">
      <c r="B49" s="7"/>
      <c r="C49" s="3"/>
      <c r="D49" s="85"/>
      <c r="E49" s="101"/>
      <c r="F49" s="97"/>
      <c r="G49" s="82"/>
      <c r="H49" s="81"/>
      <c r="I49" s="77"/>
      <c r="J49" s="83"/>
      <c r="K49" s="93"/>
      <c r="L49" s="110" t="s">
        <v>28</v>
      </c>
      <c r="M49" s="109">
        <f>+M46+M47+M48</f>
        <v>1071.5999999999999</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ht="15" x14ac:dyDescent="0.2">
      <c r="B52" s="7"/>
      <c r="C52" s="3"/>
      <c r="D52" s="184" t="s">
        <v>72</v>
      </c>
      <c r="E52" s="184"/>
      <c r="F52" s="184"/>
      <c r="G52" s="184"/>
      <c r="H52" s="184"/>
      <c r="I52" s="184"/>
      <c r="J52" s="184"/>
      <c r="K52" s="184"/>
      <c r="L52" s="184"/>
      <c r="M52" s="124"/>
      <c r="N52" s="54"/>
      <c r="O52" s="9"/>
    </row>
    <row r="53" spans="2:16" ht="26.25" x14ac:dyDescent="0.4">
      <c r="B53" s="7"/>
      <c r="C53" s="3"/>
      <c r="D53" s="175"/>
      <c r="E53" s="175"/>
      <c r="F53" s="175"/>
      <c r="G53" s="175"/>
      <c r="H53" s="175"/>
      <c r="I53" s="175"/>
      <c r="J53" s="175"/>
      <c r="K53" s="175"/>
      <c r="L53" s="175"/>
      <c r="M53" s="134"/>
      <c r="N53" s="54"/>
      <c r="O53" s="9"/>
    </row>
    <row r="54" spans="2:16" ht="26.25" x14ac:dyDescent="0.4">
      <c r="B54" s="7"/>
      <c r="C54" s="3"/>
      <c r="D54" s="124"/>
      <c r="E54" s="124"/>
      <c r="F54" s="134"/>
      <c r="G54" s="140"/>
      <c r="H54" s="140"/>
      <c r="I54" s="140"/>
      <c r="J54" s="78"/>
      <c r="K54" s="121"/>
      <c r="L54" s="157" t="s">
        <v>63</v>
      </c>
      <c r="M54" s="157"/>
      <c r="N54" s="115"/>
      <c r="O54" s="9"/>
    </row>
    <row r="55" spans="2:16" ht="23.25" x14ac:dyDescent="0.25">
      <c r="B55" s="7"/>
      <c r="C55" s="3"/>
      <c r="D55" s="124"/>
      <c r="E55" s="124"/>
      <c r="F55" s="141"/>
      <c r="G55" s="169"/>
      <c r="H55" s="169"/>
      <c r="I55" s="169"/>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136"/>
      <c r="P57" s="137"/>
    </row>
    <row r="58" spans="2:16" ht="20.25" x14ac:dyDescent="0.3">
      <c r="B58" s="7"/>
      <c r="C58" s="3"/>
      <c r="D58" s="119" t="s">
        <v>60</v>
      </c>
      <c r="E58" s="158"/>
      <c r="F58" s="78"/>
      <c r="G58" s="78"/>
      <c r="H58" s="78"/>
      <c r="I58" s="78"/>
      <c r="J58" s="78"/>
      <c r="K58" s="88"/>
      <c r="L58" s="88"/>
      <c r="M58" s="89"/>
      <c r="N58" s="54"/>
      <c r="O58" s="138"/>
      <c r="P58" s="139"/>
    </row>
    <row r="59" spans="2:16" ht="20.25" x14ac:dyDescent="0.3">
      <c r="B59" s="7"/>
      <c r="C59" s="3"/>
      <c r="D59" s="120" t="s">
        <v>61</v>
      </c>
      <c r="E59" s="120"/>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68" t="s">
        <v>52</v>
      </c>
      <c r="E61" s="168"/>
      <c r="F61" s="168"/>
      <c r="G61" s="168"/>
      <c r="H61" s="168"/>
      <c r="I61" s="168"/>
      <c r="J61" s="168"/>
      <c r="K61" s="168"/>
      <c r="L61" s="168"/>
      <c r="M61" s="88"/>
      <c r="N61" s="92"/>
      <c r="O61" s="9"/>
    </row>
    <row r="62" spans="2:16" ht="20.100000000000001" customHeight="1" x14ac:dyDescent="0.2">
      <c r="B62" s="7"/>
      <c r="C62" s="3"/>
      <c r="D62" s="168"/>
      <c r="E62" s="168"/>
      <c r="F62" s="168"/>
      <c r="G62" s="168"/>
      <c r="H62" s="168"/>
      <c r="I62" s="168"/>
      <c r="J62" s="168"/>
      <c r="K62" s="168"/>
      <c r="L62" s="168"/>
      <c r="M62" s="89"/>
      <c r="N62" s="54"/>
      <c r="O62" s="9"/>
    </row>
    <row r="63" spans="2:16" ht="15" x14ac:dyDescent="0.2">
      <c r="B63" s="7"/>
      <c r="C63" s="3"/>
      <c r="D63" s="168"/>
      <c r="E63" s="168"/>
      <c r="F63" s="168"/>
      <c r="G63" s="168"/>
      <c r="H63" s="168"/>
      <c r="I63" s="168"/>
      <c r="J63" s="168"/>
      <c r="K63" s="168"/>
      <c r="L63" s="168"/>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3"/>
      <c r="D66" s="132"/>
      <c r="E66" s="132"/>
      <c r="F66" s="132"/>
      <c r="G66" s="132"/>
      <c r="H66" s="132"/>
      <c r="I66" s="132"/>
      <c r="J66" s="132"/>
      <c r="K66" s="132"/>
      <c r="L66" s="132"/>
      <c r="M66" s="133"/>
      <c r="N66" s="54"/>
    </row>
    <row r="67" spans="1:15"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1:L63"/>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24/08/2021</v>
      </c>
      <c r="D8" s="67" t="str">
        <f>Facture!$E$22</f>
        <v xml:space="preserve">3 ETEL </v>
      </c>
      <c r="E8" s="64">
        <f>Facture!$E$23</f>
        <v>0</v>
      </c>
      <c r="F8" s="64">
        <f>Facture!$E$24</f>
        <v>0</v>
      </c>
      <c r="G8" s="67">
        <f>Facture!$G$24</f>
        <v>0</v>
      </c>
      <c r="H8" s="67" t="str">
        <f>Facture!$J$24</f>
        <v>TN</v>
      </c>
      <c r="I8" s="64">
        <f>Facture!$E$25</f>
        <v>0</v>
      </c>
      <c r="J8" s="68">
        <f>Facture!$M$49</f>
        <v>1071.5999999999999</v>
      </c>
      <c r="K8" s="64" t="str">
        <f>Facture!$L$24</f>
        <v>Responsable: Mme Wafa Tebai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2021-08-24T12:48:11Z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1071.6</vt:r8>
  </property>
</Properties>
</file>