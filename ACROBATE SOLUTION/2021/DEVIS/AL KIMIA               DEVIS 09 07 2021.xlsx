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N53" i="3" s="1"/>
  <c r="K8" i="8" l="1"/>
  <c r="I8" i="8"/>
  <c r="H8" i="8"/>
  <c r="G8" i="8"/>
  <c r="F8" i="8"/>
  <c r="E8" i="8"/>
  <c r="D8" i="8"/>
  <c r="C8" i="8"/>
  <c r="B8" i="8"/>
  <c r="N27" i="3"/>
  <c r="F33" i="2"/>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<sst xmlns="http://schemas.openxmlformats.org/spreadsheetml/2006/main" count="92" uniqueCount="75">
  <si>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</si>
  <si>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</si>
  <si>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</si>
  <si>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</si>
  <si>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</si>
  <si>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</si>
  <si>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</si>
  <si>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</si>
  <si>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</si>
  <si>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</si>
  <si>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</si>
  <si>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</si>
  <si>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</si>
  <si>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</si>
  <si>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</si>
  <si>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</si>
  <si>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</si>
  <si>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</si>
  <si>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</si>
  <si>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</si>
  <si>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</si>
  <si>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</si>
  <si>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</si>
  <si>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</si>
  <si>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</si>
  <si>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</si>
  <si>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</si>
  <si>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</si>
  <si>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</si>
  <si>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</si>
  <si>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</si>
  <si>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</si>
  <si>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</si>
  <si>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</si>
  <si>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</si>
  <si>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</si>
  <si>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</si>
  <si>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</si>
  <si>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</si>
  <si>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</si>
  <si>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</si>
  <si>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</si>
  <si>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</si>
  <si>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</si>
  <si>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</si>
  <si>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</si>
  <si>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</si>
  <si>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</si>
  <si>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</si>
  <si>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</si>
  <si>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</si>
  <si>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</si>
  <si>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</si>
  <si>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</si>
  <si>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</si>
  <si>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</si>
  <si>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</si>
  <si>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</si>
  <si>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</si>
  <si>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</si>
  <si>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</si>
  <si>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</si>
  <si>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</si>
  <si>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SOCIETE CHIMIQUE ALKIMIA </t>
  </si>
  <si>
    <t xml:space="preserve">11 RUE DES LILAS 1082 TUNIS MAHRAJENE </t>
  </si>
  <si>
    <t xml:space="preserve">36 080 100          Fax: 71 787 283   </t>
  </si>
  <si>
    <t>001716L/A/M/000</t>
  </si>
  <si>
    <t xml:space="preserve">         MR MOHSEN DARDOUR
</t>
  </si>
  <si>
    <t>ENROULEUR A CABLE</t>
  </si>
  <si>
    <t>COBRA 20m</t>
  </si>
  <si>
    <t>MOUSQUETONS</t>
  </si>
  <si>
    <t>https://www.camp.it/prodotti3.aspx?CAT=71&amp;CDV=09&amp;B=&amp;ART=~94</t>
  </si>
  <si>
    <t>ARRETE LA PRESENTE OFFRE DE PRIX A LA SOMME DE: HUIT MILLE TROIS CENT SOIXANTE TREIZE DINARS ET440 MILLIMES</t>
  </si>
  <si>
    <t>OFFRE DE PRIX  2021-0965</t>
  </si>
  <si>
    <t>https://www.camp.it/prodotti3.aspx?CAT=71&amp;CDV=12&amp;B=&amp;ART=~1706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</si>
</sst>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49" fontId="7"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31" zoomScale="95" workbookViewId="0">
      <selection activeCell="H37" sqref="H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0" t="s">
        <v>54</v>
      </c>
      <c r="N13" s="171"/>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73</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6" t="s">
        <v>63</v>
      </c>
      <c r="F21" s="177"/>
      <c r="G21" s="177"/>
      <c r="H21" s="177"/>
      <c r="I21" s="177"/>
      <c r="J21" s="177"/>
      <c r="K21" s="82"/>
      <c r="L21" s="84" t="s">
        <v>18</v>
      </c>
      <c r="M21" s="166">
        <v>44386</v>
      </c>
      <c r="N21" s="167"/>
      <c r="O21" s="55"/>
      <c r="P21" s="8"/>
    </row>
    <row r="22" spans="1:16" ht="14.25" x14ac:dyDescent="0.2">
      <c r="B22" s="7"/>
      <c r="C22" s="3"/>
      <c r="D22" s="82" t="s">
        <v>5</v>
      </c>
      <c r="E22" s="174" t="s">
        <v>64</v>
      </c>
      <c r="F22" s="175"/>
      <c r="G22" s="175"/>
      <c r="H22" s="175"/>
      <c r="I22" s="175"/>
      <c r="J22" s="175"/>
      <c r="K22" s="82"/>
      <c r="L22" s="127" t="s">
        <v>60</v>
      </c>
      <c r="M22" s="159"/>
      <c r="N22" s="160"/>
      <c r="O22" s="56"/>
      <c r="P22" s="8"/>
    </row>
    <row r="23" spans="1:16" ht="14.25" x14ac:dyDescent="0.2">
      <c r="B23" s="7"/>
      <c r="C23" s="3"/>
      <c r="D23" s="82" t="s">
        <v>7</v>
      </c>
      <c r="E23" s="89"/>
      <c r="F23" s="90" t="s">
        <v>8</v>
      </c>
      <c r="G23" s="172"/>
      <c r="H23" s="173"/>
      <c r="I23" s="91" t="s">
        <v>9</v>
      </c>
      <c r="J23" s="88" t="s">
        <v>51</v>
      </c>
      <c r="K23" s="82"/>
      <c r="L23" s="84" t="s">
        <v>19</v>
      </c>
      <c r="M23" s="187" t="s">
        <v>67</v>
      </c>
      <c r="N23" s="188"/>
      <c r="O23" s="3"/>
      <c r="P23" s="8"/>
    </row>
    <row r="24" spans="1:16" x14ac:dyDescent="0.2">
      <c r="B24" s="7"/>
      <c r="C24" s="3"/>
      <c r="D24" s="82" t="s">
        <v>20</v>
      </c>
      <c r="E24" s="178" t="s">
        <v>65</v>
      </c>
      <c r="F24" s="179"/>
      <c r="G24" s="179"/>
      <c r="H24" s="179"/>
      <c r="I24" s="179"/>
      <c r="J24" s="179"/>
      <c r="K24" s="82"/>
      <c r="L24" s="84" t="s">
        <v>47</v>
      </c>
      <c r="M24" s="169" t="s">
        <v>66</v>
      </c>
      <c r="N24" s="16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4" t="s">
        <v>23</v>
      </c>
      <c r="O26" s="57"/>
      <c r="P26" s="8"/>
    </row>
    <row r="27" spans="1:16" ht="15.75" x14ac:dyDescent="0.25">
      <c r="B27" s="7"/>
      <c r="C27" s="3"/>
      <c r="D27" s="93"/>
      <c r="E27" s="75"/>
      <c r="F27" s="180"/>
      <c r="G27" s="181"/>
      <c r="H27" s="181"/>
      <c r="I27" s="181"/>
      <c r="J27" s="181"/>
      <c r="K27" s="181"/>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 x14ac:dyDescent="0.2">
      <c r="B30" s="7"/>
      <c r="C30" s="3"/>
      <c r="D30" s="108">
        <v>3139</v>
      </c>
      <c r="E30" s="75">
        <v>4</v>
      </c>
      <c r="F30" s="136" t="s">
        <v>68</v>
      </c>
      <c r="G30" s="137"/>
      <c r="H30" s="81"/>
      <c r="I30" s="109"/>
      <c r="J30" s="109"/>
      <c r="K30" s="81"/>
      <c r="L30" s="133"/>
      <c r="M30" s="116">
        <v>1750</v>
      </c>
      <c r="N30" s="96">
        <f>IF(E30&lt;&gt;"",E30*M30,"")</f>
        <v>7000</v>
      </c>
      <c r="O30" s="57"/>
      <c r="P30" s="8"/>
    </row>
    <row r="31" spans="1:16" ht="15" x14ac:dyDescent="0.2">
      <c r="A31" s="99" t="s">
        <v>55</v>
      </c>
      <c r="B31" s="7"/>
      <c r="C31" s="3"/>
      <c r="D31" s="108"/>
      <c r="E31" s="75"/>
      <c r="F31" s="136" t="s">
        <v>69</v>
      </c>
      <c r="G31" s="137"/>
      <c r="H31" s="81"/>
      <c r="I31" s="109"/>
      <c r="J31" s="109"/>
      <c r="K31" s="81"/>
      <c r="L31" s="133"/>
      <c r="M31" s="116"/>
      <c r="N31" s="96"/>
      <c r="O31" s="57"/>
      <c r="P31" s="8"/>
    </row>
    <row r="32" spans="1:16" ht="15" x14ac:dyDescent="0.2">
      <c r="A32" s="99"/>
      <c r="B32" s="7"/>
      <c r="C32" s="3"/>
      <c r="D32" s="108"/>
      <c r="E32" s="75"/>
      <c r="F32" s="189" t="s">
        <v>74</v>
      </c>
      <c r="G32" s="137"/>
      <c r="H32" s="81"/>
      <c r="I32" s="109"/>
      <c r="J32" s="109"/>
      <c r="K32" s="81"/>
      <c r="L32" s="133"/>
      <c r="M32" s="116"/>
      <c r="N32" s="96" t="str">
        <f t="shared" ref="N32:N35" si="1">IF(E32&lt;&gt;"",E32*M32,"")</f>
        <v/>
      </c>
      <c r="O32" s="57"/>
      <c r="P32" s="8"/>
    </row>
    <row r="33" spans="2:16" ht="15" x14ac:dyDescent="0.2">
      <c r="B33" s="7"/>
      <c r="C33" s="3"/>
      <c r="D33" s="108"/>
      <c r="E33" s="75"/>
      <c r="F33" s="136"/>
      <c r="G33" s="137"/>
      <c r="H33" s="81"/>
      <c r="I33" s="109"/>
      <c r="J33" s="109"/>
      <c r="K33" s="81"/>
      <c r="L33" s="133"/>
      <c r="M33" s="116"/>
      <c r="N33" s="96" t="str">
        <f t="shared" si="1"/>
        <v/>
      </c>
      <c r="O33" s="57"/>
      <c r="P33" s="8"/>
    </row>
    <row r="34" spans="2:16" ht="15" x14ac:dyDescent="0.2">
      <c r="B34" s="7"/>
      <c r="C34" s="3"/>
      <c r="D34" s="108">
        <v>981</v>
      </c>
      <c r="E34" s="75">
        <v>2</v>
      </c>
      <c r="F34" s="136" t="s">
        <v>70</v>
      </c>
      <c r="G34" s="137"/>
      <c r="H34" s="81"/>
      <c r="I34" s="109"/>
      <c r="J34" s="109"/>
      <c r="K34" s="81"/>
      <c r="L34" s="133"/>
      <c r="M34" s="116">
        <v>18</v>
      </c>
      <c r="N34" s="96">
        <f t="shared" si="1"/>
        <v>36</v>
      </c>
      <c r="O34" s="57"/>
      <c r="P34" s="8"/>
    </row>
    <row r="35" spans="2:16" ht="15" x14ac:dyDescent="0.2">
      <c r="B35" s="7"/>
      <c r="C35" s="3"/>
      <c r="D35" s="108"/>
      <c r="E35" s="75"/>
      <c r="F35" s="189" t="s">
        <v>71</v>
      </c>
      <c r="G35" s="137"/>
      <c r="H35" s="81"/>
      <c r="I35" s="109"/>
      <c r="J35" s="109"/>
      <c r="K35" s="81"/>
      <c r="L35" s="133"/>
      <c r="M35" s="116"/>
      <c r="N35" s="96" t="str">
        <f t="shared" si="1"/>
        <v/>
      </c>
      <c r="O35" s="57"/>
      <c r="P35" s="8"/>
    </row>
    <row r="36" spans="2:16" ht="15" x14ac:dyDescent="0.2">
      <c r="B36" s="7"/>
      <c r="C36" s="3"/>
      <c r="D36" s="108"/>
      <c r="E36" s="75"/>
      <c r="F36" s="81"/>
      <c r="G36" s="137"/>
      <c r="H36" s="81"/>
      <c r="I36" s="109"/>
      <c r="J36" s="81"/>
      <c r="K36" s="81"/>
      <c r="L36" s="133"/>
      <c r="M36" s="116"/>
      <c r="N36" s="96" t="str">
        <f>IF(E36&lt;&gt;"",E36*M36,"")</f>
        <v/>
      </c>
      <c r="O36" s="57"/>
      <c r="P36" s="8"/>
    </row>
    <row r="37" spans="2:16" ht="18" x14ac:dyDescent="0.25">
      <c r="B37" s="7"/>
      <c r="C37" s="3"/>
      <c r="D37" s="108"/>
      <c r="E37" s="75"/>
      <c r="F37" s="81"/>
      <c r="G37" s="126"/>
      <c r="H37" s="81"/>
      <c r="I37" s="109"/>
      <c r="J37" s="81"/>
      <c r="K37" s="81"/>
      <c r="L37" s="109"/>
      <c r="M37" s="96"/>
      <c r="N37" s="96" t="str">
        <f t="shared" ref="N37:N47" si="2">IF(E37&lt;&gt;"",E37*M37,"")</f>
        <v/>
      </c>
      <c r="O37" s="57"/>
      <c r="P37" s="8"/>
    </row>
    <row r="38" spans="2:16" ht="18" x14ac:dyDescent="0.25">
      <c r="B38" s="7"/>
      <c r="C38" s="3"/>
      <c r="D38" s="108"/>
      <c r="E38" s="75"/>
      <c r="F38" s="81"/>
      <c r="G38" s="126"/>
      <c r="H38" s="81"/>
      <c r="I38" s="109"/>
      <c r="J38" s="81"/>
      <c r="K38" s="81"/>
      <c r="L38" s="109"/>
      <c r="M38" s="96"/>
      <c r="N38" s="96" t="str">
        <f t="shared" si="2"/>
        <v/>
      </c>
      <c r="O38" s="57"/>
      <c r="P38" s="8"/>
    </row>
    <row r="39" spans="2:16" ht="18" x14ac:dyDescent="0.25">
      <c r="B39" s="7"/>
      <c r="C39" s="3"/>
      <c r="D39" s="108"/>
      <c r="E39" s="75"/>
      <c r="F39" s="81"/>
      <c r="G39" s="126"/>
      <c r="H39" s="81"/>
      <c r="I39" s="109"/>
      <c r="J39" s="81"/>
      <c r="K39" s="81"/>
      <c r="L39" s="109"/>
      <c r="M39" s="96"/>
      <c r="N39" s="96" t="str">
        <f t="shared" si="2"/>
        <v/>
      </c>
      <c r="O39" s="57"/>
      <c r="P39" s="8"/>
    </row>
    <row r="40" spans="2:16" ht="18" x14ac:dyDescent="0.25">
      <c r="B40" s="7"/>
      <c r="C40" s="3"/>
      <c r="D40" s="108"/>
      <c r="E40" s="75"/>
      <c r="F40" s="81"/>
      <c r="G40" s="126"/>
      <c r="H40" s="81"/>
      <c r="I40" s="109"/>
      <c r="J40" s="109"/>
      <c r="K40" s="81"/>
      <c r="L40" s="109"/>
      <c r="M40" s="96"/>
      <c r="N40" s="96" t="str">
        <f t="shared" si="2"/>
        <v/>
      </c>
      <c r="O40" s="57"/>
      <c r="P40" s="8"/>
    </row>
    <row r="41" spans="2:16" ht="18" x14ac:dyDescent="0.25">
      <c r="B41" s="7"/>
      <c r="C41" s="3"/>
      <c r="D41" s="108"/>
      <c r="E41" s="75"/>
      <c r="F41" s="81"/>
      <c r="G41" s="126"/>
      <c r="H41" s="81"/>
      <c r="I41" s="109"/>
      <c r="J41" s="81"/>
      <c r="K41" s="81"/>
      <c r="L41" s="109"/>
      <c r="M41" s="96"/>
      <c r="N41" s="96" t="str">
        <f t="shared" si="2"/>
        <v/>
      </c>
      <c r="O41" s="57"/>
      <c r="P41" s="8"/>
    </row>
    <row r="42" spans="2:16" ht="18" x14ac:dyDescent="0.25">
      <c r="B42" s="7"/>
      <c r="C42" s="3"/>
      <c r="D42" s="108"/>
      <c r="E42" s="75"/>
      <c r="F42" s="81"/>
      <c r="G42" s="126"/>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5"/>
      <c r="G45" s="109"/>
      <c r="H45" s="81"/>
      <c r="I45" s="109"/>
      <c r="J45" s="109"/>
      <c r="K45" s="81"/>
      <c r="L45" s="109"/>
      <c r="M45" s="96"/>
      <c r="N45" s="96" t="str">
        <f t="shared" si="2"/>
        <v/>
      </c>
      <c r="O45" s="57"/>
      <c r="P45" s="8"/>
    </row>
    <row r="46" spans="2:16" ht="15" customHeight="1" x14ac:dyDescent="0.2">
      <c r="B46" s="7"/>
      <c r="C46" s="3"/>
      <c r="D46" s="108"/>
      <c r="E46" s="75"/>
      <c r="F46" s="115"/>
      <c r="G46" s="109"/>
      <c r="H46" s="81"/>
      <c r="I46" s="109"/>
      <c r="J46" s="109"/>
      <c r="K46" s="81"/>
      <c r="L46" s="109"/>
      <c r="M46" s="96"/>
      <c r="N46" s="96" t="str">
        <f t="shared" si="2"/>
        <v/>
      </c>
      <c r="O46" s="57"/>
      <c r="P46" s="8"/>
    </row>
    <row r="47" spans="2:16" ht="15" customHeight="1" x14ac:dyDescent="0.2">
      <c r="B47" s="7"/>
      <c r="C47" s="3"/>
      <c r="D47" s="108"/>
      <c r="E47" s="75"/>
      <c r="F47" s="115"/>
      <c r="G47" s="109"/>
      <c r="H47" s="81"/>
      <c r="I47" s="109"/>
      <c r="J47" s="109"/>
      <c r="K47" s="81"/>
      <c r="L47" s="109"/>
      <c r="M47" s="96"/>
      <c r="N47" s="96" t="str">
        <f t="shared" si="2"/>
        <v/>
      </c>
      <c r="O47" s="57"/>
      <c r="P47" s="8"/>
    </row>
    <row r="48" spans="2:16" ht="15" customHeight="1" x14ac:dyDescent="0.2">
      <c r="B48" s="7"/>
      <c r="C48" s="3"/>
      <c r="D48" s="108"/>
      <c r="E48" s="53"/>
      <c r="F48" s="115"/>
      <c r="G48" s="109"/>
      <c r="H48" s="81"/>
      <c r="I48" s="109"/>
      <c r="J48" s="109"/>
      <c r="K48" s="81"/>
      <c r="L48" s="109"/>
      <c r="M48" s="96"/>
      <c r="N48" s="96" t="str">
        <f t="shared" ref="N48:N49" si="3">IF(E48&lt;&gt;"",E48*M48,"")</f>
        <v/>
      </c>
      <c r="O48" s="57"/>
      <c r="P48" s="8"/>
    </row>
    <row r="49" spans="2:16" ht="15.75" x14ac:dyDescent="0.25">
      <c r="B49" s="7"/>
      <c r="C49" s="3"/>
      <c r="D49" s="93"/>
      <c r="E49" s="53"/>
      <c r="F49" s="95"/>
      <c r="G49" s="117"/>
      <c r="H49" s="117"/>
      <c r="I49" s="117"/>
      <c r="J49" s="117"/>
      <c r="K49" s="117"/>
      <c r="L49" s="81"/>
      <c r="M49" s="96"/>
      <c r="N49" s="96" t="str">
        <f t="shared" si="3"/>
        <v/>
      </c>
      <c r="O49" s="57"/>
      <c r="P49" s="8"/>
    </row>
    <row r="50" spans="2:16" ht="15" x14ac:dyDescent="0.2">
      <c r="B50" s="7"/>
      <c r="C50" s="3"/>
      <c r="D50" s="94"/>
      <c r="E50" s="54"/>
      <c r="F50" s="164"/>
      <c r="G50" s="165"/>
      <c r="H50" s="165"/>
      <c r="I50" s="165"/>
      <c r="J50" s="165"/>
      <c r="K50" s="165"/>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7036</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1336.84</v>
      </c>
      <c r="O53" s="57"/>
      <c r="P53" s="8"/>
    </row>
    <row r="54" spans="2:16" ht="12.75" customHeight="1" x14ac:dyDescent="0.25">
      <c r="B54" s="7"/>
      <c r="C54" s="3"/>
      <c r="D54" s="3"/>
      <c r="E54" s="85"/>
      <c r="F54" s="107" t="s">
        <v>62</v>
      </c>
      <c r="G54" s="87"/>
      <c r="H54" s="85"/>
      <c r="I54" s="82"/>
      <c r="J54" s="79"/>
      <c r="K54" s="76"/>
      <c r="L54" s="76"/>
      <c r="M54" s="146" t="s">
        <v>27</v>
      </c>
      <c r="N54" s="147">
        <f>+N51+N52+N53</f>
        <v>8373.44</v>
      </c>
      <c r="O54" s="57"/>
      <c r="P54" s="8"/>
    </row>
    <row r="55" spans="2:16" ht="3" customHeight="1" x14ac:dyDescent="0.2">
      <c r="B55" s="7"/>
      <c r="C55" s="3"/>
      <c r="D55" s="3"/>
      <c r="E55" s="85">
        <v>2</v>
      </c>
      <c r="F55" s="107" t="s">
        <v>57</v>
      </c>
      <c r="G55" s="82"/>
      <c r="H55" s="86"/>
      <c r="I55" s="82"/>
      <c r="J55" s="80" t="s">
        <v>26</v>
      </c>
      <c r="K55" s="76"/>
      <c r="L55" s="76"/>
      <c r="M55" s="146"/>
      <c r="N55" s="148"/>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72</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thickBot="1" x14ac:dyDescent="0.25">
      <c r="B61" s="7"/>
      <c r="C61" s="158"/>
      <c r="D61" s="158"/>
      <c r="E61" s="158"/>
      <c r="F61" s="158"/>
      <c r="G61" s="158"/>
      <c r="H61" s="158"/>
      <c r="I61" s="158"/>
      <c r="J61" s="158"/>
      <c r="K61" s="158"/>
      <c r="L61" s="158"/>
      <c r="M61" s="100"/>
      <c r="N61" s="101"/>
      <c r="O61" s="57"/>
      <c r="P61" s="8"/>
    </row>
    <row r="62" spans="2:16" ht="16.5" thickTop="1" x14ac:dyDescent="0.2">
      <c r="B62" s="58"/>
      <c r="C62" s="3"/>
      <c r="D62" s="3"/>
      <c r="E62" s="18"/>
      <c r="F62" s="184"/>
      <c r="G62" s="184"/>
      <c r="H62" s="184"/>
      <c r="I62" s="184"/>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85" t="s">
        <v>56</v>
      </c>
      <c r="G65" s="185"/>
      <c r="H65" s="185"/>
      <c r="I65" s="185"/>
      <c r="J65" s="185"/>
      <c r="K65" s="185"/>
      <c r="L65" s="185"/>
      <c r="M65" s="98"/>
      <c r="N65" s="98"/>
      <c r="O65" s="57"/>
      <c r="P65" s="8"/>
    </row>
    <row r="66" spans="3:16" ht="15.75" x14ac:dyDescent="0.2">
      <c r="C66" s="3"/>
      <c r="D66" s="3"/>
      <c r="E66" s="186" t="s">
        <v>58</v>
      </c>
      <c r="F66" s="186"/>
      <c r="G66" s="186"/>
      <c r="H66" s="186"/>
      <c r="I66" s="186"/>
      <c r="J66" s="186"/>
      <c r="K66" s="186"/>
      <c r="L66" s="186"/>
      <c r="M66" s="186"/>
      <c r="N66" s="98"/>
      <c r="O66" s="57"/>
    </row>
    <row r="67" spans="3:16" ht="15.75" x14ac:dyDescent="0.2">
      <c r="C67" s="3"/>
      <c r="D67" s="3"/>
      <c r="E67" s="186"/>
      <c r="F67" s="186"/>
      <c r="G67" s="186"/>
      <c r="H67" s="186"/>
      <c r="I67" s="186"/>
      <c r="J67" s="186"/>
      <c r="K67" s="186"/>
      <c r="L67" s="186"/>
      <c r="M67" s="186"/>
      <c r="N67" s="98"/>
      <c r="O67" s="57"/>
    </row>
    <row r="68" spans="3:16" ht="13.5" thickBot="1" x14ac:dyDescent="0.25">
      <c r="C68" s="119"/>
      <c r="D68" s="119"/>
      <c r="E68" s="120"/>
      <c r="F68" s="120"/>
      <c r="G68" s="120"/>
      <c r="H68" s="183"/>
      <c r="I68" s="183"/>
      <c r="J68" s="183"/>
      <c r="K68" s="183"/>
      <c r="L68" s="183"/>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82"/>
      <c r="L70" s="182"/>
      <c r="M70" s="182"/>
      <c r="N70" s="182"/>
      <c r="O70" s="182"/>
    </row>
    <row r="71" spans="3:16" x14ac:dyDescent="0.2">
      <c r="C71" s="124"/>
      <c r="D71" s="124"/>
      <c r="E71" s="124"/>
      <c r="F71" s="124"/>
      <c r="G71" s="124"/>
      <c r="H71" s="124"/>
      <c r="I71" s="124"/>
      <c r="J71" s="124"/>
      <c r="K71" s="183"/>
      <c r="L71" s="183"/>
      <c r="M71" s="183"/>
      <c r="N71" s="183"/>
      <c r="O71" s="183"/>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44386</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8373.44</v>
      </c>
      <c r="K8" s="68" t="str">
        <f>Facture!$M$23</f>
        <v xml:space="preserve">         MR MOHSEN DARDOUR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2020-06-01T15:57:48Z</cp:lastPrinted>
  <dcterms:created xsi:type="dcterms:W3CDTF">1995-05-29T15:50:39Z</dcterms:created>
  <dcterms:modified xsi:type="dcterms:W3CDTF">2021-07-09T07:59:47Z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8373.44</vt:r8>
  </property>
</Properties>
</file>