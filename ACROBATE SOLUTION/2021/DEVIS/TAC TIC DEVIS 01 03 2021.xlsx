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2" i="3" l="1"/>
  <c r="M33" i="3"/>
  <c r="M39" i="3" l="1"/>
  <c r="M40" i="3"/>
  <c r="M41" i="3"/>
  <c r="M29" i="3" l="1"/>
  <c r="M30" i="3"/>
  <c r="M31" i="3"/>
  <c r="M28" i="3"/>
  <c r="M34" i="3"/>
  <c r="M36" i="3"/>
  <c r="M38" i="3"/>
  <c r="M42" i="3" l="1"/>
  <c r="M43" i="3" s="1"/>
  <c r="M45" i="3" s="1"/>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<sst xmlns="http://schemas.openxmlformats.org/spreadsheetml/2006/main" count="84" uniqueCount="73">
  <si>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</si>
  <si>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</si>
  <si>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</si>
  <si>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</si>
  <si>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</si>
  <si>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</si>
  <si>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</si>
  <si>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</si>
  <si>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</si>
  <si>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</si>
  <si>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</si>
  <si>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</si>
  <si>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</si>
  <si>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</si>
  <si>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</si>
  <si>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</si>
  <si>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</si>
  <si>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</si>
  <si>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</si>
  <si>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</si>
  <si>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</si>
  <si>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</si>
  <si>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</si>
  <si>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</si>
  <si>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</si>
  <si>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</si>
  <si>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</si>
  <si>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</si>
  <si>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</si>
  <si>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</si>
  <si>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</si>
  <si>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</si>
  <si>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</si>
  <si>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</si>
  <si>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</si>
  <si>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</si>
  <si>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</si>
  <si>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</si>
  <si>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</si>
  <si>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</si>
  <si>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</si>
  <si>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</si>
  <si>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</si>
  <si>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</si>
  <si>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</si>
  <si>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</si>
  <si>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</si>
  <si>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</si>
  <si>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</si>
  <si>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</si>
  <si>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</si>
  <si>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</si>
  <si>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</si>
  <si>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</si>
  <si>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</si>
  <si>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</si>
  <si>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</si>
  <si>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</si>
  <si>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</si>
  <si>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</si>
  <si>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</si>
  <si>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</si>
  <si>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</si>
  <si>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</si>
  <si>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</si>
  <si>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</si>
  <si>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</si>
  <si>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</si>
  <si>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</si>
  <si>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CHAUSSURES DE SECURITE </t>
  </si>
  <si>
    <t>CH-S3</t>
  </si>
  <si>
    <t>DEVIS  N°2021-0150</t>
  </si>
  <si>
    <t>MR ridha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</si>
</sst>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42" fillId="6" borderId="0" xfId="0" applyFont="1" applyFill="1"/>
    <xf numFmtId="168" fontId="30" fillId="0" borderId="47"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D1" zoomScale="60" zoomScaleNormal="60" workbookViewId="0">
      <selection activeCell="M43" sqref="M43:M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7" t="s">
        <v>71</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74"/>
      <c r="J22" s="174"/>
      <c r="K22" s="146"/>
      <c r="L22" s="144" t="s">
        <v>19</v>
      </c>
      <c r="M22" s="170">
        <v>44256</v>
      </c>
      <c r="N22" s="171"/>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74">
        <v>2088</v>
      </c>
      <c r="F24" s="174"/>
      <c r="G24" s="174"/>
      <c r="H24" s="174"/>
      <c r="I24" s="174" t="s">
        <v>9</v>
      </c>
      <c r="J24" s="174" t="s">
        <v>59</v>
      </c>
      <c r="K24" s="146"/>
      <c r="L24" s="144" t="s">
        <v>20</v>
      </c>
      <c r="M24" s="172" t="s">
        <v>72</v>
      </c>
      <c r="N24" s="172"/>
      <c r="O24" s="9"/>
    </row>
    <row r="25" spans="2:15" ht="23.25" x14ac:dyDescent="0.35">
      <c r="B25" s="7"/>
      <c r="C25" s="3"/>
      <c r="D25" s="144" t="s">
        <v>56</v>
      </c>
      <c r="E25" s="181">
        <v>71856454</v>
      </c>
      <c r="F25" s="182"/>
      <c r="G25" s="147"/>
      <c r="H25" s="147"/>
      <c r="I25" s="147"/>
      <c r="J25" s="147"/>
      <c r="K25" s="146"/>
      <c r="L25" s="144" t="s">
        <v>65</v>
      </c>
      <c r="M25" s="173" t="s">
        <v>67</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7" t="s">
        <v>23</v>
      </c>
      <c r="G27" s="178"/>
      <c r="H27" s="178"/>
      <c r="I27" s="178"/>
      <c r="J27" s="178"/>
      <c r="K27" s="179"/>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3"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t="s">
        <v>70</v>
      </c>
      <c r="E31" s="140">
        <v>2</v>
      </c>
      <c r="F31" s="143" t="s">
        <v>69</v>
      </c>
      <c r="G31" s="134"/>
      <c r="H31" s="134"/>
      <c r="I31" s="134"/>
      <c r="J31" s="134"/>
      <c r="K31" s="135"/>
      <c r="L31" s="103">
        <v>120</v>
      </c>
      <c r="M31" s="108">
        <f t="shared" si="0"/>
        <v>240</v>
      </c>
      <c r="N31" s="52"/>
      <c r="O31" s="9"/>
    </row>
    <row r="32" spans="2:15" ht="30" x14ac:dyDescent="0.4">
      <c r="B32" s="7"/>
      <c r="C32" s="3"/>
      <c r="D32" s="139"/>
      <c r="E32" s="140"/>
      <c r="F32" s="158"/>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t="str">
        <f t="shared" si="0"/>
        <v/>
      </c>
      <c r="N33" s="52"/>
      <c r="O33" s="9"/>
    </row>
    <row r="34" spans="2:15" ht="30" x14ac:dyDescent="0.4">
      <c r="B34" s="7"/>
      <c r="C34" s="3"/>
      <c r="D34" s="139"/>
      <c r="E34" s="102"/>
      <c r="F34" s="112"/>
      <c r="G34" s="134"/>
      <c r="H34" s="134"/>
      <c r="I34" s="134"/>
      <c r="J34" s="134"/>
      <c r="K34" s="135"/>
      <c r="L34" s="103"/>
      <c r="M34" s="108" t="str">
        <f t="shared" ref="M34:M42" si="1">IF(E34&lt;&gt;"",E34*L34,"")</f>
        <v/>
      </c>
      <c r="N34" s="52"/>
      <c r="O34" s="9"/>
    </row>
    <row r="35" spans="2:15" ht="30" x14ac:dyDescent="0.4">
      <c r="B35" s="7"/>
      <c r="C35" s="3"/>
      <c r="D35" s="139"/>
      <c r="E35" s="102"/>
      <c r="F35" s="112"/>
      <c r="G35" s="134"/>
      <c r="H35" s="134"/>
      <c r="I35" s="134"/>
      <c r="J35" s="134"/>
      <c r="K35" s="135"/>
      <c r="L35" s="104"/>
      <c r="M35" s="108"/>
      <c r="N35" s="52"/>
      <c r="O35" s="9"/>
    </row>
    <row r="36" spans="2:15" ht="30" x14ac:dyDescent="0.4">
      <c r="B36" s="7"/>
      <c r="C36" s="3"/>
      <c r="D36" s="139"/>
      <c r="E36" s="102"/>
      <c r="F36" s="112"/>
      <c r="G36" s="134"/>
      <c r="H36" s="134"/>
      <c r="I36" s="134"/>
      <c r="J36" s="134"/>
      <c r="K36" s="135"/>
      <c r="L36" s="104"/>
      <c r="M36" s="108" t="str">
        <f t="shared" si="1"/>
        <v/>
      </c>
      <c r="N36" s="52"/>
      <c r="O36" s="9"/>
    </row>
    <row r="37" spans="2:15" ht="30" x14ac:dyDescent="0.4">
      <c r="B37" s="7"/>
      <c r="C37" s="3"/>
      <c r="D37" s="139"/>
      <c r="E37" s="102"/>
      <c r="F37" s="112"/>
      <c r="G37" s="134"/>
      <c r="H37" s="134"/>
      <c r="I37" s="134"/>
      <c r="J37" s="134"/>
      <c r="K37" s="134"/>
      <c r="L37" s="104"/>
      <c r="M37" s="108"/>
      <c r="N37" s="52"/>
      <c r="O37" s="9"/>
    </row>
    <row r="38" spans="2:15" ht="30" x14ac:dyDescent="0.4">
      <c r="B38" s="7"/>
      <c r="C38" s="3"/>
      <c r="D38" s="139"/>
      <c r="E38" s="102"/>
      <c r="F38" s="112"/>
      <c r="G38" s="134"/>
      <c r="H38" s="134"/>
      <c r="I38" s="134"/>
      <c r="J38" s="134"/>
      <c r="K38" s="134"/>
      <c r="L38" s="104"/>
      <c r="M38" s="108" t="str">
        <f t="shared" si="1"/>
        <v/>
      </c>
      <c r="N38" s="52"/>
      <c r="O38" s="9"/>
    </row>
    <row r="39" spans="2:15" ht="30" x14ac:dyDescent="0.4">
      <c r="B39" s="7"/>
      <c r="C39" s="3"/>
      <c r="D39" s="139"/>
      <c r="E39" s="102"/>
      <c r="F39" s="112"/>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49"/>
      <c r="E42" s="150"/>
      <c r="F42" s="157"/>
      <c r="G42" s="151"/>
      <c r="H42" s="151"/>
      <c r="I42" s="154"/>
      <c r="J42" s="151"/>
      <c r="K42" s="152"/>
      <c r="L42" s="138"/>
      <c r="M42" s="159" t="str">
        <f t="shared" si="1"/>
        <v/>
      </c>
      <c r="N42" s="52"/>
      <c r="O42" s="9"/>
    </row>
    <row r="43" spans="2:15" ht="35.25" x14ac:dyDescent="0.5">
      <c r="B43" s="7"/>
      <c r="C43" s="3"/>
      <c r="D43" s="83"/>
      <c r="E43" s="93"/>
      <c r="F43" s="118"/>
      <c r="G43" s="115"/>
      <c r="H43" s="115"/>
      <c r="I43" s="115"/>
      <c r="J43" s="116"/>
      <c r="K43" s="117"/>
      <c r="L43" s="120" t="s">
        <v>26</v>
      </c>
      <c r="M43" s="125">
        <f>SUM(M28:M42)</f>
        <v>240</v>
      </c>
      <c r="N43" s="52"/>
      <c r="O43" s="9"/>
    </row>
    <row r="44" spans="2:15" ht="35.25" x14ac:dyDescent="0.5">
      <c r="B44" s="7"/>
      <c r="C44" s="3"/>
      <c r="D44" s="99"/>
      <c r="E44" s="95" t="s">
        <v>57</v>
      </c>
      <c r="F44" s="75"/>
      <c r="G44" s="75"/>
      <c r="H44" s="75"/>
      <c r="I44" s="75"/>
      <c r="J44" s="76"/>
      <c r="K44" s="91"/>
      <c r="L44" s="119" t="s">
        <v>47</v>
      </c>
      <c r="M44" s="100">
        <v>0.6</v>
      </c>
      <c r="N44" s="52"/>
      <c r="O44" s="9"/>
    </row>
    <row r="45" spans="2:15" ht="35.25" x14ac:dyDescent="0.5">
      <c r="B45" s="7"/>
      <c r="C45" s="3"/>
      <c r="D45" s="96"/>
      <c r="E45" s="95" t="s">
        <v>58</v>
      </c>
      <c r="F45" s="75"/>
      <c r="G45" s="75"/>
      <c r="H45" s="75"/>
      <c r="I45" s="75"/>
      <c r="J45" s="78"/>
      <c r="K45" s="92"/>
      <c r="L45" s="121">
        <v>0.19</v>
      </c>
      <c r="M45" s="100">
        <f>(M43)*0.19</f>
        <v>45.6</v>
      </c>
      <c r="N45" s="52"/>
      <c r="O45" s="9"/>
    </row>
    <row r="46" spans="2:15" ht="35.25" x14ac:dyDescent="0.5">
      <c r="B46" s="7"/>
      <c r="C46" s="3"/>
      <c r="D46" s="83"/>
      <c r="E46" s="98"/>
      <c r="F46" s="94"/>
      <c r="G46" s="80"/>
      <c r="H46" s="79"/>
      <c r="I46" s="75"/>
      <c r="J46" s="81"/>
      <c r="K46" s="91"/>
      <c r="L46" s="101" t="s">
        <v>28</v>
      </c>
      <c r="M46" s="100">
        <f>+M43+M44+M45</f>
        <v>286.2</v>
      </c>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114"/>
      <c r="E48" s="114"/>
      <c r="F48" s="98"/>
      <c r="G48" s="113"/>
      <c r="H48" s="113"/>
      <c r="I48" s="113"/>
      <c r="J48" s="85"/>
      <c r="K48" s="85"/>
      <c r="L48" s="101"/>
      <c r="M48" s="137"/>
      <c r="N48" s="52"/>
      <c r="O48" s="9"/>
    </row>
    <row r="49" spans="2:16" x14ac:dyDescent="0.2">
      <c r="B49" s="7"/>
      <c r="C49" s="3"/>
      <c r="D49" s="180"/>
      <c r="E49" s="180"/>
      <c r="F49" s="180"/>
      <c r="G49" s="180"/>
      <c r="H49" s="180"/>
      <c r="I49" s="180"/>
      <c r="J49" s="180"/>
      <c r="K49" s="180"/>
      <c r="L49" s="180"/>
      <c r="M49" s="114"/>
      <c r="N49" s="52"/>
      <c r="O49" s="9"/>
    </row>
    <row r="50" spans="2:16" ht="26.25" x14ac:dyDescent="0.4">
      <c r="B50" s="7"/>
      <c r="C50" s="3"/>
      <c r="D50" s="180"/>
      <c r="E50" s="180"/>
      <c r="F50" s="180"/>
      <c r="G50" s="180"/>
      <c r="H50" s="180"/>
      <c r="I50" s="180"/>
      <c r="J50" s="180"/>
      <c r="K50" s="180"/>
      <c r="L50" s="180"/>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76"/>
      <c r="H52" s="176"/>
      <c r="I52" s="176"/>
      <c r="J52" s="76"/>
      <c r="K52" s="111"/>
      <c r="L52" s="106"/>
      <c r="M52" s="106"/>
      <c r="N52" s="106"/>
      <c r="O52" s="9"/>
    </row>
    <row r="53" spans="2:16" ht="23.25" x14ac:dyDescent="0.2">
      <c r="B53" s="7"/>
      <c r="C53" s="3"/>
      <c r="D53" s="114"/>
      <c r="E53" s="114"/>
      <c r="F53" s="77"/>
      <c r="G53" s="76"/>
      <c r="H53" s="76"/>
      <c r="I53" s="76"/>
      <c r="J53" s="76"/>
      <c r="K53" s="111"/>
      <c r="L53" s="106"/>
      <c r="M53" s="106"/>
      <c r="N53" s="106"/>
      <c r="O53" s="9"/>
    </row>
    <row r="54" spans="2:16" ht="15" x14ac:dyDescent="0.2">
      <c r="B54" s="7"/>
      <c r="C54" s="3"/>
      <c r="D54" s="114"/>
      <c r="E54" s="114"/>
      <c r="F54" s="76"/>
      <c r="G54" s="76"/>
      <c r="H54" s="76"/>
      <c r="I54" s="76"/>
      <c r="J54" s="76"/>
      <c r="K54" s="106"/>
      <c r="L54" s="106"/>
      <c r="M54" s="106"/>
      <c r="N54" s="106"/>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52"/>
      <c r="O56" s="9"/>
    </row>
    <row r="57" spans="2:16" ht="18" x14ac:dyDescent="0.25">
      <c r="B57" s="7"/>
      <c r="C57" s="3"/>
      <c r="D57" s="74"/>
      <c r="E57" s="74"/>
      <c r="F57" s="76"/>
      <c r="G57" s="76"/>
      <c r="H57" s="76"/>
      <c r="I57" s="76"/>
      <c r="J57" s="78"/>
      <c r="K57" s="86"/>
      <c r="L57" s="86"/>
      <c r="M57" s="86"/>
      <c r="N57" s="90"/>
      <c r="O57" s="9"/>
    </row>
    <row r="58" spans="2:16" ht="18" x14ac:dyDescent="0.25">
      <c r="B58" s="7"/>
      <c r="C58" s="3"/>
      <c r="D58" s="175" t="s">
        <v>52</v>
      </c>
      <c r="E58" s="175"/>
      <c r="F58" s="175"/>
      <c r="G58" s="175"/>
      <c r="H58" s="175"/>
      <c r="I58" s="175"/>
      <c r="J58" s="175"/>
      <c r="K58" s="175"/>
      <c r="L58" s="175"/>
      <c r="M58" s="86"/>
      <c r="N58" s="90"/>
      <c r="O58" s="9"/>
    </row>
    <row r="59" spans="2:16" ht="18" x14ac:dyDescent="0.25">
      <c r="B59" s="7"/>
      <c r="C59" s="3"/>
      <c r="D59" s="175"/>
      <c r="E59" s="175"/>
      <c r="F59" s="175"/>
      <c r="G59" s="175"/>
      <c r="H59" s="175"/>
      <c r="I59" s="175"/>
      <c r="J59" s="175"/>
      <c r="K59" s="175"/>
      <c r="L59" s="175"/>
      <c r="M59" s="87"/>
      <c r="N59" s="90"/>
      <c r="O59" s="9"/>
    </row>
    <row r="60" spans="2:16" ht="15" x14ac:dyDescent="0.2">
      <c r="B60" s="7"/>
      <c r="C60" s="3"/>
      <c r="D60" s="175"/>
      <c r="E60" s="175"/>
      <c r="F60" s="175"/>
      <c r="G60" s="175"/>
      <c r="H60" s="175"/>
      <c r="I60" s="175"/>
      <c r="J60" s="175"/>
      <c r="K60" s="175"/>
      <c r="L60" s="175"/>
      <c r="M60" s="87"/>
      <c r="N60" s="52"/>
      <c r="O60" s="9"/>
    </row>
    <row r="61" spans="2:16" ht="13.5" thickBot="1" x14ac:dyDescent="0.25">
      <c r="B61" s="7"/>
      <c r="C61" s="123"/>
      <c r="D61" s="3"/>
      <c r="E61" s="3"/>
      <c r="F61" s="3"/>
      <c r="G61" s="3"/>
      <c r="H61" s="3"/>
      <c r="I61" s="3"/>
      <c r="J61" s="3"/>
      <c r="K61" s="3"/>
      <c r="L61" s="3"/>
      <c r="M61" s="3"/>
      <c r="N61" s="52"/>
      <c r="O61" s="9"/>
    </row>
    <row r="62" spans="2:16" ht="15.75" thickTop="1" x14ac:dyDescent="0.2">
      <c r="B62" s="7"/>
      <c r="C62" s="123"/>
      <c r="D62" s="53"/>
      <c r="E62" s="53"/>
      <c r="F62" s="53"/>
      <c r="G62" s="53"/>
      <c r="H62" s="53"/>
      <c r="I62" s="53"/>
      <c r="J62" s="53"/>
      <c r="K62" s="53"/>
      <c r="L62" s="53"/>
      <c r="M62" s="53"/>
      <c r="N62" s="52"/>
      <c r="O62" s="126"/>
      <c r="P62" s="127"/>
    </row>
    <row r="63" spans="2:16" ht="15" x14ac:dyDescent="0.2">
      <c r="B63" s="7"/>
      <c r="C63" s="123"/>
      <c r="D63" s="122"/>
      <c r="E63" s="122"/>
      <c r="F63" s="122"/>
      <c r="G63" s="122"/>
      <c r="H63" s="122"/>
      <c r="I63" s="122"/>
      <c r="J63" s="122"/>
      <c r="K63" s="122"/>
      <c r="L63" s="122"/>
      <c r="M63" s="123"/>
      <c r="N63" s="52"/>
      <c r="O63" s="128"/>
      <c r="P63" s="129"/>
    </row>
    <row r="64" spans="2:16" x14ac:dyDescent="0.2">
      <c r="B64" s="7"/>
      <c r="C64" s="123"/>
      <c r="D64" s="136"/>
      <c r="E64" s="136"/>
      <c r="F64" s="136"/>
      <c r="G64" s="136"/>
      <c r="H64" s="136"/>
      <c r="I64" s="136"/>
      <c r="J64" s="136"/>
      <c r="K64" s="136"/>
      <c r="L64" s="136"/>
      <c r="M64" s="136"/>
      <c r="N64" s="52"/>
      <c r="O64" s="9"/>
    </row>
    <row r="65" spans="1:15" x14ac:dyDescent="0.2">
      <c r="B65" s="7"/>
      <c r="C65" s="122"/>
      <c r="D65" s="136"/>
      <c r="E65" s="136"/>
      <c r="F65" s="136"/>
      <c r="G65" s="136"/>
      <c r="H65" s="136"/>
      <c r="I65" s="136"/>
      <c r="J65" s="136"/>
      <c r="K65" s="136"/>
      <c r="L65" s="136"/>
      <c r="M65" s="136"/>
      <c r="N65" s="136"/>
      <c r="O65" s="9"/>
    </row>
    <row r="66" spans="1:15" ht="18" customHeight="1" x14ac:dyDescent="0.2">
      <c r="B66" s="7"/>
      <c r="C66" s="136"/>
      <c r="D66" s="136"/>
      <c r="E66" s="136"/>
      <c r="F66" s="136"/>
      <c r="G66" s="136"/>
      <c r="H66" s="136"/>
      <c r="I66" s="136"/>
      <c r="J66" s="136"/>
      <c r="K66" s="136"/>
      <c r="L66" s="136"/>
      <c r="M66" s="136"/>
      <c r="N66" s="136"/>
      <c r="O66" s="9"/>
    </row>
    <row r="67" spans="1:15" ht="15" customHeight="1" x14ac:dyDescent="0.2">
      <c r="B67" s="7"/>
      <c r="C67" s="136"/>
      <c r="D67" s="136"/>
      <c r="E67" s="136"/>
      <c r="F67" s="136"/>
      <c r="G67" s="136"/>
      <c r="H67" s="136"/>
      <c r="I67" s="136"/>
      <c r="J67" s="136"/>
      <c r="K67" s="136"/>
      <c r="L67" s="136"/>
      <c r="M67" s="136"/>
      <c r="N67" s="136"/>
      <c r="O67" s="9"/>
    </row>
    <row r="68" spans="1:15" ht="20.100000000000001" customHeight="1" x14ac:dyDescent="0.2">
      <c r="B68" s="7"/>
      <c r="C68" s="136"/>
      <c r="D68" s="136"/>
      <c r="E68" s="136"/>
      <c r="F68" s="136"/>
      <c r="G68" s="136"/>
      <c r="H68" s="136"/>
      <c r="I68" s="136"/>
      <c r="J68" s="136"/>
      <c r="K68" s="136"/>
      <c r="L68" s="136"/>
      <c r="M68" s="136"/>
      <c r="N68" s="136"/>
      <c r="O68" s="9"/>
    </row>
    <row r="69" spans="1:15" x14ac:dyDescent="0.2">
      <c r="B69" s="7"/>
      <c r="C69" s="136"/>
      <c r="D69" s="136"/>
      <c r="E69" s="136"/>
      <c r="F69" s="136"/>
      <c r="G69" s="136"/>
      <c r="H69" s="136"/>
      <c r="I69" s="136"/>
      <c r="J69" s="136"/>
      <c r="K69" s="136"/>
      <c r="L69" s="136"/>
      <c r="M69" s="136"/>
      <c r="N69" s="136"/>
      <c r="O69" s="9"/>
    </row>
    <row r="70" spans="1:15" x14ac:dyDescent="0.2">
      <c r="B70" s="7"/>
      <c r="C70" s="136"/>
      <c r="D70" s="136"/>
      <c r="E70" s="136"/>
      <c r="F70" s="136"/>
      <c r="G70" s="136"/>
      <c r="H70" s="136"/>
      <c r="I70" s="136"/>
      <c r="J70" s="136"/>
      <c r="K70" s="136"/>
      <c r="L70" s="136"/>
      <c r="M70" s="136"/>
      <c r="N70" s="136"/>
      <c r="O70" s="9"/>
    </row>
    <row r="71" spans="1:15" x14ac:dyDescent="0.2">
      <c r="A71" s="122"/>
      <c r="B71" s="122"/>
      <c r="C71" s="136"/>
      <c r="D71" s="136"/>
      <c r="E71" s="136"/>
      <c r="F71" s="136"/>
      <c r="G71" s="136"/>
      <c r="H71" s="136"/>
      <c r="I71" s="136"/>
      <c r="J71" s="136"/>
      <c r="K71" s="136"/>
      <c r="L71" s="136"/>
      <c r="M71" s="136"/>
      <c r="N71" s="136"/>
    </row>
    <row r="72" spans="1:15" x14ac:dyDescent="0.2">
      <c r="C72" s="136"/>
      <c r="D72" s="136"/>
      <c r="E72" s="136"/>
      <c r="F72" s="136"/>
      <c r="G72" s="136"/>
      <c r="H72" s="136"/>
      <c r="I72" s="136"/>
      <c r="J72" s="136"/>
      <c r="K72" s="136"/>
      <c r="L72" s="136"/>
      <c r="M72" s="136"/>
      <c r="N72" s="136"/>
    </row>
    <row r="73" spans="1:15" x14ac:dyDescent="0.2">
      <c r="C73" s="136"/>
      <c r="D73" s="136"/>
      <c r="E73" s="136"/>
      <c r="F73" s="136"/>
      <c r="G73" s="136"/>
      <c r="H73" s="136"/>
      <c r="I73" s="136"/>
      <c r="J73" s="136"/>
      <c r="K73" s="136"/>
      <c r="L73" s="136"/>
      <c r="M73" s="136"/>
      <c r="N73" s="136"/>
    </row>
    <row r="74" spans="1:15" x14ac:dyDescent="0.2">
      <c r="C74" s="136"/>
      <c r="D74" s="136"/>
      <c r="E74" s="136"/>
      <c r="F74" s="136"/>
      <c r="G74" s="136"/>
      <c r="H74" s="136"/>
      <c r="I74" s="136"/>
      <c r="J74" s="136"/>
      <c r="K74" s="136"/>
      <c r="L74" s="136"/>
      <c r="M74" s="136"/>
      <c r="N74" s="136"/>
    </row>
    <row r="75" spans="1:15" x14ac:dyDescent="0.2">
      <c r="D75" s="136"/>
      <c r="E75" s="136"/>
      <c r="F75" s="136"/>
      <c r="G75" s="136"/>
      <c r="H75" s="136"/>
      <c r="I75" s="136"/>
      <c r="J75" s="136"/>
      <c r="K75" s="136"/>
      <c r="L75" s="136"/>
      <c r="M75" s="136"/>
      <c r="N75" s="136"/>
    </row>
    <row r="76" spans="1:15" x14ac:dyDescent="0.2">
      <c r="D76" s="136"/>
      <c r="E76" s="136"/>
      <c r="F76" s="136"/>
      <c r="G76" s="136"/>
      <c r="H76" s="136"/>
      <c r="I76" s="136"/>
      <c r="J76" s="136"/>
      <c r="K76" s="136"/>
      <c r="L76" s="136"/>
      <c r="M76" s="136"/>
      <c r="N76" s="136"/>
    </row>
    <row r="77" spans="1:15" x14ac:dyDescent="0.2">
      <c r="D77" s="136"/>
      <c r="E77" s="136"/>
      <c r="F77" s="136"/>
      <c r="G77" s="136"/>
      <c r="H77" s="136"/>
      <c r="I77" s="136"/>
      <c r="J77" s="136"/>
      <c r="K77" s="136"/>
      <c r="L77" s="136"/>
      <c r="M77" s="136"/>
      <c r="N77" s="136"/>
    </row>
    <row r="78" spans="1:15" x14ac:dyDescent="0.2">
      <c r="D78" s="136"/>
      <c r="E78" s="136"/>
      <c r="F78" s="136"/>
      <c r="G78" s="136"/>
      <c r="H78" s="136"/>
      <c r="I78" s="136"/>
      <c r="J78" s="136"/>
      <c r="K78" s="136"/>
      <c r="L78" s="136"/>
      <c r="M78" s="136"/>
      <c r="N78"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2:I52"/>
    <mergeCell ref="G24:H24"/>
    <mergeCell ref="F27:K27"/>
    <mergeCell ref="D49:L49"/>
    <mergeCell ref="D50:L50"/>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Facture!$M$46</f>
        <v>286.2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2021-03-01T08:58:03Z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286.2</vt:r8>
  </property>
</Properties>
</file>