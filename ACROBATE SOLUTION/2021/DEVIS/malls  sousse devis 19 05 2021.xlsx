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Facture!$M$51</definedName>
    <definedName name="_Tax3">Facture!$M$53</definedName>
    <definedName name="_tax4">Facture!$M$53</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Facture!$E$51</definedName>
    <definedName name="data63">Facture!$E$52</definedName>
    <definedName name="data64">Facture!$E$53</definedName>
    <definedName name="data65">Facture!$H$52</definedName>
    <definedName name="data66">Facture!$F$59</definedName>
    <definedName name="data67">Facture!$F$60</definedName>
    <definedName name="data68">Facture!$G$64</definedName>
    <definedName name="data69">Facture!$K$64</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Facture!$F$59:$I$59</definedName>
    <definedName name="qzqzqz27">Facture!#REF!</definedName>
    <definedName name="qzqzqz28">Facture!$F$60:$I$60</definedName>
    <definedName name="qzqzqz29">Facture!$K$64:$N$64</definedName>
    <definedName name="qzqzqz3">Facture!$E$22:$J$22</definedName>
    <definedName name="qzqzqz30">Facture!$G$64:$I$64</definedName>
    <definedName name="qzqzqz31">Facture!$G$64:$H$64</definedName>
    <definedName name="qzqzqz32">Facture!$K$60:$N$64</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Facture!$C$3:$O$69</definedName>
  </definedNames>
  <calcPr calcId="152511"/>
</workbook>
</file>

<file path=xl/calcChain.xml><?xml version="1.0" encoding="utf-8"?>
<calcChain xmlns="http://schemas.openxmlformats.org/spreadsheetml/2006/main">
  <c r="N52" i="3" l="1"/>
  <c r="N51" i="3"/>
  <c r="N49" i="3"/>
  <c r="N28" i="3" l="1"/>
  <c r="N29" i="3"/>
  <c r="N30" i="3"/>
  <c r="N31" i="3"/>
  <c r="N32" i="3"/>
  <c r="N33" i="3"/>
  <c r="N34" i="3"/>
  <c r="N35" i="3"/>
  <c r="N36" i="3"/>
  <c r="N37" i="3"/>
  <c r="N45" i="3" l="1"/>
  <c r="N46" i="3"/>
  <c r="K8" i="8" l="1"/>
  <c r="I8" i="8"/>
  <c r="H8" i="8"/>
  <c r="G8" i="8"/>
  <c r="F8" i="8"/>
  <c r="E8" i="8"/>
  <c r="D8" i="8"/>
  <c r="C8" i="8"/>
  <c r="B8" i="8"/>
  <c r="N27" i="3"/>
  <c r="F33" i="2"/>
  <c r="N47" i="3" l="1"/>
  <c r="J8" i="8" l="1"/>
  <c r="N48" i="3"/>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<sst xmlns="http://schemas.openxmlformats.org/spreadsheetml/2006/main" count="93" uniqueCount="77">
  <si>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</si>
  <si>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</si>
  <si>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</si>
  <si>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</si>
  <si>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</si>
  <si>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</si>
  <si>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</si>
  <si>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</si>
  <si>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</si>
  <si>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</si>
  <si>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</si>
  <si>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</si>
  <si>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</si>
  <si>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</si>
  <si>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</si>
  <si>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</si>
  <si>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</si>
  <si>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</si>
  <si>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</si>
  <si>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</si>
  <si>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</si>
  <si>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</si>
  <si>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</si>
  <si>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</si>
  <si>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</si>
  <si>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</si>
  <si>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</si>
  <si>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</si>
  <si>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</si>
  <si>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</si>
  <si>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</si>
  <si>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</si>
  <si>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</si>
  <si>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</si>
  <si>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</si>
  <si>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</si>
  <si>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</si>
  <si>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</si>
  <si>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</si>
  <si>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</si>
  <si>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</si>
  <si>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</si>
  <si>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</si>
  <si>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</si>
  <si>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</si>
  <si>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</si>
  <si>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</si>
  <si>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</si>
  <si>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</si>
  <si>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</si>
  <si>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</si>
  <si>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</si>
  <si>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</si>
  <si>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</si>
  <si>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</si>
  <si>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</si>
  <si>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</si>
  <si>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</si>
  <si>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</si>
  <si>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</si>
  <si>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</si>
  <si>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</si>
  <si>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ARRETE LA PRESENTE FACTURE A LA SOMME DE: trois mille cinq cent huit dinars  ET 720 millimes </t>
  </si>
  <si>
    <t>OFFRE DE PRIX N°0540-2021</t>
  </si>
  <si>
    <t xml:space="preserve">Mme Haifa jlidi </t>
  </si>
  <si>
    <t>1438808V/P/M/000</t>
  </si>
  <si>
    <t>SOCIETE MALLS OF SOUSSE IMMOBILIERE</t>
  </si>
  <si>
    <t>59 rue zi charguia 1 tunis</t>
  </si>
  <si>
    <t xml:space="preserve">      Fax: </t>
  </si>
  <si>
    <t>VERRIERES</t>
  </si>
  <si>
    <t>JARDIN SUSP</t>
  </si>
  <si>
    <t>LDV_JS</t>
  </si>
  <si>
    <t>LDV_V</t>
  </si>
  <si>
    <t>REMISE 10%</t>
  </si>
  <si>
    <t xml:space="preserve">Total après Remise </t>
  </si>
  <si>
    <t xml:space="preserve">Chèque 50% AVANCE ET 50% FIN DE TRAVAUX </t>
  </si>
  <si>
    <t>19-05-2021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</si>
</sst>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168" fontId="2" fillId="3" borderId="34"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80712</xdr:colOff>
      <xdr:row>19</xdr:row>
      <xdr:rowOff>46623</xdr:rowOff>
    </xdr:from>
    <xdr:to>
      <xdr:col>14</xdr:col>
      <xdr:colOff>234616</xdr:colOff>
      <xdr:row>24</xdr:row>
      <xdr:rowOff>37098</xdr:rowOff>
    </xdr:to>
    <xdr:sp macro="" textlink="">
      <xdr:nvSpPr>
        <xdr:cNvPr id="2115" name="INVB2"/>
        <xdr:cNvSpPr>
          <a:spLocks noChangeArrowheads="1"/>
        </xdr:cNvSpPr>
      </xdr:nvSpPr>
      <xdr:spPr bwMode="auto">
        <a:xfrm>
          <a:off x="5063791"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2" t="s">
        <v>0</v>
      </c>
      <c r="E4" s="143"/>
      <c r="F4" s="14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4" t="s">
        <v>2</v>
      </c>
      <c r="E10" s="14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6" t="s">
        <v>45</v>
      </c>
      <c r="E19" s="14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7" t="str">
        <f>LOWER(TemplateInformation!B3)</f>
        <v>c:\program files\microsoft office\office\macrolib\factbd.xls</v>
      </c>
      <c r="G33" s="14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4" t="s">
        <v>16</v>
      </c>
      <c r="E36" s="14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A34" zoomScale="95" workbookViewId="0">
      <selection activeCell="G39" sqref="G3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6"/>
      <c r="N9" s="157"/>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5" t="s">
        <v>54</v>
      </c>
      <c r="N13" s="166"/>
      <c r="O13" s="3"/>
      <c r="P13" s="8"/>
    </row>
    <row r="14" spans="2:16" x14ac:dyDescent="0.2">
      <c r="B14" s="7"/>
      <c r="C14" s="3"/>
      <c r="D14" s="3"/>
      <c r="E14" s="3"/>
      <c r="F14" s="3"/>
      <c r="G14" s="3"/>
      <c r="H14" s="155"/>
      <c r="I14" s="155"/>
      <c r="J14" s="155"/>
      <c r="K14" s="155"/>
      <c r="L14" s="155"/>
      <c r="M14" s="3"/>
      <c r="N14" s="3"/>
      <c r="O14" s="3"/>
      <c r="P14" s="8"/>
    </row>
    <row r="15" spans="2:16" ht="20.100000000000001" customHeight="1" x14ac:dyDescent="0.2">
      <c r="B15" s="7"/>
      <c r="C15" s="3"/>
      <c r="D15" s="3"/>
      <c r="E15" s="3"/>
      <c r="F15" s="3"/>
      <c r="G15" s="3"/>
      <c r="H15" s="155"/>
      <c r="I15" s="155"/>
      <c r="J15" s="155"/>
      <c r="K15" s="155"/>
      <c r="L15" s="15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80" t="s">
        <v>63</v>
      </c>
      <c r="N17" s="181"/>
      <c r="O17" s="3"/>
      <c r="P17" s="8"/>
    </row>
    <row r="18" spans="1:16" ht="19.5" thickTop="1" x14ac:dyDescent="0.3">
      <c r="B18" s="7"/>
      <c r="C18" s="3"/>
      <c r="D18" s="58"/>
      <c r="E18" s="58"/>
      <c r="F18" s="58"/>
      <c r="G18" s="58"/>
      <c r="H18" s="58"/>
      <c r="I18" s="58"/>
      <c r="J18" s="59"/>
      <c r="K18" s="59"/>
      <c r="L18" s="59"/>
      <c r="M18" s="182"/>
      <c r="N18" s="183"/>
      <c r="O18" s="19"/>
      <c r="P18" s="8"/>
    </row>
    <row r="19" spans="1:16" ht="13.5" thickBot="1" x14ac:dyDescent="0.25">
      <c r="B19" s="7"/>
      <c r="C19" s="3"/>
      <c r="D19" s="3"/>
      <c r="E19" s="3"/>
      <c r="F19" s="3"/>
      <c r="G19" s="3"/>
      <c r="H19" s="3"/>
      <c r="I19" s="3"/>
      <c r="J19" s="3"/>
      <c r="K19" s="3"/>
      <c r="L19" s="3"/>
      <c r="M19" s="184"/>
      <c r="N19" s="185"/>
      <c r="O19" s="3"/>
      <c r="P19" s="8"/>
    </row>
    <row r="20" spans="1:16" x14ac:dyDescent="0.2">
      <c r="B20" s="7"/>
      <c r="C20" s="3"/>
      <c r="D20" s="3"/>
      <c r="E20" s="3"/>
      <c r="F20" s="3"/>
      <c r="G20" s="3"/>
      <c r="H20" s="3"/>
      <c r="I20" s="3"/>
      <c r="J20" s="3"/>
      <c r="K20" s="3"/>
      <c r="L20" s="3"/>
      <c r="M20" s="140"/>
      <c r="N20" s="3"/>
      <c r="O20" s="3"/>
      <c r="P20" s="8"/>
    </row>
    <row r="21" spans="1:16" ht="18" x14ac:dyDescent="0.25">
      <c r="B21" s="7"/>
      <c r="C21" s="3"/>
      <c r="D21" s="82" t="s">
        <v>3</v>
      </c>
      <c r="E21" s="171" t="s">
        <v>66</v>
      </c>
      <c r="F21" s="172"/>
      <c r="G21" s="172"/>
      <c r="H21" s="172"/>
      <c r="I21" s="172"/>
      <c r="J21" s="172"/>
      <c r="K21" s="82"/>
      <c r="L21" s="84" t="s">
        <v>18</v>
      </c>
      <c r="M21" s="160">
        <v>44355</v>
      </c>
      <c r="N21" s="161"/>
      <c r="O21" s="55"/>
      <c r="P21" s="8"/>
    </row>
    <row r="22" spans="1:16" ht="14.25" x14ac:dyDescent="0.2">
      <c r="B22" s="7"/>
      <c r="C22" s="3"/>
      <c r="D22" s="82" t="s">
        <v>5</v>
      </c>
      <c r="E22" s="169" t="s">
        <v>67</v>
      </c>
      <c r="F22" s="170"/>
      <c r="G22" s="170"/>
      <c r="H22" s="170"/>
      <c r="I22" s="170"/>
      <c r="J22" s="170"/>
      <c r="K22" s="82"/>
      <c r="L22" s="126" t="s">
        <v>60</v>
      </c>
      <c r="M22" s="190" t="s">
        <v>76</v>
      </c>
      <c r="N22" s="191"/>
      <c r="O22" s="56"/>
      <c r="P22" s="8"/>
    </row>
    <row r="23" spans="1:16" x14ac:dyDescent="0.2">
      <c r="B23" s="7"/>
      <c r="C23" s="3"/>
      <c r="D23" s="82" t="s">
        <v>7</v>
      </c>
      <c r="E23" s="89"/>
      <c r="F23" s="90" t="s">
        <v>8</v>
      </c>
      <c r="G23" s="167"/>
      <c r="H23" s="168"/>
      <c r="I23" s="91" t="s">
        <v>9</v>
      </c>
      <c r="J23" s="88" t="s">
        <v>51</v>
      </c>
      <c r="K23" s="82"/>
      <c r="L23" s="84" t="s">
        <v>19</v>
      </c>
      <c r="M23" s="162" t="s">
        <v>64</v>
      </c>
      <c r="N23" s="163"/>
      <c r="O23" s="3"/>
      <c r="P23" s="8"/>
    </row>
    <row r="24" spans="1:16" x14ac:dyDescent="0.2">
      <c r="B24" s="7"/>
      <c r="C24" s="3"/>
      <c r="D24" s="82" t="s">
        <v>20</v>
      </c>
      <c r="E24" s="173" t="s">
        <v>68</v>
      </c>
      <c r="F24" s="174"/>
      <c r="G24" s="174"/>
      <c r="H24" s="174"/>
      <c r="I24" s="174"/>
      <c r="J24" s="174"/>
      <c r="K24" s="82"/>
      <c r="L24" s="84" t="s">
        <v>47</v>
      </c>
      <c r="M24" s="164" t="s">
        <v>65</v>
      </c>
      <c r="N24" s="163"/>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6" t="s">
        <v>22</v>
      </c>
      <c r="G26" s="187"/>
      <c r="H26" s="187"/>
      <c r="I26" s="187"/>
      <c r="J26" s="187"/>
      <c r="K26" s="187"/>
      <c r="L26" s="188"/>
      <c r="M26" s="52" t="s">
        <v>53</v>
      </c>
      <c r="N26" s="113" t="s">
        <v>23</v>
      </c>
      <c r="O26" s="57"/>
      <c r="P26" s="8"/>
    </row>
    <row r="27" spans="1:16" ht="15.75" x14ac:dyDescent="0.25">
      <c r="B27" s="7"/>
      <c r="C27" s="3"/>
      <c r="D27" s="93"/>
      <c r="E27" s="75"/>
      <c r="F27" s="175"/>
      <c r="G27" s="176"/>
      <c r="H27" s="176"/>
      <c r="I27" s="176"/>
      <c r="J27" s="176"/>
      <c r="K27" s="176"/>
      <c r="L27" s="131"/>
      <c r="M27" s="130"/>
      <c r="N27" s="96" t="str">
        <f t="shared" ref="N27:N29" si="0">IF(E27&lt;&gt;"",E27*M27,"")</f>
        <v/>
      </c>
      <c r="O27" s="57"/>
      <c r="P27" s="8"/>
    </row>
    <row r="28" spans="1:16" ht="18.75" x14ac:dyDescent="0.3">
      <c r="B28" s="7"/>
      <c r="C28" s="3"/>
      <c r="D28" s="93"/>
      <c r="E28" s="75"/>
      <c r="F28" s="138"/>
      <c r="G28" s="135"/>
      <c r="H28" s="135"/>
      <c r="I28" s="135"/>
      <c r="J28" s="135"/>
      <c r="K28" s="135"/>
      <c r="L28" s="132"/>
      <c r="M28" s="130"/>
      <c r="N28" s="96" t="str">
        <f t="shared" si="0"/>
        <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c r="E30" s="75"/>
      <c r="F30" s="136"/>
      <c r="G30" s="137"/>
      <c r="H30" s="81"/>
      <c r="I30" s="109"/>
      <c r="J30" s="109"/>
      <c r="K30" s="81"/>
      <c r="L30" s="132"/>
      <c r="M30" s="116"/>
      <c r="N30" s="96" t="str">
        <f>IF(E30&lt;&gt;"",E30*M30,"")</f>
        <v/>
      </c>
      <c r="O30" s="57"/>
      <c r="P30" s="8"/>
    </row>
    <row r="31" spans="1:16" ht="15" x14ac:dyDescent="0.2">
      <c r="A31" s="99" t="s">
        <v>55</v>
      </c>
      <c r="B31" s="7"/>
      <c r="C31" s="3"/>
      <c r="D31" s="108"/>
      <c r="E31" s="75"/>
      <c r="F31" s="136"/>
      <c r="G31" s="137"/>
      <c r="H31" s="81"/>
      <c r="I31" s="109"/>
      <c r="J31" s="109"/>
      <c r="K31" s="81"/>
      <c r="L31" s="132"/>
      <c r="M31" s="116"/>
      <c r="N31" s="96" t="str">
        <f t="shared" ref="N31:N33" si="1">IF(E31&lt;&gt;"",E31*M31,"")</f>
        <v/>
      </c>
      <c r="O31" s="57"/>
      <c r="P31" s="8"/>
    </row>
    <row r="32" spans="1:16" ht="18" x14ac:dyDescent="0.25">
      <c r="A32" s="99"/>
      <c r="B32" s="7"/>
      <c r="C32" s="3"/>
      <c r="D32" s="108" t="s">
        <v>72</v>
      </c>
      <c r="E32" s="75">
        <v>1</v>
      </c>
      <c r="F32" s="124" t="s">
        <v>69</v>
      </c>
      <c r="G32" s="137"/>
      <c r="H32" s="81"/>
      <c r="I32" s="109"/>
      <c r="J32" s="109"/>
      <c r="K32" s="81"/>
      <c r="L32" s="132"/>
      <c r="M32" s="141">
        <v>20685</v>
      </c>
      <c r="N32" s="96">
        <f t="shared" si="1"/>
        <v>20685</v>
      </c>
      <c r="O32" s="57"/>
      <c r="P32" s="8"/>
    </row>
    <row r="33" spans="2:16" ht="15" x14ac:dyDescent="0.2">
      <c r="B33" s="7"/>
      <c r="C33" s="3"/>
      <c r="D33" s="108"/>
      <c r="E33" s="75"/>
      <c r="F33" s="139"/>
      <c r="G33" s="137"/>
      <c r="H33" s="81"/>
      <c r="I33" s="109"/>
      <c r="J33" s="109"/>
      <c r="K33" s="81"/>
      <c r="L33" s="132"/>
      <c r="M33" s="116"/>
      <c r="N33" s="96" t="str">
        <f t="shared" si="1"/>
        <v/>
      </c>
      <c r="O33" s="57"/>
      <c r="P33" s="8"/>
    </row>
    <row r="34" spans="2:16" ht="18" x14ac:dyDescent="0.25">
      <c r="B34" s="7"/>
      <c r="C34" s="3"/>
      <c r="D34" s="108" t="s">
        <v>71</v>
      </c>
      <c r="E34" s="75">
        <v>1</v>
      </c>
      <c r="F34" s="124" t="s">
        <v>70</v>
      </c>
      <c r="G34" s="137"/>
      <c r="H34" s="81"/>
      <c r="I34" s="109"/>
      <c r="J34" s="81"/>
      <c r="K34" s="81"/>
      <c r="L34" s="132"/>
      <c r="M34" s="116">
        <v>2900</v>
      </c>
      <c r="N34" s="96">
        <f>IF(E34&lt;&gt;"",E34*M34,"")</f>
        <v>2900</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8"/>
      <c r="G46" s="159"/>
      <c r="H46" s="159"/>
      <c r="I46" s="159"/>
      <c r="J46" s="159"/>
      <c r="K46" s="159"/>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23585</v>
      </c>
      <c r="O47" s="57"/>
      <c r="P47" s="8"/>
    </row>
    <row r="48" spans="2:16" ht="15" customHeight="1" x14ac:dyDescent="0.25">
      <c r="B48" s="7"/>
      <c r="C48" s="3"/>
      <c r="D48" s="3"/>
      <c r="E48" s="82"/>
      <c r="F48" s="82"/>
      <c r="G48" s="82"/>
      <c r="H48" s="82"/>
      <c r="I48" s="82"/>
      <c r="J48" s="76"/>
      <c r="K48" s="76"/>
      <c r="L48" s="76"/>
      <c r="M48" s="103" t="s">
        <v>73</v>
      </c>
      <c r="N48" s="97">
        <f>+N47*10%</f>
        <v>2358.5</v>
      </c>
      <c r="O48" s="57"/>
      <c r="P48" s="8"/>
    </row>
    <row r="49" spans="1:16" ht="15.75" x14ac:dyDescent="0.25">
      <c r="B49" s="7"/>
      <c r="C49" s="3"/>
      <c r="D49" s="3"/>
      <c r="E49" s="82"/>
      <c r="F49" s="82"/>
      <c r="G49" s="82"/>
      <c r="H49" s="82"/>
      <c r="I49" s="82"/>
      <c r="J49" s="76"/>
      <c r="K49" s="76"/>
      <c r="L49" s="76"/>
      <c r="M49" s="103" t="s">
        <v>74</v>
      </c>
      <c r="N49" s="97">
        <f>+N47-N48</f>
        <v>21226.5</v>
      </c>
      <c r="O49" s="57"/>
      <c r="P49" s="8"/>
    </row>
    <row r="50" spans="1:16" ht="15" x14ac:dyDescent="0.2">
      <c r="B50" s="7"/>
      <c r="C50" s="3"/>
      <c r="D50" s="3"/>
      <c r="E50" s="82"/>
      <c r="F50" s="82"/>
      <c r="G50" s="82"/>
      <c r="H50" s="82"/>
      <c r="I50" s="82"/>
      <c r="J50" s="76"/>
      <c r="K50" s="76"/>
      <c r="L50" s="76"/>
      <c r="M50" s="106" t="s">
        <v>46</v>
      </c>
      <c r="N50" s="104">
        <v>0.6</v>
      </c>
      <c r="O50" s="57"/>
      <c r="P50" s="8"/>
    </row>
    <row r="51" spans="1:16" ht="15" x14ac:dyDescent="0.2">
      <c r="B51" s="7"/>
      <c r="C51" s="3"/>
      <c r="D51" s="3"/>
      <c r="E51" s="83"/>
      <c r="F51" s="107" t="s">
        <v>25</v>
      </c>
      <c r="G51" s="82"/>
      <c r="H51" s="82"/>
      <c r="I51" s="82"/>
      <c r="J51" s="78"/>
      <c r="K51" s="78"/>
      <c r="L51" s="77"/>
      <c r="M51" s="105">
        <v>0.19</v>
      </c>
      <c r="N51" s="104">
        <f>N49*0.19</f>
        <v>4033.0349999999999</v>
      </c>
      <c r="O51" s="57"/>
      <c r="P51" s="8"/>
    </row>
    <row r="52" spans="1:16" ht="15" customHeight="1" x14ac:dyDescent="0.25">
      <c r="B52" s="7"/>
      <c r="C52" s="3"/>
      <c r="D52" s="3"/>
      <c r="E52" s="85"/>
      <c r="F52" s="133" t="s">
        <v>75</v>
      </c>
      <c r="G52" s="87"/>
      <c r="H52" s="85"/>
      <c r="I52" s="82"/>
      <c r="J52" s="79"/>
      <c r="K52" s="76"/>
      <c r="L52" s="76"/>
      <c r="M52" s="177" t="s">
        <v>27</v>
      </c>
      <c r="N52" s="178">
        <f>+N49+N50+N51</f>
        <v>25260.134999999998</v>
      </c>
      <c r="O52" s="57"/>
      <c r="P52" s="8"/>
    </row>
    <row r="53" spans="1:16" ht="15" customHeight="1" x14ac:dyDescent="0.2">
      <c r="B53" s="7"/>
      <c r="C53" s="3"/>
      <c r="D53" s="3"/>
      <c r="E53" s="85">
        <v>2</v>
      </c>
      <c r="F53" s="107" t="s">
        <v>57</v>
      </c>
      <c r="G53" s="82"/>
      <c r="H53" s="86"/>
      <c r="I53" s="82"/>
      <c r="J53" s="80" t="s">
        <v>26</v>
      </c>
      <c r="K53" s="76"/>
      <c r="L53" s="76"/>
      <c r="M53" s="177"/>
      <c r="N53" s="179"/>
      <c r="O53" s="57"/>
      <c r="P53" s="8"/>
    </row>
    <row r="54" spans="1:16" ht="12.75" customHeight="1" x14ac:dyDescent="0.2">
      <c r="B54" s="7"/>
      <c r="C54" s="3"/>
      <c r="D54" s="3"/>
      <c r="E54" s="85"/>
      <c r="F54" s="107"/>
      <c r="G54" s="82"/>
      <c r="H54" s="86"/>
      <c r="I54" s="82"/>
      <c r="J54" s="80"/>
      <c r="K54" s="76"/>
      <c r="L54" s="76"/>
      <c r="M54" s="100"/>
      <c r="N54" s="101"/>
      <c r="O54" s="57"/>
      <c r="P54" s="8"/>
    </row>
    <row r="55" spans="1:16" ht="3" customHeight="1" x14ac:dyDescent="0.2">
      <c r="B55" s="7"/>
      <c r="C55" s="127" t="s">
        <v>62</v>
      </c>
      <c r="D55" s="127"/>
      <c r="E55" s="127"/>
      <c r="F55" s="127"/>
      <c r="G55" s="127"/>
      <c r="H55" s="127"/>
      <c r="I55" s="127"/>
      <c r="J55" s="127"/>
      <c r="K55" s="127"/>
      <c r="L55" s="127"/>
      <c r="M55" s="128"/>
      <c r="N55" s="129"/>
      <c r="O55" s="57"/>
      <c r="P55" s="8"/>
    </row>
    <row r="56" spans="1:16" ht="15.75" x14ac:dyDescent="0.2">
      <c r="B56" s="7"/>
      <c r="C56" s="126"/>
      <c r="D56" s="126"/>
      <c r="E56" s="126"/>
      <c r="F56" s="126"/>
      <c r="G56" s="126"/>
      <c r="H56" s="126"/>
      <c r="I56" s="126"/>
      <c r="J56" s="126"/>
      <c r="K56" s="126"/>
      <c r="L56" s="126"/>
      <c r="M56" s="98" t="s">
        <v>61</v>
      </c>
      <c r="N56" s="102"/>
      <c r="O56" s="57"/>
      <c r="P56" s="8"/>
    </row>
    <row r="57" spans="1:16" ht="15.75" customHeight="1" x14ac:dyDescent="0.2">
      <c r="B57" s="7"/>
      <c r="C57" s="126"/>
      <c r="D57" s="126"/>
      <c r="E57" s="126"/>
      <c r="F57" s="126"/>
      <c r="G57" s="126"/>
      <c r="H57" s="126"/>
      <c r="I57" s="126"/>
      <c r="J57" s="126"/>
      <c r="K57" s="126"/>
      <c r="L57" s="126"/>
      <c r="M57" s="102"/>
      <c r="N57" s="102"/>
      <c r="O57" s="57"/>
      <c r="P57" s="8"/>
    </row>
    <row r="58" spans="1:16" ht="15.75" customHeight="1" x14ac:dyDescent="0.2">
      <c r="B58" s="7"/>
      <c r="C58" s="126"/>
      <c r="D58" s="126"/>
      <c r="E58" s="126"/>
      <c r="F58" s="126"/>
      <c r="G58" s="126"/>
      <c r="H58" s="126"/>
      <c r="I58" s="126"/>
      <c r="J58" s="126"/>
      <c r="K58" s="126"/>
      <c r="L58" s="126"/>
      <c r="M58" s="102"/>
      <c r="N58" s="102"/>
      <c r="O58" s="57"/>
      <c r="P58" s="8"/>
    </row>
    <row r="59" spans="1:16" ht="0.95" customHeight="1" x14ac:dyDescent="0.2">
      <c r="B59" s="7"/>
      <c r="C59" s="189"/>
      <c r="D59" s="189"/>
      <c r="E59" s="189"/>
      <c r="F59" s="189"/>
      <c r="G59" s="189"/>
      <c r="H59" s="189"/>
      <c r="I59" s="189"/>
      <c r="J59" s="189"/>
      <c r="K59" s="189"/>
      <c r="L59" s="189"/>
      <c r="M59" s="100"/>
      <c r="N59" s="101"/>
      <c r="O59" s="57"/>
      <c r="P59" s="8"/>
    </row>
    <row r="60" spans="1:16" ht="6" customHeight="1" x14ac:dyDescent="0.2">
      <c r="B60" s="7"/>
      <c r="C60" s="3"/>
      <c r="D60" s="3"/>
      <c r="E60" s="153" t="s">
        <v>59</v>
      </c>
      <c r="F60" s="154"/>
      <c r="G60" s="154"/>
      <c r="H60" s="154"/>
      <c r="I60" s="154"/>
      <c r="J60" s="154"/>
      <c r="K60" s="154"/>
      <c r="L60" s="154"/>
      <c r="M60" s="154"/>
      <c r="N60" s="154"/>
      <c r="O60" s="57"/>
      <c r="P60" s="8"/>
    </row>
    <row r="61" spans="1:16" x14ac:dyDescent="0.2">
      <c r="B61" s="7"/>
      <c r="C61" s="3"/>
      <c r="D61" s="3"/>
      <c r="E61" s="154"/>
      <c r="F61" s="154"/>
      <c r="G61" s="154"/>
      <c r="H61" s="154"/>
      <c r="I61" s="154"/>
      <c r="J61" s="154"/>
      <c r="K61" s="154"/>
      <c r="L61" s="154"/>
      <c r="M61" s="154"/>
      <c r="N61" s="154"/>
      <c r="O61" s="57"/>
      <c r="P61" s="8"/>
    </row>
    <row r="62" spans="1:16" ht="16.5" thickBot="1" x14ac:dyDescent="0.25">
      <c r="B62" s="7"/>
      <c r="C62" s="3"/>
      <c r="D62" s="3"/>
      <c r="E62" s="121"/>
      <c r="F62" s="121"/>
      <c r="G62" s="121"/>
      <c r="H62" s="121"/>
      <c r="I62" s="121"/>
      <c r="J62" s="121"/>
      <c r="K62" s="121"/>
      <c r="L62" s="121"/>
      <c r="M62" s="121"/>
      <c r="N62" s="98"/>
      <c r="O62" s="57"/>
      <c r="P62" s="8"/>
    </row>
    <row r="63" spans="1:16" ht="17.25" thickTop="1" thickBot="1" x14ac:dyDescent="0.25">
      <c r="A63" s="114"/>
      <c r="B63" s="7"/>
      <c r="C63" s="3"/>
      <c r="D63" s="3"/>
      <c r="E63" s="18"/>
      <c r="F63" s="151" t="s">
        <v>56</v>
      </c>
      <c r="G63" s="151"/>
      <c r="H63" s="151"/>
      <c r="I63" s="151"/>
      <c r="J63" s="151"/>
      <c r="K63" s="151"/>
      <c r="L63" s="151"/>
      <c r="M63" s="98"/>
      <c r="N63" s="98"/>
      <c r="O63" s="57"/>
      <c r="P63" s="8"/>
    </row>
    <row r="64" spans="1:16" ht="12.75" customHeight="1" thickTop="1" x14ac:dyDescent="0.2">
      <c r="A64" s="120"/>
      <c r="B64" s="58"/>
      <c r="C64" s="3"/>
      <c r="D64" s="3"/>
      <c r="E64" s="152" t="s">
        <v>58</v>
      </c>
      <c r="F64" s="152"/>
      <c r="G64" s="152"/>
      <c r="H64" s="152"/>
      <c r="I64" s="152"/>
      <c r="J64" s="152"/>
      <c r="K64" s="152"/>
      <c r="L64" s="152"/>
      <c r="M64" s="152"/>
      <c r="N64" s="98"/>
      <c r="O64" s="57"/>
    </row>
    <row r="65" spans="1:15" ht="15.75" x14ac:dyDescent="0.2">
      <c r="A65" s="120"/>
      <c r="B65" s="123"/>
      <c r="C65" s="3"/>
      <c r="D65" s="3"/>
      <c r="E65" s="152"/>
      <c r="F65" s="152"/>
      <c r="G65" s="152"/>
      <c r="H65" s="152"/>
      <c r="I65" s="152"/>
      <c r="J65" s="152"/>
      <c r="K65" s="152"/>
      <c r="L65" s="152"/>
      <c r="M65" s="152"/>
      <c r="N65" s="98"/>
      <c r="O65" s="57"/>
    </row>
    <row r="66" spans="1:15" ht="13.5" thickBot="1" x14ac:dyDescent="0.25">
      <c r="A66" s="120"/>
      <c r="B66" s="122"/>
      <c r="C66" s="119"/>
      <c r="D66" s="119"/>
      <c r="E66" s="120"/>
      <c r="F66" s="120"/>
      <c r="G66" s="120"/>
      <c r="H66" s="150"/>
      <c r="I66" s="150"/>
      <c r="J66" s="150"/>
      <c r="K66" s="150"/>
      <c r="L66" s="150"/>
      <c r="M66" s="120"/>
      <c r="N66" s="120"/>
      <c r="O66" s="119"/>
    </row>
    <row r="67" spans="1:15" ht="14.25" thickTop="1" thickBot="1" x14ac:dyDescent="0.25">
      <c r="A67" s="120"/>
      <c r="C67" s="58"/>
      <c r="D67" s="58"/>
      <c r="E67" s="58"/>
      <c r="F67" s="58"/>
      <c r="G67" s="58"/>
      <c r="H67" s="58"/>
      <c r="I67" s="58"/>
      <c r="J67" s="58"/>
      <c r="K67" s="58"/>
      <c r="L67" s="58"/>
      <c r="M67" s="58"/>
      <c r="N67" s="58"/>
      <c r="O67" s="58"/>
    </row>
    <row r="68" spans="1:15" ht="13.5" thickTop="1" x14ac:dyDescent="0.2">
      <c r="A68" s="114"/>
      <c r="C68" s="123"/>
      <c r="D68" s="123"/>
      <c r="E68" s="123"/>
      <c r="F68" s="123"/>
      <c r="G68" s="123"/>
      <c r="H68" s="123"/>
      <c r="I68" s="123"/>
      <c r="J68" s="123"/>
      <c r="K68" s="149"/>
      <c r="L68" s="149"/>
      <c r="M68" s="149"/>
      <c r="N68" s="149"/>
      <c r="O68" s="149"/>
    </row>
    <row r="69" spans="1:15" x14ac:dyDescent="0.2">
      <c r="A69" s="120"/>
      <c r="C69" s="122"/>
      <c r="D69" s="122"/>
      <c r="E69" s="122"/>
      <c r="F69" s="122"/>
      <c r="G69" s="122"/>
      <c r="H69" s="122"/>
      <c r="I69" s="122"/>
      <c r="J69" s="122"/>
      <c r="K69" s="150"/>
      <c r="L69" s="150"/>
      <c r="M69" s="150"/>
      <c r="N69" s="150"/>
      <c r="O69" s="150"/>
    </row>
    <row r="70" spans="1:15" x14ac:dyDescent="0.2">
      <c r="A70" s="120"/>
    </row>
    <row r="71" spans="1:15" x14ac:dyDescent="0.2">
      <c r="A71" s="100"/>
    </row>
    <row r="72" spans="1:15" x14ac:dyDescent="0.2">
      <c r="A72"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2:M53"/>
    <mergeCell ref="N52:N53"/>
    <mergeCell ref="M17:N19"/>
    <mergeCell ref="F26:L26"/>
    <mergeCell ref="C59:L59"/>
    <mergeCell ref="M22:N22"/>
    <mergeCell ref="H14:L15"/>
    <mergeCell ref="M9:N9"/>
    <mergeCell ref="F46:K46"/>
    <mergeCell ref="M21:N21"/>
    <mergeCell ref="M23:N23"/>
    <mergeCell ref="M24:N24"/>
    <mergeCell ref="M13:N13"/>
    <mergeCell ref="G23:H23"/>
    <mergeCell ref="E22:J22"/>
    <mergeCell ref="E21:J21"/>
    <mergeCell ref="E24:J24"/>
    <mergeCell ref="F27:K27"/>
    <mergeCell ref="K68:O69"/>
    <mergeCell ref="F63:L63"/>
    <mergeCell ref="H66:L66"/>
    <mergeCell ref="E64:M65"/>
    <mergeCell ref="E60:N6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N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0">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5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9 N52">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6"/>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49</xdr:row>
                    <xdr:rowOff>152400</xdr:rowOff>
                  </from>
                  <to>
                    <xdr:col>4</xdr:col>
                    <xdr:colOff>695325</xdr:colOff>
                    <xdr:row>50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44355</v>
      </c>
      <c r="D8" s="71" t="str">
        <f>Facture!$E$21</f>
        <v>SOCIETE MALLS OF SOUSSE IMMOBILIERE</v>
      </c>
      <c r="E8" s="68" t="str">
        <f>Facture!$E$22</f>
        <v>59 rue zi charguia 1 tunis</v>
      </c>
      <c r="F8" s="68">
        <f>Facture!$E$23</f>
        <v>0</v>
      </c>
      <c r="G8" s="71">
        <f>Facture!$G$23</f>
        <v>0</v>
      </c>
      <c r="H8" s="71" t="str">
        <f>Facture!$J$23</f>
        <v>TN</v>
      </c>
      <c r="I8" s="68" t="str">
        <f>Facture!$E$24</f>
        <v xml:space="preserve">      Fax: </v>
      </c>
      <c r="J8" s="72">
        <f>Facture!$N$52</f>
        <v>25260.134999999998</v>
      </c>
      <c r="K8" s="68" t="str">
        <f>Facture!$M$23</f>
        <v xml:space="preserve">Mme Haifa jlidi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2021-03-19T07:36:40Z</cp:lastPrinted>
  <dcterms:created xsi:type="dcterms:W3CDTF">1995-05-29T15:50:39Z</dcterms:created>
  <dcterms:modified xsi:type="dcterms:W3CDTF">2021-06-08T08:41:44Z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MALLS OF SOUSSE IMMOBILIERE</vt:lpwstr>
  </property>
  <property fmtid="{D5CDD505-2E9C-101B-9397-08002B2CF9AE}" pid="11" name="Montant de la facture" linkTarget="TOT">
    <vt:r8>25260.135</vt:r8>
  </property>
</Properties>
</file>