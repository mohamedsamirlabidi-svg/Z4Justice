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<sst xmlns="http://schemas.openxmlformats.org/spreadsheetml/2006/main" count="90" uniqueCount="74">
  <si>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</si>
  <si>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</si>
  <si>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</si>
  <si>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</si>
  <si>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</si>
  <si>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</si>
  <si>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</si>
  <si>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</si>
  <si>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</si>
  <si>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</si>
  <si>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</si>
  <si>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</si>
  <si>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</si>
  <si>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</si>
  <si>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</si>
  <si>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</si>
  <si>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</si>
  <si>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</si>
  <si>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</si>
  <si>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</si>
  <si>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</si>
  <si>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</si>
  <si>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</si>
  <si>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</si>
  <si>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</si>
  <si>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</si>
  <si>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</si>
  <si>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</si>
  <si>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</si>
  <si>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</si>
  <si>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</si>
  <si>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</si>
  <si>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</si>
  <si>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</si>
  <si>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</si>
  <si>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</si>
  <si>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</si>
  <si>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</si>
  <si>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</si>
  <si>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</si>
  <si>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</si>
  <si>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</si>
  <si>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</si>
  <si>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</si>
  <si>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</si>
  <si>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</si>
  <si>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</si>
  <si>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</si>
  <si>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</si>
  <si>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</si>
  <si>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</si>
  <si>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</si>
  <si>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</si>
  <si>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</si>
  <si>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</si>
  <si>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</si>
  <si>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</si>
  <si>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</si>
  <si>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</si>
  <si>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</si>
  <si>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</si>
  <si>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</si>
  <si>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</si>
  <si>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</si>
  <si>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</si>
  <si>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Chèque 30 jours date de réception de facture </t>
  </si>
  <si>
    <t xml:space="preserve">1000V </t>
  </si>
  <si>
    <t>CATEGORIES : AZC</t>
  </si>
  <si>
    <t>EN60903</t>
  </si>
  <si>
    <t>GEL36-0/09</t>
  </si>
  <si>
    <t>Gants isolants electriques classe 00</t>
  </si>
  <si>
    <t xml:space="preserve"> Mme Najoua chaabani
Najoua chaabani</t>
  </si>
  <si>
    <t>OFFRE DE PRIX  N°2021-9150</t>
  </si>
  <si>
    <t xml:space="preserve">ARRETE LA PRESENTE FACTURE A LA SOMME DE:TROIS CENT QUARANTE CINQ  DINARS ET 700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</si>
</sst>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1"/>
      <name val="Calibri"/>
      <family val="2"/>
    </font>
    <font>
      <b/>
      <sz val="14"/>
      <color rgb="FFFF0000"/>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4" fillId="3" borderId="0" xfId="0"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32" fillId="6" borderId="0" xfId="0" applyFont="1" applyFill="1" applyAlignment="1">
      <alignment vertical="center"/>
    </xf>
    <xf numFmtId="0" fontId="19" fillId="6" borderId="32" xfId="0" applyFont="1" applyFill="1" applyBorder="1"/>
    <xf numFmtId="0" fontId="33" fillId="6" borderId="0" xfId="0" applyFont="1" applyFill="1" applyAlignment="1">
      <alignment vertic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201028</xdr:colOff>
      <xdr:row>19</xdr:row>
      <xdr:rowOff>76702</xdr:rowOff>
    </xdr:from>
    <xdr:to>
      <xdr:col>14</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J51" sqref="J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72</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139"/>
      <c r="N20" s="3"/>
      <c r="O20" s="3"/>
      <c r="P20" s="8"/>
    </row>
    <row r="21" spans="1:16" ht="18" x14ac:dyDescent="0.25">
      <c r="B21" s="7"/>
      <c r="C21" s="3"/>
      <c r="D21" s="82" t="s">
        <v>3</v>
      </c>
      <c r="E21" s="169" t="s">
        <v>61</v>
      </c>
      <c r="F21" s="170"/>
      <c r="G21" s="170"/>
      <c r="H21" s="170"/>
      <c r="I21" s="170"/>
      <c r="J21" s="170"/>
      <c r="K21" s="82"/>
      <c r="L21" s="140" t="s">
        <v>18</v>
      </c>
      <c r="M21" s="159">
        <v>44459</v>
      </c>
      <c r="N21" s="160"/>
      <c r="O21" s="55"/>
      <c r="P21" s="8"/>
    </row>
    <row r="22" spans="1:16" ht="14.25" x14ac:dyDescent="0.2">
      <c r="B22" s="7"/>
      <c r="C22" s="3"/>
      <c r="D22" s="82" t="s">
        <v>5</v>
      </c>
      <c r="E22" s="167" t="s">
        <v>62</v>
      </c>
      <c r="F22" s="168"/>
      <c r="G22" s="168"/>
      <c r="H22" s="168"/>
      <c r="I22" s="168"/>
      <c r="J22" s="168"/>
      <c r="K22" s="82"/>
      <c r="L22" s="126"/>
      <c r="M22" s="188"/>
      <c r="N22" s="189"/>
      <c r="O22" s="56"/>
      <c r="P22" s="8"/>
    </row>
    <row r="23" spans="1:16" x14ac:dyDescent="0.2">
      <c r="B23" s="7"/>
      <c r="C23" s="3"/>
      <c r="D23" s="82" t="s">
        <v>7</v>
      </c>
      <c r="E23" s="89"/>
      <c r="F23" s="90" t="s">
        <v>8</v>
      </c>
      <c r="G23" s="165"/>
      <c r="H23" s="166"/>
      <c r="I23" s="91" t="s">
        <v>9</v>
      </c>
      <c r="J23" s="88" t="s">
        <v>51</v>
      </c>
      <c r="K23" s="82"/>
      <c r="L23" s="84" t="s">
        <v>19</v>
      </c>
      <c r="M23" s="193" t="s">
        <v>71</v>
      </c>
      <c r="N23" s="194"/>
      <c r="O23" s="3"/>
      <c r="P23" s="8"/>
    </row>
    <row r="24" spans="1:16" x14ac:dyDescent="0.2">
      <c r="B24" s="7"/>
      <c r="C24" s="3"/>
      <c r="D24" s="82" t="s">
        <v>20</v>
      </c>
      <c r="E24" s="171" t="s">
        <v>63</v>
      </c>
      <c r="F24" s="172"/>
      <c r="G24" s="172"/>
      <c r="H24" s="172"/>
      <c r="I24" s="172"/>
      <c r="J24" s="172"/>
      <c r="K24" s="82"/>
      <c r="L24" s="140" t="s">
        <v>47</v>
      </c>
      <c r="M24" s="162" t="s">
        <v>64</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3" t="s">
        <v>23</v>
      </c>
      <c r="O26" s="57"/>
      <c r="P26" s="8"/>
    </row>
    <row r="27" spans="1:16" ht="15.75" x14ac:dyDescent="0.25">
      <c r="B27" s="7"/>
      <c r="C27" s="3"/>
      <c r="D27" s="93"/>
      <c r="E27" s="75"/>
      <c r="F27" s="173"/>
      <c r="G27" s="174"/>
      <c r="H27" s="174"/>
      <c r="I27" s="174"/>
      <c r="J27" s="174"/>
      <c r="K27" s="174"/>
      <c r="L27" s="131"/>
      <c r="M27" s="130"/>
      <c r="N27" s="96" t="str">
        <f t="shared" ref="N27:N29" si="0">IF(E27&lt;&gt;"",E27*M27,"")</f>
        <v/>
      </c>
      <c r="O27" s="57"/>
      <c r="P27" s="8"/>
    </row>
    <row r="28" spans="1:16" ht="18.75" x14ac:dyDescent="0.3">
      <c r="B28" s="7"/>
      <c r="C28" s="3"/>
      <c r="D28" s="93"/>
      <c r="E28" s="75"/>
      <c r="F28" s="137"/>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8" x14ac:dyDescent="0.25">
      <c r="B30" s="7"/>
      <c r="C30" s="3"/>
      <c r="D30" s="108" t="s">
        <v>69</v>
      </c>
      <c r="E30" s="75">
        <v>1</v>
      </c>
      <c r="F30" s="191" t="s">
        <v>70</v>
      </c>
      <c r="G30" s="109"/>
      <c r="H30" s="81"/>
      <c r="I30" s="109"/>
      <c r="J30" s="109"/>
      <c r="K30" s="81"/>
      <c r="L30" s="132"/>
      <c r="M30" s="116">
        <v>290</v>
      </c>
      <c r="N30" s="96">
        <f>IF(E30&lt;&gt;"",E30*M30,"")</f>
        <v>290</v>
      </c>
      <c r="O30" s="57"/>
      <c r="P30" s="8"/>
    </row>
    <row r="31" spans="1:16" ht="15" x14ac:dyDescent="0.2">
      <c r="A31" s="99" t="s">
        <v>55</v>
      </c>
      <c r="B31" s="7"/>
      <c r="C31" s="3"/>
      <c r="D31" s="108"/>
      <c r="E31" s="75"/>
      <c r="F31" s="115" t="s">
        <v>66</v>
      </c>
      <c r="G31" s="109"/>
      <c r="H31" s="81"/>
      <c r="I31" s="109"/>
      <c r="J31" s="109"/>
      <c r="K31" s="81"/>
      <c r="L31" s="132"/>
      <c r="M31" s="116"/>
      <c r="N31" s="96" t="str">
        <f t="shared" ref="N31:N33" si="1">IF(E31&lt;&gt;"",E31*M31,"")</f>
        <v/>
      </c>
      <c r="O31" s="57"/>
      <c r="P31" s="8"/>
    </row>
    <row r="32" spans="1:16" ht="15" x14ac:dyDescent="0.2">
      <c r="A32" s="99"/>
      <c r="B32" s="7"/>
      <c r="C32" s="3"/>
      <c r="D32" s="108"/>
      <c r="E32" s="75"/>
      <c r="F32" s="190" t="s">
        <v>67</v>
      </c>
      <c r="G32" s="109"/>
      <c r="H32" s="81"/>
      <c r="I32" s="109"/>
      <c r="J32" s="109"/>
      <c r="K32" s="81"/>
      <c r="L32" s="132"/>
      <c r="M32" s="116"/>
      <c r="N32" s="96" t="str">
        <f t="shared" si="1"/>
        <v/>
      </c>
      <c r="O32" s="57"/>
      <c r="P32" s="8"/>
    </row>
    <row r="33" spans="2:16" ht="18.75" x14ac:dyDescent="0.2">
      <c r="B33" s="7"/>
      <c r="C33" s="3"/>
      <c r="D33" s="108"/>
      <c r="E33" s="75"/>
      <c r="F33" s="192" t="s">
        <v>68</v>
      </c>
      <c r="G33" s="109"/>
      <c r="H33" s="81"/>
      <c r="I33" s="109"/>
      <c r="J33" s="109"/>
      <c r="K33" s="81"/>
      <c r="L33" s="132"/>
      <c r="M33" s="116"/>
      <c r="N33" s="96" t="str">
        <f t="shared" si="1"/>
        <v/>
      </c>
      <c r="O33" s="57"/>
      <c r="P33" s="8"/>
    </row>
    <row r="34" spans="2:16" ht="15" x14ac:dyDescent="0.2">
      <c r="B34" s="7"/>
      <c r="C34" s="3"/>
      <c r="D34" s="108"/>
      <c r="E34" s="75"/>
      <c r="F34" s="81"/>
      <c r="G34" s="136"/>
      <c r="H34" s="81"/>
      <c r="I34" s="109"/>
      <c r="J34" s="81"/>
      <c r="K34" s="81"/>
      <c r="L34" s="132"/>
      <c r="M34" s="116"/>
      <c r="N34" s="96" t="str">
        <f>IF(E34&lt;&gt;"",E34*M34,"")</f>
        <v/>
      </c>
      <c r="O34" s="57"/>
      <c r="P34" s="8"/>
    </row>
    <row r="35" spans="2:16" ht="18" x14ac:dyDescent="0.25">
      <c r="B35" s="7"/>
      <c r="C35" s="3"/>
      <c r="D35" s="108"/>
      <c r="E35" s="75"/>
      <c r="F35" s="124"/>
      <c r="G35" s="125"/>
      <c r="H35" s="81"/>
      <c r="I35" s="109"/>
      <c r="J35" s="81"/>
      <c r="K35" s="81"/>
      <c r="L35" s="109"/>
      <c r="M35" s="96"/>
      <c r="N35" s="96" t="str">
        <f t="shared" ref="N35:N37" si="2">IF(E35&lt;&gt;"",E35*M35,"")</f>
        <v/>
      </c>
      <c r="O35" s="57"/>
      <c r="P35" s="8"/>
    </row>
    <row r="36" spans="2:16" ht="18" x14ac:dyDescent="0.25">
      <c r="B36" s="7"/>
      <c r="C36" s="3"/>
      <c r="D36" s="108"/>
      <c r="E36" s="75"/>
      <c r="F36" s="138"/>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290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55.1</v>
      </c>
      <c r="O49" s="57"/>
      <c r="P49" s="8"/>
    </row>
    <row r="50" spans="1:16" ht="15.75" x14ac:dyDescent="0.25">
      <c r="B50" s="7"/>
      <c r="C50" s="3"/>
      <c r="D50" s="3"/>
      <c r="E50" s="85"/>
      <c r="F50" s="133" t="s">
        <v>65</v>
      </c>
      <c r="G50" s="87"/>
      <c r="H50" s="85"/>
      <c r="I50" s="82"/>
      <c r="J50" s="79"/>
      <c r="K50" s="76"/>
      <c r="L50" s="76"/>
      <c r="M50" s="175" t="s">
        <v>27</v>
      </c>
      <c r="N50" s="176">
        <f>+N47+N48+N49</f>
        <v>345.70000000000005</v>
      </c>
      <c r="O50" s="57"/>
      <c r="P50" s="8"/>
    </row>
    <row r="51" spans="1:16" ht="15" x14ac:dyDescent="0.2">
      <c r="B51" s="7"/>
      <c r="C51" s="3"/>
      <c r="D51" s="3"/>
      <c r="E51" s="85">
        <v>2</v>
      </c>
      <c r="F51" s="107" t="s">
        <v>57</v>
      </c>
      <c r="G51" s="82"/>
      <c r="H51" s="86"/>
      <c r="I51" s="82"/>
      <c r="J51" s="80" t="s">
        <v>26</v>
      </c>
      <c r="K51" s="76"/>
      <c r="L51" s="76"/>
      <c r="M51" s="175"/>
      <c r="N51" s="177"/>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73</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60</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7"/>
      <c r="D57" s="187"/>
      <c r="E57" s="187"/>
      <c r="F57" s="187"/>
      <c r="G57" s="187"/>
      <c r="H57" s="187"/>
      <c r="I57" s="187"/>
      <c r="J57" s="187"/>
      <c r="K57" s="187"/>
      <c r="L57" s="187"/>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44459</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345.70000000000005</v>
      </c>
      <c r="K8" s="68" t="str">
        <f>Facture!$M$23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2021-09-20T15:01:25Z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345.7</vt:r8>
  </property>
</Properties>
</file>