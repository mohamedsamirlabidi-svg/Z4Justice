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50" i="3" l="1"/>
  <c r="M30" i="3" l="1"/>
  <c r="M34" i="3"/>
  <c r="M33" i="3"/>
  <c r="M28" i="3"/>
  <c r="M29" i="3"/>
  <c r="M31" i="3"/>
  <c r="M35" i="3"/>
  <c r="M37" i="3"/>
  <c r="M38" i="3"/>
  <c r="M40" i="3"/>
  <c r="M41" i="3"/>
  <c r="M42" i="3"/>
  <c r="M43" i="3" l="1"/>
  <c r="M44" i="3"/>
  <c r="M45" i="3"/>
  <c r="M46" i="3"/>
  <c r="M47" i="3"/>
  <c r="M48"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<sst xmlns="http://schemas.openxmlformats.org/spreadsheetml/2006/main" count="87" uniqueCount="77">
  <si>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</si>
  <si>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</si>
  <si>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</si>
  <si>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</si>
  <si>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</si>
  <si>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</si>
  <si>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</si>
  <si>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</si>
  <si>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</si>
  <si>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</si>
  <si>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</si>
  <si>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</si>
  <si>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</si>
  <si>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</si>
  <si>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</si>
  <si>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</si>
  <si>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</si>
  <si>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</si>
  <si>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</si>
  <si>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</si>
  <si>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</si>
  <si>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</si>
  <si>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</si>
  <si>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</si>
  <si>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</si>
  <si>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</si>
  <si>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</si>
  <si>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</si>
  <si>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</si>
  <si>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</si>
  <si>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</si>
  <si>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</si>
  <si>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</si>
  <si>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</si>
  <si>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</si>
  <si>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</si>
  <si>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</si>
  <si>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</si>
  <si>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</si>
  <si>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</si>
  <si>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</si>
  <si>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</si>
  <si>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</si>
  <si>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</si>
  <si>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</si>
  <si>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</si>
  <si>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</si>
  <si>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</si>
  <si>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</si>
  <si>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</si>
  <si>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</si>
  <si>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</si>
  <si>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</si>
  <si>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</si>
  <si>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</si>
  <si>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</si>
  <si>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</si>
  <si>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</si>
  <si>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</si>
  <si>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</si>
  <si>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</si>
  <si>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</si>
  <si>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</si>
  <si>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</si>
  <si>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</si>
  <si>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</si>
  <si>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</si>
  <si>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</si>
  <si>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</si>
  <si>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</si>
  <si>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Date : 05/02/2021</t>
  </si>
  <si>
    <t>10/02/2021</t>
  </si>
  <si>
    <t>JUMELLE KONUS TARNADO</t>
  </si>
  <si>
    <t>7*50</t>
  </si>
  <si>
    <t>JKT-7*50</t>
  </si>
  <si>
    <t>DEVIS N°2021-0983</t>
  </si>
  <si>
    <t xml:space="preserve">ARRETE LE PRESENTE LA DEVIS A LA SOMME DE CINQ MILLES CINQ CENT SOIXANTE NEUF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</si>
</sst>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4" zoomScale="60" zoomScaleNormal="60" workbookViewId="0">
      <selection activeCell="D55" sqref="D5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2" t="s">
        <v>75</v>
      </c>
      <c r="M18" s="3"/>
      <c r="N18" s="3"/>
      <c r="O18" s="9"/>
    </row>
    <row r="19" spans="2:15" ht="21.95" customHeight="1" thickTop="1" x14ac:dyDescent="0.3">
      <c r="B19" s="7"/>
      <c r="C19" s="3"/>
      <c r="D19" s="55"/>
      <c r="E19" s="55"/>
      <c r="F19" s="55"/>
      <c r="G19" s="55"/>
      <c r="H19" s="55"/>
      <c r="I19" s="55"/>
      <c r="J19" s="56"/>
      <c r="K19" s="56"/>
      <c r="L19" s="163"/>
      <c r="M19" s="56"/>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7" t="s">
        <v>64</v>
      </c>
      <c r="F22" s="167"/>
      <c r="G22" s="167"/>
      <c r="H22" s="167"/>
      <c r="I22" s="167"/>
      <c r="J22" s="167"/>
      <c r="K22" s="96"/>
      <c r="L22" s="165" t="s">
        <v>70</v>
      </c>
      <c r="M22" s="165"/>
      <c r="N22" s="52"/>
      <c r="O22" s="9"/>
    </row>
    <row r="23" spans="2:15" ht="33.75" x14ac:dyDescent="0.5">
      <c r="B23" s="7"/>
      <c r="C23" s="3"/>
      <c r="D23" s="95" t="s">
        <v>54</v>
      </c>
      <c r="E23" s="171" t="s">
        <v>65</v>
      </c>
      <c r="F23" s="171"/>
      <c r="G23" s="171"/>
      <c r="H23" s="171"/>
      <c r="I23" s="171"/>
      <c r="J23" s="171"/>
      <c r="K23" s="171"/>
      <c r="L23" s="97" t="s">
        <v>68</v>
      </c>
      <c r="M23" s="97" t="s">
        <v>71</v>
      </c>
      <c r="N23" s="53"/>
      <c r="O23" s="9"/>
    </row>
    <row r="24" spans="2:15" ht="33.75" x14ac:dyDescent="0.5">
      <c r="B24" s="7"/>
      <c r="C24" s="3"/>
      <c r="D24" s="95" t="s">
        <v>55</v>
      </c>
      <c r="E24" s="109">
        <v>1080</v>
      </c>
      <c r="F24" s="98" t="s">
        <v>8</v>
      </c>
      <c r="G24" s="172"/>
      <c r="H24" s="172"/>
      <c r="I24" s="99" t="s">
        <v>9</v>
      </c>
      <c r="J24" s="100" t="s">
        <v>59</v>
      </c>
      <c r="K24" s="96"/>
      <c r="L24" s="166" t="s">
        <v>69</v>
      </c>
      <c r="M24" s="166"/>
      <c r="N24" s="3"/>
      <c r="O24" s="9"/>
    </row>
    <row r="25" spans="2:15" ht="33.75" x14ac:dyDescent="0.5">
      <c r="B25" s="7"/>
      <c r="C25" s="3"/>
      <c r="D25" s="95" t="s">
        <v>56</v>
      </c>
      <c r="E25" s="168" t="s">
        <v>66</v>
      </c>
      <c r="F25" s="168"/>
      <c r="G25" s="168"/>
      <c r="H25" s="168"/>
      <c r="I25" s="168"/>
      <c r="J25" s="168"/>
      <c r="K25" s="96"/>
      <c r="L25" s="166" t="s">
        <v>67</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3" t="s">
        <v>23</v>
      </c>
      <c r="G27" s="174"/>
      <c r="H27" s="174"/>
      <c r="I27" s="174"/>
      <c r="J27" s="174"/>
      <c r="K27" s="175"/>
      <c r="L27" s="85" t="s">
        <v>24</v>
      </c>
      <c r="M27" s="86" t="s">
        <v>25</v>
      </c>
      <c r="N27" s="87"/>
      <c r="O27" s="9"/>
    </row>
    <row r="28" spans="2:15" ht="30" x14ac:dyDescent="0.4">
      <c r="B28" s="7"/>
      <c r="C28" s="3"/>
      <c r="D28" s="143" t="s">
        <v>74</v>
      </c>
      <c r="E28" s="145">
        <v>6</v>
      </c>
      <c r="F28" s="114" t="s">
        <v>72</v>
      </c>
      <c r="G28" s="135"/>
      <c r="H28" s="135"/>
      <c r="I28" s="137"/>
      <c r="J28" s="137"/>
      <c r="K28" s="138"/>
      <c r="L28" s="104">
        <v>780</v>
      </c>
      <c r="M28" s="110">
        <f t="shared" ref="M28:M34" si="0">IF(E28&lt;&gt;"",E28*L28,"")</f>
        <v>4680</v>
      </c>
      <c r="N28" s="87"/>
      <c r="O28" s="9"/>
    </row>
    <row r="29" spans="2:15" ht="30" x14ac:dyDescent="0.4">
      <c r="B29" s="7"/>
      <c r="C29" s="3"/>
      <c r="D29" s="143"/>
      <c r="E29" s="145"/>
      <c r="F29" s="151" t="s">
        <v>73</v>
      </c>
      <c r="G29" s="135"/>
      <c r="H29" s="135"/>
      <c r="I29" s="137"/>
      <c r="J29" s="137"/>
      <c r="K29" s="138"/>
      <c r="L29" s="104"/>
      <c r="M29" s="110" t="str">
        <f t="shared" si="0"/>
        <v/>
      </c>
      <c r="N29" s="87"/>
      <c r="O29" s="9"/>
    </row>
    <row r="30" spans="2:15" ht="30" x14ac:dyDescent="0.4">
      <c r="B30" s="7"/>
      <c r="C30" s="3"/>
      <c r="D30" s="143"/>
      <c r="E30" s="145"/>
      <c r="F30" s="151"/>
      <c r="G30" s="135"/>
      <c r="H30" s="135"/>
      <c r="I30" s="137"/>
      <c r="J30" s="137"/>
      <c r="K30" s="138"/>
      <c r="L30" s="104"/>
      <c r="M30" s="110" t="str">
        <f t="shared" si="0"/>
        <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4680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889.2</v>
      </c>
      <c r="N50" s="54"/>
      <c r="O50" s="9"/>
    </row>
    <row r="51" spans="1:16" ht="35.25" x14ac:dyDescent="0.5">
      <c r="B51" s="7"/>
      <c r="C51" s="3"/>
      <c r="D51" s="76"/>
      <c r="E51" s="82"/>
      <c r="F51" s="93"/>
      <c r="G51" s="77"/>
      <c r="H51" s="64"/>
      <c r="I51" s="77"/>
      <c r="J51" s="80" t="s">
        <v>27</v>
      </c>
      <c r="K51" s="78"/>
      <c r="L51" s="150" t="s">
        <v>28</v>
      </c>
      <c r="M51" s="101">
        <f>+M48+M49+M50</f>
        <v>5569.8</v>
      </c>
      <c r="N51" s="54"/>
      <c r="O51" s="9"/>
    </row>
    <row r="52" spans="1:16" ht="15.75" x14ac:dyDescent="0.25">
      <c r="B52" s="7"/>
      <c r="C52" s="3"/>
      <c r="D52" s="176"/>
      <c r="E52" s="177"/>
      <c r="F52" s="177"/>
      <c r="G52" s="177"/>
      <c r="H52" s="177"/>
      <c r="I52" s="177"/>
      <c r="J52" s="177"/>
      <c r="K52" s="177"/>
      <c r="L52" s="177"/>
      <c r="M52" s="115"/>
      <c r="N52" s="54"/>
      <c r="O52" s="9"/>
    </row>
    <row r="53" spans="1:16" ht="26.25" x14ac:dyDescent="0.4">
      <c r="B53" s="7"/>
      <c r="C53" s="3"/>
      <c r="D53" s="177"/>
      <c r="E53" s="177"/>
      <c r="F53" s="177"/>
      <c r="G53" s="177"/>
      <c r="H53" s="177"/>
      <c r="I53" s="177"/>
      <c r="J53" s="177"/>
      <c r="K53" s="177"/>
      <c r="L53" s="177"/>
      <c r="M53" s="123"/>
      <c r="N53" s="54"/>
      <c r="O53" s="9"/>
    </row>
    <row r="54" spans="1:16" ht="26.25" x14ac:dyDescent="0.4">
      <c r="B54" s="7"/>
      <c r="C54" s="3"/>
      <c r="D54" s="154" t="s">
        <v>76</v>
      </c>
      <c r="E54" s="115"/>
      <c r="F54" s="123"/>
      <c r="G54" s="129"/>
      <c r="H54" s="129"/>
      <c r="I54" s="129"/>
      <c r="J54" s="78"/>
      <c r="K54" s="113"/>
      <c r="L54" s="153" t="s">
        <v>63</v>
      </c>
      <c r="M54" s="153"/>
      <c r="N54" s="107"/>
      <c r="O54" s="9"/>
    </row>
    <row r="55" spans="1:16" ht="23.25" x14ac:dyDescent="0.25">
      <c r="B55" s="7"/>
      <c r="C55" s="3"/>
      <c r="D55" s="115"/>
      <c r="E55" s="115"/>
      <c r="F55" s="130"/>
      <c r="G55" s="170"/>
      <c r="H55" s="170"/>
      <c r="I55" s="170"/>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9" t="s">
        <v>52</v>
      </c>
      <c r="E58" s="169"/>
      <c r="F58" s="169"/>
      <c r="G58" s="169"/>
      <c r="H58" s="169"/>
      <c r="I58" s="169"/>
      <c r="J58" s="169"/>
      <c r="K58" s="169"/>
      <c r="L58" s="169"/>
      <c r="M58" s="83"/>
      <c r="N58" s="87"/>
      <c r="O58" s="9"/>
    </row>
    <row r="59" spans="1:16" ht="15" customHeight="1" x14ac:dyDescent="0.2">
      <c r="B59" s="7"/>
      <c r="C59" s="3"/>
      <c r="D59" s="169"/>
      <c r="E59" s="169"/>
      <c r="F59" s="169"/>
      <c r="G59" s="169"/>
      <c r="H59" s="169"/>
      <c r="I59" s="169"/>
      <c r="J59" s="169"/>
      <c r="K59" s="169"/>
      <c r="L59" s="169"/>
      <c r="M59" s="84"/>
      <c r="N59" s="54"/>
      <c r="O59" s="9"/>
    </row>
    <row r="60" spans="1:16" ht="20.100000000000001" customHeight="1" x14ac:dyDescent="0.2">
      <c r="B60" s="7"/>
      <c r="C60" s="3"/>
      <c r="D60" s="169"/>
      <c r="E60" s="169"/>
      <c r="F60" s="169"/>
      <c r="G60" s="169"/>
      <c r="H60" s="169"/>
      <c r="I60" s="169"/>
      <c r="J60" s="169"/>
      <c r="K60" s="169"/>
      <c r="L60" s="169"/>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05/02/2021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5569.8</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2021-02-05T13:30:15Z</cp:lastPrinted>
  <dcterms:created xsi:type="dcterms:W3CDTF">1995-05-29T15:50:39Z</dcterms:created>
  <dcterms:modified xsi:type="dcterms:W3CDTF">2021-02-10T09:27:02Z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5569.8</vt:r8>
  </property>
</Properties>
</file>