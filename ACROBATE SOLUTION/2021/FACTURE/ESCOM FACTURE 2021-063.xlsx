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<sst xmlns="http://schemas.openxmlformats.org/spreadsheetml/2006/main" count="90" uniqueCount="80">
  <si>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</si>
  <si>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</si>
  <si>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</si>
  <si>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</si>
  <si>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</si>
  <si>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</si>
  <si>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</si>
  <si>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</si>
  <si>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</si>
  <si>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</si>
  <si>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</si>
  <si>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</si>
  <si>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</si>
  <si>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</si>
  <si>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</si>
  <si>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</si>
  <si>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</si>
  <si>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</si>
  <si>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</si>
  <si>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</si>
  <si>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</si>
  <si>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</si>
  <si>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</si>
  <si>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</si>
  <si>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</si>
  <si>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</si>
  <si>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</si>
  <si>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</si>
  <si>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</si>
  <si>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</si>
  <si>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</si>
  <si>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</si>
  <si>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</si>
  <si>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</si>
  <si>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</si>
  <si>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</si>
  <si>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</si>
  <si>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</si>
  <si>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</si>
  <si>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</si>
  <si>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</si>
  <si>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</si>
  <si>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</si>
  <si>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</si>
  <si>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</si>
  <si>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</si>
  <si>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</si>
  <si>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</si>
  <si>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</si>
  <si>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</si>
  <si>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</si>
  <si>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</si>
  <si>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</si>
  <si>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</si>
  <si>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</si>
  <si>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</si>
  <si>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</si>
  <si>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</si>
  <si>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</si>
  <si>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</si>
  <si>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</si>
  <si>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</si>
  <si>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</si>
  <si>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</si>
  <si>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</si>
  <si>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</si>
  <si>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</si>
  <si>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</si>
  <si>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</si>
  <si>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</si>
  <si>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</si>
  <si>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</si>
  <si>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</si>
  <si>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SECUROP 13</t>
  </si>
  <si>
    <t>LONGUEUR  13M</t>
  </si>
  <si>
    <t xml:space="preserve">ARRETE LA PRESENTE FACTURE A LA SOMME DE: MILLE SEPT CENT TRENTE DEUX   DINARS ET 50 MILLIMES </t>
  </si>
  <si>
    <t>FACTURE                                                                      N° 2021-063</t>
  </si>
  <si>
    <t>Date :14/07/2021</t>
  </si>
  <si>
    <t>Commande N°: 210407</t>
  </si>
  <si>
    <t>TUN_1765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</si>
</sst>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71" fontId="30" fillId="0" borderId="2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5" t="s">
        <v>76</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0" t="s">
        <v>68</v>
      </c>
      <c r="F22" s="190"/>
      <c r="G22" s="190"/>
      <c r="H22" s="190"/>
      <c r="I22" s="190"/>
      <c r="J22" s="190"/>
      <c r="K22" s="104"/>
      <c r="L22" s="188" t="s">
        <v>77</v>
      </c>
      <c r="M22" s="188"/>
      <c r="N22" s="52"/>
      <c r="O22" s="9"/>
    </row>
    <row r="23" spans="2:15" ht="33.75" x14ac:dyDescent="0.5">
      <c r="B23" s="7"/>
      <c r="C23" s="3"/>
      <c r="D23" s="103" t="s">
        <v>52</v>
      </c>
      <c r="E23" s="195" t="s">
        <v>70</v>
      </c>
      <c r="F23" s="195"/>
      <c r="G23" s="195"/>
      <c r="H23" s="195"/>
      <c r="I23" s="195"/>
      <c r="J23" s="195"/>
      <c r="K23" s="195"/>
      <c r="L23" s="105" t="s">
        <v>78</v>
      </c>
      <c r="M23" s="105"/>
      <c r="N23" s="53"/>
      <c r="O23" s="9"/>
    </row>
    <row r="24" spans="2:15" ht="33.75" x14ac:dyDescent="0.5">
      <c r="B24" s="7"/>
      <c r="C24" s="3"/>
      <c r="D24" s="103" t="s">
        <v>53</v>
      </c>
      <c r="E24" s="116">
        <v>2045</v>
      </c>
      <c r="F24" s="106" t="s">
        <v>8</v>
      </c>
      <c r="G24" s="196" t="s">
        <v>71</v>
      </c>
      <c r="H24" s="196"/>
      <c r="I24" s="107" t="s">
        <v>9</v>
      </c>
      <c r="J24" s="108" t="s">
        <v>57</v>
      </c>
      <c r="K24" s="104"/>
      <c r="L24" s="189" t="s">
        <v>67</v>
      </c>
      <c r="M24" s="189"/>
      <c r="N24" s="3"/>
      <c r="O24" s="9"/>
    </row>
    <row r="25" spans="2:15" ht="33.75" x14ac:dyDescent="0.5">
      <c r="B25" s="7"/>
      <c r="C25" s="3"/>
      <c r="D25" s="103" t="s">
        <v>54</v>
      </c>
      <c r="E25" s="191" t="s">
        <v>69</v>
      </c>
      <c r="F25" s="192"/>
      <c r="G25" s="192"/>
      <c r="H25" s="192"/>
      <c r="I25" s="192"/>
      <c r="J25" s="192"/>
      <c r="K25" s="104"/>
      <c r="L25" s="189" t="s">
        <v>72</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64</v>
      </c>
      <c r="M27" s="91" t="s">
        <v>24</v>
      </c>
      <c r="N27" s="92"/>
      <c r="O27" s="9"/>
    </row>
    <row r="28" spans="2:15" ht="30" x14ac:dyDescent="0.4">
      <c r="B28" s="7"/>
      <c r="C28" s="3"/>
      <c r="D28" s="154"/>
      <c r="E28" s="152"/>
      <c r="F28" s="163" t="s">
        <v>62</v>
      </c>
      <c r="G28" s="164"/>
      <c r="H28" s="164"/>
      <c r="I28" s="164"/>
      <c r="J28" s="155"/>
      <c r="K28" s="156"/>
      <c r="L28" s="112"/>
      <c r="M28" s="112" t="str">
        <f>IF(E28&lt;&gt;"",E28*L28,"")</f>
        <v/>
      </c>
      <c r="N28" s="54"/>
      <c r="O28" s="9"/>
    </row>
    <row r="29" spans="2:15" ht="30" x14ac:dyDescent="0.4">
      <c r="B29" s="7"/>
      <c r="C29" s="3"/>
      <c r="D29" s="161"/>
      <c r="E29" s="152"/>
      <c r="F29" s="165" t="s">
        <v>63</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73</v>
      </c>
      <c r="E33" s="160">
        <v>1</v>
      </c>
      <c r="F33" s="121" t="s">
        <v>74</v>
      </c>
      <c r="G33" s="144"/>
      <c r="H33" s="144"/>
      <c r="I33" s="144"/>
      <c r="J33" s="171"/>
      <c r="K33" s="174"/>
      <c r="L33" s="202">
        <v>1455</v>
      </c>
      <c r="M33" s="202">
        <v>1455</v>
      </c>
      <c r="N33" s="95"/>
      <c r="O33" s="9"/>
    </row>
    <row r="34" spans="2:15" ht="30" x14ac:dyDescent="0.4">
      <c r="B34" s="7"/>
      <c r="C34" s="3"/>
      <c r="D34" s="161"/>
      <c r="E34" s="160"/>
      <c r="F34" s="121" t="s">
        <v>79</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66</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1455</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c r="G46" s="77"/>
      <c r="H46" s="77"/>
      <c r="I46" s="77"/>
      <c r="J46" s="80"/>
      <c r="K46" s="94"/>
      <c r="L46" s="130">
        <v>0.19</v>
      </c>
      <c r="M46" s="109">
        <f>(M44)*0.19</f>
        <v>276.45</v>
      </c>
      <c r="N46" s="54"/>
      <c r="O46" s="9"/>
    </row>
    <row r="47" spans="2:15" ht="35.25" x14ac:dyDescent="0.5">
      <c r="B47" s="7"/>
      <c r="C47" s="3"/>
      <c r="D47" s="85"/>
      <c r="E47" s="101"/>
      <c r="F47" s="97"/>
      <c r="G47" s="82"/>
      <c r="H47" s="81"/>
      <c r="I47" s="77"/>
      <c r="J47" s="83"/>
      <c r="K47" s="93"/>
      <c r="L47" s="110" t="s">
        <v>27</v>
      </c>
      <c r="M47" s="109">
        <f>+M44+M45+M46</f>
        <v>1732.05</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200" t="s">
        <v>75</v>
      </c>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94"/>
      <c r="H53" s="194"/>
      <c r="I53" s="194"/>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65</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34: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:14/07/2021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1732.05</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2021-05-07T08:20:39Z</cp:lastPrinted>
  <dcterms:created xsi:type="dcterms:W3CDTF">1995-05-29T15:50:39Z</dcterms:created>
  <dcterms:modified xsi:type="dcterms:W3CDTF">2021-07-14T08:39:42Z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1732.05</vt:r8>
  </property>
</Properties>
</file>