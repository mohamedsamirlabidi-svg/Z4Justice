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Facture!$K$65:$N$65</definedName>
    <definedName name="qzqzqz3">Facture!$E$22:$J$22</definedName>
    <definedName name="qzqzqz30">Facture!$G$58:$I$58</definedName>
    <definedName name="qzqzqz31">Facture!$G$58:$H$58</definedName>
    <definedName name="qzqzqz32">Facture!$K$58:$N$65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0" i="3" l="1"/>
  <c r="N45" i="3"/>
  <c r="N47" i="3"/>
  <c r="N49" i="3" s="1"/>
  <c r="N50" i="3" l="1"/>
  <c r="N35" i="3"/>
  <c r="N36" i="3"/>
  <c r="N37" i="3"/>
  <c r="N32" i="3" l="1"/>
  <c r="N33" i="3"/>
  <c r="N34" i="3"/>
  <c r="N29" i="3" l="1"/>
  <c r="N28" i="3"/>
  <c r="N27" i="3"/>
  <c r="N31"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<sst xmlns="http://schemas.openxmlformats.org/spreadsheetml/2006/main" count="95" uniqueCount="79">
  <si>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</si>
  <si>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</si>
  <si>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</si>
  <si>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</si>
  <si>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</si>
  <si>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</si>
  <si>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</si>
  <si>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</si>
  <si>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</si>
  <si>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</si>
  <si>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</si>
  <si>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</si>
  <si>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</si>
  <si>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</si>
  <si>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</si>
  <si>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</si>
  <si>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</si>
  <si>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</si>
  <si>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</si>
  <si>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</si>
  <si>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</si>
  <si>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</si>
  <si>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</si>
  <si>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</si>
  <si>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</si>
  <si>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</si>
  <si>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</si>
  <si>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</si>
  <si>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</si>
  <si>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</si>
  <si>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</si>
  <si>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</si>
  <si>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</si>
  <si>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</si>
  <si>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</si>
  <si>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</si>
  <si>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</si>
  <si>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</si>
  <si>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</si>
  <si>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</si>
  <si>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</si>
  <si>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</si>
  <si>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</si>
  <si>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</si>
  <si>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</si>
  <si>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</si>
  <si>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</si>
  <si>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</si>
  <si>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</si>
  <si>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</si>
  <si>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</si>
  <si>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</si>
  <si>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</si>
  <si>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</si>
  <si>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</si>
  <si>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</si>
  <si>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</si>
  <si>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</si>
  <si>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</si>
  <si>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</si>
  <si>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</si>
  <si>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timbre </t>
  </si>
  <si>
    <t xml:space="preserve">Chèque </t>
  </si>
  <si>
    <t>RIB: 10 000 000 080746 3788 95</t>
  </si>
  <si>
    <t>STB THAMEUR</t>
  </si>
  <si>
    <r>
      <t xml:space="preserve">Responsable </t>
    </r>
    <r>
      <rPr>
        <sz val="8"/>
        <rFont val="Arial"/>
        <family val="2"/>
      </rPr>
      <t xml:space="preserve">Mme  Dorra Kammoun  </t>
    </r>
  </si>
  <si>
    <t>CONFORME EN 795-B+C et TS 16415</t>
  </si>
  <si>
    <t>LONGUEUR 30M</t>
  </si>
  <si>
    <t>ldv_30</t>
  </si>
  <si>
    <t xml:space="preserve">Ligne de vie temporaire </t>
  </si>
  <si>
    <t>Zone Industrielle Ghannouche – Gabés – B.P 63</t>
  </si>
  <si>
    <t xml:space="preserve">GABES </t>
  </si>
  <si>
    <t>SIMG</t>
  </si>
  <si>
    <t xml:space="preserve"> 33715 K / A / M / 000</t>
  </si>
  <si>
    <t>FACTURE 2021-093</t>
  </si>
  <si>
    <t>ID :  1218/0228</t>
  </si>
  <si>
    <t>ID :  1218/0095</t>
  </si>
  <si>
    <t xml:space="preserve">COMMANDE N° : </t>
  </si>
  <si>
    <t>178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</si>
</sst>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
      <b/>
      <sz val="14"/>
      <name val="Times New Roman"/>
      <family val="1"/>
    </font>
    <font>
      <b/>
      <sz val="14"/>
      <color theme="4"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0" fontId="10" fillId="3" borderId="32" xfId="0" applyFont="1" applyFill="1" applyBorder="1" applyAlignment="1">
      <alignment horizontal="center"/>
    </xf>
    <xf numFmtId="0" fontId="32" fillId="3" borderId="27" xfId="0" applyFont="1" applyFill="1" applyBorder="1" applyAlignment="1">
      <alignment horizontal="center"/>
    </xf>
    <xf numFmtId="49" fontId="1" fillId="0" borderId="32" xfId="0" applyNumberFormat="1" applyFont="1" applyFill="1" applyBorder="1" applyAlignment="1"/>
    <xf numFmtId="49" fontId="19" fillId="0" borderId="32" xfId="0" applyNumberFormat="1" applyFont="1" applyFill="1" applyBorder="1" applyAlignment="1"/>
    <xf numFmtId="0" fontId="23" fillId="3" borderId="32" xfId="0" applyFont="1" applyFill="1" applyBorder="1" applyAlignment="1">
      <alignment horizontal="center" vertical="center"/>
    </xf>
    <xf numFmtId="49" fontId="33" fillId="3" borderId="32" xfId="0" applyNumberFormat="1" applyFont="1" applyFill="1" applyBorder="1" applyAlignment="1">
      <alignment horizontal="left"/>
    </xf>
    <xf numFmtId="0" fontId="4" fillId="3" borderId="37" xfId="0" applyFont="1" applyFill="1" applyBorder="1" applyAlignment="1">
      <alignment horizontal="center" vertical="center"/>
    </xf>
    <xf numFmtId="49" fontId="34" fillId="0" borderId="32" xfId="0" applyNumberFormat="1" applyFont="1" applyFill="1" applyBorder="1" applyAlignment="1"/>
    <xf numFmtId="49" fontId="34" fillId="3" borderId="32" xfId="0" applyNumberFormat="1"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31" fillId="3" borderId="37" xfId="0" applyFont="1" applyFill="1" applyBorder="1" applyAlignment="1">
      <alignment horizontal="left" vertical="top"/>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2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75" t="s">
        <v>54</v>
      </c>
      <c r="N13" s="176"/>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85" t="s">
        <v>74</v>
      </c>
      <c r="N17" s="186"/>
      <c r="O17" s="3"/>
      <c r="P17" s="8"/>
    </row>
    <row r="18" spans="1:16" ht="19.5" thickTop="1" x14ac:dyDescent="0.3">
      <c r="B18" s="7"/>
      <c r="C18" s="3"/>
      <c r="D18" s="58"/>
      <c r="E18" s="58"/>
      <c r="F18" s="58"/>
      <c r="G18" s="58"/>
      <c r="H18" s="58"/>
      <c r="I18" s="58"/>
      <c r="J18" s="59"/>
      <c r="K18" s="59"/>
      <c r="L18" s="59"/>
      <c r="M18" s="187"/>
      <c r="N18" s="188"/>
      <c r="O18" s="19"/>
      <c r="P18" s="8"/>
    </row>
    <row r="19" spans="1:16" ht="13.5" thickBot="1" x14ac:dyDescent="0.25">
      <c r="B19" s="7"/>
      <c r="C19" s="3"/>
      <c r="D19" s="3"/>
      <c r="E19" s="3"/>
      <c r="F19" s="3"/>
      <c r="G19" s="3"/>
      <c r="H19" s="3"/>
      <c r="I19" s="3"/>
      <c r="J19" s="3"/>
      <c r="K19" s="3"/>
      <c r="L19" s="3"/>
      <c r="M19" s="189"/>
      <c r="N19" s="190"/>
      <c r="O19" s="3"/>
      <c r="P19" s="8"/>
    </row>
    <row r="20" spans="1:16" x14ac:dyDescent="0.2">
      <c r="B20" s="7"/>
      <c r="C20" s="3"/>
      <c r="D20" s="3"/>
      <c r="E20" s="3"/>
      <c r="F20" s="3"/>
      <c r="G20" s="3"/>
      <c r="H20" s="3"/>
      <c r="I20" s="3"/>
      <c r="J20" s="3"/>
      <c r="K20" s="3"/>
      <c r="L20" s="3"/>
      <c r="M20" s="124"/>
      <c r="N20" s="3"/>
      <c r="O20" s="3"/>
      <c r="P20" s="8"/>
    </row>
    <row r="21" spans="1:16" ht="18" x14ac:dyDescent="0.25">
      <c r="B21" s="7"/>
      <c r="C21" s="3"/>
      <c r="D21" s="82" t="s">
        <v>3</v>
      </c>
      <c r="E21" s="181" t="s">
        <v>72</v>
      </c>
      <c r="F21" s="182"/>
      <c r="G21" s="182"/>
      <c r="H21" s="182"/>
      <c r="I21" s="182"/>
      <c r="J21" s="182"/>
      <c r="K21" s="82"/>
      <c r="L21" s="84" t="s">
        <v>18</v>
      </c>
      <c r="M21" s="170">
        <v>44510</v>
      </c>
      <c r="N21" s="171"/>
      <c r="O21" s="55"/>
      <c r="P21" s="8"/>
    </row>
    <row r="22" spans="1:16" ht="14.25" x14ac:dyDescent="0.2">
      <c r="B22" s="7"/>
      <c r="C22" s="3"/>
      <c r="D22" s="82" t="s">
        <v>5</v>
      </c>
      <c r="E22" s="179" t="s">
        <v>70</v>
      </c>
      <c r="F22" s="179"/>
      <c r="G22" s="179"/>
      <c r="H22" s="180"/>
      <c r="I22" s="180"/>
      <c r="J22" s="180"/>
      <c r="K22" s="82"/>
      <c r="L22" s="119" t="s">
        <v>77</v>
      </c>
      <c r="M22" s="194" t="s">
        <v>78</v>
      </c>
      <c r="N22" s="195"/>
      <c r="O22" s="56"/>
      <c r="P22" s="8"/>
    </row>
    <row r="23" spans="1:16" x14ac:dyDescent="0.2">
      <c r="B23" s="7"/>
      <c r="C23" s="3"/>
      <c r="D23" s="82" t="s">
        <v>7</v>
      </c>
      <c r="E23" s="148">
        <v>6001</v>
      </c>
      <c r="F23" s="89" t="s">
        <v>8</v>
      </c>
      <c r="G23" s="177" t="s">
        <v>71</v>
      </c>
      <c r="H23" s="178"/>
      <c r="I23" s="90" t="s">
        <v>9</v>
      </c>
      <c r="J23" s="88" t="s">
        <v>51</v>
      </c>
      <c r="K23" s="82"/>
      <c r="L23" s="104" t="s">
        <v>65</v>
      </c>
      <c r="M23" s="172"/>
      <c r="N23" s="173"/>
      <c r="O23" s="3"/>
      <c r="P23" s="8"/>
    </row>
    <row r="24" spans="1:16" ht="15" x14ac:dyDescent="0.2">
      <c r="B24" s="7"/>
      <c r="C24" s="3"/>
      <c r="D24" s="82" t="s">
        <v>20</v>
      </c>
      <c r="E24" s="183"/>
      <c r="F24" s="184"/>
      <c r="G24" s="184"/>
      <c r="H24" s="184"/>
      <c r="I24" s="184"/>
      <c r="J24" s="184"/>
      <c r="K24" s="82"/>
      <c r="L24" s="84" t="s">
        <v>47</v>
      </c>
      <c r="M24" s="174" t="s">
        <v>73</v>
      </c>
      <c r="N24" s="17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0" t="s">
        <v>23</v>
      </c>
      <c r="O26" s="57"/>
      <c r="P26" s="8"/>
    </row>
    <row r="27" spans="1:16" ht="18" x14ac:dyDescent="0.25">
      <c r="B27" s="7"/>
      <c r="C27" s="3"/>
      <c r="D27" s="135"/>
      <c r="E27" s="53"/>
      <c r="F27" s="145" t="s">
        <v>69</v>
      </c>
      <c r="G27" s="111"/>
      <c r="H27" s="111"/>
      <c r="I27" s="111"/>
      <c r="J27" s="111"/>
      <c r="K27" s="111"/>
      <c r="L27" s="81"/>
      <c r="M27" s="94"/>
      <c r="N27" s="94" t="str">
        <f t="shared" ref="N27:N30" si="0">IF(E27&lt;&gt;"",E27*M27,"")</f>
        <v/>
      </c>
      <c r="O27" s="57"/>
      <c r="P27" s="8"/>
    </row>
    <row r="28" spans="1:16" ht="15" x14ac:dyDescent="0.2">
      <c r="B28" s="7"/>
      <c r="C28" s="3"/>
      <c r="D28" s="92"/>
      <c r="E28" s="53"/>
      <c r="F28" s="144" t="s">
        <v>66</v>
      </c>
      <c r="G28" s="111"/>
      <c r="H28" s="111"/>
      <c r="I28" s="111"/>
      <c r="J28" s="111"/>
      <c r="K28" s="111"/>
      <c r="L28" s="81"/>
      <c r="M28" s="94"/>
      <c r="N28" s="94" t="str">
        <f t="shared" si="0"/>
        <v/>
      </c>
      <c r="O28" s="57"/>
      <c r="P28" s="8"/>
    </row>
    <row r="29" spans="1:16" ht="15.75" x14ac:dyDescent="0.25">
      <c r="B29" s="7"/>
      <c r="C29" s="3"/>
      <c r="D29" s="92"/>
      <c r="E29" s="53"/>
      <c r="F29" s="134"/>
      <c r="G29" s="111"/>
      <c r="H29" s="111"/>
      <c r="I29" s="111"/>
      <c r="J29" s="111"/>
      <c r="K29" s="111"/>
      <c r="L29" s="81"/>
      <c r="M29" s="94"/>
      <c r="N29" s="94" t="str">
        <f t="shared" si="0"/>
        <v/>
      </c>
      <c r="O29" s="57"/>
      <c r="P29" s="8"/>
    </row>
    <row r="30" spans="1:16" ht="18.75" x14ac:dyDescent="0.3">
      <c r="B30" s="7"/>
      <c r="C30" s="3"/>
      <c r="D30" s="146" t="s">
        <v>68</v>
      </c>
      <c r="E30" s="53">
        <v>2</v>
      </c>
      <c r="F30" s="147" t="s">
        <v>67</v>
      </c>
      <c r="G30" s="111"/>
      <c r="H30" s="111"/>
      <c r="I30" s="111"/>
      <c r="J30" s="111"/>
      <c r="K30" s="111"/>
      <c r="L30" s="81"/>
      <c r="M30" s="94">
        <v>700</v>
      </c>
      <c r="N30" s="94">
        <f t="shared" si="0"/>
        <v>1400</v>
      </c>
      <c r="O30" s="57"/>
      <c r="P30" s="8"/>
    </row>
    <row r="31" spans="1:16" ht="18" x14ac:dyDescent="0.25">
      <c r="A31" s="97" t="s">
        <v>55</v>
      </c>
      <c r="B31" s="7"/>
      <c r="C31" s="3"/>
      <c r="D31" s="105"/>
      <c r="E31" s="75"/>
      <c r="F31" s="81"/>
      <c r="G31" s="118"/>
      <c r="H31" s="81"/>
      <c r="I31" s="106"/>
      <c r="J31" s="106"/>
      <c r="K31" s="81"/>
      <c r="L31" s="106"/>
      <c r="M31" s="94"/>
      <c r="N31" s="94" t="str">
        <f t="shared" ref="N31:N45" si="1">IF(E31&lt;&gt;"",E31*M31,"")</f>
        <v/>
      </c>
      <c r="O31" s="57"/>
      <c r="P31" s="8"/>
    </row>
    <row r="32" spans="1:16" ht="18" x14ac:dyDescent="0.25">
      <c r="A32" s="97"/>
      <c r="B32" s="7"/>
      <c r="C32" s="3"/>
      <c r="D32" s="105"/>
      <c r="E32" s="75"/>
      <c r="F32" s="81" t="s">
        <v>75</v>
      </c>
      <c r="G32" s="118"/>
      <c r="H32" s="81"/>
      <c r="I32" s="106"/>
      <c r="J32" s="81"/>
      <c r="K32" s="81"/>
      <c r="L32" s="106"/>
      <c r="M32" s="94"/>
      <c r="N32" s="94" t="str">
        <f t="shared" si="1"/>
        <v/>
      </c>
      <c r="O32" s="57"/>
      <c r="P32" s="8"/>
    </row>
    <row r="33" spans="2:16" ht="18" x14ac:dyDescent="0.25">
      <c r="B33" s="7"/>
      <c r="C33" s="3"/>
      <c r="D33" s="105"/>
      <c r="E33" s="75"/>
      <c r="F33" s="123" t="s">
        <v>76</v>
      </c>
      <c r="G33" s="118"/>
      <c r="H33" s="133"/>
      <c r="I33" s="106"/>
      <c r="J33" s="81"/>
      <c r="K33" s="81"/>
      <c r="L33" s="106"/>
      <c r="M33" s="94"/>
      <c r="N33" s="94" t="str">
        <f t="shared" si="1"/>
        <v/>
      </c>
      <c r="O33" s="57"/>
      <c r="P33" s="8"/>
    </row>
    <row r="34" spans="2:16" ht="18" x14ac:dyDescent="0.25">
      <c r="B34" s="7"/>
      <c r="C34" s="3"/>
      <c r="D34" s="142"/>
      <c r="E34" s="75"/>
      <c r="F34" s="123"/>
      <c r="G34" s="118"/>
      <c r="H34" s="133"/>
      <c r="I34" s="106"/>
      <c r="J34" s="81"/>
      <c r="K34" s="81"/>
      <c r="L34" s="106"/>
      <c r="M34" s="94"/>
      <c r="N34" s="94" t="str">
        <f t="shared" si="1"/>
        <v/>
      </c>
      <c r="O34" s="57"/>
      <c r="P34" s="8"/>
    </row>
    <row r="35" spans="2:16" ht="18" x14ac:dyDescent="0.25">
      <c r="B35" s="7"/>
      <c r="C35" s="3"/>
      <c r="D35" s="105"/>
      <c r="E35" s="75"/>
      <c r="F35" s="123"/>
      <c r="G35" s="118"/>
      <c r="H35" s="133"/>
      <c r="I35" s="106"/>
      <c r="J35" s="106"/>
      <c r="K35" s="81"/>
      <c r="L35" s="106"/>
      <c r="M35" s="94"/>
      <c r="N35" s="94" t="str">
        <f t="shared" si="1"/>
        <v/>
      </c>
      <c r="O35" s="57"/>
      <c r="P35" s="8"/>
    </row>
    <row r="36" spans="2:16" ht="18" x14ac:dyDescent="0.25">
      <c r="B36" s="7"/>
      <c r="C36" s="3"/>
      <c r="D36" s="105"/>
      <c r="E36" s="75"/>
      <c r="F36" s="123"/>
      <c r="G36" s="118"/>
      <c r="H36" s="133"/>
      <c r="I36" s="106"/>
      <c r="J36" s="106"/>
      <c r="K36" s="81"/>
      <c r="L36" s="106"/>
      <c r="M36" s="94"/>
      <c r="N36" s="94" t="str">
        <f t="shared" si="1"/>
        <v/>
      </c>
      <c r="O36" s="57"/>
      <c r="P36" s="8"/>
    </row>
    <row r="37" spans="2:16" ht="18" x14ac:dyDescent="0.25">
      <c r="B37" s="7"/>
      <c r="C37" s="3"/>
      <c r="D37" s="105"/>
      <c r="E37" s="143"/>
      <c r="F37" s="123"/>
      <c r="G37" s="118"/>
      <c r="H37" s="133"/>
      <c r="I37" s="106"/>
      <c r="J37" s="106"/>
      <c r="K37" s="81"/>
      <c r="L37" s="106"/>
      <c r="M37" s="94"/>
      <c r="N37" s="94" t="str">
        <f t="shared" si="1"/>
        <v/>
      </c>
      <c r="O37" s="57"/>
      <c r="P37" s="8"/>
    </row>
    <row r="38" spans="2:16" ht="18" x14ac:dyDescent="0.25">
      <c r="B38" s="7"/>
      <c r="C38" s="3"/>
      <c r="D38" s="105"/>
      <c r="E38" s="75"/>
      <c r="F38" s="150"/>
      <c r="G38" s="111"/>
      <c r="H38" s="111"/>
      <c r="I38" s="106"/>
      <c r="J38" s="106"/>
      <c r="K38" s="81"/>
      <c r="L38" s="106"/>
      <c r="M38" s="94"/>
      <c r="N38" s="94"/>
      <c r="O38" s="57"/>
      <c r="P38" s="8"/>
    </row>
    <row r="39" spans="2:16" ht="15" x14ac:dyDescent="0.2">
      <c r="B39" s="7"/>
      <c r="C39" s="3"/>
      <c r="D39" s="105"/>
      <c r="E39" s="53"/>
      <c r="F39" s="132"/>
      <c r="G39" s="111"/>
      <c r="H39" s="111"/>
      <c r="I39" s="106"/>
      <c r="J39" s="106"/>
      <c r="K39" s="81"/>
      <c r="L39" s="106"/>
      <c r="M39" s="94"/>
      <c r="N39" s="94"/>
      <c r="O39" s="57"/>
      <c r="P39" s="8"/>
    </row>
    <row r="40" spans="2:16" ht="18" x14ac:dyDescent="0.25">
      <c r="B40" s="7"/>
      <c r="C40" s="3"/>
      <c r="D40" s="92"/>
      <c r="E40" s="53"/>
      <c r="F40" s="149"/>
      <c r="G40" s="111"/>
      <c r="H40" s="111"/>
      <c r="I40" s="111"/>
      <c r="J40" s="111"/>
      <c r="K40" s="111"/>
      <c r="L40" s="81"/>
      <c r="M40" s="94"/>
      <c r="N40" s="94"/>
      <c r="O40" s="57"/>
      <c r="P40" s="8"/>
    </row>
    <row r="41" spans="2:16" ht="15.75" x14ac:dyDescent="0.25">
      <c r="B41" s="7"/>
      <c r="C41" s="3"/>
      <c r="D41" s="135"/>
      <c r="E41" s="53"/>
      <c r="F41" s="134"/>
      <c r="G41" s="111"/>
      <c r="H41" s="111"/>
      <c r="I41" s="111"/>
      <c r="J41" s="111"/>
      <c r="K41" s="111"/>
      <c r="L41" s="81"/>
      <c r="M41" s="94"/>
      <c r="N41" s="94"/>
      <c r="O41" s="57"/>
      <c r="P41" s="8"/>
    </row>
    <row r="42" spans="2:16" ht="15.75" x14ac:dyDescent="0.25">
      <c r="B42" s="7"/>
      <c r="C42" s="3"/>
      <c r="D42" s="92"/>
      <c r="E42" s="53"/>
      <c r="F42" s="130"/>
      <c r="G42" s="111"/>
      <c r="H42" s="111"/>
      <c r="I42" s="111"/>
      <c r="J42" s="111"/>
      <c r="K42" s="111"/>
      <c r="L42" s="81"/>
      <c r="M42" s="94"/>
      <c r="N42" s="94"/>
      <c r="O42" s="57"/>
      <c r="P42" s="8"/>
    </row>
    <row r="43" spans="2:16" ht="17.100000000000001" customHeight="1" x14ac:dyDescent="0.25">
      <c r="B43" s="7"/>
      <c r="C43" s="3"/>
      <c r="D43" s="92"/>
      <c r="E43" s="53"/>
      <c r="F43" s="134"/>
      <c r="G43" s="111"/>
      <c r="H43" s="111"/>
      <c r="I43" s="111"/>
      <c r="J43" s="111"/>
      <c r="K43" s="111"/>
      <c r="L43" s="81"/>
      <c r="M43" s="94"/>
      <c r="N43" s="94"/>
      <c r="O43" s="57"/>
      <c r="P43" s="8"/>
    </row>
    <row r="44" spans="2:16" ht="17.100000000000001" customHeight="1" x14ac:dyDescent="0.25">
      <c r="B44" s="7"/>
      <c r="C44" s="3"/>
      <c r="D44" s="92"/>
      <c r="E44" s="53"/>
      <c r="F44" s="134"/>
      <c r="G44" s="111"/>
      <c r="H44" s="111"/>
      <c r="I44" s="111"/>
      <c r="J44" s="111"/>
      <c r="K44" s="111"/>
      <c r="L44" s="81"/>
      <c r="M44" s="94"/>
      <c r="N44" s="94"/>
      <c r="O44" s="57"/>
      <c r="P44" s="8"/>
    </row>
    <row r="45" spans="2:16" ht="15.75" x14ac:dyDescent="0.25">
      <c r="B45" s="7"/>
      <c r="C45" s="3"/>
      <c r="D45" s="92"/>
      <c r="E45" s="53"/>
      <c r="F45" s="134"/>
      <c r="G45" s="111"/>
      <c r="H45" s="111"/>
      <c r="I45" s="111"/>
      <c r="J45" s="111"/>
      <c r="K45" s="111"/>
      <c r="L45" s="81"/>
      <c r="M45" s="94"/>
      <c r="N45" s="94" t="str">
        <f t="shared" si="1"/>
        <v/>
      </c>
      <c r="O45" s="57"/>
      <c r="P45" s="8"/>
    </row>
    <row r="46" spans="2:16" ht="15" customHeight="1" x14ac:dyDescent="0.2">
      <c r="B46" s="7"/>
      <c r="C46" s="3"/>
      <c r="D46" s="93"/>
      <c r="E46" s="54"/>
      <c r="F46" s="168"/>
      <c r="G46" s="169"/>
      <c r="H46" s="169"/>
      <c r="I46" s="169"/>
      <c r="J46" s="169"/>
      <c r="K46" s="169"/>
      <c r="L46" s="112"/>
      <c r="M46" s="94"/>
      <c r="N46" s="94"/>
      <c r="O46" s="57"/>
      <c r="P46" s="8"/>
    </row>
    <row r="47" spans="2:16" ht="15" customHeight="1" x14ac:dyDescent="0.25">
      <c r="B47" s="7"/>
      <c r="C47" s="3"/>
      <c r="D47" s="3"/>
      <c r="E47" s="83"/>
      <c r="F47" s="104" t="s">
        <v>25</v>
      </c>
      <c r="G47" s="82"/>
      <c r="H47" s="82"/>
      <c r="I47" s="82"/>
      <c r="J47" s="78"/>
      <c r="K47" s="78"/>
      <c r="L47" s="77"/>
      <c r="M47" s="101" t="s">
        <v>24</v>
      </c>
      <c r="N47" s="95">
        <f>SUM(N27:N45)</f>
        <v>1400</v>
      </c>
      <c r="O47" s="57"/>
      <c r="P47" s="8"/>
    </row>
    <row r="48" spans="2:16" ht="15" customHeight="1" x14ac:dyDescent="0.25">
      <c r="B48" s="7"/>
      <c r="C48" s="3"/>
      <c r="D48" s="3"/>
      <c r="E48" s="85"/>
      <c r="F48" s="136" t="s">
        <v>62</v>
      </c>
      <c r="G48" s="87"/>
      <c r="H48" s="85"/>
      <c r="I48" s="82"/>
      <c r="J48" s="79"/>
      <c r="K48" s="76"/>
      <c r="L48" s="76"/>
      <c r="M48" s="103" t="s">
        <v>61</v>
      </c>
      <c r="N48" s="102">
        <v>0.6</v>
      </c>
      <c r="O48" s="57"/>
      <c r="P48" s="8"/>
    </row>
    <row r="49" spans="2:16" ht="15" x14ac:dyDescent="0.2">
      <c r="B49" s="7"/>
      <c r="C49" s="3"/>
      <c r="D49" s="3"/>
      <c r="E49" s="85">
        <v>1</v>
      </c>
      <c r="F49" s="104" t="s">
        <v>57</v>
      </c>
      <c r="G49" s="82"/>
      <c r="H49" s="86"/>
      <c r="I49" s="82"/>
      <c r="J49" s="80" t="s">
        <v>26</v>
      </c>
      <c r="K49" s="76"/>
      <c r="L49" s="76"/>
      <c r="M49" s="103">
        <v>0.19</v>
      </c>
      <c r="N49" s="102">
        <f>N47*0.19</f>
        <v>266</v>
      </c>
      <c r="O49" s="57"/>
      <c r="P49" s="8"/>
    </row>
    <row r="50" spans="2:16" ht="15.75" x14ac:dyDescent="0.25">
      <c r="B50" s="7"/>
      <c r="C50" s="139" t="s">
        <v>63</v>
      </c>
      <c r="D50" s="139" t="s">
        <v>63</v>
      </c>
      <c r="E50" s="85"/>
      <c r="F50" s="104"/>
      <c r="G50" s="82"/>
      <c r="H50" s="86"/>
      <c r="I50" s="82"/>
      <c r="J50" s="80"/>
      <c r="K50" s="76"/>
      <c r="L50" s="76"/>
      <c r="M50" s="163" t="s">
        <v>27</v>
      </c>
      <c r="N50" s="164">
        <f>SUM(N47:N49)</f>
        <v>1666.6</v>
      </c>
      <c r="O50" s="57"/>
      <c r="P50" s="8"/>
    </row>
    <row r="51" spans="2:16" ht="15.75" x14ac:dyDescent="0.25">
      <c r="B51" s="7"/>
      <c r="C51" s="139" t="s">
        <v>64</v>
      </c>
      <c r="D51" s="131" t="s">
        <v>64</v>
      </c>
      <c r="E51" s="120"/>
      <c r="F51" s="120"/>
      <c r="G51" s="120"/>
      <c r="H51" s="120"/>
      <c r="I51" s="120"/>
      <c r="J51" s="120"/>
      <c r="K51" s="120"/>
      <c r="L51" s="120"/>
      <c r="M51" s="163"/>
      <c r="N51" s="165"/>
      <c r="O51" s="57"/>
      <c r="P51" s="8"/>
    </row>
    <row r="52" spans="2:16" ht="15" customHeight="1" x14ac:dyDescent="0.2">
      <c r="B52" s="7"/>
      <c r="C52" s="119"/>
      <c r="D52" s="119"/>
      <c r="E52" s="119"/>
      <c r="F52" s="119"/>
      <c r="G52" s="119"/>
      <c r="H52" s="119"/>
      <c r="I52" s="119"/>
      <c r="J52" s="119"/>
      <c r="K52" s="119"/>
      <c r="L52" s="119"/>
      <c r="M52" s="137"/>
      <c r="N52" s="138"/>
      <c r="O52" s="57"/>
      <c r="P52" s="8"/>
    </row>
    <row r="53" spans="2:16" ht="15" customHeight="1" x14ac:dyDescent="0.2">
      <c r="B53" s="7"/>
      <c r="C53" s="158" t="s">
        <v>59</v>
      </c>
      <c r="D53" s="158"/>
      <c r="E53" s="158"/>
      <c r="F53" s="158"/>
      <c r="G53" s="158"/>
      <c r="H53" s="158"/>
      <c r="I53" s="158"/>
      <c r="J53" s="158"/>
      <c r="K53" s="158"/>
      <c r="L53" s="158"/>
      <c r="M53" s="158"/>
      <c r="N53" s="158"/>
      <c r="O53" s="57"/>
      <c r="P53" s="8"/>
    </row>
    <row r="54" spans="2:16" ht="15" customHeight="1" x14ac:dyDescent="0.2">
      <c r="B54" s="7"/>
      <c r="C54" s="140"/>
      <c r="D54" s="140"/>
      <c r="E54" s="140"/>
      <c r="F54" s="140"/>
      <c r="G54" s="140"/>
      <c r="H54" s="140"/>
      <c r="I54" s="140"/>
      <c r="J54" s="140"/>
      <c r="K54" s="140"/>
      <c r="L54" s="140"/>
      <c r="M54" s="140"/>
      <c r="N54" s="140"/>
      <c r="O54" s="57"/>
      <c r="P54" s="8"/>
    </row>
    <row r="55" spans="2:16" ht="12.75" customHeight="1" x14ac:dyDescent="0.2">
      <c r="B55" s="7"/>
      <c r="C55" s="119"/>
      <c r="D55" s="3"/>
      <c r="E55" s="128"/>
      <c r="F55" s="128"/>
      <c r="G55" s="128"/>
      <c r="H55" s="128"/>
      <c r="I55" s="128"/>
      <c r="J55" s="128"/>
      <c r="K55" s="128"/>
      <c r="L55" s="128"/>
      <c r="M55" s="98"/>
      <c r="N55" s="99"/>
      <c r="O55" s="57"/>
      <c r="P55" s="8"/>
    </row>
    <row r="56" spans="2:16" ht="3" customHeight="1" x14ac:dyDescent="0.2">
      <c r="B56" s="7"/>
      <c r="C56" s="129"/>
      <c r="D56" s="3"/>
      <c r="E56" s="115"/>
      <c r="F56" s="115"/>
      <c r="G56" s="115"/>
      <c r="H56" s="115"/>
      <c r="I56" s="115"/>
      <c r="J56" s="115"/>
      <c r="K56" s="115"/>
      <c r="L56" s="115"/>
      <c r="M56" s="121"/>
      <c r="N56" s="122"/>
      <c r="O56" s="57"/>
      <c r="P56" s="8"/>
    </row>
    <row r="57" spans="2:16" ht="15.75" x14ac:dyDescent="0.2">
      <c r="B57" s="7"/>
      <c r="C57" s="3"/>
      <c r="D57" s="3"/>
      <c r="E57" s="18"/>
      <c r="F57" s="160" t="s">
        <v>56</v>
      </c>
      <c r="G57" s="160"/>
      <c r="H57" s="160"/>
      <c r="I57" s="160"/>
      <c r="J57" s="160"/>
      <c r="K57" s="160"/>
      <c r="L57" s="160"/>
      <c r="M57" s="96" t="s">
        <v>60</v>
      </c>
      <c r="N57" s="122"/>
      <c r="O57" s="57"/>
      <c r="P57" s="8"/>
    </row>
    <row r="58" spans="2:16" ht="15.75" customHeight="1" x14ac:dyDescent="0.2">
      <c r="B58" s="7"/>
      <c r="C58" s="159" t="s">
        <v>58</v>
      </c>
      <c r="D58" s="159"/>
      <c r="E58" s="159"/>
      <c r="F58" s="159"/>
      <c r="G58" s="159"/>
      <c r="H58" s="159"/>
      <c r="I58" s="159"/>
      <c r="J58" s="159"/>
      <c r="K58" s="159"/>
      <c r="L58" s="159"/>
      <c r="M58" s="159"/>
      <c r="N58" s="100"/>
      <c r="O58" s="57"/>
      <c r="P58" s="8"/>
    </row>
    <row r="59" spans="2:16" ht="15.75" customHeight="1" x14ac:dyDescent="0.2">
      <c r="B59" s="7"/>
      <c r="C59" s="141"/>
      <c r="D59" s="141"/>
      <c r="E59" s="141"/>
      <c r="F59" s="141"/>
      <c r="G59" s="141"/>
      <c r="H59" s="141"/>
      <c r="I59" s="141"/>
      <c r="J59" s="141"/>
      <c r="K59" s="141"/>
      <c r="L59" s="141"/>
      <c r="M59" s="141"/>
      <c r="N59" s="100"/>
      <c r="O59" s="57"/>
      <c r="P59" s="8"/>
    </row>
    <row r="60" spans="2:16" ht="15.75" customHeight="1" x14ac:dyDescent="0.2">
      <c r="B60" s="7"/>
      <c r="C60" s="141"/>
      <c r="D60" s="141"/>
      <c r="E60" s="141"/>
      <c r="F60" s="141"/>
      <c r="G60" s="141"/>
      <c r="H60" s="141"/>
      <c r="I60" s="141"/>
      <c r="J60" s="141"/>
      <c r="K60" s="141"/>
      <c r="L60" s="141"/>
      <c r="M60" s="141"/>
      <c r="N60" s="100"/>
      <c r="O60" s="57"/>
      <c r="P60" s="8"/>
    </row>
    <row r="61" spans="2:16" ht="15.75" customHeight="1" x14ac:dyDescent="0.2">
      <c r="B61" s="7"/>
      <c r="C61" s="141"/>
      <c r="D61" s="141"/>
      <c r="E61" s="141"/>
      <c r="F61" s="141"/>
      <c r="G61" s="141"/>
      <c r="H61" s="141"/>
      <c r="I61" s="141"/>
      <c r="J61" s="141"/>
      <c r="K61" s="141"/>
      <c r="L61" s="141"/>
      <c r="M61" s="141"/>
      <c r="N61" s="100"/>
      <c r="O61" s="57"/>
      <c r="P61" s="8"/>
    </row>
    <row r="62" spans="2:16" ht="15.75" customHeight="1" x14ac:dyDescent="0.2">
      <c r="B62" s="7"/>
      <c r="C62" s="3"/>
      <c r="D62" s="3"/>
      <c r="E62" s="127"/>
      <c r="F62" s="127"/>
      <c r="G62" s="127"/>
      <c r="H62" s="127"/>
      <c r="I62" s="127"/>
      <c r="J62" s="127"/>
      <c r="K62" s="127"/>
      <c r="L62" s="127"/>
      <c r="M62" s="127"/>
      <c r="N62" s="96"/>
      <c r="O62" s="57"/>
      <c r="P62" s="8"/>
    </row>
    <row r="63" spans="2:16" ht="0.95" customHeight="1" thickBot="1" x14ac:dyDescent="0.25">
      <c r="B63" s="7"/>
      <c r="C63" s="113"/>
      <c r="D63" s="113"/>
      <c r="E63" s="114"/>
      <c r="F63" s="114"/>
      <c r="G63" s="114"/>
      <c r="H63" s="161"/>
      <c r="I63" s="161"/>
      <c r="J63" s="161"/>
      <c r="K63" s="161"/>
      <c r="L63" s="161"/>
      <c r="M63" s="114"/>
      <c r="N63" s="114"/>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7"/>
      <c r="D65" s="117"/>
      <c r="E65" s="117"/>
      <c r="F65" s="117"/>
      <c r="G65" s="117"/>
      <c r="H65" s="117"/>
      <c r="I65" s="117"/>
      <c r="J65" s="117"/>
      <c r="K65" s="125"/>
      <c r="L65" s="125"/>
      <c r="M65" s="125"/>
      <c r="N65" s="125"/>
      <c r="O65" s="57"/>
      <c r="P65" s="8"/>
    </row>
    <row r="66" spans="2:16" x14ac:dyDescent="0.2">
      <c r="B66" s="7"/>
      <c r="C66" s="116"/>
      <c r="D66" s="116"/>
      <c r="E66" s="116"/>
      <c r="F66" s="116"/>
      <c r="G66" s="116"/>
      <c r="H66" s="116"/>
      <c r="I66" s="116"/>
      <c r="J66" s="116"/>
      <c r="K66" s="126"/>
      <c r="L66" s="126"/>
      <c r="M66" s="126"/>
      <c r="N66" s="126"/>
      <c r="O66" s="113"/>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46:K46"/>
    <mergeCell ref="M21:N21"/>
    <mergeCell ref="M23:N23"/>
    <mergeCell ref="M24:N24"/>
    <mergeCell ref="M13:N13"/>
    <mergeCell ref="G23:H23"/>
    <mergeCell ref="E22:J22"/>
    <mergeCell ref="E21:J21"/>
    <mergeCell ref="E24:J24"/>
    <mergeCell ref="M17:N19"/>
    <mergeCell ref="F26:L26"/>
    <mergeCell ref="M22:N22"/>
    <mergeCell ref="C53:N53"/>
    <mergeCell ref="C58:M58"/>
    <mergeCell ref="F57:L57"/>
    <mergeCell ref="H63:L63"/>
    <mergeCell ref="H14:L15"/>
    <mergeCell ref="M50:M51"/>
    <mergeCell ref="N50:N51"/>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5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44510</v>
      </c>
      <c r="D8" s="71" t="str">
        <f>Facture!$E$21</f>
        <v>SIMG</v>
      </c>
      <c r="E8" s="68" t="str">
        <f>Facture!$E$22</f>
        <v>Zone Industrielle Ghannouche – Gabés – B.P 63</v>
      </c>
      <c r="F8" s="68">
        <f>Facture!$E$23</f>
        <v>6001</v>
      </c>
      <c r="G8" s="71" t="str">
        <f>Facture!$G$23</f>
        <v xml:space="preserve">GABES </v>
      </c>
      <c r="H8" s="71" t="str">
        <f>Facture!$J$23</f>
        <v>TN</v>
      </c>
      <c r="I8" s="68">
        <f>Facture!$E$24</f>
        <v>0</v>
      </c>
      <c r="J8" s="72">
        <f>Facture!$N$50</f>
        <v>1666.6</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2021-11-10T15:41:23Z</cp:lastPrinted>
  <dcterms:created xsi:type="dcterms:W3CDTF">1995-05-29T15:50:39Z</dcterms:created>
  <dcterms:modified xsi:type="dcterms:W3CDTF">2021-11-10T15:42:27Z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SIMG</vt:lpwstr>
  </property>
  <property fmtid="{D5CDD505-2E9C-101B-9397-08002B2CF9AE}" pid="11" name="Montant de la facture" linkTarget="TOT">
    <vt:r8>1666.6</vt:r8>
  </property>
</Properties>
</file>