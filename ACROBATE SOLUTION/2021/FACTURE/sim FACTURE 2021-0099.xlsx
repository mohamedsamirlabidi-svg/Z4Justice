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c r="M32" i="3"/>
  <c r="M33" i="3"/>
  <c r="M34" i="3"/>
  <c r="M35" i="3"/>
  <c r="M44" i="3"/>
  <c r="M46" i="3" s="1"/>
  <c r="M47" i="3" s="1"/>
  <c r="M36" i="3" l="1"/>
  <c r="M37" i="3"/>
  <c r="M38" i="3"/>
  <c r="M39" i="3" l="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<sst xmlns="http://schemas.openxmlformats.org/spreadsheetml/2006/main" count="91" uniqueCount="81">
  <si>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</si>
  <si>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</si>
  <si>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</si>
  <si>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</si>
  <si>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</si>
  <si>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</si>
  <si>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</si>
  <si>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</si>
  <si>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</si>
  <si>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</si>
  <si>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</si>
  <si>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</si>
  <si>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</si>
  <si>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</si>
  <si>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</si>
  <si>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</si>
  <si>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</si>
  <si>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</si>
  <si>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</si>
  <si>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</si>
  <si>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</si>
  <si>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</si>
  <si>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</si>
  <si>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</si>
  <si>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</si>
  <si>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</si>
  <si>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</si>
  <si>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</si>
  <si>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</si>
  <si>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</si>
  <si>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</si>
  <si>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</si>
  <si>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</si>
  <si>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</si>
  <si>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</si>
  <si>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</si>
  <si>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</si>
  <si>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</si>
  <si>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</si>
  <si>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</si>
  <si>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</si>
  <si>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</si>
  <si>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</si>
  <si>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</si>
  <si>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</si>
  <si>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</si>
  <si>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</si>
  <si>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</si>
  <si>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</si>
  <si>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</si>
  <si>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</si>
  <si>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</si>
  <si>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</si>
  <si>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</si>
  <si>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</si>
  <si>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</si>
  <si>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</si>
  <si>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</si>
  <si>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</si>
  <si>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</si>
  <si>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</si>
  <si>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</si>
  <si>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</si>
  <si>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</si>
  <si>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</si>
  <si>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 xml:space="preserve"> Ligne de vie temporaire 30 m Tybe B+C</t>
  </si>
  <si>
    <t>sangle d'ancrage TYBE C</t>
  </si>
  <si>
    <t>MF:0023410P/A/M/000</t>
  </si>
  <si>
    <t xml:space="preserve">KM2 ROUTE DE TUNIS </t>
  </si>
  <si>
    <t>KELIBIA</t>
  </si>
  <si>
    <t>72 296 150 FAX:72 296 495</t>
  </si>
  <si>
    <t>ARRETE LA PRESENTE FACTURE  A LA SOMME DE :SEPT CENT QUATORZE  DINARS ET 600 MILLIMES .</t>
  </si>
  <si>
    <t>Date :24/11/2021</t>
  </si>
  <si>
    <t>Réf commande: 2021 1124 02</t>
  </si>
  <si>
    <t>Responsable: Mme Karkeni Mariem</t>
  </si>
  <si>
    <t>FACTURE  N°2021-099</t>
  </si>
  <si>
    <t>ID : 12180112</t>
  </si>
  <si>
    <t>ID : 06200066</t>
  </si>
  <si>
    <t>ID: 06200230</t>
  </si>
  <si>
    <t>ID : 05200195</t>
  </si>
  <si>
    <t>ID : 06200050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</si>
</sst>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xf>
    <xf numFmtId="0" fontId="25" fillId="3" borderId="34" xfId="0" applyFont="1" applyFill="1" applyBorder="1" applyAlignment="1">
      <alignment horizontal="left"/>
    </xf>
    <xf numFmtId="0" fontId="47"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3" fillId="3" borderId="0" xfId="0" applyFont="1" applyFill="1" applyBorder="1" applyAlignment="1">
      <alignment shrinkToFit="1"/>
    </xf>
    <xf numFmtId="49" fontId="46" fillId="3" borderId="33" xfId="0" applyNumberFormat="1" applyFont="1" applyFill="1" applyBorder="1" applyAlignment="1"/>
    <xf numFmtId="0" fontId="46" fillId="2" borderId="33"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6" t="s">
        <v>75</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6" t="s">
        <v>64</v>
      </c>
      <c r="F22" s="197"/>
      <c r="G22" s="197"/>
      <c r="H22" s="197"/>
      <c r="I22" s="197"/>
      <c r="J22" s="197"/>
      <c r="K22" s="103"/>
      <c r="L22" s="179" t="s">
        <v>72</v>
      </c>
      <c r="M22" s="179"/>
      <c r="N22" s="52"/>
      <c r="O22" s="9"/>
    </row>
    <row r="23" spans="2:15" ht="33.75" x14ac:dyDescent="0.5">
      <c r="B23" s="7"/>
      <c r="C23" s="3"/>
      <c r="D23" s="102" t="s">
        <v>54</v>
      </c>
      <c r="E23" s="188" t="s">
        <v>68</v>
      </c>
      <c r="F23" s="189"/>
      <c r="G23" s="189"/>
      <c r="H23" s="189"/>
      <c r="I23" s="189"/>
      <c r="J23" s="189"/>
      <c r="K23" s="189"/>
      <c r="L23" s="104" t="s">
        <v>73</v>
      </c>
      <c r="M23" s="104"/>
      <c r="N23" s="53"/>
      <c r="O23" s="9"/>
    </row>
    <row r="24" spans="2:15" ht="33.75" x14ac:dyDescent="0.5">
      <c r="B24" s="7"/>
      <c r="C24" s="3"/>
      <c r="D24" s="102" t="s">
        <v>55</v>
      </c>
      <c r="E24" s="151">
        <v>8090</v>
      </c>
      <c r="F24" s="105" t="s">
        <v>8</v>
      </c>
      <c r="G24" s="190" t="s">
        <v>69</v>
      </c>
      <c r="H24" s="190"/>
      <c r="I24" s="106" t="s">
        <v>9</v>
      </c>
      <c r="J24" s="149" t="s">
        <v>57</v>
      </c>
      <c r="K24" s="103"/>
      <c r="L24" s="180" t="s">
        <v>74</v>
      </c>
      <c r="M24" s="180"/>
      <c r="N24" s="3"/>
      <c r="O24" s="9"/>
    </row>
    <row r="25" spans="2:15" ht="33.75" x14ac:dyDescent="0.5">
      <c r="B25" s="7"/>
      <c r="C25" s="3"/>
      <c r="D25" s="102" t="s">
        <v>56</v>
      </c>
      <c r="E25" s="182" t="s">
        <v>70</v>
      </c>
      <c r="F25" s="182"/>
      <c r="G25" s="182"/>
      <c r="H25" s="182"/>
      <c r="I25" s="182"/>
      <c r="J25" s="182"/>
      <c r="K25" s="103"/>
      <c r="L25" s="181" t="s">
        <v>67</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1" t="s">
        <v>23</v>
      </c>
      <c r="G27" s="192"/>
      <c r="H27" s="192"/>
      <c r="I27" s="192"/>
      <c r="J27" s="192"/>
      <c r="K27" s="193"/>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v>109501</v>
      </c>
      <c r="E30" s="165">
        <v>1</v>
      </c>
      <c r="F30" s="120" t="s">
        <v>65</v>
      </c>
      <c r="G30" s="163"/>
      <c r="H30" s="163"/>
      <c r="I30" s="163"/>
      <c r="J30" s="163"/>
      <c r="K30" s="164"/>
      <c r="L30" s="110">
        <v>480</v>
      </c>
      <c r="M30" s="115">
        <f t="shared" ref="M30:M38" si="0">IF(E30&lt;&gt;"",E30*L30,"")</f>
        <v>480</v>
      </c>
      <c r="N30" s="54"/>
      <c r="O30" s="9"/>
    </row>
    <row r="31" spans="2:15" ht="30" x14ac:dyDescent="0.4">
      <c r="B31" s="7"/>
      <c r="C31" s="3"/>
      <c r="D31" s="150"/>
      <c r="E31" s="108"/>
      <c r="F31" s="120" t="s">
        <v>76</v>
      </c>
      <c r="G31" s="120"/>
      <c r="H31" s="120"/>
      <c r="I31" s="120"/>
      <c r="J31" s="120"/>
      <c r="K31" s="121"/>
      <c r="L31" s="111"/>
      <c r="M31" s="115" t="str">
        <f t="shared" si="0"/>
        <v/>
      </c>
      <c r="N31" s="54"/>
      <c r="O31" s="9"/>
    </row>
    <row r="32" spans="2:15" ht="30" x14ac:dyDescent="0.4">
      <c r="B32" s="7"/>
      <c r="C32" s="3"/>
      <c r="D32" s="150">
        <v>2034080</v>
      </c>
      <c r="E32" s="108">
        <v>4</v>
      </c>
      <c r="F32" s="120" t="s">
        <v>66</v>
      </c>
      <c r="G32" s="120"/>
      <c r="H32" s="120"/>
      <c r="I32" s="120"/>
      <c r="J32" s="120"/>
      <c r="K32" s="121"/>
      <c r="L32" s="111">
        <v>30</v>
      </c>
      <c r="M32" s="115">
        <f t="shared" si="0"/>
        <v>120</v>
      </c>
      <c r="N32" s="54"/>
      <c r="O32" s="9"/>
    </row>
    <row r="33" spans="2:15" ht="30" x14ac:dyDescent="0.4">
      <c r="B33" s="7"/>
      <c r="C33" s="3"/>
      <c r="D33" s="150"/>
      <c r="E33" s="108"/>
      <c r="F33" s="120" t="s">
        <v>77</v>
      </c>
      <c r="G33" s="120"/>
      <c r="H33" s="148"/>
      <c r="I33" s="120"/>
      <c r="J33" s="120"/>
      <c r="K33" s="121"/>
      <c r="L33" s="111"/>
      <c r="M33" s="115" t="str">
        <f t="shared" si="0"/>
        <v/>
      </c>
      <c r="N33" s="54"/>
      <c r="O33" s="9"/>
    </row>
    <row r="34" spans="2:15" ht="30" x14ac:dyDescent="0.4">
      <c r="B34" s="7"/>
      <c r="C34" s="3"/>
      <c r="D34" s="150"/>
      <c r="E34" s="108"/>
      <c r="F34" s="120" t="s">
        <v>78</v>
      </c>
      <c r="G34" s="120"/>
      <c r="H34" s="120"/>
      <c r="I34" s="120"/>
      <c r="J34" s="120"/>
      <c r="K34" s="121"/>
      <c r="L34" s="111"/>
      <c r="M34" s="115" t="str">
        <f t="shared" si="0"/>
        <v/>
      </c>
      <c r="N34" s="54"/>
      <c r="O34" s="9"/>
    </row>
    <row r="35" spans="2:15" ht="30" x14ac:dyDescent="0.4">
      <c r="B35" s="7"/>
      <c r="C35" s="3"/>
      <c r="D35" s="150"/>
      <c r="E35" s="108"/>
      <c r="F35" s="120" t="s">
        <v>79</v>
      </c>
      <c r="G35" s="120"/>
      <c r="H35" s="120"/>
      <c r="I35" s="120"/>
      <c r="J35" s="120"/>
      <c r="K35" s="121"/>
      <c r="L35" s="111"/>
      <c r="M35" s="115" t="str">
        <f t="shared" si="0"/>
        <v/>
      </c>
      <c r="N35" s="54"/>
      <c r="O35" s="9"/>
    </row>
    <row r="36" spans="2:15" ht="30" x14ac:dyDescent="0.4">
      <c r="B36" s="7"/>
      <c r="C36" s="3"/>
      <c r="D36" s="150"/>
      <c r="E36" s="108"/>
      <c r="F36" s="120" t="s">
        <v>80</v>
      </c>
      <c r="G36" s="120"/>
      <c r="H36" s="120"/>
      <c r="I36" s="120"/>
      <c r="J36" s="120"/>
      <c r="K36" s="121"/>
      <c r="L36" s="111"/>
      <c r="M36" s="115" t="str">
        <f t="shared" si="0"/>
        <v/>
      </c>
      <c r="N36" s="54"/>
      <c r="O36" s="9"/>
    </row>
    <row r="37" spans="2:15" ht="30" x14ac:dyDescent="0.4">
      <c r="B37" s="7"/>
      <c r="C37" s="3"/>
      <c r="D37" s="150"/>
      <c r="E37" s="108"/>
      <c r="F37" s="119"/>
      <c r="G37" s="120"/>
      <c r="H37" s="120"/>
      <c r="I37" s="120"/>
      <c r="J37" s="120"/>
      <c r="K37" s="121"/>
      <c r="L37" s="111"/>
      <c r="M37" s="115" t="str">
        <f t="shared" si="0"/>
        <v/>
      </c>
      <c r="N37" s="54"/>
      <c r="O37" s="9"/>
    </row>
    <row r="38" spans="2:15" ht="30" x14ac:dyDescent="0.4">
      <c r="B38" s="7"/>
      <c r="C38" s="3"/>
      <c r="D38" s="150"/>
      <c r="E38" s="109"/>
      <c r="F38" s="119"/>
      <c r="G38" s="120"/>
      <c r="H38" s="120"/>
      <c r="I38" s="120"/>
      <c r="J38" s="120"/>
      <c r="K38" s="121"/>
      <c r="L38" s="111"/>
      <c r="M38" s="115" t="str">
        <f t="shared" si="0"/>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84"/>
      <c r="G42" s="185"/>
      <c r="H42" s="185"/>
      <c r="I42" s="185"/>
      <c r="J42" s="185"/>
      <c r="K42" s="186"/>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600</v>
      </c>
      <c r="N44" s="54"/>
      <c r="O44" s="9"/>
    </row>
    <row r="45" spans="2:15" ht="30" customHeight="1" x14ac:dyDescent="0.5">
      <c r="B45" s="7"/>
      <c r="C45" s="3"/>
      <c r="D45" s="101"/>
      <c r="E45" s="97" t="s">
        <v>63</v>
      </c>
      <c r="F45" s="77"/>
      <c r="G45" s="77"/>
      <c r="H45" s="77"/>
      <c r="I45" s="77"/>
      <c r="J45" s="78"/>
      <c r="K45" s="93"/>
      <c r="L45" s="142" t="s">
        <v>47</v>
      </c>
      <c r="M45" s="141">
        <v>0.6</v>
      </c>
      <c r="N45" s="54"/>
      <c r="O45" s="9"/>
    </row>
    <row r="46" spans="2:15" ht="30" customHeight="1" x14ac:dyDescent="0.5">
      <c r="B46" s="7"/>
      <c r="C46" s="3"/>
      <c r="D46" s="98"/>
      <c r="E46" s="97" t="s">
        <v>62</v>
      </c>
      <c r="F46" s="77"/>
      <c r="G46" s="77"/>
      <c r="H46" s="77"/>
      <c r="I46" s="77"/>
      <c r="J46" s="80"/>
      <c r="K46" s="94"/>
      <c r="L46" s="143">
        <v>0.19</v>
      </c>
      <c r="M46" s="144">
        <f>+M44*19%</f>
        <v>114</v>
      </c>
      <c r="N46" s="54"/>
      <c r="O46" s="9"/>
    </row>
    <row r="47" spans="2:15" ht="35.25" x14ac:dyDescent="0.5">
      <c r="B47" s="7"/>
      <c r="C47" s="3"/>
      <c r="D47" s="85"/>
      <c r="E47" s="100"/>
      <c r="F47" s="96"/>
      <c r="G47" s="82"/>
      <c r="H47" s="81"/>
      <c r="I47" s="77"/>
      <c r="J47" s="83"/>
      <c r="K47" s="93"/>
      <c r="L47" s="142" t="s">
        <v>28</v>
      </c>
      <c r="M47" s="141">
        <f>+M44+M45+M46</f>
        <v>714.6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95" t="s">
        <v>71</v>
      </c>
      <c r="E50" s="195"/>
      <c r="F50" s="195"/>
      <c r="G50" s="195"/>
      <c r="H50" s="195"/>
      <c r="I50" s="195"/>
      <c r="J50" s="195"/>
      <c r="K50" s="195"/>
      <c r="L50" s="195"/>
      <c r="M50" s="123"/>
      <c r="N50" s="54"/>
      <c r="O50" s="9"/>
    </row>
    <row r="51" spans="1:16" ht="26.25" x14ac:dyDescent="0.4">
      <c r="B51" s="7"/>
      <c r="C51" s="3"/>
      <c r="D51" s="194"/>
      <c r="E51" s="194"/>
      <c r="F51" s="194"/>
      <c r="G51" s="194"/>
      <c r="H51" s="194"/>
      <c r="I51" s="194"/>
      <c r="J51" s="194"/>
      <c r="K51" s="194"/>
      <c r="L51" s="194"/>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87"/>
      <c r="H53" s="187"/>
      <c r="I53" s="187"/>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83" t="s">
        <v>52</v>
      </c>
      <c r="E59" s="183"/>
      <c r="F59" s="183"/>
      <c r="G59" s="183"/>
      <c r="H59" s="183"/>
      <c r="I59" s="183"/>
      <c r="J59" s="183"/>
      <c r="K59" s="183"/>
      <c r="L59" s="183"/>
      <c r="M59" s="88"/>
      <c r="N59" s="54"/>
      <c r="O59" s="9"/>
    </row>
    <row r="60" spans="1:16" ht="18" customHeight="1" x14ac:dyDescent="0.2">
      <c r="B60" s="7"/>
      <c r="C60" s="3"/>
      <c r="D60" s="183"/>
      <c r="E60" s="183"/>
      <c r="F60" s="183"/>
      <c r="G60" s="183"/>
      <c r="H60" s="183"/>
      <c r="I60" s="183"/>
      <c r="J60" s="183"/>
      <c r="K60" s="183"/>
      <c r="L60" s="183"/>
      <c r="M60" s="89"/>
      <c r="N60" s="54"/>
      <c r="O60" s="9"/>
    </row>
    <row r="61" spans="1:16" ht="15" customHeight="1" x14ac:dyDescent="0.2">
      <c r="B61" s="7"/>
      <c r="C61" s="3"/>
      <c r="D61" s="183"/>
      <c r="E61" s="183"/>
      <c r="F61" s="183"/>
      <c r="G61" s="183"/>
      <c r="H61" s="183"/>
      <c r="I61" s="183"/>
      <c r="J61" s="183"/>
      <c r="K61" s="183"/>
      <c r="L61" s="183"/>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:24/11/2021</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714.6</v>
      </c>
      <c r="K8" s="64" t="str">
        <f>Facture!$L$24</f>
        <v>Responsable: Mme Karkeni Mariem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2021-11-24T10:37:35Z</cp:lastPrinted>
  <dcterms:created xsi:type="dcterms:W3CDTF">1995-05-29T15:50:39Z</dcterms:created>
  <dcterms:modified xsi:type="dcterms:W3CDTF">2021-11-24T11:43:00Z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714.6</vt:r8>
  </property>
</Properties>
</file>