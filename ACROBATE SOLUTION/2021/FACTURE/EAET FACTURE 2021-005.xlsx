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Facture!$E$38:$E$41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1" i="3"/>
  <c r="M32" i="3"/>
  <c r="M33" i="3"/>
  <c r="M36" i="3" l="1"/>
  <c r="M29" i="3" l="1"/>
  <c r="M28" i="3" l="1"/>
  <c r="M37" i="3" l="1"/>
  <c r="M38" i="3" s="1"/>
  <c r="M39" i="3" l="1"/>
  <c r="M40" i="3"/>
  <c r="F33" i="2"/>
  <c r="K8" i="8"/>
  <c r="I8" i="8"/>
  <c r="H8" i="8"/>
  <c r="G8" i="8"/>
  <c r="F8" i="8"/>
  <c r="E8" i="8"/>
  <c r="D8" i="8"/>
  <c r="C8" i="8"/>
  <c r="B8" i="8"/>
  <c r="M42" i="3" l="1"/>
  <c r="M43"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<sst xmlns="http://schemas.openxmlformats.org/spreadsheetml/2006/main" count="90" uniqueCount="80">
  <si>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</si>
  <si>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</si>
  <si>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</si>
  <si>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</si>
  <si>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</si>
  <si>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</si>
  <si>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</si>
  <si>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</si>
  <si>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</si>
  <si>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</si>
  <si>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</si>
  <si>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</si>
  <si>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</si>
  <si>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</si>
  <si>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</si>
  <si>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</si>
  <si>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</si>
  <si>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</si>
  <si>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</si>
  <si>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</si>
  <si>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</si>
  <si>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</si>
  <si>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</si>
  <si>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</si>
  <si>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</si>
  <si>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</si>
  <si>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</si>
  <si>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</si>
  <si>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</si>
  <si>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</si>
  <si>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</si>
  <si>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</si>
  <si>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</si>
  <si>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</si>
  <si>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</si>
  <si>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</si>
  <si>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</si>
  <si>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</si>
  <si>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</si>
  <si>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</si>
  <si>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</si>
  <si>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</si>
  <si>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</si>
  <si>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</si>
  <si>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</si>
  <si>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</si>
  <si>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</si>
  <si>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</si>
  <si>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</si>
  <si>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</si>
  <si>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</si>
  <si>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</si>
  <si>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</si>
  <si>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</si>
  <si>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</si>
  <si>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</si>
  <si>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</si>
  <si>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</si>
  <si>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</si>
  <si>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</si>
  <si>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</si>
  <si>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</si>
  <si>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</si>
  <si>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</si>
  <si>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</si>
  <si>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</si>
  <si>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</si>
  <si>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FACTURE  N°2021-005</t>
  </si>
  <si>
    <t>13889X/A/M/000</t>
  </si>
  <si>
    <t>AYMEN HLAIEM</t>
  </si>
  <si>
    <t>EAET</t>
  </si>
  <si>
    <t xml:space="preserve">15,RUE TAZARKA ZI KSAR SAID </t>
  </si>
  <si>
    <t xml:space="preserve">ARIANA </t>
  </si>
  <si>
    <t>LONGUEUR  45M</t>
  </si>
  <si>
    <t>LONGUEUR  15M</t>
  </si>
  <si>
    <t>SECUROP 45</t>
  </si>
  <si>
    <t>SECUROP 15</t>
  </si>
  <si>
    <t>Remise 15%</t>
  </si>
  <si>
    <t>Total Apres Remise</t>
  </si>
  <si>
    <t>Arreter la presente facture a la somme de :QUATRE MILLE CINQ CENT QUARANTE HUIT DINARS ET 304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</si>
</sst>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5" formatCode="#,##0.000_ ;[Red]\-#,##0.000\ "/>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xf numFmtId="175" fontId="28" fillId="0" borderId="2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1" zoomScale="60" zoomScaleNormal="60" workbookViewId="0">
      <selection activeCell="M40" sqref="M40:M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59" t="s">
        <v>67</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70</v>
      </c>
      <c r="F22" s="143"/>
      <c r="G22" s="142"/>
      <c r="H22" s="142"/>
      <c r="I22" s="166"/>
      <c r="J22" s="166"/>
      <c r="K22" s="141"/>
      <c r="L22" s="139" t="s">
        <v>19</v>
      </c>
      <c r="M22" s="162">
        <v>44231</v>
      </c>
      <c r="N22" s="163"/>
      <c r="O22" s="9"/>
    </row>
    <row r="23" spans="2:15" ht="23.25" x14ac:dyDescent="0.35">
      <c r="B23" s="7"/>
      <c r="C23" s="3"/>
      <c r="D23" s="139" t="s">
        <v>54</v>
      </c>
      <c r="E23" s="142" t="s">
        <v>71</v>
      </c>
      <c r="F23" s="142"/>
      <c r="G23" s="142"/>
      <c r="H23" s="142"/>
      <c r="I23" s="142"/>
      <c r="J23" s="142"/>
      <c r="K23" s="141"/>
      <c r="L23" s="139" t="s">
        <v>64</v>
      </c>
      <c r="M23" s="140"/>
      <c r="N23" s="140"/>
      <c r="O23" s="9"/>
    </row>
    <row r="24" spans="2:15" ht="23.25" x14ac:dyDescent="0.35">
      <c r="B24" s="7"/>
      <c r="C24" s="3"/>
      <c r="D24" s="139" t="s">
        <v>55</v>
      </c>
      <c r="E24" s="166">
        <v>2041</v>
      </c>
      <c r="F24" s="166"/>
      <c r="G24" s="166" t="s">
        <v>72</v>
      </c>
      <c r="H24" s="166"/>
      <c r="I24" s="166" t="s">
        <v>66</v>
      </c>
      <c r="J24" s="166" t="s">
        <v>59</v>
      </c>
      <c r="K24" s="141"/>
      <c r="L24" s="139" t="s">
        <v>20</v>
      </c>
      <c r="M24" s="164" t="s">
        <v>69</v>
      </c>
      <c r="N24" s="164"/>
      <c r="O24" s="9"/>
    </row>
    <row r="25" spans="2:15" ht="23.25" x14ac:dyDescent="0.35">
      <c r="B25" s="7"/>
      <c r="C25" s="3"/>
      <c r="D25" s="139" t="s">
        <v>56</v>
      </c>
      <c r="E25" s="167">
        <v>29835284</v>
      </c>
      <c r="F25" s="174"/>
      <c r="G25" s="142"/>
      <c r="H25" s="167"/>
      <c r="I25" s="167"/>
      <c r="J25" s="142"/>
      <c r="K25" s="141"/>
      <c r="L25" s="139" t="s">
        <v>65</v>
      </c>
      <c r="M25" s="165" t="s">
        <v>68</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0" t="s">
        <v>23</v>
      </c>
      <c r="G27" s="171"/>
      <c r="H27" s="171"/>
      <c r="I27" s="171"/>
      <c r="J27" s="171"/>
      <c r="K27" s="172"/>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75</v>
      </c>
      <c r="E29" s="101">
        <v>1</v>
      </c>
      <c r="F29" s="148" t="s">
        <v>73</v>
      </c>
      <c r="G29" s="131"/>
      <c r="H29" s="131"/>
      <c r="I29" s="131"/>
      <c r="J29" s="131"/>
      <c r="K29" s="131"/>
      <c r="L29" s="176">
        <v>2948</v>
      </c>
      <c r="M29" s="107">
        <f t="shared" ref="M29:M37" si="0">IF(E29&lt;&gt;"",E29*L29,"")</f>
        <v>2948</v>
      </c>
      <c r="N29" s="52"/>
      <c r="O29" s="9"/>
    </row>
    <row r="30" spans="2:15" ht="30" x14ac:dyDescent="0.4">
      <c r="B30" s="7"/>
      <c r="C30" s="3"/>
      <c r="D30" s="135"/>
      <c r="E30" s="101"/>
      <c r="F30" s="148"/>
      <c r="G30" s="131"/>
      <c r="H30" s="131"/>
      <c r="I30" s="131"/>
      <c r="J30" s="131"/>
      <c r="K30" s="131"/>
      <c r="L30" s="103"/>
      <c r="M30" s="107" t="str">
        <f t="shared" si="0"/>
        <v/>
      </c>
      <c r="N30" s="52"/>
      <c r="O30" s="9"/>
    </row>
    <row r="31" spans="2:15" ht="30" x14ac:dyDescent="0.4">
      <c r="B31" s="7"/>
      <c r="C31" s="3"/>
      <c r="D31" s="135" t="s">
        <v>76</v>
      </c>
      <c r="E31" s="101">
        <v>1</v>
      </c>
      <c r="F31" s="148" t="s">
        <v>74</v>
      </c>
      <c r="G31" s="131"/>
      <c r="H31" s="131"/>
      <c r="I31" s="131"/>
      <c r="J31" s="131"/>
      <c r="K31" s="131"/>
      <c r="L31" s="176">
        <v>1548</v>
      </c>
      <c r="M31" s="107">
        <f t="shared" si="0"/>
        <v>1548</v>
      </c>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c r="E33" s="101"/>
      <c r="F33" s="148"/>
      <c r="G33" s="131"/>
      <c r="H33" s="131"/>
      <c r="I33" s="131"/>
      <c r="J33" s="131"/>
      <c r="K33" s="131"/>
      <c r="L33" s="103"/>
      <c r="M33" s="107" t="str">
        <f t="shared" si="0"/>
        <v/>
      </c>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si="0"/>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4496</v>
      </c>
      <c r="N38" s="52"/>
      <c r="O38" s="9"/>
    </row>
    <row r="39" spans="2:15" ht="35.25" x14ac:dyDescent="0.5">
      <c r="B39" s="7"/>
      <c r="C39" s="3"/>
      <c r="D39" s="83"/>
      <c r="E39" s="92"/>
      <c r="F39" s="115"/>
      <c r="G39" s="112"/>
      <c r="H39" s="112"/>
      <c r="I39" s="112"/>
      <c r="J39" s="113"/>
      <c r="K39" s="114"/>
      <c r="L39" s="117" t="s">
        <v>77</v>
      </c>
      <c r="M39" s="122">
        <f>+M38*15%</f>
        <v>674.4</v>
      </c>
      <c r="N39" s="52"/>
      <c r="O39" s="9"/>
    </row>
    <row r="40" spans="2:15" ht="35.25" x14ac:dyDescent="0.5">
      <c r="B40" s="7"/>
      <c r="C40" s="3"/>
      <c r="D40" s="83"/>
      <c r="E40" s="92"/>
      <c r="F40" s="115"/>
      <c r="G40" s="112"/>
      <c r="H40" s="112"/>
      <c r="I40" s="112"/>
      <c r="J40" s="113"/>
      <c r="K40" s="114"/>
      <c r="L40" s="117" t="s">
        <v>78</v>
      </c>
      <c r="M40" s="122">
        <f>+M38-M39</f>
        <v>3821.6</v>
      </c>
      <c r="N40" s="52"/>
      <c r="O40" s="9"/>
    </row>
    <row r="41" spans="2:15" ht="35.25" x14ac:dyDescent="0.5">
      <c r="B41" s="7"/>
      <c r="C41" s="3"/>
      <c r="D41" s="98"/>
      <c r="E41" s="94" t="s">
        <v>57</v>
      </c>
      <c r="F41" s="75"/>
      <c r="G41" s="75"/>
      <c r="H41" s="75"/>
      <c r="I41" s="75"/>
      <c r="J41" s="76"/>
      <c r="K41" s="90"/>
      <c r="L41" s="116" t="s">
        <v>47</v>
      </c>
      <c r="M41" s="99">
        <v>0.6</v>
      </c>
      <c r="N41" s="52"/>
      <c r="O41" s="9"/>
    </row>
    <row r="42" spans="2:15" ht="35.25" x14ac:dyDescent="0.5">
      <c r="B42" s="7"/>
      <c r="C42" s="3"/>
      <c r="D42" s="95"/>
      <c r="E42" s="94" t="s">
        <v>58</v>
      </c>
      <c r="F42" s="75"/>
      <c r="G42" s="75"/>
      <c r="H42" s="75"/>
      <c r="I42" s="75"/>
      <c r="J42" s="78"/>
      <c r="K42" s="91"/>
      <c r="L42" s="118">
        <v>0.19</v>
      </c>
      <c r="M42" s="99">
        <f>+M40*19%</f>
        <v>726.10400000000004</v>
      </c>
      <c r="N42" s="52"/>
      <c r="O42" s="9"/>
    </row>
    <row r="43" spans="2:15" ht="35.25" customHeight="1" x14ac:dyDescent="0.5">
      <c r="B43" s="7"/>
      <c r="C43" s="3"/>
      <c r="D43" s="83"/>
      <c r="E43" s="97"/>
      <c r="F43" s="93"/>
      <c r="G43" s="80"/>
      <c r="H43" s="79"/>
      <c r="I43" s="75"/>
      <c r="J43" s="81"/>
      <c r="K43" s="90"/>
      <c r="L43" s="100" t="s">
        <v>28</v>
      </c>
      <c r="M43" s="99">
        <f>+M40+M41+M42</f>
        <v>4548.3040000000001</v>
      </c>
      <c r="N43" s="52"/>
      <c r="O43" s="9"/>
    </row>
    <row r="44" spans="2:15" ht="18" x14ac:dyDescent="0.2">
      <c r="B44" s="7"/>
      <c r="C44" s="3"/>
      <c r="D44" s="74"/>
      <c r="E44" s="84"/>
      <c r="F44" s="96"/>
      <c r="G44" s="75"/>
      <c r="H44" s="62"/>
      <c r="I44" s="75"/>
      <c r="J44" s="82" t="s">
        <v>27</v>
      </c>
      <c r="K44" s="76"/>
      <c r="L44" s="132"/>
      <c r="M44" s="132"/>
      <c r="N44" s="52"/>
      <c r="O44" s="9"/>
    </row>
    <row r="45" spans="2:15" ht="34.5" x14ac:dyDescent="0.45">
      <c r="B45" s="7"/>
      <c r="C45" s="3"/>
      <c r="D45" s="175" t="s">
        <v>79</v>
      </c>
      <c r="E45" s="175"/>
      <c r="F45" s="175"/>
      <c r="G45" s="175"/>
      <c r="H45" s="175"/>
      <c r="I45" s="175"/>
      <c r="J45" s="175"/>
      <c r="K45" s="175"/>
      <c r="L45" s="175"/>
      <c r="M45" s="133"/>
      <c r="N45" s="52"/>
      <c r="O45" s="9"/>
    </row>
    <row r="46" spans="2:15" x14ac:dyDescent="0.2">
      <c r="B46" s="7"/>
      <c r="C46" s="3"/>
      <c r="D46" s="175"/>
      <c r="E46" s="175"/>
      <c r="F46" s="175"/>
      <c r="G46" s="175"/>
      <c r="H46" s="175"/>
      <c r="I46" s="175"/>
      <c r="J46" s="175"/>
      <c r="K46" s="175"/>
      <c r="L46" s="175"/>
      <c r="M46" s="111"/>
      <c r="N46" s="52"/>
      <c r="O46" s="9"/>
    </row>
    <row r="47" spans="2:15" ht="26.25" x14ac:dyDescent="0.4">
      <c r="B47" s="7"/>
      <c r="C47" s="3"/>
      <c r="D47" s="173"/>
      <c r="E47" s="173"/>
      <c r="F47" s="173"/>
      <c r="G47" s="173"/>
      <c r="H47" s="173"/>
      <c r="I47" s="173"/>
      <c r="J47" s="173"/>
      <c r="K47" s="173"/>
      <c r="L47" s="173"/>
      <c r="M47" s="121"/>
      <c r="N47" s="52"/>
      <c r="O47" s="9"/>
    </row>
    <row r="48" spans="2:15" ht="26.25" x14ac:dyDescent="0.4">
      <c r="B48" s="7"/>
      <c r="C48" s="3"/>
      <c r="D48" s="111"/>
      <c r="E48" s="111"/>
      <c r="F48" s="121"/>
      <c r="G48" s="127"/>
      <c r="H48" s="127"/>
      <c r="I48" s="127"/>
      <c r="J48" s="76"/>
      <c r="K48" s="110"/>
      <c r="L48" s="137" t="s">
        <v>63</v>
      </c>
      <c r="M48" s="137"/>
      <c r="N48" s="52"/>
      <c r="O48" s="9"/>
    </row>
    <row r="49" spans="2:16" ht="23.25" x14ac:dyDescent="0.25">
      <c r="B49" s="7"/>
      <c r="C49" s="3"/>
      <c r="D49" s="111"/>
      <c r="E49" s="111"/>
      <c r="F49" s="128"/>
      <c r="G49" s="169"/>
      <c r="H49" s="169"/>
      <c r="I49" s="169"/>
      <c r="J49" s="76"/>
      <c r="K49" s="110"/>
      <c r="L49" s="105"/>
      <c r="M49" s="105"/>
      <c r="N49" s="105"/>
      <c r="O49" s="9"/>
    </row>
    <row r="50" spans="2:16" ht="23.25" x14ac:dyDescent="0.2">
      <c r="B50" s="7"/>
      <c r="C50" s="3"/>
      <c r="D50" s="111"/>
      <c r="E50" s="111"/>
      <c r="F50" s="77"/>
      <c r="G50" s="76"/>
      <c r="H50" s="76"/>
      <c r="I50" s="76"/>
      <c r="J50" s="76"/>
      <c r="K50" s="110"/>
      <c r="L50" s="105"/>
      <c r="M50" s="105"/>
      <c r="N50" s="105"/>
      <c r="O50" s="9"/>
    </row>
    <row r="51" spans="2:16" ht="15" x14ac:dyDescent="0.2">
      <c r="B51" s="7"/>
      <c r="C51" s="3"/>
      <c r="D51" s="111"/>
      <c r="E51" s="111"/>
      <c r="F51" s="76"/>
      <c r="G51" s="76"/>
      <c r="H51" s="76"/>
      <c r="I51" s="76"/>
      <c r="J51" s="76"/>
      <c r="K51" s="105"/>
      <c r="L51" s="105"/>
      <c r="M51" s="105"/>
      <c r="N51" s="105"/>
      <c r="O51" s="9"/>
    </row>
    <row r="52" spans="2:16" ht="20.25" x14ac:dyDescent="0.3">
      <c r="B52" s="7"/>
      <c r="C52" s="3"/>
      <c r="D52" s="108" t="s">
        <v>60</v>
      </c>
      <c r="E52" s="138"/>
      <c r="F52" s="76"/>
      <c r="G52" s="76"/>
      <c r="H52" s="76"/>
      <c r="I52" s="76"/>
      <c r="J52" s="76"/>
      <c r="K52" s="85"/>
      <c r="L52" s="85"/>
      <c r="M52" s="86"/>
      <c r="N52" s="52"/>
      <c r="O52" s="9"/>
    </row>
    <row r="53" spans="2:16" ht="20.25" x14ac:dyDescent="0.3">
      <c r="B53" s="7"/>
      <c r="C53" s="3"/>
      <c r="D53" s="109" t="s">
        <v>61</v>
      </c>
      <c r="E53" s="109"/>
      <c r="F53" s="76"/>
      <c r="G53" s="76"/>
      <c r="H53" s="76"/>
      <c r="I53" s="76"/>
      <c r="J53" s="78"/>
      <c r="K53" s="85"/>
      <c r="L53" s="85"/>
      <c r="M53" s="85"/>
      <c r="N53" s="52"/>
      <c r="O53" s="9"/>
    </row>
    <row r="54" spans="2:16" ht="18" x14ac:dyDescent="0.25">
      <c r="B54" s="7"/>
      <c r="C54" s="3"/>
      <c r="D54" s="74"/>
      <c r="E54" s="74"/>
      <c r="F54" s="76"/>
      <c r="G54" s="76"/>
      <c r="H54" s="76"/>
      <c r="I54" s="76"/>
      <c r="J54" s="78"/>
      <c r="K54" s="85"/>
      <c r="L54" s="85"/>
      <c r="M54" s="85"/>
      <c r="N54" s="89"/>
      <c r="O54" s="9"/>
    </row>
    <row r="55" spans="2:16" ht="18" x14ac:dyDescent="0.25">
      <c r="B55" s="7"/>
      <c r="C55" s="3"/>
      <c r="D55" s="168" t="s">
        <v>52</v>
      </c>
      <c r="E55" s="168"/>
      <c r="F55" s="168"/>
      <c r="G55" s="168"/>
      <c r="H55" s="168"/>
      <c r="I55" s="168"/>
      <c r="J55" s="168"/>
      <c r="K55" s="168"/>
      <c r="L55" s="168"/>
      <c r="M55" s="85"/>
      <c r="N55" s="89"/>
      <c r="O55" s="9"/>
    </row>
    <row r="56" spans="2:16" ht="18" x14ac:dyDescent="0.25">
      <c r="B56" s="7"/>
      <c r="C56" s="3"/>
      <c r="D56" s="168"/>
      <c r="E56" s="168"/>
      <c r="F56" s="168"/>
      <c r="G56" s="168"/>
      <c r="H56" s="168"/>
      <c r="I56" s="168"/>
      <c r="J56" s="168"/>
      <c r="K56" s="168"/>
      <c r="L56" s="168"/>
      <c r="M56" s="86"/>
      <c r="N56" s="89"/>
      <c r="O56" s="9"/>
    </row>
    <row r="57" spans="2:16" ht="15" x14ac:dyDescent="0.2">
      <c r="B57" s="7"/>
      <c r="C57" s="3"/>
      <c r="D57" s="168"/>
      <c r="E57" s="168"/>
      <c r="F57" s="168"/>
      <c r="G57" s="168"/>
      <c r="H57" s="168"/>
      <c r="I57" s="168"/>
      <c r="J57" s="168"/>
      <c r="K57" s="168"/>
      <c r="L57" s="168"/>
      <c r="M57" s="86"/>
      <c r="N57" s="52"/>
      <c r="O57" s="123"/>
      <c r="P57" s="124"/>
    </row>
    <row r="58" spans="2:16" ht="15.75" thickBot="1" x14ac:dyDescent="0.25">
      <c r="B58" s="7"/>
      <c r="C58" s="120"/>
      <c r="D58" s="3"/>
      <c r="E58" s="3"/>
      <c r="F58" s="3"/>
      <c r="G58" s="3"/>
      <c r="H58" s="3"/>
      <c r="I58" s="3"/>
      <c r="J58" s="3"/>
      <c r="K58" s="3"/>
      <c r="L58" s="3"/>
      <c r="M58" s="3"/>
      <c r="N58" s="52"/>
      <c r="O58" s="125"/>
      <c r="P58" s="126"/>
    </row>
    <row r="59" spans="2:16" ht="13.5" thickTop="1" x14ac:dyDescent="0.2">
      <c r="B59" s="7"/>
      <c r="C59" s="120"/>
      <c r="D59" s="53"/>
      <c r="E59" s="53"/>
      <c r="F59" s="53"/>
      <c r="G59" s="53"/>
      <c r="H59" s="53"/>
      <c r="I59" s="53"/>
      <c r="J59" s="53"/>
      <c r="K59" s="53"/>
      <c r="L59" s="53"/>
      <c r="M59" s="53"/>
      <c r="N59" s="52"/>
      <c r="O59" s="9"/>
    </row>
    <row r="60" spans="2:16" x14ac:dyDescent="0.2">
      <c r="B60" s="7"/>
      <c r="C60" s="120"/>
      <c r="D60" s="119"/>
      <c r="E60" s="119"/>
      <c r="F60" s="119"/>
      <c r="G60" s="119"/>
      <c r="H60" s="119"/>
      <c r="I60" s="119"/>
      <c r="J60" s="119"/>
      <c r="K60" s="119"/>
      <c r="L60" s="119"/>
      <c r="M60" s="120"/>
      <c r="N60" s="52"/>
      <c r="O60" s="9"/>
    </row>
    <row r="61" spans="2:16" x14ac:dyDescent="0.2">
      <c r="B61" s="7"/>
      <c r="C61" s="120"/>
      <c r="D61" s="132"/>
      <c r="E61" s="132"/>
      <c r="F61" s="132"/>
      <c r="G61" s="132"/>
      <c r="H61" s="132"/>
      <c r="I61" s="132"/>
      <c r="J61" s="132"/>
      <c r="K61" s="132"/>
      <c r="L61" s="132"/>
      <c r="M61" s="132"/>
      <c r="N61" s="52"/>
      <c r="O61" s="9"/>
    </row>
    <row r="62" spans="2:16" x14ac:dyDescent="0.2">
      <c r="B62" s="7"/>
      <c r="C62" s="119"/>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5" x14ac:dyDescent="0.2">
      <c r="B65" s="7"/>
      <c r="C65" s="132"/>
      <c r="D65" s="132"/>
      <c r="E65" s="132"/>
      <c r="F65" s="132"/>
      <c r="G65" s="132"/>
      <c r="H65" s="132"/>
      <c r="I65" s="132"/>
      <c r="J65" s="132"/>
      <c r="K65" s="132"/>
      <c r="L65" s="132"/>
      <c r="M65" s="132"/>
      <c r="N65" s="132"/>
      <c r="O65" s="9"/>
    </row>
    <row r="66" spans="1:15" ht="18" customHeight="1" x14ac:dyDescent="0.2">
      <c r="B66" s="7"/>
      <c r="C66" s="132"/>
      <c r="D66" s="132"/>
      <c r="E66" s="132"/>
      <c r="F66" s="132"/>
      <c r="G66" s="132"/>
      <c r="H66" s="132"/>
      <c r="I66" s="132"/>
      <c r="J66" s="132"/>
      <c r="K66" s="132"/>
      <c r="L66" s="132"/>
      <c r="M66" s="132"/>
      <c r="N66" s="132"/>
    </row>
    <row r="67" spans="1:15" ht="15" customHeight="1" x14ac:dyDescent="0.2">
      <c r="B67" s="7"/>
      <c r="C67" s="132"/>
      <c r="D67" s="132"/>
      <c r="E67" s="132"/>
      <c r="F67" s="132"/>
      <c r="G67" s="132"/>
      <c r="H67" s="132"/>
      <c r="I67" s="132"/>
      <c r="J67" s="132"/>
      <c r="K67" s="132"/>
      <c r="L67" s="132"/>
      <c r="M67" s="132"/>
      <c r="N67" s="132"/>
    </row>
    <row r="68" spans="1:15" ht="20.100000000000001" customHeight="1" x14ac:dyDescent="0.2">
      <c r="B68" s="7"/>
      <c r="C68" s="132"/>
      <c r="D68" s="132"/>
      <c r="E68" s="132"/>
      <c r="F68" s="132"/>
      <c r="G68" s="132"/>
      <c r="H68" s="132"/>
      <c r="I68" s="132"/>
      <c r="J68" s="132"/>
      <c r="K68" s="132"/>
      <c r="L68" s="132"/>
      <c r="M68" s="132"/>
      <c r="N68" s="132"/>
    </row>
    <row r="69" spans="1:15" x14ac:dyDescent="0.2">
      <c r="B69" s="7"/>
      <c r="C69" s="132"/>
      <c r="D69" s="132"/>
      <c r="E69" s="132"/>
      <c r="F69" s="132"/>
      <c r="G69" s="132"/>
      <c r="H69" s="132"/>
      <c r="I69" s="132"/>
      <c r="J69" s="132"/>
      <c r="K69" s="132"/>
      <c r="L69" s="132"/>
      <c r="M69" s="132"/>
      <c r="N69" s="132"/>
    </row>
    <row r="70" spans="1:15" x14ac:dyDescent="0.2">
      <c r="B70" s="7"/>
      <c r="C70" s="132"/>
      <c r="D70" s="132"/>
      <c r="E70" s="132"/>
      <c r="F70" s="132"/>
      <c r="G70" s="132"/>
      <c r="H70" s="132"/>
      <c r="I70" s="132"/>
      <c r="J70" s="132"/>
      <c r="K70" s="132"/>
      <c r="L70" s="132"/>
      <c r="M70" s="132"/>
      <c r="N70" s="132"/>
    </row>
    <row r="71" spans="1:15" x14ac:dyDescent="0.2">
      <c r="A71" s="119"/>
      <c r="B71" s="119"/>
      <c r="C71" s="132"/>
      <c r="D71" s="132"/>
      <c r="E71" s="132"/>
      <c r="F71" s="132"/>
      <c r="G71" s="132"/>
      <c r="H71" s="132"/>
      <c r="I71" s="132"/>
      <c r="J71" s="132"/>
      <c r="K71" s="132"/>
      <c r="L71" s="132"/>
      <c r="M71" s="132"/>
      <c r="N71" s="132"/>
    </row>
    <row r="72" spans="1:15" x14ac:dyDescent="0.2">
      <c r="D72" s="132"/>
      <c r="E72" s="132"/>
      <c r="F72" s="132"/>
      <c r="G72" s="132"/>
      <c r="H72" s="132"/>
      <c r="I72" s="132"/>
      <c r="J72" s="132"/>
      <c r="K72" s="132"/>
      <c r="L72" s="132"/>
      <c r="M72" s="132"/>
      <c r="N72" s="132"/>
    </row>
    <row r="73" spans="1:15" x14ac:dyDescent="0.2">
      <c r="D73" s="132"/>
      <c r="E73" s="132"/>
      <c r="F73" s="132"/>
      <c r="G73" s="132"/>
      <c r="H73" s="132"/>
      <c r="I73" s="132"/>
      <c r="J73" s="132"/>
      <c r="K73" s="132"/>
      <c r="L73" s="132"/>
      <c r="M73" s="132"/>
      <c r="N73" s="132"/>
    </row>
    <row r="74" spans="1:15" x14ac:dyDescent="0.2">
      <c r="D74" s="132"/>
      <c r="E74" s="132"/>
      <c r="F74" s="132"/>
      <c r="G74" s="132"/>
      <c r="H74" s="132"/>
      <c r="I74" s="132"/>
      <c r="J74" s="132"/>
      <c r="K74" s="132"/>
      <c r="L74" s="132"/>
      <c r="M74" s="132"/>
      <c r="N74" s="132"/>
    </row>
    <row r="75" spans="1:15" x14ac:dyDescent="0.2">
      <c r="D75" s="132"/>
      <c r="E75" s="132"/>
      <c r="F75" s="132"/>
      <c r="G75" s="132"/>
      <c r="H75" s="132"/>
      <c r="I75" s="132"/>
      <c r="J75" s="132"/>
      <c r="K75" s="132"/>
      <c r="L75" s="132"/>
      <c r="M75" s="132"/>
      <c r="N75"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5:L57"/>
    <mergeCell ref="G49:I49"/>
    <mergeCell ref="G24:H24"/>
    <mergeCell ref="F27:K27"/>
    <mergeCell ref="D47:L47"/>
    <mergeCell ref="E24:F24"/>
    <mergeCell ref="I24:J24"/>
    <mergeCell ref="E25:F25"/>
    <mergeCell ref="D45:L46"/>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EAET</v>
      </c>
      <c r="E8" s="62" t="str">
        <f>Facture!$E$23</f>
        <v xml:space="preserve">15,RUE TAZARKA ZI KSAR SAID </v>
      </c>
      <c r="F8" s="62">
        <f>Facture!$E$24</f>
        <v>2041</v>
      </c>
      <c r="G8" s="65" t="str">
        <f>Facture!$G$24</f>
        <v xml:space="preserve">ARIANA </v>
      </c>
      <c r="H8" s="65" t="str">
        <f>Facture!$J$24</f>
        <v>TN</v>
      </c>
      <c r="I8" s="62">
        <f>Facture!$E$25</f>
        <v>29835284</v>
      </c>
      <c r="J8" s="66">
        <f>Facture!$M$43</f>
        <v>4548.3040000000001</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2021-02-04T09:17:19Z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4548.304</vt:r8>
  </property>
</Properties>
</file>