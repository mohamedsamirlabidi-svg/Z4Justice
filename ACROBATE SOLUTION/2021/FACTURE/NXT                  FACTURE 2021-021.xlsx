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Facture!$M$58</definedName>
    <definedName name="_Tax3">Facture!$M$61</definedName>
    <definedName name="_tax4">Facture!$M$61</definedName>
    <definedName name="_xlnm.Auto_Open21">'AutoOpen Stub Data'!$A$1</definedName>
    <definedName name="boxes">Facture!$E$57:$E$58</definedName>
    <definedName name="CC">'Personnaliser votre facture'!$G$22:$G$25</definedName>
    <definedName name="CCT">Facture!$H$59</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Facture!$E$54</definedName>
    <definedName name="data6">Facture!$F$22</definedName>
    <definedName name="data60">Facture!$F$54</definedName>
    <definedName name="data61">Facture!$M$54</definedName>
    <definedName name="data62">Facture!$E$57</definedName>
    <definedName name="data63">Facture!$E$58</definedName>
    <definedName name="data64">Facture!$E$59</definedName>
    <definedName name="data65">Facture!$H$58</definedName>
    <definedName name="data66">Facture!$F$65</definedName>
    <definedName name="data67">Facture!$F$66</definedName>
    <definedName name="data68">Facture!$G$70</definedName>
    <definedName name="data69">Facture!$K$70</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Facture!$F$54:$K$54</definedName>
    <definedName name="qzqzqz26">Facture!$F$65:$I$65</definedName>
    <definedName name="qzqzqz27">Facture!#REF!</definedName>
    <definedName name="qzqzqz28">Facture!$F$66:$I$66</definedName>
    <definedName name="qzqzqz29">Facture!$K$70:$N$70</definedName>
    <definedName name="qzqzqz3">Facture!$E$22:$J$22</definedName>
    <definedName name="qzqzqz30">Facture!$G$70:$I$70</definedName>
    <definedName name="qzqzqz31">Facture!$G$70:$H$70</definedName>
    <definedName name="qzqzqz32">Facture!$K$66:$N$70</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Facture!$N$60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Facture!$C$3:$O$75</definedName>
  </definedNames>
  <calcPr calcId="152511"/>
</workbook>
</file>

<file path=xl/calcChain.xml><?xml version="1.0" encoding="utf-8"?>
<calcChain xmlns="http://schemas.openxmlformats.org/spreadsheetml/2006/main">
  <c r="N60" i="3" l="1"/>
  <c r="N58" i="3"/>
  <c r="N31" i="3" l="1"/>
  <c r="N32" i="3"/>
  <c r="N33" i="3"/>
  <c r="N34" i="3"/>
  <c r="N35" i="3"/>
  <c r="N37" i="3" l="1"/>
  <c r="N36" i="3" l="1"/>
  <c r="N38" i="3"/>
  <c r="N42" i="3"/>
  <c r="N43" i="3"/>
  <c r="N44" i="3" l="1"/>
  <c r="N45" i="3"/>
  <c r="N53" i="3" l="1"/>
  <c r="N54" i="3"/>
  <c r="N30" i="3"/>
  <c r="N56" i="3" l="1"/>
  <c r="K8" i="8"/>
  <c r="I8" i="8"/>
  <c r="H8" i="8"/>
  <c r="G8" i="8"/>
  <c r="F8" i="8"/>
  <c r="E8" i="8"/>
  <c r="D8" i="8"/>
  <c r="C8" i="8"/>
  <c r="B8" i="8"/>
  <c r="N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<sst xmlns="http://schemas.openxmlformats.org/spreadsheetml/2006/main" count="118" uniqueCount="101">
  <si>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</si>
  <si>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</si>
  <si>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</si>
  <si>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</si>
  <si>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</si>
  <si>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</si>
  <si>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</si>
  <si>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</si>
  <si>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</si>
  <si>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</si>
  <si>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</si>
  <si>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</si>
  <si>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</si>
  <si>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</si>
  <si>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</si>
  <si>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</si>
  <si>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</si>
  <si>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</si>
  <si>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</si>
  <si>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</si>
  <si>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</si>
  <si>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</si>
  <si>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</si>
  <si>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</si>
  <si>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</si>
  <si>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</si>
  <si>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</si>
  <si>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</si>
  <si>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</si>
  <si>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</si>
  <si>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</si>
  <si>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</si>
  <si>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</si>
  <si>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</si>
  <si>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</si>
  <si>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</si>
  <si>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</si>
  <si>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</si>
  <si>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</si>
  <si>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</si>
  <si>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</si>
  <si>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</si>
  <si>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</si>
  <si>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</si>
  <si>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</si>
  <si>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</si>
  <si>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</si>
  <si>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</si>
  <si>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</si>
  <si>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</si>
  <si>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</si>
  <si>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</si>
  <si>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</si>
  <si>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</si>
  <si>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</si>
  <si>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</si>
  <si>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</si>
  <si>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</si>
  <si>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</si>
  <si>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</si>
  <si>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</si>
  <si>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</si>
  <si>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</si>
  <si>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</si>
  <si>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</si>
  <si>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</si>
  <si>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 xml:space="preserve">Chèque 30 jours date de réception de facture </t>
  </si>
  <si>
    <t>FR2020154</t>
  </si>
  <si>
    <t xml:space="preserve">HARNAIS ORBITAL </t>
  </si>
  <si>
    <t>CONTRÔLE DE CONFORMITE :</t>
  </si>
  <si>
    <t xml:space="preserve">LONGE DE MAINTIEN </t>
  </si>
  <si>
    <t xml:space="preserve">LONGE DOUBLE ESLASTIQUE </t>
  </si>
  <si>
    <t>ID0511-06/2015</t>
  </si>
  <si>
    <t>ID:0002-11/2012</t>
  </si>
  <si>
    <t>ID:0155-11/2015</t>
  </si>
  <si>
    <t>ID:0262-03/2015</t>
  </si>
  <si>
    <t>ID:0019-03/2015</t>
  </si>
  <si>
    <t>ID:0276-11/2015</t>
  </si>
  <si>
    <t>ID:0486-06/2015</t>
  </si>
  <si>
    <t>HARNAIS GOLDEN TOP</t>
  </si>
  <si>
    <t>ID:0061-08/2015</t>
  </si>
  <si>
    <t>ID:0068-08/2015</t>
  </si>
  <si>
    <t xml:space="preserve">ID:0165-01/2016 </t>
  </si>
  <si>
    <t>ID:0295-01/2016</t>
  </si>
  <si>
    <t>ID:0169-01/2016</t>
  </si>
  <si>
    <t>ID:0025-01/2016</t>
  </si>
  <si>
    <t>ID:0724-06/2015</t>
  </si>
  <si>
    <t>ID:0138-01/2016</t>
  </si>
  <si>
    <t>ID:0154-01/2016</t>
  </si>
  <si>
    <t>ID:0143-01/2016</t>
  </si>
  <si>
    <t>ID:2105-08/2015</t>
  </si>
  <si>
    <t>ID:0307-01/2015</t>
  </si>
  <si>
    <t>ID:0401-01/2015</t>
  </si>
  <si>
    <t>ID:0929-07/2015</t>
  </si>
  <si>
    <t>ID:0995-03/2015</t>
  </si>
  <si>
    <t>ID:1271-08/2015</t>
  </si>
  <si>
    <t>ID:0119-08/2015</t>
  </si>
  <si>
    <t>ID:0962-08/2015</t>
  </si>
  <si>
    <t>FACTURE N° 2021-021</t>
  </si>
  <si>
    <t>'Total H.T.</t>
  </si>
  <si>
    <t>ARRETE LA PRESENTE FACTURE A LA SOMME DE:SEPT CENT DEUX DINARS ET 700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</si>
</sst>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
      <sz val="12"/>
      <color rgb="FF00B0F0"/>
      <name val="Arial"/>
      <family val="2"/>
    </font>
    <font>
      <sz val="10"/>
      <color rgb="FF00B0F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32" fillId="6" borderId="0" xfId="0" applyFont="1" applyFill="1" applyBorder="1"/>
    <xf numFmtId="0" fontId="32" fillId="3" borderId="0" xfId="0" applyFont="1" applyFill="1" applyBorder="1" applyAlignment="1"/>
    <xf numFmtId="0" fontId="33" fillId="6" borderId="0" xfId="0" applyFont="1" applyFill="1" applyBorder="1"/>
    <xf numFmtId="0" fontId="33" fillId="6" borderId="34" xfId="0" applyFont="1" applyFill="1" applyBorder="1"/>
    <xf numFmtId="49" fontId="33" fillId="0" borderId="32" xfId="0" applyNumberFormat="1" applyFont="1" applyFill="1" applyBorder="1" applyAlignment="1"/>
    <xf numFmtId="49" fontId="33" fillId="0" borderId="0" xfId="0" applyNumberFormat="1" applyFont="1" applyFill="1" applyBorder="1" applyAlignment="1"/>
    <xf numFmtId="0" fontId="0" fillId="6" borderId="39" xfId="0" applyFill="1" applyBorder="1"/>
    <xf numFmtId="168" fontId="0" fillId="6" borderId="39" xfId="0" applyNumberForma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9" fillId="3" borderId="0" xfId="0" applyFont="1" applyFill="1" applyBorder="1" applyAlignment="1">
      <alignment horizontal="center"/>
    </xf>
    <xf numFmtId="0" fontId="2" fillId="3" borderId="0" xfId="0" quotePrefix="1" applyFont="1" applyFill="1" applyBorder="1" applyAlignment="1">
      <alignment horizontal="center"/>
    </xf>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0" fontId="10" fillId="6" borderId="0" xfId="0" applyFont="1" applyFill="1" applyBorder="1" applyAlignment="1">
      <alignment horizontal="left"/>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9"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55</xdr:row>
          <xdr:rowOff>152400</xdr:rowOff>
        </xdr:from>
        <xdr:to>
          <xdr:col>4</xdr:col>
          <xdr:colOff>695325</xdr:colOff>
          <xdr:row>56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57</xdr:row>
          <xdr:rowOff>0</xdr:rowOff>
        </xdr:from>
        <xdr:to>
          <xdr:col>4</xdr:col>
          <xdr:colOff>704850</xdr:colOff>
          <xdr:row>59</xdr:row>
          <xdr:rowOff>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58</xdr:row>
          <xdr:rowOff>28575</xdr:rowOff>
        </xdr:from>
        <xdr:to>
          <xdr:col>4</xdr:col>
          <xdr:colOff>714375</xdr:colOff>
          <xdr:row>60</xdr:row>
          <xdr:rowOff>142875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3" t="s">
        <v>0</v>
      </c>
      <c r="E4" s="144"/>
      <c r="F4" s="144"/>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43</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5" t="s">
        <v>2</v>
      </c>
      <c r="E10" s="146"/>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51</v>
      </c>
      <c r="F12" s="65" t="s">
        <v>4</v>
      </c>
      <c r="G12" s="16"/>
      <c r="H12" s="25"/>
      <c r="I12" s="3"/>
      <c r="J12" s="8"/>
    </row>
    <row r="13" spans="2:10" ht="13.5" thickBot="1" x14ac:dyDescent="0.25">
      <c r="B13" s="7"/>
      <c r="C13" s="3"/>
      <c r="D13" s="32" t="s">
        <v>5</v>
      </c>
      <c r="E13" s="13" t="s">
        <v>47</v>
      </c>
      <c r="F13" s="65" t="s">
        <v>6</v>
      </c>
      <c r="G13" s="17"/>
      <c r="H13" s="25"/>
      <c r="I13" s="3"/>
      <c r="J13" s="8"/>
    </row>
    <row r="14" spans="2:10" x14ac:dyDescent="0.2">
      <c r="B14" s="7"/>
      <c r="C14" s="3"/>
      <c r="D14" s="32" t="s">
        <v>7</v>
      </c>
      <c r="E14" s="14" t="s">
        <v>48</v>
      </c>
      <c r="F14" s="26"/>
      <c r="G14" s="27"/>
      <c r="H14" s="25"/>
      <c r="I14" s="3"/>
      <c r="J14" s="8"/>
    </row>
    <row r="15" spans="2:10" x14ac:dyDescent="0.2">
      <c r="B15" s="7"/>
      <c r="C15" s="3"/>
      <c r="D15" s="32" t="s">
        <v>8</v>
      </c>
      <c r="E15" s="13" t="s">
        <v>49</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7" t="s">
        <v>44</v>
      </c>
      <c r="E19" s="146"/>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32</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45</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8" t="str">
        <f>LOWER(TemplateInformation!B3)</f>
        <v>c:\program files\microsoft office\office\macrolib\factbd.xls</v>
      </c>
      <c r="G33" s="149"/>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5" t="s">
        <v>16</v>
      </c>
      <c r="E36" s="146"/>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5"/>
  <sheetViews>
    <sheetView showGridLines="0" showRowColHeaders="0" tabSelected="1" topLeftCell="A10" zoomScale="95" workbookViewId="0">
      <selection activeCell="L58" sqref="L5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0"/>
      <c r="N9" s="161"/>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69" t="s">
        <v>53</v>
      </c>
      <c r="N13" s="170"/>
      <c r="O13" s="3"/>
      <c r="P13" s="8"/>
    </row>
    <row r="14" spans="2:16" x14ac:dyDescent="0.2">
      <c r="B14" s="7"/>
      <c r="C14" s="3"/>
      <c r="D14" s="3"/>
      <c r="E14" s="3"/>
      <c r="F14" s="3"/>
      <c r="G14" s="3"/>
      <c r="H14" s="154"/>
      <c r="I14" s="154"/>
      <c r="J14" s="154"/>
      <c r="K14" s="154"/>
      <c r="L14" s="154"/>
      <c r="M14" s="3"/>
      <c r="N14" s="3"/>
      <c r="O14" s="3"/>
      <c r="P14" s="8"/>
    </row>
    <row r="15" spans="2:16" ht="20.100000000000001" customHeight="1" x14ac:dyDescent="0.2">
      <c r="B15" s="7"/>
      <c r="C15" s="3"/>
      <c r="D15" s="3"/>
      <c r="E15" s="3"/>
      <c r="F15" s="3"/>
      <c r="G15" s="3"/>
      <c r="H15" s="154"/>
      <c r="I15" s="154"/>
      <c r="J15" s="154"/>
      <c r="K15" s="154"/>
      <c r="L15" s="154"/>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81" t="s">
        <v>98</v>
      </c>
      <c r="N17" s="182"/>
      <c r="O17" s="3"/>
      <c r="P17" s="8"/>
    </row>
    <row r="18" spans="1:16" ht="19.5" thickTop="1" x14ac:dyDescent="0.3">
      <c r="B18" s="7"/>
      <c r="C18" s="3"/>
      <c r="D18" s="58"/>
      <c r="E18" s="58"/>
      <c r="F18" s="58"/>
      <c r="G18" s="58"/>
      <c r="H18" s="58"/>
      <c r="I18" s="58"/>
      <c r="J18" s="59"/>
      <c r="K18" s="59"/>
      <c r="L18" s="59"/>
      <c r="M18" s="183"/>
      <c r="N18" s="184"/>
      <c r="O18" s="19"/>
      <c r="P18" s="8"/>
    </row>
    <row r="19" spans="1:16" ht="13.5" thickBot="1" x14ac:dyDescent="0.25">
      <c r="B19" s="7"/>
      <c r="C19" s="3"/>
      <c r="D19" s="3"/>
      <c r="E19" s="3"/>
      <c r="F19" s="3"/>
      <c r="G19" s="3"/>
      <c r="H19" s="3"/>
      <c r="I19" s="3"/>
      <c r="J19" s="3"/>
      <c r="K19" s="3"/>
      <c r="L19" s="3"/>
      <c r="M19" s="185"/>
      <c r="N19" s="186"/>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5" t="s">
        <v>62</v>
      </c>
      <c r="F21" s="176"/>
      <c r="G21" s="176"/>
      <c r="H21" s="176"/>
      <c r="I21" s="176"/>
      <c r="J21" s="176"/>
      <c r="K21" s="82"/>
      <c r="L21" s="84" t="s">
        <v>18</v>
      </c>
      <c r="M21" s="164">
        <v>44259</v>
      </c>
      <c r="N21" s="165"/>
      <c r="O21" s="55"/>
      <c r="P21" s="8"/>
    </row>
    <row r="22" spans="1:16" ht="14.25" x14ac:dyDescent="0.2">
      <c r="B22" s="7"/>
      <c r="C22" s="3"/>
      <c r="D22" s="82" t="s">
        <v>5</v>
      </c>
      <c r="E22" s="173" t="s">
        <v>63</v>
      </c>
      <c r="F22" s="174"/>
      <c r="G22" s="174"/>
      <c r="H22" s="174"/>
      <c r="I22" s="174"/>
      <c r="J22" s="174"/>
      <c r="K22" s="82"/>
      <c r="L22" s="124" t="s">
        <v>59</v>
      </c>
      <c r="M22" s="190" t="s">
        <v>67</v>
      </c>
      <c r="N22" s="191"/>
      <c r="O22" s="56"/>
      <c r="P22" s="8"/>
    </row>
    <row r="23" spans="1:16" x14ac:dyDescent="0.2">
      <c r="B23" s="7"/>
      <c r="C23" s="3"/>
      <c r="D23" s="82" t="s">
        <v>7</v>
      </c>
      <c r="E23" s="89"/>
      <c r="F23" s="90" t="s">
        <v>8</v>
      </c>
      <c r="G23" s="171"/>
      <c r="H23" s="172"/>
      <c r="I23" s="91" t="s">
        <v>9</v>
      </c>
      <c r="J23" s="88" t="s">
        <v>50</v>
      </c>
      <c r="K23" s="82"/>
      <c r="L23" s="84" t="s">
        <v>19</v>
      </c>
      <c r="M23" s="166" t="s">
        <v>60</v>
      </c>
      <c r="N23" s="167"/>
      <c r="O23" s="3"/>
      <c r="P23" s="8"/>
    </row>
    <row r="24" spans="1:16" x14ac:dyDescent="0.2">
      <c r="B24" s="7"/>
      <c r="C24" s="3"/>
      <c r="D24" s="82" t="s">
        <v>20</v>
      </c>
      <c r="E24" s="177" t="s">
        <v>64</v>
      </c>
      <c r="F24" s="178"/>
      <c r="G24" s="178"/>
      <c r="H24" s="178"/>
      <c r="I24" s="178"/>
      <c r="J24" s="178"/>
      <c r="K24" s="82"/>
      <c r="L24" s="84" t="s">
        <v>46</v>
      </c>
      <c r="M24" s="168" t="s">
        <v>65</v>
      </c>
      <c r="N24" s="167"/>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33</v>
      </c>
      <c r="E26" s="51" t="s">
        <v>21</v>
      </c>
      <c r="F26" s="187" t="s">
        <v>22</v>
      </c>
      <c r="G26" s="188"/>
      <c r="H26" s="188"/>
      <c r="I26" s="188"/>
      <c r="J26" s="188"/>
      <c r="K26" s="188"/>
      <c r="L26" s="189"/>
      <c r="M26" s="52" t="s">
        <v>52</v>
      </c>
      <c r="N26" s="113" t="s">
        <v>23</v>
      </c>
      <c r="O26" s="57"/>
      <c r="P26" s="8"/>
    </row>
    <row r="27" spans="1:16" ht="15.75" x14ac:dyDescent="0.25">
      <c r="B27" s="7"/>
      <c r="C27" s="3"/>
      <c r="D27" s="93"/>
      <c r="E27" s="75"/>
      <c r="F27" s="179"/>
      <c r="G27" s="180"/>
      <c r="H27" s="180"/>
      <c r="I27" s="180"/>
      <c r="J27" s="180"/>
      <c r="K27" s="180"/>
      <c r="L27" s="127"/>
      <c r="M27" s="126"/>
      <c r="N27" s="96" t="str">
        <f t="shared" ref="N27" si="0">IF(E27&lt;&gt;"",E27*M27,"")</f>
        <v/>
      </c>
      <c r="O27" s="57"/>
      <c r="P27" s="8"/>
    </row>
    <row r="28" spans="1:16" ht="18.75" x14ac:dyDescent="0.3">
      <c r="B28" s="7"/>
      <c r="C28" s="3"/>
      <c r="D28" s="93"/>
      <c r="E28" s="75"/>
      <c r="F28" s="134" t="s">
        <v>69</v>
      </c>
      <c r="G28" s="131"/>
      <c r="H28" s="131"/>
      <c r="I28" s="131"/>
      <c r="J28" s="131"/>
      <c r="K28" s="131"/>
      <c r="L28" s="128"/>
      <c r="M28" s="126"/>
      <c r="N28" s="96"/>
      <c r="O28" s="57"/>
      <c r="P28" s="8"/>
    </row>
    <row r="29" spans="1:16" ht="15.75" x14ac:dyDescent="0.25">
      <c r="B29" s="7"/>
      <c r="C29" s="3"/>
      <c r="D29" s="93"/>
      <c r="E29" s="75"/>
      <c r="F29" s="130"/>
      <c r="G29" s="131"/>
      <c r="H29" s="131"/>
      <c r="I29" s="131"/>
      <c r="J29" s="131"/>
      <c r="K29" s="131"/>
      <c r="L29" s="128"/>
      <c r="M29" s="126"/>
      <c r="N29" s="96"/>
      <c r="O29" s="57"/>
      <c r="P29" s="8"/>
    </row>
    <row r="30" spans="1:16" ht="15" x14ac:dyDescent="0.2">
      <c r="B30" s="7"/>
      <c r="C30" s="3"/>
      <c r="D30" s="108">
        <v>2120</v>
      </c>
      <c r="E30" s="75">
        <v>7</v>
      </c>
      <c r="F30" s="132" t="s">
        <v>68</v>
      </c>
      <c r="G30" s="133"/>
      <c r="H30" s="81"/>
      <c r="I30" s="109"/>
      <c r="J30" s="109"/>
      <c r="K30" s="81"/>
      <c r="L30" s="128"/>
      <c r="M30" s="116">
        <v>30</v>
      </c>
      <c r="N30" s="96">
        <f>IF(E30&lt;&gt;"",E30*M30,"")</f>
        <v>210</v>
      </c>
      <c r="O30" s="57"/>
      <c r="P30" s="8"/>
    </row>
    <row r="31" spans="1:16" ht="15" x14ac:dyDescent="0.2">
      <c r="A31" s="99" t="s">
        <v>54</v>
      </c>
      <c r="B31" s="7"/>
      <c r="C31" s="3"/>
      <c r="D31" s="108"/>
      <c r="E31" s="75"/>
      <c r="F31" s="139" t="s">
        <v>72</v>
      </c>
      <c r="G31" s="135"/>
      <c r="H31" s="137" t="s">
        <v>73</v>
      </c>
      <c r="I31" s="137"/>
      <c r="J31" s="137" t="s">
        <v>74</v>
      </c>
      <c r="K31" s="136"/>
      <c r="L31" s="138"/>
      <c r="M31" s="116"/>
      <c r="N31" s="96" t="str">
        <f t="shared" ref="N31:N35" si="1">IF(E31&lt;&gt;"",E31*M31,"")</f>
        <v/>
      </c>
      <c r="O31" s="57"/>
      <c r="P31" s="8"/>
    </row>
    <row r="32" spans="1:16" ht="15" x14ac:dyDescent="0.2">
      <c r="B32" s="7"/>
      <c r="C32" s="3"/>
      <c r="D32" s="108"/>
      <c r="E32" s="139"/>
      <c r="F32" s="139" t="s">
        <v>75</v>
      </c>
      <c r="G32" s="135"/>
      <c r="H32" s="137" t="s">
        <v>76</v>
      </c>
      <c r="I32" s="137"/>
      <c r="J32" s="137" t="s">
        <v>77</v>
      </c>
      <c r="K32" s="136"/>
      <c r="L32" s="138"/>
      <c r="M32" s="116"/>
      <c r="N32" s="96" t="str">
        <f t="shared" si="1"/>
        <v/>
      </c>
      <c r="O32" s="57"/>
      <c r="P32" s="8"/>
    </row>
    <row r="33" spans="2:16" ht="15" x14ac:dyDescent="0.2">
      <c r="B33" s="7"/>
      <c r="C33" s="3"/>
      <c r="D33" s="108"/>
      <c r="E33" s="75"/>
      <c r="F33" s="139" t="s">
        <v>78</v>
      </c>
      <c r="G33" s="133"/>
      <c r="H33" s="81"/>
      <c r="I33" s="109"/>
      <c r="J33" s="109"/>
      <c r="K33" s="81"/>
      <c r="L33" s="128"/>
      <c r="M33" s="116"/>
      <c r="N33" s="96" t="str">
        <f t="shared" si="1"/>
        <v/>
      </c>
      <c r="O33" s="57"/>
      <c r="P33" s="8"/>
    </row>
    <row r="34" spans="2:16" ht="15" x14ac:dyDescent="0.2">
      <c r="B34" s="7"/>
      <c r="C34" s="3"/>
      <c r="D34" s="108">
        <v>92111</v>
      </c>
      <c r="E34" s="75">
        <v>2</v>
      </c>
      <c r="F34" s="132" t="s">
        <v>79</v>
      </c>
      <c r="G34" s="133"/>
      <c r="H34" s="81"/>
      <c r="I34" s="109"/>
      <c r="J34" s="109"/>
      <c r="K34" s="81"/>
      <c r="L34" s="128"/>
      <c r="M34" s="116">
        <v>30</v>
      </c>
      <c r="N34" s="96">
        <f t="shared" si="1"/>
        <v>60</v>
      </c>
      <c r="O34" s="57"/>
      <c r="P34" s="8"/>
    </row>
    <row r="35" spans="2:16" ht="15" x14ac:dyDescent="0.2">
      <c r="B35" s="7"/>
      <c r="C35" s="3"/>
      <c r="D35" s="108"/>
      <c r="E35" s="75"/>
      <c r="F35" s="139" t="s">
        <v>80</v>
      </c>
      <c r="G35" s="133"/>
      <c r="H35" s="137" t="s">
        <v>81</v>
      </c>
      <c r="I35" s="109"/>
      <c r="J35" s="109"/>
      <c r="K35" s="81"/>
      <c r="L35" s="128"/>
      <c r="M35" s="116"/>
      <c r="N35" s="96" t="str">
        <f t="shared" si="1"/>
        <v/>
      </c>
      <c r="O35" s="57"/>
      <c r="P35" s="8"/>
    </row>
    <row r="36" spans="2:16" ht="15" x14ac:dyDescent="0.2">
      <c r="B36" s="7"/>
      <c r="C36" s="3"/>
      <c r="D36" s="108"/>
      <c r="E36" s="75"/>
      <c r="F36" s="139"/>
      <c r="G36" s="135"/>
      <c r="H36" s="137"/>
      <c r="I36" s="137"/>
      <c r="J36" s="137"/>
      <c r="K36" s="136"/>
      <c r="L36" s="138"/>
      <c r="M36" s="116"/>
      <c r="N36" s="96" t="str">
        <f t="shared" ref="N36:N43" si="2">IF(E36&lt;&gt;"",E36*M36,"")</f>
        <v/>
      </c>
      <c r="O36" s="57"/>
      <c r="P36" s="8"/>
    </row>
    <row r="37" spans="2:16" ht="15" x14ac:dyDescent="0.2">
      <c r="B37" s="7"/>
      <c r="C37" s="3"/>
      <c r="D37" s="108">
        <v>203111</v>
      </c>
      <c r="E37" s="75">
        <v>8</v>
      </c>
      <c r="F37" s="132" t="s">
        <v>70</v>
      </c>
      <c r="G37" s="133"/>
      <c r="H37" s="81"/>
      <c r="I37" s="109"/>
      <c r="J37" s="109"/>
      <c r="K37" s="81"/>
      <c r="L37" s="128"/>
      <c r="M37" s="116">
        <v>20</v>
      </c>
      <c r="N37" s="96">
        <f t="shared" si="2"/>
        <v>160</v>
      </c>
      <c r="O37" s="57"/>
      <c r="P37" s="8"/>
    </row>
    <row r="38" spans="2:16" ht="15" x14ac:dyDescent="0.2">
      <c r="B38" s="7"/>
      <c r="C38" s="3"/>
      <c r="D38" s="108"/>
      <c r="E38" s="75"/>
      <c r="F38" s="139" t="s">
        <v>82</v>
      </c>
      <c r="G38" s="135"/>
      <c r="H38" s="137" t="s">
        <v>83</v>
      </c>
      <c r="I38" s="137"/>
      <c r="J38" s="137" t="s">
        <v>84</v>
      </c>
      <c r="K38" s="136"/>
      <c r="L38" s="138"/>
      <c r="M38" s="116"/>
      <c r="N38" s="96" t="str">
        <f t="shared" si="2"/>
        <v/>
      </c>
      <c r="O38" s="57"/>
      <c r="P38" s="8"/>
    </row>
    <row r="39" spans="2:16" ht="15" x14ac:dyDescent="0.2">
      <c r="B39" s="7"/>
      <c r="C39" s="3"/>
      <c r="D39" s="108"/>
      <c r="E39" s="75"/>
      <c r="F39" s="140" t="s">
        <v>85</v>
      </c>
      <c r="G39" s="135"/>
      <c r="H39" s="137" t="s">
        <v>86</v>
      </c>
      <c r="I39" s="137"/>
      <c r="J39" s="137" t="s">
        <v>87</v>
      </c>
      <c r="K39" s="136"/>
      <c r="L39" s="138"/>
      <c r="M39" s="116"/>
      <c r="N39" s="96"/>
      <c r="O39" s="57"/>
      <c r="P39" s="8"/>
    </row>
    <row r="40" spans="2:16" ht="15" x14ac:dyDescent="0.2">
      <c r="B40" s="7"/>
      <c r="C40" s="3"/>
      <c r="D40" s="108"/>
      <c r="E40" s="75"/>
      <c r="F40" s="140" t="s">
        <v>88</v>
      </c>
      <c r="G40" s="135"/>
      <c r="H40" s="137" t="s">
        <v>89</v>
      </c>
      <c r="I40" s="137"/>
      <c r="J40" s="137"/>
      <c r="K40" s="136"/>
      <c r="L40" s="138"/>
      <c r="M40" s="116"/>
      <c r="N40" s="96"/>
      <c r="O40" s="57"/>
      <c r="P40" s="8"/>
    </row>
    <row r="41" spans="2:16" ht="15" x14ac:dyDescent="0.2">
      <c r="B41" s="7"/>
      <c r="C41" s="3"/>
      <c r="D41" s="108"/>
      <c r="E41" s="75"/>
      <c r="F41" s="140"/>
      <c r="G41" s="135"/>
      <c r="H41" s="137"/>
      <c r="I41" s="137"/>
      <c r="J41" s="137"/>
      <c r="K41" s="136"/>
      <c r="L41" s="138"/>
      <c r="M41" s="116"/>
      <c r="N41" s="96"/>
      <c r="O41" s="57"/>
      <c r="P41" s="8"/>
    </row>
    <row r="42" spans="2:16" ht="15" x14ac:dyDescent="0.2">
      <c r="B42" s="7"/>
      <c r="C42" s="3"/>
      <c r="D42" s="108">
        <v>7030201</v>
      </c>
      <c r="E42" s="75">
        <v>8</v>
      </c>
      <c r="F42" s="81" t="s">
        <v>71</v>
      </c>
      <c r="G42" s="133"/>
      <c r="H42" s="81"/>
      <c r="I42" s="109"/>
      <c r="J42" s="81"/>
      <c r="K42" s="81"/>
      <c r="L42" s="128"/>
      <c r="M42" s="116">
        <v>20</v>
      </c>
      <c r="N42" s="96">
        <f t="shared" si="2"/>
        <v>160</v>
      </c>
      <c r="O42" s="57"/>
      <c r="P42" s="8"/>
    </row>
    <row r="43" spans="2:16" ht="17.100000000000001" customHeight="1" x14ac:dyDescent="0.2">
      <c r="B43" s="7"/>
      <c r="C43" s="3"/>
      <c r="D43" s="108"/>
      <c r="E43" s="75"/>
      <c r="F43" s="139" t="s">
        <v>90</v>
      </c>
      <c r="G43" s="135"/>
      <c r="H43" s="137" t="s">
        <v>91</v>
      </c>
      <c r="I43" s="137"/>
      <c r="J43" s="137" t="s">
        <v>92</v>
      </c>
      <c r="K43" s="136"/>
      <c r="L43" s="138"/>
      <c r="M43" s="96"/>
      <c r="N43" s="96" t="str">
        <f t="shared" si="2"/>
        <v/>
      </c>
      <c r="O43" s="57"/>
      <c r="P43" s="8"/>
    </row>
    <row r="44" spans="2:16" ht="17.100000000000001" customHeight="1" x14ac:dyDescent="0.25">
      <c r="B44" s="7"/>
      <c r="C44" s="3"/>
      <c r="D44" s="108"/>
      <c r="E44" s="75"/>
      <c r="F44" s="139" t="s">
        <v>93</v>
      </c>
      <c r="G44" s="123"/>
      <c r="H44" s="137" t="s">
        <v>94</v>
      </c>
      <c r="I44" s="109"/>
      <c r="J44" s="137" t="s">
        <v>95</v>
      </c>
      <c r="K44" s="81"/>
      <c r="L44" s="109"/>
      <c r="M44" s="96"/>
      <c r="N44" s="96" t="str">
        <f t="shared" ref="N44:N45" si="3">IF(E44&lt;&gt;"",E44*M44,"")</f>
        <v/>
      </c>
      <c r="O44" s="57"/>
      <c r="P44" s="8"/>
    </row>
    <row r="45" spans="2:16" ht="18" x14ac:dyDescent="0.25">
      <c r="B45" s="7"/>
      <c r="C45" s="3"/>
      <c r="D45" s="108"/>
      <c r="E45" s="75"/>
      <c r="F45" s="139" t="s">
        <v>96</v>
      </c>
      <c r="G45" s="123"/>
      <c r="H45" s="137" t="s">
        <v>97</v>
      </c>
      <c r="I45" s="109"/>
      <c r="J45" s="81"/>
      <c r="K45" s="81"/>
      <c r="L45" s="109"/>
      <c r="M45" s="96"/>
      <c r="N45" s="96" t="str">
        <f t="shared" si="3"/>
        <v/>
      </c>
      <c r="O45" s="57"/>
      <c r="P45" s="8"/>
    </row>
    <row r="46" spans="2:16" ht="15" customHeight="1" x14ac:dyDescent="0.25">
      <c r="B46" s="7"/>
      <c r="C46" s="3"/>
      <c r="D46" s="108"/>
      <c r="E46" s="75"/>
      <c r="F46" s="81"/>
      <c r="G46" s="123"/>
      <c r="H46" s="81"/>
      <c r="I46" s="109"/>
      <c r="J46" s="81"/>
      <c r="K46" s="81"/>
      <c r="L46" s="109"/>
      <c r="M46" s="96"/>
      <c r="N46" s="96"/>
      <c r="O46" s="57"/>
      <c r="P46" s="8"/>
    </row>
    <row r="47" spans="2:16" ht="15" customHeight="1" x14ac:dyDescent="0.2">
      <c r="B47" s="7"/>
      <c r="C47" s="3"/>
      <c r="D47" s="108"/>
      <c r="E47" s="75"/>
      <c r="F47" s="81"/>
      <c r="G47" s="109"/>
      <c r="H47" s="81"/>
      <c r="I47" s="109"/>
      <c r="J47" s="81"/>
      <c r="K47" s="81"/>
      <c r="L47" s="109"/>
      <c r="M47" s="96"/>
      <c r="N47" s="96"/>
      <c r="O47" s="57"/>
      <c r="P47" s="8"/>
    </row>
    <row r="48" spans="2:16" ht="15" customHeight="1" x14ac:dyDescent="0.2">
      <c r="B48" s="7"/>
      <c r="C48" s="3"/>
      <c r="D48" s="108"/>
      <c r="E48" s="75"/>
      <c r="F48" s="81"/>
      <c r="G48" s="109"/>
      <c r="H48" s="81"/>
      <c r="I48" s="109"/>
      <c r="J48" s="109"/>
      <c r="K48" s="81"/>
      <c r="L48" s="109"/>
      <c r="M48" s="96"/>
      <c r="N48" s="96"/>
      <c r="O48" s="57"/>
      <c r="P48" s="8"/>
    </row>
    <row r="49" spans="1:16" ht="15" x14ac:dyDescent="0.2">
      <c r="B49" s="7"/>
      <c r="C49" s="3"/>
      <c r="D49" s="108"/>
      <c r="E49" s="75"/>
      <c r="F49" s="115"/>
      <c r="G49" s="109"/>
      <c r="H49" s="81"/>
      <c r="I49" s="109"/>
      <c r="J49" s="109"/>
      <c r="K49" s="81"/>
      <c r="L49" s="109"/>
      <c r="M49" s="96"/>
      <c r="N49" s="96"/>
      <c r="O49" s="57"/>
      <c r="P49" s="8"/>
    </row>
    <row r="50" spans="1:16" ht="15" x14ac:dyDescent="0.2">
      <c r="B50" s="7"/>
      <c r="C50" s="3"/>
      <c r="D50" s="108"/>
      <c r="E50" s="75"/>
      <c r="F50" s="115"/>
      <c r="G50" s="109"/>
      <c r="H50" s="81"/>
      <c r="I50" s="109"/>
      <c r="J50" s="109"/>
      <c r="K50" s="81"/>
      <c r="L50" s="109"/>
      <c r="M50" s="96"/>
      <c r="N50" s="96"/>
      <c r="O50" s="57"/>
      <c r="P50" s="8"/>
    </row>
    <row r="51" spans="1:16" ht="15" x14ac:dyDescent="0.2">
      <c r="B51" s="7"/>
      <c r="C51" s="3"/>
      <c r="D51" s="108"/>
      <c r="E51" s="75"/>
      <c r="F51" s="115"/>
      <c r="G51" s="109"/>
      <c r="H51" s="81"/>
      <c r="I51" s="109"/>
      <c r="J51" s="109"/>
      <c r="K51" s="81"/>
      <c r="L51" s="109"/>
      <c r="M51" s="96"/>
      <c r="N51" s="96"/>
      <c r="O51" s="57"/>
      <c r="P51" s="8"/>
    </row>
    <row r="52" spans="1:16" ht="15" customHeight="1" x14ac:dyDescent="0.2">
      <c r="B52" s="7"/>
      <c r="C52" s="3"/>
      <c r="D52" s="108"/>
      <c r="E52" s="53"/>
      <c r="F52" s="115"/>
      <c r="G52" s="109"/>
      <c r="H52" s="81"/>
      <c r="I52" s="109"/>
      <c r="J52" s="109"/>
      <c r="K52" s="81"/>
      <c r="L52" s="109"/>
      <c r="M52" s="96"/>
      <c r="N52" s="96"/>
      <c r="O52" s="57"/>
      <c r="P52" s="8"/>
    </row>
    <row r="53" spans="1:16" ht="15" customHeight="1" x14ac:dyDescent="0.25">
      <c r="B53" s="7"/>
      <c r="C53" s="3"/>
      <c r="D53" s="93"/>
      <c r="E53" s="53"/>
      <c r="F53" s="95"/>
      <c r="G53" s="117"/>
      <c r="H53" s="117"/>
      <c r="I53" s="117"/>
      <c r="J53" s="117"/>
      <c r="K53" s="117"/>
      <c r="L53" s="81"/>
      <c r="M53" s="96"/>
      <c r="N53" s="96" t="str">
        <f>IF(E54&lt;&gt;"",E54*M53,"")</f>
        <v/>
      </c>
      <c r="O53" s="57"/>
      <c r="P53" s="8"/>
    </row>
    <row r="54" spans="1:16" ht="12.75" customHeight="1" x14ac:dyDescent="0.2">
      <c r="B54" s="7"/>
      <c r="C54" s="3"/>
      <c r="D54" s="94"/>
      <c r="E54" s="54"/>
      <c r="F54" s="162"/>
      <c r="G54" s="163"/>
      <c r="H54" s="163"/>
      <c r="I54" s="163"/>
      <c r="J54" s="163"/>
      <c r="K54" s="163"/>
      <c r="L54" s="118"/>
      <c r="M54" s="96"/>
      <c r="N54" s="96" t="str">
        <f>IF(E55&lt;&gt;"",E55*M54,"")</f>
        <v/>
      </c>
      <c r="O54" s="57"/>
      <c r="P54" s="8"/>
    </row>
    <row r="55" spans="1:16" ht="3" customHeight="1" x14ac:dyDescent="0.25">
      <c r="B55" s="7"/>
      <c r="C55" s="3"/>
      <c r="D55" s="3"/>
      <c r="E55" s="82"/>
      <c r="F55" s="82"/>
      <c r="G55" s="82"/>
      <c r="H55" s="82"/>
      <c r="I55" s="82"/>
      <c r="J55" s="76"/>
      <c r="K55" s="76"/>
      <c r="L55" s="76"/>
      <c r="M55" s="103"/>
      <c r="N55" s="97"/>
      <c r="O55" s="57"/>
      <c r="P55" s="8"/>
    </row>
    <row r="56" spans="1:16" ht="15" x14ac:dyDescent="0.2">
      <c r="B56" s="7"/>
      <c r="C56" s="3"/>
      <c r="D56" s="3"/>
      <c r="E56" s="82"/>
      <c r="F56" s="82"/>
      <c r="G56" s="82"/>
      <c r="H56" s="82"/>
      <c r="I56" s="82"/>
      <c r="J56" s="76"/>
      <c r="K56" s="76"/>
      <c r="L56" s="76"/>
      <c r="M56" s="141" t="s">
        <v>99</v>
      </c>
      <c r="N56" s="142">
        <f>SUM(N27:N54)</f>
        <v>590</v>
      </c>
      <c r="O56" s="57"/>
      <c r="P56" s="8"/>
    </row>
    <row r="57" spans="1:16" ht="15.75" customHeight="1" x14ac:dyDescent="0.2">
      <c r="B57" s="7"/>
      <c r="C57" s="3"/>
      <c r="D57" s="3"/>
      <c r="E57" s="83"/>
      <c r="F57" s="107" t="s">
        <v>24</v>
      </c>
      <c r="G57" s="82"/>
      <c r="H57" s="82"/>
      <c r="I57" s="82"/>
      <c r="J57" s="78"/>
      <c r="K57" s="78"/>
      <c r="L57" s="77"/>
      <c r="M57" s="106" t="s">
        <v>45</v>
      </c>
      <c r="N57" s="104">
        <v>0.6</v>
      </c>
      <c r="O57" s="57"/>
      <c r="P57" s="8"/>
    </row>
    <row r="58" spans="1:16" ht="16.5" customHeight="1" x14ac:dyDescent="0.25">
      <c r="B58" s="7"/>
      <c r="C58" s="3"/>
      <c r="D58" s="3"/>
      <c r="E58" s="85"/>
      <c r="F58" s="129" t="s">
        <v>66</v>
      </c>
      <c r="G58" s="87"/>
      <c r="H58" s="85"/>
      <c r="I58" s="82"/>
      <c r="J58" s="79"/>
      <c r="K58" s="76"/>
      <c r="L58" s="76"/>
      <c r="M58" s="105">
        <v>0.19</v>
      </c>
      <c r="N58" s="104">
        <f>+N56*19%</f>
        <v>112.1</v>
      </c>
      <c r="O58" s="57"/>
      <c r="P58" s="8"/>
    </row>
    <row r="59" spans="1:16" ht="0.95" customHeight="1" x14ac:dyDescent="0.2">
      <c r="B59" s="7"/>
      <c r="C59" s="3"/>
      <c r="D59" s="3"/>
      <c r="E59" s="85">
        <v>2</v>
      </c>
      <c r="F59" s="107" t="s">
        <v>56</v>
      </c>
      <c r="G59" s="82"/>
      <c r="H59" s="86"/>
      <c r="I59" s="82"/>
      <c r="J59" s="80" t="s">
        <v>25</v>
      </c>
      <c r="K59" s="76"/>
      <c r="L59" s="76"/>
      <c r="O59" s="57"/>
      <c r="P59" s="8"/>
    </row>
    <row r="60" spans="1:16" ht="6" customHeight="1" x14ac:dyDescent="0.2">
      <c r="B60" s="7"/>
      <c r="C60" s="3"/>
      <c r="D60" s="3"/>
      <c r="E60" s="85"/>
      <c r="F60" s="107"/>
      <c r="G60" s="82"/>
      <c r="H60" s="86"/>
      <c r="I60" s="82"/>
      <c r="J60" s="80"/>
      <c r="K60" s="76"/>
      <c r="L60" s="76"/>
      <c r="M60" s="156" t="s">
        <v>26</v>
      </c>
      <c r="N60" s="157">
        <f>+N56+N57+N58</f>
        <v>702.7</v>
      </c>
      <c r="O60" s="57"/>
      <c r="P60" s="8"/>
    </row>
    <row r="61" spans="1:16" x14ac:dyDescent="0.2">
      <c r="B61" s="7"/>
      <c r="C61" s="125"/>
      <c r="D61" s="125"/>
      <c r="E61" s="125"/>
      <c r="F61" s="107" t="s">
        <v>56</v>
      </c>
      <c r="G61" s="125"/>
      <c r="H61" s="125"/>
      <c r="I61" s="125"/>
      <c r="J61" s="125"/>
      <c r="K61" s="125"/>
      <c r="L61" s="125"/>
      <c r="M61" s="156"/>
      <c r="N61" s="158"/>
      <c r="O61" s="57"/>
      <c r="P61" s="8"/>
    </row>
    <row r="62" spans="1:16" ht="15.75" x14ac:dyDescent="0.2">
      <c r="B62" s="7"/>
      <c r="C62" s="124" t="s">
        <v>100</v>
      </c>
      <c r="D62" s="124"/>
      <c r="E62" s="124"/>
      <c r="F62" s="124"/>
      <c r="G62" s="124"/>
      <c r="H62" s="124"/>
      <c r="I62" s="124"/>
      <c r="J62" s="124"/>
      <c r="K62" s="124"/>
      <c r="L62" s="124"/>
      <c r="M62" s="98" t="s">
        <v>61</v>
      </c>
      <c r="N62" s="102"/>
      <c r="O62" s="57"/>
      <c r="P62" s="8"/>
    </row>
    <row r="63" spans="1:16" ht="13.5" thickBot="1" x14ac:dyDescent="0.25">
      <c r="B63" s="7"/>
      <c r="C63" s="124"/>
      <c r="D63" s="124"/>
      <c r="E63" s="124"/>
      <c r="F63" s="124"/>
      <c r="G63" s="124"/>
      <c r="H63" s="124"/>
      <c r="I63" s="124"/>
      <c r="J63" s="124"/>
      <c r="K63" s="124"/>
      <c r="L63" s="124"/>
      <c r="M63" s="102"/>
      <c r="N63" s="102"/>
      <c r="O63" s="57"/>
      <c r="P63" s="8"/>
    </row>
    <row r="64" spans="1:16" ht="12.75" customHeight="1" thickTop="1" x14ac:dyDescent="0.2">
      <c r="A64" s="114"/>
      <c r="B64" s="7"/>
      <c r="C64" s="124"/>
      <c r="D64" s="124"/>
      <c r="E64" s="124"/>
      <c r="F64" s="124"/>
      <c r="G64" s="124"/>
      <c r="H64" s="124"/>
      <c r="I64" s="124"/>
      <c r="J64" s="124"/>
      <c r="K64" s="124"/>
      <c r="L64" s="124"/>
      <c r="M64" s="102"/>
      <c r="N64" s="102"/>
      <c r="O64" s="57"/>
      <c r="P64" s="8"/>
    </row>
    <row r="65" spans="1:16" ht="15" x14ac:dyDescent="0.2">
      <c r="A65" s="120"/>
      <c r="B65" s="7"/>
      <c r="C65" s="159"/>
      <c r="D65" s="159"/>
      <c r="E65" s="159"/>
      <c r="F65" s="159"/>
      <c r="G65" s="159"/>
      <c r="H65" s="159"/>
      <c r="I65" s="159"/>
      <c r="J65" s="159"/>
      <c r="K65" s="159"/>
      <c r="L65" s="159"/>
      <c r="M65" s="100"/>
      <c r="N65" s="101"/>
      <c r="O65" s="57"/>
      <c r="P65" s="8"/>
    </row>
    <row r="66" spans="1:16" x14ac:dyDescent="0.2">
      <c r="A66" s="120"/>
      <c r="B66" s="7"/>
      <c r="C66" s="3"/>
      <c r="D66" s="3"/>
      <c r="E66" s="155" t="s">
        <v>58</v>
      </c>
      <c r="F66" s="155"/>
      <c r="G66" s="155"/>
      <c r="H66" s="155"/>
      <c r="I66" s="155"/>
      <c r="J66" s="155"/>
      <c r="K66" s="155"/>
      <c r="L66" s="155"/>
      <c r="M66" s="155"/>
      <c r="N66" s="155"/>
      <c r="O66" s="57"/>
      <c r="P66" s="8"/>
    </row>
    <row r="67" spans="1:16" ht="13.5" thickBot="1" x14ac:dyDescent="0.25">
      <c r="A67" s="120"/>
      <c r="B67" s="7"/>
      <c r="C67" s="3"/>
      <c r="D67" s="3"/>
      <c r="E67" s="155"/>
      <c r="F67" s="155"/>
      <c r="G67" s="155"/>
      <c r="H67" s="155"/>
      <c r="I67" s="155"/>
      <c r="J67" s="155"/>
      <c r="K67" s="155"/>
      <c r="L67" s="155"/>
      <c r="M67" s="155"/>
      <c r="N67" s="155"/>
      <c r="O67" s="57"/>
      <c r="P67" s="8"/>
    </row>
    <row r="68" spans="1:16" ht="14.25" thickTop="1" thickBot="1" x14ac:dyDescent="0.25">
      <c r="A68" s="120"/>
      <c r="B68" s="58"/>
      <c r="C68" s="3"/>
      <c r="D68" s="3"/>
      <c r="E68" s="155"/>
      <c r="F68" s="155"/>
      <c r="G68" s="155"/>
      <c r="H68" s="155"/>
      <c r="I68" s="155"/>
      <c r="J68" s="155"/>
      <c r="K68" s="155"/>
      <c r="L68" s="155"/>
      <c r="M68" s="155"/>
      <c r="N68" s="155"/>
      <c r="O68" s="57"/>
      <c r="P68" s="8"/>
    </row>
    <row r="69" spans="1:16" ht="16.5" thickTop="1" x14ac:dyDescent="0.2">
      <c r="A69" s="114"/>
      <c r="B69" s="122"/>
      <c r="C69" s="3"/>
      <c r="D69" s="3"/>
      <c r="E69" s="18"/>
      <c r="F69" s="152" t="s">
        <v>55</v>
      </c>
      <c r="G69" s="152"/>
      <c r="H69" s="152"/>
      <c r="I69" s="152"/>
      <c r="J69" s="152"/>
      <c r="K69" s="152"/>
      <c r="L69" s="152"/>
      <c r="M69" s="98"/>
      <c r="N69" s="98"/>
      <c r="O69" s="57"/>
      <c r="P69" s="8"/>
    </row>
    <row r="70" spans="1:16" ht="15.75" x14ac:dyDescent="0.2">
      <c r="A70" s="120"/>
      <c r="B70" s="121"/>
      <c r="C70" s="3"/>
      <c r="D70" s="3"/>
      <c r="E70" s="153" t="s">
        <v>57</v>
      </c>
      <c r="F70" s="153"/>
      <c r="G70" s="153"/>
      <c r="H70" s="153"/>
      <c r="I70" s="153"/>
      <c r="J70" s="153"/>
      <c r="K70" s="153"/>
      <c r="L70" s="153"/>
      <c r="M70" s="153"/>
      <c r="N70" s="98"/>
      <c r="O70" s="57"/>
    </row>
    <row r="71" spans="1:16" ht="15.75" x14ac:dyDescent="0.2">
      <c r="A71" s="120"/>
      <c r="C71" s="3"/>
      <c r="D71" s="3"/>
      <c r="E71" s="153"/>
      <c r="F71" s="153"/>
      <c r="G71" s="153"/>
      <c r="H71" s="153"/>
      <c r="I71" s="153"/>
      <c r="J71" s="153"/>
      <c r="K71" s="153"/>
      <c r="L71" s="153"/>
      <c r="M71" s="153"/>
      <c r="N71" s="98"/>
      <c r="O71" s="57"/>
    </row>
    <row r="72" spans="1:16" ht="13.5" thickBot="1" x14ac:dyDescent="0.25">
      <c r="A72" s="100"/>
      <c r="C72" s="119"/>
      <c r="D72" s="119"/>
      <c r="E72" s="120"/>
      <c r="F72" s="120"/>
      <c r="G72" s="120"/>
      <c r="H72" s="151"/>
      <c r="I72" s="151"/>
      <c r="J72" s="151"/>
      <c r="K72" s="151"/>
      <c r="L72" s="151"/>
      <c r="M72" s="120"/>
      <c r="N72" s="120"/>
      <c r="O72" s="119"/>
    </row>
    <row r="73" spans="1:16" ht="13.5" thickTop="1" x14ac:dyDescent="0.2">
      <c r="A73" s="100"/>
      <c r="C73" s="58"/>
      <c r="D73" s="58"/>
      <c r="E73" s="58"/>
      <c r="F73" s="58"/>
      <c r="G73" s="58"/>
      <c r="H73" s="58"/>
      <c r="I73" s="58"/>
      <c r="J73" s="58"/>
      <c r="K73" s="58"/>
      <c r="L73" s="58"/>
      <c r="M73" s="58"/>
      <c r="N73" s="58"/>
      <c r="O73" s="58"/>
    </row>
    <row r="74" spans="1:16" x14ac:dyDescent="0.2">
      <c r="C74" s="122"/>
      <c r="D74" s="122"/>
      <c r="E74" s="122"/>
      <c r="F74" s="122"/>
      <c r="G74" s="122"/>
      <c r="H74" s="122"/>
      <c r="I74" s="122"/>
      <c r="J74" s="122"/>
      <c r="K74" s="150"/>
      <c r="L74" s="150"/>
      <c r="M74" s="150"/>
      <c r="N74" s="150"/>
      <c r="O74" s="150"/>
    </row>
    <row r="75" spans="1:16" x14ac:dyDescent="0.2">
      <c r="C75" s="121"/>
      <c r="D75" s="121"/>
      <c r="E75" s="121"/>
      <c r="F75" s="121"/>
      <c r="G75" s="121"/>
      <c r="H75" s="121"/>
      <c r="I75" s="121"/>
      <c r="J75" s="121"/>
      <c r="K75" s="151"/>
      <c r="L75" s="151"/>
      <c r="M75" s="151"/>
      <c r="N75" s="151"/>
      <c r="O75" s="151"/>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9:N9"/>
    <mergeCell ref="F54:K54"/>
    <mergeCell ref="M21:N21"/>
    <mergeCell ref="M23:N23"/>
    <mergeCell ref="M24:N24"/>
    <mergeCell ref="M13:N13"/>
    <mergeCell ref="G23:H23"/>
    <mergeCell ref="E22:J22"/>
    <mergeCell ref="E21:J21"/>
    <mergeCell ref="E24:J24"/>
    <mergeCell ref="F27:K27"/>
    <mergeCell ref="M17:N19"/>
    <mergeCell ref="F26:L26"/>
    <mergeCell ref="M22:N22"/>
    <mergeCell ref="K74:O75"/>
    <mergeCell ref="F69:L69"/>
    <mergeCell ref="H72:L72"/>
    <mergeCell ref="E70:M71"/>
    <mergeCell ref="H14:L15"/>
    <mergeCell ref="E66:N68"/>
    <mergeCell ref="M60:M61"/>
    <mergeCell ref="N60:N61"/>
    <mergeCell ref="C65:L65"/>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7">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5 N60">
      <formula1>0</formula1>
      <formula2>0</formula2>
    </dataValidation>
    <dataValidation type="list" allowBlank="1" showInputMessage="1" showErrorMessage="1" errorTitle="Code TVA" error="Tapez 1, 2, ou 3." sqref="L27:L29 L31:L54">
      <formula1>"1,2,3"</formula1>
    </dataValidation>
    <dataValidation errorStyle="warning" allowBlank="1" showInputMessage="1" errorTitle="Numéro de carte de crédit" promptTitle="Numéro de carte de crédit" prompt="Tapez ici le numéro de carte de crédit du client" sqref="F6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62"/>
    <dataValidation type="decimal" allowBlank="1" showErrorMessage="1" errorTitle="Prix unitaire" error="Tapez un nombre dans cette cellule." promptTitle="Prix unitaire" sqref="M27:M54">
      <formula1>0</formula1>
      <formula2>1000000000</formula2>
    </dataValidation>
    <dataValidation type="whole" errorStyle="warning" allowBlank="1" showErrorMessage="1" errorTitle="Quantité" error="Tapez un nombre dans cette cellule." promptTitle="Quantité" sqref="E27:E5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54">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55</xdr:row>
                    <xdr:rowOff>152400</xdr:rowOff>
                  </from>
                  <to>
                    <xdr:col>4</xdr:col>
                    <xdr:colOff>695325</xdr:colOff>
                    <xdr:row>56</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57</xdr:row>
                    <xdr:rowOff>0</xdr:rowOff>
                  </from>
                  <to>
                    <xdr:col>4</xdr:col>
                    <xdr:colOff>704850</xdr:colOff>
                    <xdr:row>59</xdr:row>
                    <xdr:rowOff>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58</xdr:row>
                    <xdr:rowOff>28575</xdr:rowOff>
                  </from>
                  <to>
                    <xdr:col>4</xdr:col>
                    <xdr:colOff>714375</xdr:colOff>
                    <xdr:row>60</xdr:row>
                    <xdr:rowOff>142875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-1383939328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e">
        <f>Facture!#REF!</f>
        <v>#REF!</v>
      </c>
      <c r="C8" s="70">
        <f>Facture!$M$21</f>
        <v>44259</v>
      </c>
      <c r="D8" s="71" t="str">
        <f>Facture!$E$21</f>
        <v>NXT</v>
      </c>
      <c r="E8" s="68" t="str">
        <f>Facture!$E$22</f>
        <v>AV MOSBAH JARBOU EL MANAR II</v>
      </c>
      <c r="F8" s="68">
        <f>Facture!$E$23</f>
        <v>0</v>
      </c>
      <c r="G8" s="71">
        <f>Facture!$G$23</f>
        <v>0</v>
      </c>
      <c r="H8" s="71" t="str">
        <f>Facture!$J$23</f>
        <v>TN</v>
      </c>
      <c r="I8" s="68" t="str">
        <f>Facture!$E$24</f>
        <v xml:space="preserve">     71882832       Fax: </v>
      </c>
      <c r="J8" s="72">
        <f>Facture!$N$60</f>
        <v>702.7</v>
      </c>
      <c r="K8" s="68" t="str">
        <f>Facture!$M$23</f>
        <v xml:space="preserve">MR ZAHI </v>
      </c>
    </row>
    <row r="9" spans="1:11" x14ac:dyDescent="0.2">
      <c r="A9" s="68" t="s">
        <v>29</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2021-03-04T08:06:12Z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702.7</vt:r8>
  </property>
</Properties>
</file>