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Facture!$F$60</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Facture!$F$60:$I$60</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50" i="3" l="1"/>
  <c r="N39" i="3" l="1"/>
  <c r="N36" i="3"/>
  <c r="N34" i="3"/>
  <c r="N31" i="3"/>
  <c r="N51" i="3" l="1"/>
  <c r="K8" i="8"/>
  <c r="I8" i="8"/>
  <c r="H8" i="8"/>
  <c r="G8" i="8"/>
  <c r="F8" i="8"/>
  <c r="E8" i="8"/>
  <c r="D8" i="8"/>
  <c r="C8" i="8"/>
  <c r="B8" i="8"/>
  <c r="N27" i="3"/>
  <c r="F33" i="2"/>
  <c r="N53" i="3" l="1"/>
  <c r="N54" i="3"/>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<sst xmlns="http://schemas.openxmlformats.org/spreadsheetml/2006/main" count="110" uniqueCount="94">
  <si>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</si>
  <si>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</si>
  <si>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</si>
  <si>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</si>
  <si>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</si>
  <si>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</si>
  <si>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</si>
  <si>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</si>
  <si>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</si>
  <si>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</si>
  <si>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</si>
  <si>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</si>
  <si>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</si>
  <si>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</si>
  <si>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</si>
  <si>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</si>
  <si>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</si>
  <si>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</si>
  <si>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</si>
  <si>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</si>
  <si>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</si>
  <si>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</si>
  <si>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</si>
  <si>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</si>
  <si>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</si>
  <si>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</si>
  <si>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</si>
  <si>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</si>
  <si>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</si>
  <si>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</si>
  <si>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</si>
  <si>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</si>
  <si>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</si>
  <si>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</si>
  <si>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</si>
  <si>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</si>
  <si>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</si>
  <si>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</si>
  <si>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</si>
  <si>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</si>
  <si>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</si>
  <si>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</si>
  <si>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</si>
  <si>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</si>
  <si>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</si>
  <si>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</si>
  <si>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</si>
  <si>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</si>
  <si>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</si>
  <si>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</si>
  <si>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</si>
  <si>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</si>
  <si>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</si>
  <si>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</si>
  <si>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</si>
  <si>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</si>
  <si>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</si>
  <si>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</si>
  <si>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</si>
  <si>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</si>
  <si>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</si>
  <si>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</si>
  <si>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</si>
  <si>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</si>
  <si>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</si>
  <si>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HARNAIS ORBITAL </t>
  </si>
  <si>
    <t>CONTRÔLE DE CONFORMITE :</t>
  </si>
  <si>
    <t xml:space="preserve">LONGE DE MAINTIEN </t>
  </si>
  <si>
    <t xml:space="preserve">LONGE DOUBLE ESLASTIQUE </t>
  </si>
  <si>
    <t>ID:0615/0008</t>
  </si>
  <si>
    <t>ID:0315/0078</t>
  </si>
  <si>
    <t>ID:0315/0217</t>
  </si>
  <si>
    <t>ID:0315/0104</t>
  </si>
  <si>
    <t xml:space="preserve">CONFORME </t>
  </si>
  <si>
    <t>HARNAIS GOLDEN TOP PLUS ALU</t>
  </si>
  <si>
    <t>ID:0818/0468</t>
  </si>
  <si>
    <t>ID:0116/0178</t>
  </si>
  <si>
    <t>ID:0116/0164</t>
  </si>
  <si>
    <t>ID:0116/0121</t>
  </si>
  <si>
    <t>ID:1116/0154</t>
  </si>
  <si>
    <t>ID:0116/0064</t>
  </si>
  <si>
    <t>ID:0815/0851</t>
  </si>
  <si>
    <t>ID:0815/1779</t>
  </si>
  <si>
    <t>ID:0715/3969</t>
  </si>
  <si>
    <t>ID:0715/2761</t>
  </si>
  <si>
    <t>ID:0115/0125</t>
  </si>
  <si>
    <t>RIB: 10 000 000 080746 3788 95</t>
  </si>
  <si>
    <t>STB THAMEUR</t>
  </si>
  <si>
    <t xml:space="preserve">       STB THAMEUR</t>
  </si>
  <si>
    <t>Comptant</t>
  </si>
  <si>
    <t>Chèque</t>
  </si>
  <si>
    <t xml:space="preserve">Virement </t>
  </si>
  <si>
    <t xml:space="preserve">ARRETE LA PRESENTE FACTURE A LA SOMME DE: QUATRE CENT DIX SEPT  DINARS ET 100 MILLIMES </t>
  </si>
  <si>
    <t>FACTURE   2021-089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</si>
</sst>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sz val="12"/>
      <color rgb="FF00B0F0"/>
      <name val="Arial"/>
      <family val="2"/>
    </font>
    <font>
      <sz val="10"/>
      <color rgb="FF00B0F0"/>
      <name val="Arial"/>
      <family val="2"/>
    </font>
    <font>
      <b/>
      <u/>
      <sz val="16"/>
      <color rgb="FF00B050"/>
      <name val="Times New Roman"/>
      <family val="1"/>
    </font>
    <font>
      <sz val="10"/>
      <color theme="1"/>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32" fillId="6" borderId="0" xfId="0" applyFont="1" applyFill="1" applyBorder="1"/>
    <xf numFmtId="0" fontId="32" fillId="3" borderId="0" xfId="0" applyFont="1" applyFill="1" applyBorder="1" applyAlignment="1"/>
    <xf numFmtId="0" fontId="33" fillId="6" borderId="0" xfId="0" applyFont="1" applyFill="1" applyBorder="1"/>
    <xf numFmtId="0" fontId="33" fillId="6" borderId="34" xfId="0" applyFont="1" applyFill="1" applyBorder="1"/>
    <xf numFmtId="49" fontId="33" fillId="0" borderId="32" xfId="0" applyNumberFormat="1" applyFont="1" applyFill="1" applyBorder="1" applyAlignment="1"/>
    <xf numFmtId="49" fontId="33" fillId="0" borderId="0" xfId="0" applyNumberFormat="1" applyFont="1" applyFill="1" applyBorder="1" applyAlignment="1"/>
    <xf numFmtId="49" fontId="34" fillId="3" borderId="32" xfId="0" applyNumberFormat="1" applyFont="1" applyFill="1" applyBorder="1" applyAlignment="1"/>
    <xf numFmtId="49" fontId="35" fillId="0" borderId="32" xfId="0" applyNumberFormat="1" applyFont="1" applyFill="1" applyBorder="1" applyAlignment="1"/>
    <xf numFmtId="0" fontId="1" fillId="0" borderId="0" xfId="0" applyFont="1" applyFill="1" applyBorder="1"/>
    <xf numFmtId="0" fontId="2" fillId="0" borderId="0" xfId="0" applyFont="1" applyFill="1" applyBorder="1" applyAlignment="1">
      <alignment wrapText="1"/>
    </xf>
    <xf numFmtId="0" fontId="36" fillId="0" borderId="0" xfId="0" applyFont="1" applyFill="1" applyBorder="1" applyAlignment="1">
      <alignment horizontal="left" vertical="top"/>
    </xf>
    <xf numFmtId="0" fontId="21" fillId="0" borderId="0" xfId="0" applyFont="1" applyFill="1" applyBorder="1" applyAlignment="1">
      <alignment horizontal="left" vertical="top"/>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 fillId="3" borderId="0" xfId="0" quotePrefix="1" applyFont="1" applyFill="1" applyBorder="1" applyAlignment="1">
      <alignment horizont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0" fontId="36" fillId="0" borderId="0" xfId="0" applyFont="1" applyFill="1" applyBorder="1" applyAlignment="1">
      <alignment horizontal="left" vertical="top"/>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43</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51</v>
      </c>
      <c r="F12" s="65" t="s">
        <v>4</v>
      </c>
      <c r="G12" s="16"/>
      <c r="H12" s="25"/>
      <c r="I12" s="3"/>
      <c r="J12" s="8"/>
    </row>
    <row r="13" spans="2:10" ht="13.5" thickBot="1" x14ac:dyDescent="0.25">
      <c r="B13" s="7"/>
      <c r="C13" s="3"/>
      <c r="D13" s="32" t="s">
        <v>5</v>
      </c>
      <c r="E13" s="13" t="s">
        <v>47</v>
      </c>
      <c r="F13" s="65" t="s">
        <v>6</v>
      </c>
      <c r="G13" s="17"/>
      <c r="H13" s="25"/>
      <c r="I13" s="3"/>
      <c r="J13" s="8"/>
    </row>
    <row r="14" spans="2:10" x14ac:dyDescent="0.2">
      <c r="B14" s="7"/>
      <c r="C14" s="3"/>
      <c r="D14" s="32" t="s">
        <v>7</v>
      </c>
      <c r="E14" s="14" t="s">
        <v>48</v>
      </c>
      <c r="F14" s="26"/>
      <c r="G14" s="27"/>
      <c r="H14" s="25"/>
      <c r="I14" s="3"/>
      <c r="J14" s="8"/>
    </row>
    <row r="15" spans="2:10" x14ac:dyDescent="0.2">
      <c r="B15" s="7"/>
      <c r="C15" s="3"/>
      <c r="D15" s="32" t="s">
        <v>8</v>
      </c>
      <c r="E15" s="13" t="s">
        <v>49</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44</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32</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45</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8"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2"/>
      <c r="N9" s="163"/>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71" t="s">
        <v>53</v>
      </c>
      <c r="N13" s="172"/>
      <c r="O13" s="3"/>
      <c r="P13" s="8"/>
    </row>
    <row r="14" spans="2:16" x14ac:dyDescent="0.2">
      <c r="B14" s="7"/>
      <c r="C14" s="3"/>
      <c r="D14" s="3"/>
      <c r="E14" s="3"/>
      <c r="F14" s="3"/>
      <c r="G14" s="3"/>
      <c r="H14" s="156"/>
      <c r="I14" s="156"/>
      <c r="J14" s="156"/>
      <c r="K14" s="156"/>
      <c r="L14" s="156"/>
      <c r="M14" s="3"/>
      <c r="N14" s="3"/>
      <c r="O14" s="3"/>
      <c r="P14" s="8"/>
    </row>
    <row r="15" spans="2:16" ht="20.100000000000001" customHeight="1" x14ac:dyDescent="0.2">
      <c r="B15" s="7"/>
      <c r="C15" s="3"/>
      <c r="D15" s="3"/>
      <c r="E15" s="3"/>
      <c r="F15" s="3"/>
      <c r="G15" s="3"/>
      <c r="H15" s="156"/>
      <c r="I15" s="156"/>
      <c r="J15" s="156"/>
      <c r="K15" s="156"/>
      <c r="L15" s="156"/>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83" t="s">
        <v>93</v>
      </c>
      <c r="N17" s="184"/>
      <c r="O17" s="3"/>
      <c r="P17" s="8"/>
    </row>
    <row r="18" spans="1:16" ht="19.5" thickTop="1" x14ac:dyDescent="0.3">
      <c r="B18" s="7"/>
      <c r="C18" s="3"/>
      <c r="D18" s="58"/>
      <c r="E18" s="58"/>
      <c r="F18" s="58"/>
      <c r="G18" s="58"/>
      <c r="H18" s="58"/>
      <c r="I18" s="58"/>
      <c r="J18" s="59"/>
      <c r="K18" s="59"/>
      <c r="L18" s="59"/>
      <c r="M18" s="185"/>
      <c r="N18" s="186"/>
      <c r="O18" s="19"/>
      <c r="P18" s="8"/>
    </row>
    <row r="19" spans="1:16" ht="13.5" thickBot="1" x14ac:dyDescent="0.25">
      <c r="B19" s="7"/>
      <c r="C19" s="3"/>
      <c r="D19" s="3"/>
      <c r="E19" s="3"/>
      <c r="F19" s="3"/>
      <c r="G19" s="3"/>
      <c r="H19" s="3"/>
      <c r="I19" s="3"/>
      <c r="J19" s="3"/>
      <c r="K19" s="3"/>
      <c r="L19" s="3"/>
      <c r="M19" s="187"/>
      <c r="N19" s="188"/>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7" t="s">
        <v>61</v>
      </c>
      <c r="F21" s="178"/>
      <c r="G21" s="178"/>
      <c r="H21" s="178"/>
      <c r="I21" s="178"/>
      <c r="J21" s="178"/>
      <c r="K21" s="82"/>
      <c r="L21" s="84" t="s">
        <v>18</v>
      </c>
      <c r="M21" s="166">
        <v>44501</v>
      </c>
      <c r="N21" s="167"/>
      <c r="O21" s="55"/>
      <c r="P21" s="8"/>
    </row>
    <row r="22" spans="1:16" ht="14.25" x14ac:dyDescent="0.2">
      <c r="B22" s="7"/>
      <c r="C22" s="3"/>
      <c r="D22" s="82" t="s">
        <v>5</v>
      </c>
      <c r="E22" s="175" t="s">
        <v>62</v>
      </c>
      <c r="F22" s="176"/>
      <c r="G22" s="176"/>
      <c r="H22" s="176"/>
      <c r="I22" s="176"/>
      <c r="J22" s="176"/>
      <c r="K22" s="82"/>
      <c r="L22" s="124" t="s">
        <v>58</v>
      </c>
      <c r="M22" s="192"/>
      <c r="N22" s="193"/>
      <c r="O22" s="56"/>
      <c r="P22" s="8"/>
    </row>
    <row r="23" spans="1:16" x14ac:dyDescent="0.2">
      <c r="B23" s="7"/>
      <c r="C23" s="3"/>
      <c r="D23" s="82" t="s">
        <v>7</v>
      </c>
      <c r="E23" s="89"/>
      <c r="F23" s="90" t="s">
        <v>8</v>
      </c>
      <c r="G23" s="173"/>
      <c r="H23" s="174"/>
      <c r="I23" s="91" t="s">
        <v>9</v>
      </c>
      <c r="J23" s="88" t="s">
        <v>50</v>
      </c>
      <c r="K23" s="82"/>
      <c r="L23" s="84" t="s">
        <v>19</v>
      </c>
      <c r="M23" s="168" t="s">
        <v>59</v>
      </c>
      <c r="N23" s="169"/>
      <c r="O23" s="3"/>
      <c r="P23" s="8"/>
    </row>
    <row r="24" spans="1:16" x14ac:dyDescent="0.2">
      <c r="B24" s="7"/>
      <c r="C24" s="3"/>
      <c r="D24" s="82" t="s">
        <v>20</v>
      </c>
      <c r="E24" s="179" t="s">
        <v>63</v>
      </c>
      <c r="F24" s="180"/>
      <c r="G24" s="180"/>
      <c r="H24" s="180"/>
      <c r="I24" s="180"/>
      <c r="J24" s="180"/>
      <c r="K24" s="82"/>
      <c r="L24" s="84" t="s">
        <v>46</v>
      </c>
      <c r="M24" s="170" t="s">
        <v>64</v>
      </c>
      <c r="N24" s="16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33</v>
      </c>
      <c r="E26" s="51" t="s">
        <v>21</v>
      </c>
      <c r="F26" s="189" t="s">
        <v>22</v>
      </c>
      <c r="G26" s="190"/>
      <c r="H26" s="190"/>
      <c r="I26" s="190"/>
      <c r="J26" s="190"/>
      <c r="K26" s="190"/>
      <c r="L26" s="191"/>
      <c r="M26" s="52" t="s">
        <v>52</v>
      </c>
      <c r="N26" s="113" t="s">
        <v>23</v>
      </c>
      <c r="O26" s="57"/>
      <c r="P26" s="8"/>
    </row>
    <row r="27" spans="1:16" ht="15.75" x14ac:dyDescent="0.25">
      <c r="B27" s="7"/>
      <c r="C27" s="3"/>
      <c r="D27" s="93"/>
      <c r="E27" s="75"/>
      <c r="F27" s="181"/>
      <c r="G27" s="182"/>
      <c r="H27" s="182"/>
      <c r="I27" s="182"/>
      <c r="J27" s="182"/>
      <c r="K27" s="182"/>
      <c r="L27" s="126"/>
      <c r="M27" s="125"/>
      <c r="N27" s="96" t="str">
        <f t="shared" ref="N27" si="0">IF(E27&lt;&gt;"",E27*M27,"")</f>
        <v/>
      </c>
      <c r="O27" s="57"/>
      <c r="P27" s="8"/>
    </row>
    <row r="28" spans="1:16" ht="18.75" x14ac:dyDescent="0.3">
      <c r="B28" s="7"/>
      <c r="C28" s="3"/>
      <c r="D28" s="93"/>
      <c r="E28" s="75"/>
      <c r="F28" s="131" t="s">
        <v>66</v>
      </c>
      <c r="G28" s="128"/>
      <c r="H28" s="128"/>
      <c r="I28" s="128"/>
      <c r="J28" s="128"/>
      <c r="K28" s="128"/>
      <c r="L28" s="127"/>
      <c r="M28" s="125"/>
      <c r="N28" s="96"/>
      <c r="O28" s="57"/>
      <c r="P28" s="8"/>
    </row>
    <row r="29" spans="1:16" ht="20.25" x14ac:dyDescent="0.3">
      <c r="B29" s="7"/>
      <c r="C29" s="3"/>
      <c r="D29" s="93"/>
      <c r="E29" s="75"/>
      <c r="F29" s="138" t="s">
        <v>73</v>
      </c>
      <c r="G29" s="128"/>
      <c r="H29" s="128"/>
      <c r="I29" s="128"/>
      <c r="J29" s="128"/>
      <c r="K29" s="128"/>
      <c r="L29" s="127"/>
      <c r="M29" s="125"/>
      <c r="N29" s="96"/>
      <c r="O29" s="57"/>
      <c r="P29" s="8"/>
    </row>
    <row r="30" spans="1:16" ht="15" x14ac:dyDescent="0.2">
      <c r="B30" s="7"/>
      <c r="C30" s="3"/>
      <c r="D30" s="108"/>
      <c r="E30" s="75"/>
      <c r="F30" s="129"/>
      <c r="G30" s="130"/>
      <c r="H30" s="81"/>
      <c r="I30" s="109"/>
      <c r="J30" s="109"/>
      <c r="K30" s="81"/>
      <c r="L30" s="127"/>
      <c r="M30" s="116"/>
      <c r="N30" s="96"/>
      <c r="O30" s="57"/>
      <c r="P30" s="8"/>
    </row>
    <row r="31" spans="1:16" ht="15" x14ac:dyDescent="0.2">
      <c r="A31" s="99" t="s">
        <v>54</v>
      </c>
      <c r="B31" s="7"/>
      <c r="C31" s="3"/>
      <c r="D31" s="108">
        <v>2120</v>
      </c>
      <c r="E31" s="75">
        <v>4</v>
      </c>
      <c r="F31" s="129" t="s">
        <v>65</v>
      </c>
      <c r="G31" s="130"/>
      <c r="H31" s="81"/>
      <c r="I31" s="134"/>
      <c r="J31" s="134"/>
      <c r="K31" s="133"/>
      <c r="L31" s="135"/>
      <c r="M31" s="116">
        <v>30</v>
      </c>
      <c r="N31" s="116">
        <f>M31*E31</f>
        <v>120</v>
      </c>
      <c r="O31" s="57"/>
      <c r="P31" s="8"/>
    </row>
    <row r="32" spans="1:16" ht="15" x14ac:dyDescent="0.2">
      <c r="B32" s="7"/>
      <c r="C32" s="3"/>
      <c r="D32" s="108"/>
      <c r="E32" s="75"/>
      <c r="F32" s="136" t="s">
        <v>69</v>
      </c>
      <c r="G32" s="132"/>
      <c r="H32" s="134" t="s">
        <v>71</v>
      </c>
      <c r="I32" s="134"/>
      <c r="J32" s="134"/>
      <c r="K32" s="133"/>
      <c r="L32" s="135"/>
      <c r="M32" s="116"/>
      <c r="N32" s="116"/>
      <c r="O32" s="57"/>
      <c r="P32" s="8"/>
    </row>
    <row r="33" spans="2:16" ht="15" x14ac:dyDescent="0.2">
      <c r="B33" s="7"/>
      <c r="C33" s="3"/>
      <c r="D33" s="108"/>
      <c r="E33" s="75"/>
      <c r="F33" s="136" t="s">
        <v>70</v>
      </c>
      <c r="G33" s="132"/>
      <c r="H33" s="134" t="s">
        <v>72</v>
      </c>
      <c r="I33" s="109"/>
      <c r="J33" s="109"/>
      <c r="K33" s="81"/>
      <c r="L33" s="127"/>
      <c r="M33" s="116"/>
      <c r="N33" s="116"/>
      <c r="O33" s="57"/>
      <c r="P33" s="8"/>
    </row>
    <row r="34" spans="2:16" ht="15" x14ac:dyDescent="0.2">
      <c r="B34" s="7"/>
      <c r="C34" s="3"/>
      <c r="D34" s="108">
        <v>94111</v>
      </c>
      <c r="E34" s="75">
        <v>1</v>
      </c>
      <c r="F34" s="139" t="s">
        <v>74</v>
      </c>
      <c r="G34" s="132"/>
      <c r="H34" s="134"/>
      <c r="I34" s="134"/>
      <c r="J34" s="134"/>
      <c r="K34" s="133"/>
      <c r="L34" s="135"/>
      <c r="M34" s="116">
        <v>30</v>
      </c>
      <c r="N34" s="116">
        <f t="shared" ref="N34:N39" si="1">M34*E34</f>
        <v>30</v>
      </c>
      <c r="O34" s="57"/>
      <c r="P34" s="8"/>
    </row>
    <row r="35" spans="2:16" ht="15" x14ac:dyDescent="0.2">
      <c r="B35" s="7"/>
      <c r="C35" s="3"/>
      <c r="D35" s="108"/>
      <c r="E35" s="75"/>
      <c r="F35" s="136" t="s">
        <v>75</v>
      </c>
      <c r="G35" s="130"/>
      <c r="H35" s="81"/>
      <c r="I35" s="109"/>
      <c r="J35" s="109"/>
      <c r="K35" s="81"/>
      <c r="L35" s="127"/>
      <c r="M35" s="116"/>
      <c r="N35" s="116"/>
      <c r="O35" s="57"/>
      <c r="P35" s="8"/>
    </row>
    <row r="36" spans="2:16" ht="15" x14ac:dyDescent="0.2">
      <c r="B36" s="7"/>
      <c r="C36" s="3"/>
      <c r="D36" s="108">
        <v>203111</v>
      </c>
      <c r="E36" s="75">
        <v>5</v>
      </c>
      <c r="F36" s="129" t="s">
        <v>67</v>
      </c>
      <c r="G36" s="130"/>
      <c r="H36" s="81"/>
      <c r="I36" s="109"/>
      <c r="J36" s="109"/>
      <c r="K36" s="81"/>
      <c r="L36" s="127"/>
      <c r="M36" s="116">
        <v>20</v>
      </c>
      <c r="N36" s="116">
        <f t="shared" si="1"/>
        <v>100</v>
      </c>
      <c r="O36" s="57"/>
      <c r="P36" s="8"/>
    </row>
    <row r="37" spans="2:16" ht="15" x14ac:dyDescent="0.2">
      <c r="B37" s="7"/>
      <c r="C37" s="3"/>
      <c r="D37" s="108"/>
      <c r="E37" s="75"/>
      <c r="F37" s="136" t="s">
        <v>76</v>
      </c>
      <c r="G37" s="132"/>
      <c r="H37" s="134" t="s">
        <v>78</v>
      </c>
      <c r="I37" s="134"/>
      <c r="J37" s="134" t="s">
        <v>80</v>
      </c>
      <c r="K37" s="133"/>
      <c r="L37" s="135"/>
      <c r="M37" s="116"/>
      <c r="N37" s="116"/>
      <c r="O37" s="57"/>
      <c r="P37" s="8"/>
    </row>
    <row r="38" spans="2:16" ht="15" x14ac:dyDescent="0.2">
      <c r="B38" s="7"/>
      <c r="C38" s="3"/>
      <c r="D38" s="108"/>
      <c r="E38" s="75"/>
      <c r="F38" s="137" t="s">
        <v>77</v>
      </c>
      <c r="G38" s="132"/>
      <c r="H38" s="134" t="s">
        <v>79</v>
      </c>
      <c r="I38" s="134"/>
      <c r="J38" s="134"/>
      <c r="K38" s="133"/>
      <c r="L38" s="135"/>
      <c r="M38" s="116"/>
      <c r="N38" s="116"/>
      <c r="O38" s="57"/>
      <c r="P38" s="8"/>
    </row>
    <row r="39" spans="2:16" ht="15" x14ac:dyDescent="0.2">
      <c r="B39" s="7"/>
      <c r="C39" s="3"/>
      <c r="D39" s="108">
        <v>7030201</v>
      </c>
      <c r="E39" s="75">
        <v>5</v>
      </c>
      <c r="F39" s="81" t="s">
        <v>68</v>
      </c>
      <c r="G39" s="130"/>
      <c r="H39" s="81"/>
      <c r="I39" s="109"/>
      <c r="J39" s="81"/>
      <c r="K39" s="81"/>
      <c r="L39" s="127"/>
      <c r="M39" s="96">
        <v>20</v>
      </c>
      <c r="N39" s="116">
        <f t="shared" si="1"/>
        <v>100</v>
      </c>
      <c r="O39" s="57"/>
      <c r="P39" s="8"/>
    </row>
    <row r="40" spans="2:16" ht="15" x14ac:dyDescent="0.2">
      <c r="B40" s="7"/>
      <c r="C40" s="3"/>
      <c r="D40" s="108"/>
      <c r="E40" s="75"/>
      <c r="F40" s="136" t="s">
        <v>81</v>
      </c>
      <c r="G40" s="132"/>
      <c r="H40" s="134" t="s">
        <v>83</v>
      </c>
      <c r="I40" s="134"/>
      <c r="J40" s="134" t="s">
        <v>85</v>
      </c>
      <c r="K40" s="133"/>
      <c r="L40" s="135"/>
      <c r="M40" s="96"/>
      <c r="N40" s="116"/>
      <c r="O40" s="57"/>
      <c r="P40" s="8"/>
    </row>
    <row r="41" spans="2:16" ht="18" x14ac:dyDescent="0.25">
      <c r="B41" s="7"/>
      <c r="C41" s="3"/>
      <c r="D41" s="108"/>
      <c r="E41" s="75"/>
      <c r="F41" s="136" t="s">
        <v>82</v>
      </c>
      <c r="G41" s="123"/>
      <c r="H41" s="134" t="s">
        <v>84</v>
      </c>
      <c r="I41" s="109"/>
      <c r="J41" s="109"/>
      <c r="K41" s="81"/>
      <c r="L41" s="109"/>
      <c r="M41" s="96"/>
      <c r="N41" s="116"/>
      <c r="O41" s="57"/>
      <c r="P41" s="8"/>
    </row>
    <row r="42" spans="2:16" ht="18" x14ac:dyDescent="0.25">
      <c r="B42" s="7"/>
      <c r="C42" s="3"/>
      <c r="D42" s="108"/>
      <c r="E42" s="75"/>
      <c r="F42" s="81"/>
      <c r="G42" s="123"/>
      <c r="H42" s="81"/>
      <c r="I42" s="109"/>
      <c r="J42" s="81"/>
      <c r="K42" s="81"/>
      <c r="L42" s="109"/>
      <c r="M42" s="96"/>
      <c r="N42" s="116"/>
      <c r="O42" s="57"/>
      <c r="P42" s="8"/>
    </row>
    <row r="43" spans="2:16" ht="17.100000000000001" customHeight="1" x14ac:dyDescent="0.2">
      <c r="B43" s="7"/>
      <c r="C43" s="3"/>
      <c r="D43" s="108"/>
      <c r="E43" s="75"/>
      <c r="F43" s="81"/>
      <c r="G43" s="109"/>
      <c r="H43" s="81"/>
      <c r="I43" s="109"/>
      <c r="J43" s="81"/>
      <c r="K43" s="81"/>
      <c r="L43" s="109"/>
      <c r="M43" s="96"/>
      <c r="N43" s="116"/>
      <c r="O43" s="57"/>
      <c r="P43" s="8"/>
    </row>
    <row r="44" spans="2:16" ht="17.100000000000001" customHeight="1" x14ac:dyDescent="0.2">
      <c r="B44" s="7"/>
      <c r="C44" s="3"/>
      <c r="D44" s="108"/>
      <c r="E44" s="75"/>
      <c r="F44" s="81"/>
      <c r="G44" s="109"/>
      <c r="H44" s="81"/>
      <c r="I44" s="109"/>
      <c r="J44" s="109"/>
      <c r="K44" s="81"/>
      <c r="L44" s="109"/>
      <c r="M44" s="96"/>
      <c r="N44" s="116"/>
      <c r="O44" s="57"/>
      <c r="P44" s="8"/>
    </row>
    <row r="45" spans="2:16" ht="15" x14ac:dyDescent="0.2">
      <c r="B45" s="7"/>
      <c r="C45" s="3"/>
      <c r="D45" s="108"/>
      <c r="E45" s="75"/>
      <c r="F45" s="115"/>
      <c r="G45" s="109"/>
      <c r="H45" s="81"/>
      <c r="I45" s="109"/>
      <c r="J45" s="109"/>
      <c r="K45" s="81"/>
      <c r="L45" s="109"/>
      <c r="M45" s="96"/>
      <c r="N45" s="116"/>
      <c r="O45" s="57"/>
      <c r="P45" s="8"/>
    </row>
    <row r="46" spans="2:16" ht="15" customHeight="1" x14ac:dyDescent="0.2">
      <c r="B46" s="7"/>
      <c r="C46" s="3"/>
      <c r="D46" s="108"/>
      <c r="E46" s="75"/>
      <c r="F46" s="115"/>
      <c r="G46" s="109"/>
      <c r="H46" s="81"/>
      <c r="I46" s="109"/>
      <c r="J46" s="109"/>
      <c r="K46" s="81"/>
      <c r="L46" s="109"/>
      <c r="M46" s="96"/>
      <c r="N46" s="116"/>
      <c r="O46" s="57"/>
      <c r="P46" s="8"/>
    </row>
    <row r="47" spans="2:16" ht="15" customHeight="1" x14ac:dyDescent="0.2">
      <c r="B47" s="7"/>
      <c r="C47" s="3"/>
      <c r="D47" s="108"/>
      <c r="E47" s="75"/>
      <c r="F47" s="115"/>
      <c r="G47" s="109"/>
      <c r="H47" s="81"/>
      <c r="I47" s="109"/>
      <c r="J47" s="109"/>
      <c r="K47" s="81"/>
      <c r="L47" s="109"/>
      <c r="M47" s="96"/>
      <c r="N47" s="116"/>
      <c r="O47" s="57"/>
      <c r="P47" s="8"/>
    </row>
    <row r="48" spans="2:16" ht="15" customHeight="1" x14ac:dyDescent="0.2">
      <c r="B48" s="7"/>
      <c r="C48" s="3"/>
      <c r="D48" s="108"/>
      <c r="E48" s="53"/>
      <c r="F48" s="115"/>
      <c r="G48" s="109"/>
      <c r="H48" s="81"/>
      <c r="I48" s="109"/>
      <c r="J48" s="109"/>
      <c r="K48" s="81"/>
      <c r="L48" s="109"/>
      <c r="M48" s="96"/>
      <c r="N48" s="116"/>
      <c r="O48" s="57"/>
      <c r="P48" s="8"/>
    </row>
    <row r="49" spans="1:16" ht="15.75" x14ac:dyDescent="0.25">
      <c r="B49" s="7"/>
      <c r="C49" s="3"/>
      <c r="D49" s="93"/>
      <c r="E49" s="53"/>
      <c r="F49" s="95"/>
      <c r="G49" s="117"/>
      <c r="H49" s="117"/>
      <c r="I49" s="117"/>
      <c r="J49" s="117"/>
      <c r="K49" s="117"/>
      <c r="L49" s="81"/>
      <c r="M49" s="96"/>
      <c r="N49" s="96"/>
      <c r="O49" s="57"/>
      <c r="P49" s="8"/>
    </row>
    <row r="50" spans="1:16" ht="15" x14ac:dyDescent="0.2">
      <c r="B50" s="7"/>
      <c r="C50" s="3"/>
      <c r="D50" s="94"/>
      <c r="E50" s="54"/>
      <c r="F50" s="164"/>
      <c r="G50" s="165"/>
      <c r="H50" s="165"/>
      <c r="I50" s="165"/>
      <c r="J50" s="165"/>
      <c r="K50" s="165"/>
      <c r="L50" s="118"/>
      <c r="M50" s="96"/>
      <c r="N50" s="96" t="str">
        <f>IF(E51&lt;&gt;"",E51*M50,"")</f>
        <v/>
      </c>
      <c r="O50" s="57"/>
      <c r="P50" s="8"/>
    </row>
    <row r="51" spans="1:16" ht="15.75" x14ac:dyDescent="0.25">
      <c r="B51" s="7"/>
      <c r="C51" s="3"/>
      <c r="D51" s="3"/>
      <c r="E51" s="82"/>
      <c r="F51" s="82"/>
      <c r="G51" s="82"/>
      <c r="H51" s="82"/>
      <c r="I51" s="82"/>
      <c r="J51" s="76"/>
      <c r="K51" s="76"/>
      <c r="L51" s="76"/>
      <c r="M51" s="103" t="s">
        <v>24</v>
      </c>
      <c r="N51" s="97">
        <f>SUM(N28:N49)</f>
        <v>350</v>
      </c>
      <c r="O51" s="57"/>
      <c r="P51" s="8"/>
    </row>
    <row r="52" spans="1:16" ht="15" customHeight="1" x14ac:dyDescent="0.2">
      <c r="B52" s="7"/>
      <c r="C52" s="3"/>
      <c r="D52" s="3"/>
      <c r="E52" s="82"/>
      <c r="F52" s="82"/>
      <c r="G52" s="82"/>
      <c r="H52" s="82"/>
      <c r="I52" s="82"/>
      <c r="J52" s="76"/>
      <c r="K52" s="76"/>
      <c r="L52" s="76"/>
      <c r="M52" s="106" t="s">
        <v>45</v>
      </c>
      <c r="N52" s="104">
        <v>0.6</v>
      </c>
      <c r="O52" s="57"/>
      <c r="P52" s="8"/>
    </row>
    <row r="53" spans="1:16" ht="15" customHeight="1" x14ac:dyDescent="0.2">
      <c r="B53" s="7"/>
      <c r="C53" s="3"/>
      <c r="D53" s="3"/>
      <c r="E53" s="83"/>
      <c r="F53" s="124" t="s">
        <v>89</v>
      </c>
      <c r="G53" s="82"/>
      <c r="H53" s="82"/>
      <c r="I53" s="82"/>
      <c r="J53" s="78"/>
      <c r="K53" s="78"/>
      <c r="L53" s="77"/>
      <c r="M53" s="105">
        <v>0.19</v>
      </c>
      <c r="N53" s="104">
        <f>N51*0.19</f>
        <v>66.5</v>
      </c>
      <c r="O53" s="57"/>
      <c r="P53" s="8"/>
    </row>
    <row r="54" spans="1:16" ht="12.75" customHeight="1" x14ac:dyDescent="0.25">
      <c r="B54" s="7"/>
      <c r="C54" s="3"/>
      <c r="D54" s="3"/>
      <c r="E54" s="85"/>
      <c r="F54" s="124" t="s">
        <v>90</v>
      </c>
      <c r="G54" s="87"/>
      <c r="H54" s="85"/>
      <c r="I54" s="82"/>
      <c r="J54" s="79"/>
      <c r="K54" s="76"/>
      <c r="L54" s="76"/>
      <c r="M54" s="158" t="s">
        <v>26</v>
      </c>
      <c r="N54" s="159">
        <f>SUM(N51:N53)</f>
        <v>417.1</v>
      </c>
      <c r="O54" s="57"/>
      <c r="P54" s="8"/>
    </row>
    <row r="55" spans="1:16" ht="3" customHeight="1" x14ac:dyDescent="0.2">
      <c r="B55" s="7"/>
      <c r="C55" s="3"/>
      <c r="D55" s="3"/>
      <c r="E55" s="85">
        <v>3</v>
      </c>
      <c r="F55" s="107"/>
      <c r="G55" s="82"/>
      <c r="H55" s="86"/>
      <c r="I55" s="82"/>
      <c r="J55" s="80" t="s">
        <v>25</v>
      </c>
      <c r="K55" s="76"/>
      <c r="L55" s="76"/>
      <c r="M55" s="158"/>
      <c r="N55" s="160"/>
      <c r="O55" s="57"/>
      <c r="P55" s="8"/>
    </row>
    <row r="56" spans="1:16" ht="15" x14ac:dyDescent="0.2">
      <c r="B56" s="7"/>
      <c r="C56" s="3"/>
      <c r="D56" s="3"/>
      <c r="E56" s="85"/>
      <c r="F56" s="124" t="s">
        <v>91</v>
      </c>
      <c r="G56" s="82"/>
      <c r="H56" s="86"/>
      <c r="I56" s="82"/>
      <c r="J56" s="80"/>
      <c r="K56" s="76"/>
      <c r="L56" s="76"/>
      <c r="M56" s="100"/>
      <c r="N56" s="101"/>
      <c r="O56" s="57"/>
      <c r="P56" s="8"/>
    </row>
    <row r="57" spans="1:16" ht="16.5" customHeight="1" x14ac:dyDescent="0.2">
      <c r="B57" s="7"/>
      <c r="C57" s="124"/>
      <c r="D57" s="140" t="s">
        <v>86</v>
      </c>
      <c r="E57" s="124"/>
      <c r="F57" s="124"/>
      <c r="G57" s="124"/>
      <c r="H57" s="124"/>
      <c r="I57" s="124"/>
      <c r="J57" s="124"/>
      <c r="K57" s="124"/>
      <c r="L57" s="124"/>
      <c r="M57" s="98" t="s">
        <v>60</v>
      </c>
      <c r="N57" s="102"/>
      <c r="O57" s="57"/>
      <c r="P57" s="8"/>
    </row>
    <row r="58" spans="1:16" ht="0.95" customHeight="1" thickBot="1" x14ac:dyDescent="0.25">
      <c r="B58" s="7"/>
      <c r="C58" s="124"/>
      <c r="D58" s="141" t="s">
        <v>87</v>
      </c>
      <c r="E58" s="124"/>
      <c r="F58" s="124"/>
      <c r="G58" s="124"/>
      <c r="H58" s="124"/>
      <c r="I58" s="124"/>
      <c r="J58" s="124"/>
      <c r="K58" s="124"/>
      <c r="L58" s="124"/>
      <c r="M58" s="102"/>
      <c r="N58" s="102"/>
      <c r="O58" s="57"/>
      <c r="P58" s="8"/>
    </row>
    <row r="59" spans="1:16" ht="6" customHeight="1" thickTop="1" x14ac:dyDescent="0.2">
      <c r="A59" s="114"/>
      <c r="B59" s="7"/>
      <c r="C59" s="161" t="s">
        <v>88</v>
      </c>
      <c r="D59" s="161"/>
      <c r="E59" s="161"/>
      <c r="F59" s="161"/>
      <c r="G59" s="161"/>
      <c r="H59" s="161"/>
      <c r="I59" s="161"/>
      <c r="J59" s="161"/>
      <c r="K59" s="161"/>
      <c r="L59" s="161"/>
      <c r="M59" s="102"/>
      <c r="N59" s="102"/>
      <c r="O59" s="57"/>
      <c r="P59" s="8"/>
    </row>
    <row r="60" spans="1:16" ht="15" x14ac:dyDescent="0.2">
      <c r="A60" s="120"/>
      <c r="B60" s="7"/>
      <c r="C60" s="161"/>
      <c r="D60" s="161"/>
      <c r="E60" s="161"/>
      <c r="F60" s="161"/>
      <c r="G60" s="161"/>
      <c r="H60" s="161"/>
      <c r="I60" s="161"/>
      <c r="J60" s="161"/>
      <c r="K60" s="161"/>
      <c r="L60" s="161"/>
      <c r="M60" s="100"/>
      <c r="N60" s="101"/>
      <c r="O60" s="57"/>
      <c r="P60" s="8"/>
    </row>
    <row r="61" spans="1:16" ht="15" x14ac:dyDescent="0.2">
      <c r="A61" s="120"/>
      <c r="B61" s="7"/>
      <c r="C61" s="143" t="s">
        <v>92</v>
      </c>
      <c r="D61" s="143"/>
      <c r="E61" s="143"/>
      <c r="F61" s="143"/>
      <c r="G61" s="143"/>
      <c r="H61" s="143"/>
      <c r="I61" s="143"/>
      <c r="J61" s="143"/>
      <c r="K61" s="143"/>
      <c r="L61" s="142"/>
      <c r="M61" s="100"/>
      <c r="N61" s="101"/>
      <c r="O61" s="57"/>
      <c r="P61" s="8"/>
    </row>
    <row r="62" spans="1:16" x14ac:dyDescent="0.2">
      <c r="A62" s="120"/>
      <c r="B62" s="7"/>
      <c r="C62" s="3"/>
      <c r="D62" s="3"/>
      <c r="E62" s="157" t="s">
        <v>57</v>
      </c>
      <c r="F62" s="157"/>
      <c r="G62" s="157"/>
      <c r="H62" s="157"/>
      <c r="I62" s="157"/>
      <c r="J62" s="157"/>
      <c r="K62" s="157"/>
      <c r="L62" s="157"/>
      <c r="M62" s="157"/>
      <c r="N62" s="157"/>
      <c r="O62" s="57"/>
      <c r="P62" s="8"/>
    </row>
    <row r="63" spans="1:16" ht="13.5" thickBot="1" x14ac:dyDescent="0.25">
      <c r="A63" s="120"/>
      <c r="B63" s="7"/>
      <c r="C63" s="3"/>
      <c r="D63" s="3"/>
      <c r="E63" s="157"/>
      <c r="F63" s="157"/>
      <c r="G63" s="157"/>
      <c r="H63" s="157"/>
      <c r="I63" s="157"/>
      <c r="J63" s="157"/>
      <c r="K63" s="157"/>
      <c r="L63" s="157"/>
      <c r="M63" s="157"/>
      <c r="N63" s="157"/>
      <c r="O63" s="57"/>
      <c r="P63" s="8"/>
    </row>
    <row r="64" spans="1:16" ht="12.75" customHeight="1" thickTop="1" thickBot="1" x14ac:dyDescent="0.25">
      <c r="A64" s="120"/>
      <c r="B64" s="58"/>
      <c r="C64" s="3"/>
      <c r="D64" s="3"/>
      <c r="E64" s="157"/>
      <c r="F64" s="157"/>
      <c r="G64" s="157"/>
      <c r="H64" s="157"/>
      <c r="I64" s="157"/>
      <c r="J64" s="157"/>
      <c r="K64" s="157"/>
      <c r="L64" s="157"/>
      <c r="M64" s="157"/>
      <c r="N64" s="157"/>
      <c r="O64" s="57"/>
      <c r="P64" s="8"/>
    </row>
    <row r="65" spans="1:16" ht="16.5" thickTop="1" x14ac:dyDescent="0.2">
      <c r="A65" s="114"/>
      <c r="B65" s="122"/>
      <c r="C65" s="3"/>
      <c r="D65" s="3"/>
      <c r="E65" s="18"/>
      <c r="F65" s="153" t="s">
        <v>55</v>
      </c>
      <c r="G65" s="153"/>
      <c r="H65" s="153"/>
      <c r="I65" s="153"/>
      <c r="J65" s="153"/>
      <c r="K65" s="153"/>
      <c r="L65" s="153"/>
      <c r="M65" s="98"/>
      <c r="N65" s="98"/>
      <c r="O65" s="57"/>
      <c r="P65" s="8"/>
    </row>
    <row r="66" spans="1:16" ht="15.75" x14ac:dyDescent="0.2">
      <c r="A66" s="120"/>
      <c r="B66" s="121"/>
      <c r="C66" s="3"/>
      <c r="D66" s="3"/>
      <c r="E66" s="155" t="s">
        <v>56</v>
      </c>
      <c r="F66" s="155"/>
      <c r="G66" s="155"/>
      <c r="H66" s="155"/>
      <c r="I66" s="155"/>
      <c r="J66" s="155"/>
      <c r="K66" s="155"/>
      <c r="L66" s="155"/>
      <c r="M66" s="155"/>
      <c r="N66" s="98"/>
      <c r="O66" s="57"/>
    </row>
    <row r="67" spans="1:16" ht="15.75" x14ac:dyDescent="0.2">
      <c r="A67" s="120"/>
      <c r="C67" s="3"/>
      <c r="D67" s="3"/>
      <c r="E67" s="155"/>
      <c r="F67" s="155"/>
      <c r="G67" s="155"/>
      <c r="H67" s="155"/>
      <c r="I67" s="155"/>
      <c r="J67" s="155"/>
      <c r="K67" s="155"/>
      <c r="L67" s="155"/>
      <c r="M67" s="155"/>
      <c r="N67" s="98"/>
      <c r="O67" s="57"/>
    </row>
    <row r="68" spans="1:16" ht="13.5" thickBot="1" x14ac:dyDescent="0.25">
      <c r="A68" s="100"/>
      <c r="C68" s="119"/>
      <c r="D68" s="119"/>
      <c r="E68" s="120"/>
      <c r="F68" s="120"/>
      <c r="G68" s="120"/>
      <c r="H68" s="154"/>
      <c r="I68" s="154"/>
      <c r="J68" s="154"/>
      <c r="K68" s="154"/>
      <c r="L68" s="154"/>
      <c r="M68" s="120"/>
      <c r="N68" s="120"/>
      <c r="O68" s="119"/>
    </row>
    <row r="69" spans="1:16" ht="13.5" thickTop="1" x14ac:dyDescent="0.2">
      <c r="A69" s="100"/>
      <c r="C69" s="58"/>
      <c r="D69" s="58"/>
      <c r="E69" s="58"/>
      <c r="F69" s="58"/>
      <c r="G69" s="58"/>
      <c r="H69" s="58"/>
      <c r="I69" s="58"/>
      <c r="J69" s="58"/>
      <c r="K69" s="58"/>
      <c r="L69" s="58"/>
      <c r="M69" s="58"/>
      <c r="N69" s="58"/>
      <c r="O69" s="58"/>
    </row>
    <row r="70" spans="1:16" x14ac:dyDescent="0.2">
      <c r="C70" s="122"/>
      <c r="D70" s="122"/>
      <c r="E70" s="122"/>
      <c r="F70" s="122"/>
      <c r="G70" s="122"/>
      <c r="H70" s="122"/>
      <c r="I70" s="122"/>
      <c r="J70" s="122"/>
      <c r="K70" s="151"/>
      <c r="L70" s="151"/>
      <c r="M70" s="151"/>
      <c r="N70" s="151"/>
      <c r="O70" s="151"/>
    </row>
    <row r="71" spans="1:16" x14ac:dyDescent="0.2">
      <c r="C71" s="121"/>
      <c r="D71" s="121"/>
      <c r="E71" s="121"/>
      <c r="F71" s="121"/>
      <c r="G71" s="121"/>
      <c r="H71" s="121"/>
      <c r="I71" s="121"/>
      <c r="J71" s="121"/>
      <c r="K71" s="152"/>
      <c r="L71" s="152"/>
      <c r="M71" s="152"/>
      <c r="N71" s="152"/>
      <c r="O71" s="152"/>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9:N9"/>
    <mergeCell ref="F50:K50"/>
    <mergeCell ref="M21:N21"/>
    <mergeCell ref="M23:N23"/>
    <mergeCell ref="M24:N24"/>
    <mergeCell ref="M13:N13"/>
    <mergeCell ref="G23:H23"/>
    <mergeCell ref="E22:J22"/>
    <mergeCell ref="E21:J21"/>
    <mergeCell ref="E24:J24"/>
    <mergeCell ref="F27:K27"/>
    <mergeCell ref="M17:N19"/>
    <mergeCell ref="F26:L26"/>
    <mergeCell ref="M22:N22"/>
    <mergeCell ref="K70:O71"/>
    <mergeCell ref="F65:L65"/>
    <mergeCell ref="H68:L68"/>
    <mergeCell ref="E66:M67"/>
    <mergeCell ref="H14:L15"/>
    <mergeCell ref="E62:N64"/>
    <mergeCell ref="M54:M55"/>
    <mergeCell ref="N54:N55"/>
    <mergeCell ref="C59:L60"/>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0:N61 N54">
      <formula1>0</formula1>
      <formula2>0</formula2>
    </dataValidation>
    <dataValidation type="list" allowBlank="1" showInputMessage="1" showErrorMessage="1" errorTitle="Code TVA" error="Tapez 1, 2, ou 3." sqref="L27:L29 L31:L50">
      <formula1>"1,2,3"</formula1>
    </dataValidation>
    <dataValidation errorStyle="warning" allowBlank="1" showInputMessage="1" errorTitle="Numéro de carte de crédit" promptTitle="Numéro de carte de crédit" prompt="Tapez ici le numéro de carte de crédit du client" sqref="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7"/>
    <dataValidation type="decimal" allowBlank="1" showErrorMessage="1" errorTitle="Prix unitaire" error="Tapez un nombre dans cette cellule." promptTitle="Prix unitaire" sqref="M27:M50 N31:N48">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0 N49: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-1383939328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e">
        <f>Facture!#REF!</f>
        <v>#REF!</v>
      </c>
      <c r="C8" s="70">
        <f>Facture!$M$21</f>
        <v>44501</v>
      </c>
      <c r="D8" s="71" t="str">
        <f>Facture!$E$21</f>
        <v>NXT</v>
      </c>
      <c r="E8" s="68" t="str">
        <f>Facture!$E$22</f>
        <v>AV MOSBAH JARBOU EL MANAR II</v>
      </c>
      <c r="F8" s="68">
        <f>Facture!$E$23</f>
        <v>0</v>
      </c>
      <c r="G8" s="71">
        <f>Facture!$G$23</f>
        <v>0</v>
      </c>
      <c r="H8" s="71" t="str">
        <f>Facture!$J$23</f>
        <v>TN</v>
      </c>
      <c r="I8" s="68" t="str">
        <f>Facture!$E$24</f>
        <v xml:space="preserve">     71882832       Fax: </v>
      </c>
      <c r="J8" s="72">
        <f>Facture!$N$54</f>
        <v>417.1</v>
      </c>
      <c r="K8" s="68" t="str">
        <f>Facture!$M$23</f>
        <v xml:space="preserve">MR ZAHI </v>
      </c>
    </row>
    <row r="9" spans="1:11" x14ac:dyDescent="0.2">
      <c r="A9" s="68" t="s">
        <v>29</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2021-02-11T14:15:41Z</cp:lastPrinted>
  <dcterms:created xsi:type="dcterms:W3CDTF">1995-05-29T15:50:39Z</dcterms:created>
  <dcterms:modified xsi:type="dcterms:W3CDTF">2022-03-09T08:39:21Z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417.1</vt:r8>
  </property>
</Properties>
</file>