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8" i="3" s="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<sst xmlns="http://schemas.openxmlformats.org/spreadsheetml/2006/main" count="85" uniqueCount="75">
  <si>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</si>
  <si>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</si>
  <si>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</si>
  <si>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</si>
  <si>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</si>
  <si>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</si>
  <si>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</si>
  <si>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</si>
  <si>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</si>
  <si>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</si>
  <si>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</si>
  <si>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</si>
  <si>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</si>
  <si>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</si>
  <si>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</si>
  <si>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</si>
  <si>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</si>
  <si>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</si>
  <si>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</si>
  <si>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</si>
  <si>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</si>
  <si>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</si>
  <si>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</si>
  <si>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</si>
  <si>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</si>
  <si>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</si>
  <si>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</si>
  <si>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</si>
  <si>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</si>
  <si>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</si>
  <si>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</si>
  <si>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</si>
  <si>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</si>
  <si>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</si>
  <si>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</si>
  <si>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</si>
  <si>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</si>
  <si>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</si>
  <si>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</si>
  <si>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</si>
  <si>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</si>
  <si>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</si>
  <si>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</si>
  <si>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</si>
  <si>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</si>
  <si>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</si>
  <si>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</si>
  <si>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</si>
  <si>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</si>
  <si>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</si>
  <si>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</si>
  <si>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</si>
  <si>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</si>
  <si>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</si>
  <si>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</si>
  <si>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</si>
  <si>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</si>
  <si>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</si>
  <si>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</si>
  <si>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</si>
  <si>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</si>
  <si>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</si>
  <si>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</si>
  <si>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</si>
  <si>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</si>
  <si>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</si>
  <si>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</si>
  <si>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005338</t>
  </si>
  <si>
    <t>CADENAS DE CONSIGNATION MASTER LOCK</t>
  </si>
  <si>
    <t>ROUGE</t>
  </si>
  <si>
    <t>ARRETE LA PRESENTE FACTURE  A LA SOMME : CINQ CENT  DINARS ET 400 MILLIMES ,</t>
  </si>
  <si>
    <t>SOCECAP</t>
  </si>
  <si>
    <t>HAWARIA</t>
  </si>
  <si>
    <t>MR MOHAMED TRABELSI</t>
  </si>
  <si>
    <t>FACTURE   N°2021-061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</si>
</sst>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49" fontId="31" fillId="0" borderId="0" xfId="0" applyNumberFormat="1" applyFont="1" applyFill="1" applyBorder="1" applyAlignment="1"/>
    <xf numFmtId="49" fontId="41"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0" t="s">
        <v>74</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71</v>
      </c>
      <c r="F22" s="133"/>
      <c r="G22" s="132"/>
      <c r="H22" s="132"/>
      <c r="I22" s="167"/>
      <c r="J22" s="167"/>
      <c r="K22" s="131"/>
      <c r="L22" s="129" t="s">
        <v>19</v>
      </c>
      <c r="M22" s="163">
        <v>44390</v>
      </c>
      <c r="N22" s="164"/>
      <c r="O22" s="9"/>
    </row>
    <row r="23" spans="2:15" ht="23.25" x14ac:dyDescent="0.35">
      <c r="B23" s="7"/>
      <c r="C23" s="3"/>
      <c r="D23" s="129" t="s">
        <v>53</v>
      </c>
      <c r="E23" s="132" t="s">
        <v>72</v>
      </c>
      <c r="F23" s="132"/>
      <c r="G23" s="132"/>
      <c r="H23" s="132"/>
      <c r="I23" s="132"/>
      <c r="J23" s="132"/>
      <c r="K23" s="131"/>
      <c r="L23" s="129" t="s">
        <v>63</v>
      </c>
      <c r="M23" s="130"/>
      <c r="N23" s="130"/>
      <c r="O23" s="9"/>
    </row>
    <row r="24" spans="2:15" ht="23.25" x14ac:dyDescent="0.35">
      <c r="B24" s="7"/>
      <c r="C24" s="3"/>
      <c r="D24" s="129" t="s">
        <v>54</v>
      </c>
      <c r="E24" s="167"/>
      <c r="F24" s="167"/>
      <c r="G24" s="167"/>
      <c r="H24" s="167"/>
      <c r="I24" s="167" t="s">
        <v>65</v>
      </c>
      <c r="J24" s="167" t="s">
        <v>58</v>
      </c>
      <c r="K24" s="131"/>
      <c r="L24" s="129" t="s">
        <v>20</v>
      </c>
      <c r="M24" s="165" t="s">
        <v>73</v>
      </c>
      <c r="N24" s="165"/>
      <c r="O24" s="9"/>
    </row>
    <row r="25" spans="2:15" ht="23.25" x14ac:dyDescent="0.35">
      <c r="B25" s="7"/>
      <c r="C25" s="3"/>
      <c r="D25" s="129" t="s">
        <v>55</v>
      </c>
      <c r="E25" s="174">
        <v>72297090</v>
      </c>
      <c r="F25" s="174"/>
      <c r="G25" s="132"/>
      <c r="H25" s="132"/>
      <c r="I25" s="132"/>
      <c r="J25" s="132"/>
      <c r="K25" s="131"/>
      <c r="L25" s="129" t="s">
        <v>64</v>
      </c>
      <c r="M25" s="166"/>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0" t="s">
        <v>23</v>
      </c>
      <c r="G27" s="171"/>
      <c r="H27" s="171"/>
      <c r="I27" s="171"/>
      <c r="J27" s="171"/>
      <c r="K27" s="172"/>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t="s">
        <v>67</v>
      </c>
      <c r="E30" s="95">
        <v>6</v>
      </c>
      <c r="F30" s="176" t="s">
        <v>68</v>
      </c>
      <c r="G30" s="120"/>
      <c r="H30" s="120"/>
      <c r="I30" s="120"/>
      <c r="J30" s="120"/>
      <c r="K30" s="121"/>
      <c r="L30" s="147">
        <v>70</v>
      </c>
      <c r="M30" s="100">
        <f t="shared" si="0"/>
        <v>420</v>
      </c>
      <c r="N30" s="89"/>
      <c r="O30" s="9"/>
    </row>
    <row r="31" spans="2:15" ht="30" x14ac:dyDescent="0.4">
      <c r="B31" s="7"/>
      <c r="C31" s="3"/>
      <c r="D31" s="124"/>
      <c r="E31" s="95"/>
      <c r="F31" s="177" t="s">
        <v>69</v>
      </c>
      <c r="G31" s="120"/>
      <c r="H31" s="120"/>
      <c r="I31" s="120"/>
      <c r="J31" s="120"/>
      <c r="K31" s="121"/>
      <c r="L31" s="147"/>
      <c r="M31" s="100" t="str">
        <f t="shared" si="0"/>
        <v/>
      </c>
      <c r="N31" s="89"/>
      <c r="O31" s="9"/>
    </row>
    <row r="32" spans="2:15" ht="30" x14ac:dyDescent="0.4">
      <c r="B32" s="7"/>
      <c r="C32" s="3"/>
      <c r="D32" s="124"/>
      <c r="E32" s="95"/>
      <c r="F32" s="152"/>
      <c r="G32" s="120"/>
      <c r="H32" s="120"/>
      <c r="I32" s="120"/>
      <c r="J32" s="120"/>
      <c r="K32" s="121"/>
      <c r="L32" s="147"/>
      <c r="M32" s="100" t="str">
        <f t="shared" si="0"/>
        <v/>
      </c>
      <c r="N32" s="89"/>
      <c r="O32" s="9"/>
    </row>
    <row r="33" spans="2:15" ht="30" x14ac:dyDescent="0.4">
      <c r="B33" s="7"/>
      <c r="C33" s="3"/>
      <c r="D33" s="151"/>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420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79.8</v>
      </c>
      <c r="N40" s="52"/>
      <c r="O40" s="9"/>
    </row>
    <row r="41" spans="2:15" ht="35.25" customHeight="1" x14ac:dyDescent="0.5">
      <c r="B41" s="7"/>
      <c r="C41" s="3"/>
      <c r="D41" s="92"/>
      <c r="E41" s="91" t="s">
        <v>66</v>
      </c>
      <c r="F41" s="138"/>
      <c r="G41" s="139"/>
      <c r="H41" s="79"/>
      <c r="I41" s="75"/>
      <c r="J41" s="80"/>
      <c r="K41" s="87"/>
      <c r="L41" s="94" t="s">
        <v>27</v>
      </c>
      <c r="M41" s="144">
        <f>+M38+M39+M40</f>
        <v>500.40000000000003</v>
      </c>
      <c r="N41" s="52"/>
      <c r="O41" s="9"/>
    </row>
    <row r="42" spans="2:15" ht="15" x14ac:dyDescent="0.2">
      <c r="B42" s="7"/>
      <c r="C42" s="3"/>
      <c r="D42" s="175" t="s">
        <v>70</v>
      </c>
      <c r="E42" s="175"/>
      <c r="F42" s="175"/>
      <c r="G42" s="175"/>
      <c r="H42" s="175"/>
      <c r="I42" s="175"/>
      <c r="J42" s="175"/>
      <c r="K42" s="175"/>
      <c r="L42" s="175"/>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73"/>
      <c r="E44" s="173"/>
      <c r="F44" s="173"/>
      <c r="G44" s="173"/>
      <c r="H44" s="173"/>
      <c r="I44" s="173"/>
      <c r="J44" s="173"/>
      <c r="K44" s="173"/>
      <c r="L44" s="173"/>
      <c r="M44" s="104"/>
      <c r="N44" s="52"/>
      <c r="O44" s="9"/>
    </row>
    <row r="45" spans="2:15" ht="26.25" x14ac:dyDescent="0.4">
      <c r="B45" s="7"/>
      <c r="C45" s="3"/>
      <c r="D45" s="173"/>
      <c r="E45" s="173"/>
      <c r="F45" s="173"/>
      <c r="G45" s="173"/>
      <c r="H45" s="173"/>
      <c r="I45" s="173"/>
      <c r="J45" s="173"/>
      <c r="K45" s="173"/>
      <c r="L45" s="173"/>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9"/>
      <c r="H47" s="169"/>
      <c r="I47" s="169"/>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8" t="s">
        <v>51</v>
      </c>
      <c r="E53" s="168"/>
      <c r="F53" s="168"/>
      <c r="G53" s="168"/>
      <c r="H53" s="168"/>
      <c r="I53" s="168"/>
      <c r="J53" s="168"/>
      <c r="K53" s="168"/>
      <c r="L53" s="168"/>
      <c r="M53" s="82"/>
      <c r="N53" s="86"/>
      <c r="O53" s="9"/>
    </row>
    <row r="54" spans="2:16" ht="18" x14ac:dyDescent="0.25">
      <c r="B54" s="7"/>
      <c r="C54" s="3"/>
      <c r="D54" s="168"/>
      <c r="E54" s="168"/>
      <c r="F54" s="168"/>
      <c r="G54" s="168"/>
      <c r="H54" s="168"/>
      <c r="I54" s="168"/>
      <c r="J54" s="168"/>
      <c r="K54" s="168"/>
      <c r="L54" s="168"/>
      <c r="M54" s="83"/>
      <c r="N54" s="86"/>
      <c r="O54" s="9"/>
    </row>
    <row r="55" spans="2:16" ht="15" x14ac:dyDescent="0.2">
      <c r="B55" s="7"/>
      <c r="C55" s="3"/>
      <c r="D55" s="168"/>
      <c r="E55" s="168"/>
      <c r="F55" s="168"/>
      <c r="G55" s="168"/>
      <c r="H55" s="168"/>
      <c r="I55" s="168"/>
      <c r="J55" s="168"/>
      <c r="K55" s="168"/>
      <c r="L55" s="168"/>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SOCECAP</v>
      </c>
      <c r="E8" s="62" t="str">
        <f>Facture!$E$23</f>
        <v>HAWARIA</v>
      </c>
      <c r="F8" s="62">
        <f>Facture!$E$24</f>
        <v>0</v>
      </c>
      <c r="G8" s="65">
        <f>Facture!$G$24</f>
        <v>0</v>
      </c>
      <c r="H8" s="65" t="str">
        <f>Facture!$J$24</f>
        <v>TN</v>
      </c>
      <c r="I8" s="62">
        <f>Facture!$E$25</f>
        <v>72297090</v>
      </c>
      <c r="J8" s="66">
        <f>Facture!$M$41</f>
        <v>500.40000000000003</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2021-07-13T12:10:03Z</cp:lastPrinted>
  <dcterms:created xsi:type="dcterms:W3CDTF">1995-05-29T15:50:39Z</dcterms:created>
  <dcterms:modified xsi:type="dcterms:W3CDTF">2021-07-13T12:11:11Z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SOCECAP</vt:lpwstr>
  </property>
  <property fmtid="{D5CDD505-2E9C-101B-9397-08002B2CF9AE}" pid="11" name="Montant de la facture" linkTarget="TOT">
    <vt:r8>500.4</vt:r8>
  </property>
</Properties>
</file>