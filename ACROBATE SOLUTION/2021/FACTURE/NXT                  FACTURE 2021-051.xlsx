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<sst xmlns="http://schemas.openxmlformats.org/spreadsheetml/2006/main" count="93" uniqueCount="77">
  <si>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</si>
  <si>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</si>
  <si>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</si>
  <si>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</si>
  <si>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</si>
  <si>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</si>
  <si>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</si>
  <si>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</si>
  <si>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</si>
  <si>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</si>
  <si>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</si>
  <si>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</si>
  <si>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</si>
  <si>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</si>
  <si>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</si>
  <si>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</si>
  <si>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</si>
  <si>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</si>
  <si>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</si>
  <si>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</si>
  <si>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</si>
  <si>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</si>
  <si>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</si>
  <si>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</si>
  <si>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</si>
  <si>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</si>
  <si>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</si>
  <si>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</si>
  <si>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</si>
  <si>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</si>
  <si>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</si>
  <si>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</si>
  <si>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</si>
  <si>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</si>
  <si>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</si>
  <si>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</si>
  <si>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</si>
  <si>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</si>
  <si>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</si>
  <si>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</si>
  <si>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</si>
  <si>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</si>
  <si>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</si>
  <si>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</si>
  <si>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</si>
  <si>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</si>
  <si>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</si>
  <si>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</si>
  <si>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</si>
  <si>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</si>
  <si>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</si>
  <si>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</si>
  <si>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</si>
  <si>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</si>
  <si>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</si>
  <si>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</si>
  <si>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</si>
  <si>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</si>
  <si>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</si>
  <si>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</si>
  <si>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</si>
  <si>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</si>
  <si>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</si>
  <si>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</si>
  <si>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</si>
  <si>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</si>
  <si>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</si>
  <si>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</si>
  <si>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</si>
  <si>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LDV_45</t>
  </si>
  <si>
    <t>2021546</t>
  </si>
  <si>
    <t>GAF_1081</t>
  </si>
  <si>
    <t>LIGNE DE VIE  SECUROP 12M</t>
  </si>
  <si>
    <t>LDV_12</t>
  </si>
  <si>
    <t>TUN_1826</t>
  </si>
  <si>
    <t xml:space="preserve">ARRETE LA PRESENTE FACTURE A LA SOMME DE:cinq mille cent quatre vingt quatre dinars  ET 240 millimes </t>
  </si>
  <si>
    <t>FACTURE N°2021-051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</si>
</sst>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4" fillId="3"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201028</xdr:colOff>
      <xdr:row>19</xdr:row>
      <xdr:rowOff>76702</xdr:rowOff>
    </xdr:from>
    <xdr:to>
      <xdr:col>14</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0" zoomScale="95" workbookViewId="0">
      <selection activeCell="M21" sqref="M21:N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76</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63</v>
      </c>
      <c r="F21" s="180"/>
      <c r="G21" s="180"/>
      <c r="H21" s="180"/>
      <c r="I21" s="180"/>
      <c r="J21" s="180"/>
      <c r="K21" s="82"/>
      <c r="L21" s="191" t="s">
        <v>18</v>
      </c>
      <c r="M21" s="168">
        <v>44351</v>
      </c>
      <c r="N21" s="169"/>
      <c r="O21" s="55"/>
      <c r="P21" s="8"/>
    </row>
    <row r="22" spans="1:16" ht="14.25" x14ac:dyDescent="0.2">
      <c r="B22" s="7"/>
      <c r="C22" s="3"/>
      <c r="D22" s="82" t="s">
        <v>5</v>
      </c>
      <c r="E22" s="177" t="s">
        <v>64</v>
      </c>
      <c r="F22" s="178"/>
      <c r="G22" s="178"/>
      <c r="H22" s="178"/>
      <c r="I22" s="178"/>
      <c r="J22" s="178"/>
      <c r="K22" s="82"/>
      <c r="L22" s="126" t="s">
        <v>60</v>
      </c>
      <c r="M22" s="161" t="s">
        <v>70</v>
      </c>
      <c r="N22" s="162"/>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191"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7"/>
      <c r="H32" s="81"/>
      <c r="I32" s="109"/>
      <c r="J32" s="109"/>
      <c r="K32" s="81"/>
      <c r="L32" s="132"/>
      <c r="M32" s="116">
        <v>2948</v>
      </c>
      <c r="N32" s="96">
        <f t="shared" si="1"/>
        <v>2948</v>
      </c>
      <c r="O32" s="57"/>
      <c r="P32" s="8"/>
    </row>
    <row r="33" spans="2:16" ht="15" x14ac:dyDescent="0.2">
      <c r="B33" s="7"/>
      <c r="C33" s="3"/>
      <c r="D33" s="108"/>
      <c r="E33" s="75"/>
      <c r="F33" s="139" t="s">
        <v>71</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t="s">
        <v>73</v>
      </c>
      <c r="E35" s="75">
        <v>1</v>
      </c>
      <c r="F35" s="124" t="s">
        <v>72</v>
      </c>
      <c r="G35" s="125"/>
      <c r="H35" s="81"/>
      <c r="I35" s="109"/>
      <c r="J35" s="81"/>
      <c r="K35" s="81"/>
      <c r="L35" s="109"/>
      <c r="M35" s="96">
        <v>1408</v>
      </c>
      <c r="N35" s="96">
        <f t="shared" ref="N35:N37" si="2">IF(E35&lt;&gt;"",E35*M35,"")</f>
        <v>1408</v>
      </c>
      <c r="O35" s="57"/>
      <c r="P35" s="8"/>
    </row>
    <row r="36" spans="2:16" ht="18" x14ac:dyDescent="0.25">
      <c r="B36" s="7"/>
      <c r="C36" s="3"/>
      <c r="D36" s="108"/>
      <c r="E36" s="75"/>
      <c r="F36" s="139" t="s">
        <v>74</v>
      </c>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4356</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827.64</v>
      </c>
      <c r="O49" s="57"/>
      <c r="P49" s="8"/>
    </row>
    <row r="50" spans="1:16" ht="15.75" x14ac:dyDescent="0.25">
      <c r="B50" s="7"/>
      <c r="C50" s="3"/>
      <c r="D50" s="3"/>
      <c r="E50" s="85"/>
      <c r="F50" s="133" t="s">
        <v>67</v>
      </c>
      <c r="G50" s="87"/>
      <c r="H50" s="85"/>
      <c r="I50" s="82"/>
      <c r="J50" s="79"/>
      <c r="K50" s="76"/>
      <c r="L50" s="76"/>
      <c r="M50" s="148" t="s">
        <v>27</v>
      </c>
      <c r="N50" s="149">
        <f>+N47+N48+N49</f>
        <v>5184.2400000000007</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75</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44351</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5184.2400000000007</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2021-06-04T07:36:13Z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5184.24</vt:r8>
  </property>
</Properties>
</file>