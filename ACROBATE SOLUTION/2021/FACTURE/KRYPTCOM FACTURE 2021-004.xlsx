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1" i="3"/>
  <c r="M32" i="3"/>
  <c r="M33" i="3"/>
  <c r="M36" i="3" l="1"/>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<sst xmlns="http://schemas.openxmlformats.org/spreadsheetml/2006/main" count="90" uniqueCount="80">
  <si>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</si>
  <si>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</si>
  <si>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</si>
  <si>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</si>
  <si>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</si>
  <si>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</si>
  <si>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</si>
  <si>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</si>
  <si>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</si>
  <si>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</si>
  <si>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</si>
  <si>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</si>
  <si>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</si>
  <si>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</si>
  <si>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</si>
  <si>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</si>
  <si>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</si>
  <si>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</si>
  <si>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</si>
  <si>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</si>
  <si>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</si>
  <si>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</si>
  <si>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</si>
  <si>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</si>
  <si>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</si>
  <si>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</si>
  <si>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</si>
  <si>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</si>
  <si>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</si>
  <si>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</si>
  <si>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</si>
  <si>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</si>
  <si>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</si>
  <si>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</si>
  <si>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</si>
  <si>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</si>
  <si>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</si>
  <si>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</si>
  <si>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</si>
  <si>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</si>
  <si>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</si>
  <si>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</si>
  <si>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</si>
  <si>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</si>
  <si>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</si>
  <si>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</si>
  <si>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</si>
  <si>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</si>
  <si>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</si>
  <si>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</si>
  <si>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</si>
  <si>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</si>
  <si>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</si>
  <si>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</si>
  <si>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</si>
  <si>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</si>
  <si>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</si>
  <si>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</si>
  <si>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</si>
  <si>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</si>
  <si>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</si>
  <si>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</si>
  <si>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</si>
  <si>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</si>
  <si>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</si>
  <si>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</si>
  <si>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</si>
  <si>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</si>
  <si>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C-MSA001</t>
  </si>
  <si>
    <t xml:space="preserve">Casque de securite V-GARD </t>
  </si>
  <si>
    <t>1421927Q/A/M/000</t>
  </si>
  <si>
    <t>50 RUE DE L'ARTISANAT ZI CHARGUIA 2</t>
  </si>
  <si>
    <t xml:space="preserve">GANTS DE MANUTENTION </t>
  </si>
  <si>
    <t xml:space="preserve">GM001-ORANGE </t>
  </si>
  <si>
    <t>Gilet fluorescent</t>
  </si>
  <si>
    <t>GF002</t>
  </si>
  <si>
    <t>FAX:</t>
  </si>
  <si>
    <t xml:space="preserve">Pays TUNISIE </t>
  </si>
  <si>
    <t>Arreter la presente facture a la somme de :TROIS CENT SOIXANTE QUINZE DINARS ET 450 MILLIMES,</t>
  </si>
  <si>
    <t>FACTURE  N°2021-004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</si>
</sst>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4"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4"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8" t="s">
        <v>79</v>
      </c>
      <c r="M18" s="3"/>
      <c r="N18" s="3"/>
      <c r="O18" s="9"/>
    </row>
    <row r="19" spans="2:15" ht="21.95" customHeight="1" thickTop="1" x14ac:dyDescent="0.3">
      <c r="B19" s="7"/>
      <c r="C19" s="3"/>
      <c r="D19" s="53"/>
      <c r="E19" s="53"/>
      <c r="F19" s="53"/>
      <c r="G19" s="53"/>
      <c r="H19" s="53"/>
      <c r="I19" s="53"/>
      <c r="J19" s="54"/>
      <c r="K19" s="54"/>
      <c r="L19" s="169"/>
      <c r="M19" s="54"/>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1">
        <v>44218</v>
      </c>
      <c r="N22" s="172"/>
      <c r="O22" s="9"/>
    </row>
    <row r="23" spans="2:15" ht="23.25" x14ac:dyDescent="0.35">
      <c r="B23" s="7"/>
      <c r="C23" s="3"/>
      <c r="D23" s="139" t="s">
        <v>54</v>
      </c>
      <c r="E23" s="142" t="s">
        <v>71</v>
      </c>
      <c r="F23" s="142"/>
      <c r="G23" s="142"/>
      <c r="H23" s="142"/>
      <c r="I23" s="142"/>
      <c r="J23" s="142"/>
      <c r="K23" s="141"/>
      <c r="L23" s="139" t="s">
        <v>64</v>
      </c>
      <c r="M23" s="140"/>
      <c r="N23" s="140"/>
      <c r="O23" s="9"/>
    </row>
    <row r="24" spans="2:15" ht="23.25" x14ac:dyDescent="0.35">
      <c r="B24" s="7"/>
      <c r="C24" s="3"/>
      <c r="D24" s="139" t="s">
        <v>55</v>
      </c>
      <c r="E24" s="161"/>
      <c r="F24" s="161"/>
      <c r="G24" s="161"/>
      <c r="H24" s="161"/>
      <c r="I24" s="161" t="s">
        <v>77</v>
      </c>
      <c r="J24" s="161" t="s">
        <v>59</v>
      </c>
      <c r="K24" s="141"/>
      <c r="L24" s="139" t="s">
        <v>20</v>
      </c>
      <c r="M24" s="173" t="s">
        <v>67</v>
      </c>
      <c r="N24" s="173"/>
      <c r="O24" s="9"/>
    </row>
    <row r="25" spans="2:15" ht="23.25" x14ac:dyDescent="0.35">
      <c r="B25" s="7"/>
      <c r="C25" s="3"/>
      <c r="D25" s="139" t="s">
        <v>56</v>
      </c>
      <c r="E25" s="166">
        <v>31403263</v>
      </c>
      <c r="F25" s="167"/>
      <c r="G25" s="142" t="s">
        <v>76</v>
      </c>
      <c r="H25" s="166">
        <v>32403263</v>
      </c>
      <c r="I25" s="166"/>
      <c r="J25" s="142"/>
      <c r="K25" s="141"/>
      <c r="L25" s="139" t="s">
        <v>65</v>
      </c>
      <c r="M25" s="174" t="s">
        <v>70</v>
      </c>
      <c r="N25" s="174"/>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68</v>
      </c>
      <c r="E29" s="101">
        <v>3</v>
      </c>
      <c r="F29" s="148" t="s">
        <v>69</v>
      </c>
      <c r="G29" s="131"/>
      <c r="H29" s="131"/>
      <c r="I29" s="131"/>
      <c r="J29" s="131"/>
      <c r="K29" s="131"/>
      <c r="L29" s="103">
        <v>48</v>
      </c>
      <c r="M29" s="107">
        <f t="shared" ref="M29:M37" si="0">IF(E29&lt;&gt;"",E29*L29,"")</f>
        <v>144</v>
      </c>
      <c r="N29" s="52"/>
      <c r="O29" s="9"/>
    </row>
    <row r="30" spans="2:15" ht="30" x14ac:dyDescent="0.4">
      <c r="B30" s="7"/>
      <c r="C30" s="3"/>
      <c r="D30" s="135"/>
      <c r="E30" s="101"/>
      <c r="F30" s="148"/>
      <c r="G30" s="131"/>
      <c r="H30" s="131"/>
      <c r="I30" s="131"/>
      <c r="J30" s="131"/>
      <c r="K30" s="131"/>
      <c r="L30" s="103"/>
      <c r="M30" s="107" t="str">
        <f t="shared" si="0"/>
        <v/>
      </c>
      <c r="N30" s="52"/>
      <c r="O30" s="9"/>
    </row>
    <row r="31" spans="2:15" ht="30" x14ac:dyDescent="0.4">
      <c r="B31" s="7"/>
      <c r="C31" s="3"/>
      <c r="D31" s="135" t="s">
        <v>73</v>
      </c>
      <c r="E31" s="101">
        <v>3</v>
      </c>
      <c r="F31" s="148" t="s">
        <v>72</v>
      </c>
      <c r="G31" s="131"/>
      <c r="H31" s="131"/>
      <c r="I31" s="131"/>
      <c r="J31" s="131"/>
      <c r="K31" s="131"/>
      <c r="L31" s="103">
        <v>22</v>
      </c>
      <c r="M31" s="107">
        <f t="shared" si="0"/>
        <v>66</v>
      </c>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t="s">
        <v>75</v>
      </c>
      <c r="E33" s="101">
        <v>3</v>
      </c>
      <c r="F33" s="148" t="s">
        <v>74</v>
      </c>
      <c r="G33" s="131"/>
      <c r="H33" s="131"/>
      <c r="I33" s="131"/>
      <c r="J33" s="131"/>
      <c r="K33" s="131"/>
      <c r="L33" s="103">
        <v>35</v>
      </c>
      <c r="M33" s="107">
        <f t="shared" si="0"/>
        <v>105</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315</v>
      </c>
      <c r="N38" s="52"/>
      <c r="O38" s="9"/>
    </row>
    <row r="39" spans="2:15" ht="35.25" x14ac:dyDescent="0.5">
      <c r="B39" s="7"/>
      <c r="C39" s="3"/>
      <c r="D39" s="98"/>
      <c r="E39" s="94" t="s">
        <v>57</v>
      </c>
      <c r="F39" s="75"/>
      <c r="G39" s="75"/>
      <c r="H39" s="75"/>
      <c r="I39" s="75"/>
      <c r="J39" s="76"/>
      <c r="K39" s="90"/>
      <c r="L39" s="116" t="s">
        <v>47</v>
      </c>
      <c r="M39" s="99">
        <v>0.6</v>
      </c>
      <c r="N39" s="52"/>
      <c r="O39" s="9"/>
    </row>
    <row r="40" spans="2:15" ht="35.25" x14ac:dyDescent="0.5">
      <c r="B40" s="7"/>
      <c r="C40" s="3"/>
      <c r="D40" s="95"/>
      <c r="E40" s="94" t="s">
        <v>58</v>
      </c>
      <c r="F40" s="75"/>
      <c r="G40" s="75"/>
      <c r="H40" s="75"/>
      <c r="I40" s="75"/>
      <c r="J40" s="78"/>
      <c r="K40" s="91"/>
      <c r="L40" s="118">
        <v>0.19</v>
      </c>
      <c r="M40" s="99">
        <f>(M38)*0.19</f>
        <v>59.85</v>
      </c>
      <c r="N40" s="52"/>
      <c r="O40" s="9"/>
    </row>
    <row r="41" spans="2:15" ht="35.25" x14ac:dyDescent="0.5">
      <c r="B41" s="7"/>
      <c r="C41" s="3"/>
      <c r="D41" s="83"/>
      <c r="E41" s="97"/>
      <c r="F41" s="93"/>
      <c r="G41" s="80"/>
      <c r="H41" s="79"/>
      <c r="I41" s="75"/>
      <c r="J41" s="81"/>
      <c r="K41" s="90"/>
      <c r="L41" s="100" t="s">
        <v>28</v>
      </c>
      <c r="M41" s="99">
        <f>+M38+M39+M40</f>
        <v>375.45000000000005</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75" t="s">
        <v>78</v>
      </c>
      <c r="E43" s="175"/>
      <c r="F43" s="175"/>
      <c r="G43" s="175"/>
      <c r="H43" s="175"/>
      <c r="I43" s="175"/>
      <c r="J43" s="175"/>
      <c r="K43" s="175"/>
      <c r="L43" s="175"/>
      <c r="M43" s="133"/>
      <c r="N43" s="52"/>
      <c r="O43" s="9"/>
    </row>
    <row r="44" spans="2:15" x14ac:dyDescent="0.2">
      <c r="B44" s="7"/>
      <c r="C44" s="3"/>
      <c r="D44" s="175"/>
      <c r="E44" s="175"/>
      <c r="F44" s="175"/>
      <c r="G44" s="175"/>
      <c r="H44" s="175"/>
      <c r="I44" s="175"/>
      <c r="J44" s="175"/>
      <c r="K44" s="175"/>
      <c r="L44" s="175"/>
      <c r="M44" s="111"/>
      <c r="N44" s="52"/>
      <c r="O44" s="9"/>
    </row>
    <row r="45" spans="2:15" ht="26.25" x14ac:dyDescent="0.4">
      <c r="B45" s="7"/>
      <c r="C45" s="3"/>
      <c r="D45" s="165"/>
      <c r="E45" s="165"/>
      <c r="F45" s="165"/>
      <c r="G45" s="165"/>
      <c r="H45" s="165"/>
      <c r="I45" s="165"/>
      <c r="J45" s="165"/>
      <c r="K45" s="165"/>
      <c r="L45" s="165"/>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0"/>
      <c r="H47" s="160"/>
      <c r="I47" s="160"/>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59" t="s">
        <v>52</v>
      </c>
      <c r="E53" s="159"/>
      <c r="F53" s="159"/>
      <c r="G53" s="159"/>
      <c r="H53" s="159"/>
      <c r="I53" s="159"/>
      <c r="J53" s="159"/>
      <c r="K53" s="159"/>
      <c r="L53" s="159"/>
      <c r="M53" s="85"/>
      <c r="N53" s="89"/>
      <c r="O53" s="9"/>
    </row>
    <row r="54" spans="2:16" ht="18" x14ac:dyDescent="0.25">
      <c r="B54" s="7"/>
      <c r="C54" s="3"/>
      <c r="D54" s="159"/>
      <c r="E54" s="159"/>
      <c r="F54" s="159"/>
      <c r="G54" s="159"/>
      <c r="H54" s="159"/>
      <c r="I54" s="159"/>
      <c r="J54" s="159"/>
      <c r="K54" s="159"/>
      <c r="L54" s="159"/>
      <c r="M54" s="86"/>
      <c r="N54" s="89"/>
      <c r="O54" s="9"/>
    </row>
    <row r="55" spans="2:16" ht="15" x14ac:dyDescent="0.2">
      <c r="B55" s="7"/>
      <c r="C55" s="3"/>
      <c r="D55" s="159"/>
      <c r="E55" s="159"/>
      <c r="F55" s="159"/>
      <c r="G55" s="159"/>
      <c r="H55" s="159"/>
      <c r="I55" s="159"/>
      <c r="J55" s="159"/>
      <c r="K55" s="159"/>
      <c r="L55" s="159"/>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3:L55"/>
    <mergeCell ref="G47:I47"/>
    <mergeCell ref="G24:H24"/>
    <mergeCell ref="F27:K27"/>
    <mergeCell ref="D45:L45"/>
    <mergeCell ref="E24:F24"/>
    <mergeCell ref="I24:J24"/>
    <mergeCell ref="E25:F25"/>
    <mergeCell ref="D43: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375.45000000000005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2021-01-22T08:19:04Z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375.45</vt:r8>
  </property>
</Properties>
</file>