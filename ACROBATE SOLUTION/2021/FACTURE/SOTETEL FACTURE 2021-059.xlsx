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1" i="3" l="1"/>
  <c r="M47" i="3"/>
  <c r="M48" i="3"/>
  <c r="M50" i="3" s="1"/>
  <c r="M51" i="3" l="1"/>
  <c r="M30" i="3" l="1"/>
  <c r="M34" i="3"/>
  <c r="M33" i="3"/>
  <c r="M28" i="3"/>
  <c r="M29" i="3"/>
  <c r="M35" i="3"/>
  <c r="M37" i="3"/>
  <c r="M38" i="3"/>
  <c r="M40" i="3"/>
  <c r="M41" i="3"/>
  <c r="M42" i="3"/>
  <c r="M43" i="3" l="1"/>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<sst xmlns="http://schemas.openxmlformats.org/spreadsheetml/2006/main" count="86" uniqueCount="76">
  <si>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</si>
  <si>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</si>
  <si>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</si>
  <si>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</si>
  <si>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</si>
  <si>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</si>
  <si>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</si>
  <si>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</si>
  <si>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</si>
  <si>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</si>
  <si>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</si>
  <si>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</si>
  <si>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</si>
  <si>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</si>
  <si>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</si>
  <si>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</si>
  <si>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</si>
  <si>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</si>
  <si>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</si>
  <si>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</si>
  <si>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</si>
  <si>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</si>
  <si>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</si>
  <si>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</si>
  <si>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</si>
  <si>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</si>
  <si>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</si>
  <si>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</si>
  <si>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</si>
  <si>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</si>
  <si>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</si>
  <si>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</si>
  <si>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</si>
  <si>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</si>
  <si>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</si>
  <si>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</si>
  <si>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</si>
  <si>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</si>
  <si>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</si>
  <si>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</si>
  <si>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</si>
  <si>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</si>
  <si>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</si>
  <si>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</si>
  <si>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</si>
  <si>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</si>
  <si>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</si>
  <si>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</si>
  <si>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</si>
  <si>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</si>
  <si>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</si>
  <si>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</si>
  <si>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</si>
  <si>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</si>
  <si>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</si>
  <si>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</si>
  <si>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</si>
  <si>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</si>
  <si>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</si>
  <si>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</si>
  <si>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</si>
  <si>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</si>
  <si>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</si>
  <si>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</si>
  <si>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</si>
  <si>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</si>
  <si>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</si>
  <si>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</si>
  <si>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r>
      <t>Responsable:</t>
    </r>
    <r>
      <rPr>
        <b/>
        <sz val="20"/>
        <rFont val="Arial"/>
        <family val="2"/>
      </rPr>
      <t>MR.Jalel Ben Salem</t>
    </r>
  </si>
  <si>
    <t>IRIDIUM 10.5 mm - Corde semi-statique</t>
  </si>
  <si>
    <t>EN 1891 TYPE A</t>
  </si>
  <si>
    <t>2026711</t>
  </si>
  <si>
    <t xml:space="preserve">ARRETE LE PRESENTE LA FACTURE A LA SOMME DE  TROIS MILLE  SEPT CENT TREIZE DINARS ET 400 MILLIMES </t>
  </si>
  <si>
    <t>FACTURE  N°2021-59</t>
  </si>
  <si>
    <t xml:space="preserve">Virement </t>
  </si>
  <si>
    <t>Date : 18/11/2021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</si>
</sst>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168" fontId="43" fillId="0" borderId="29" xfId="0" applyNumberFormat="1" applyFont="1" applyFill="1" applyBorder="1" applyAlignment="1">
      <alignment horizontal="center" vertical="center" shrinkToFit="1"/>
    </xf>
    <xf numFmtId="49" fontId="32" fillId="0" borderId="28" xfId="0" applyNumberFormat="1" applyFont="1" applyFill="1" applyBorder="1" applyAlignment="1"/>
    <xf numFmtId="168" fontId="43" fillId="0" borderId="29" xfId="0" applyNumberFormat="1" applyFont="1" applyFill="1" applyBorder="1" applyAlignment="1">
      <alignment shrinkToFit="1"/>
    </xf>
    <xf numFmtId="0" fontId="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6" zoomScale="60" zoomScaleNormal="60" workbookViewId="0">
      <selection activeCell="J35" sqref="J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61</v>
      </c>
      <c r="E18" s="75"/>
      <c r="F18" s="75"/>
      <c r="G18" s="75"/>
      <c r="H18" s="3"/>
      <c r="I18" s="3"/>
      <c r="J18" s="3"/>
      <c r="K18" s="3"/>
      <c r="L18" s="174" t="s">
        <v>73</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9" t="s">
        <v>63</v>
      </c>
      <c r="F22" s="179"/>
      <c r="G22" s="179"/>
      <c r="H22" s="179"/>
      <c r="I22" s="179"/>
      <c r="J22" s="179"/>
      <c r="K22" s="96"/>
      <c r="L22" s="177" t="s">
        <v>75</v>
      </c>
      <c r="M22" s="177"/>
      <c r="N22" s="52"/>
      <c r="O22" s="9"/>
    </row>
    <row r="23" spans="2:15" ht="33.75" x14ac:dyDescent="0.5">
      <c r="B23" s="7"/>
      <c r="C23" s="3"/>
      <c r="D23" s="95" t="s">
        <v>54</v>
      </c>
      <c r="E23" s="167" t="s">
        <v>64</v>
      </c>
      <c r="F23" s="167"/>
      <c r="G23" s="167"/>
      <c r="H23" s="167"/>
      <c r="I23" s="167"/>
      <c r="J23" s="167"/>
      <c r="K23" s="167"/>
      <c r="L23" s="97" t="s">
        <v>67</v>
      </c>
      <c r="M23" s="97" t="s">
        <v>71</v>
      </c>
      <c r="N23" s="53"/>
      <c r="O23" s="9"/>
    </row>
    <row r="24" spans="2:15" ht="33.75" x14ac:dyDescent="0.5">
      <c r="B24" s="7"/>
      <c r="C24" s="3"/>
      <c r="D24" s="95" t="s">
        <v>55</v>
      </c>
      <c r="E24" s="109">
        <v>1080</v>
      </c>
      <c r="F24" s="98" t="s">
        <v>8</v>
      </c>
      <c r="G24" s="168"/>
      <c r="H24" s="168"/>
      <c r="I24" s="99" t="s">
        <v>9</v>
      </c>
      <c r="J24" s="100" t="s">
        <v>58</v>
      </c>
      <c r="K24" s="96"/>
      <c r="L24" s="178" t="s">
        <v>68</v>
      </c>
      <c r="M24" s="178"/>
      <c r="N24" s="3"/>
      <c r="O24" s="9"/>
    </row>
    <row r="25" spans="2:15" ht="33.75" x14ac:dyDescent="0.5">
      <c r="B25" s="7"/>
      <c r="C25" s="3"/>
      <c r="D25" s="95" t="s">
        <v>56</v>
      </c>
      <c r="E25" s="180" t="s">
        <v>65</v>
      </c>
      <c r="F25" s="180"/>
      <c r="G25" s="180"/>
      <c r="H25" s="180"/>
      <c r="I25" s="180"/>
      <c r="J25" s="180"/>
      <c r="K25" s="96"/>
      <c r="L25" s="178" t="s">
        <v>66</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9" t="s">
        <v>23</v>
      </c>
      <c r="G27" s="170"/>
      <c r="H27" s="170"/>
      <c r="I27" s="170"/>
      <c r="J27" s="170"/>
      <c r="K27" s="171"/>
      <c r="L27" s="85" t="s">
        <v>24</v>
      </c>
      <c r="M27" s="86" t="s">
        <v>25</v>
      </c>
      <c r="N27" s="87"/>
      <c r="O27" s="9"/>
    </row>
    <row r="28" spans="2:15" ht="30" x14ac:dyDescent="0.4">
      <c r="B28" s="7"/>
      <c r="C28" s="3"/>
      <c r="D28" s="143"/>
      <c r="E28" s="145"/>
      <c r="F28" s="151"/>
      <c r="G28" s="135"/>
      <c r="H28" s="135"/>
      <c r="I28" s="137"/>
      <c r="J28" s="137"/>
      <c r="K28" s="138"/>
      <c r="L28" s="104"/>
      <c r="M28" s="110" t="str">
        <f t="shared" ref="M28:M34" si="0">IF(E28&lt;&gt;"",E28*L28,"")</f>
        <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27.75" x14ac:dyDescent="0.4">
      <c r="B31" s="7"/>
      <c r="C31" s="3"/>
      <c r="D31" s="143">
        <v>2810</v>
      </c>
      <c r="E31" s="145">
        <v>600</v>
      </c>
      <c r="F31" s="155" t="s">
        <v>69</v>
      </c>
      <c r="G31" s="135"/>
      <c r="H31" s="137"/>
      <c r="I31" s="137"/>
      <c r="J31" s="137"/>
      <c r="K31" s="138"/>
      <c r="L31" s="156">
        <v>5.2</v>
      </c>
      <c r="M31" s="154">
        <f t="shared" si="0"/>
        <v>3120</v>
      </c>
      <c r="N31" s="87"/>
      <c r="O31" s="9"/>
    </row>
    <row r="32" spans="2:15" ht="30" x14ac:dyDescent="0.4">
      <c r="B32" s="7"/>
      <c r="C32" s="3"/>
      <c r="D32" s="143"/>
      <c r="E32" s="145"/>
      <c r="F32" s="155" t="s">
        <v>70</v>
      </c>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3120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74</v>
      </c>
      <c r="F50" s="77"/>
      <c r="G50" s="77"/>
      <c r="H50" s="77"/>
      <c r="I50" s="77"/>
      <c r="J50" s="79"/>
      <c r="K50" s="89"/>
      <c r="L50" s="149">
        <v>0.19</v>
      </c>
      <c r="M50" s="101">
        <f>+M48*19%</f>
        <v>592.79999999999995</v>
      </c>
      <c r="N50" s="54"/>
      <c r="O50" s="9"/>
    </row>
    <row r="51" spans="1:16" ht="35.25" x14ac:dyDescent="0.5">
      <c r="B51" s="7"/>
      <c r="C51" s="3"/>
      <c r="D51" s="76"/>
      <c r="E51" s="82"/>
      <c r="F51" s="93"/>
      <c r="G51" s="77"/>
      <c r="H51" s="64"/>
      <c r="I51" s="77"/>
      <c r="J51" s="80" t="s">
        <v>27</v>
      </c>
      <c r="K51" s="78"/>
      <c r="L51" s="150" t="s">
        <v>28</v>
      </c>
      <c r="M51" s="101">
        <f>+M48+M49+M50</f>
        <v>3713.3999999999996</v>
      </c>
      <c r="N51" s="54"/>
      <c r="O51" s="9"/>
    </row>
    <row r="52" spans="1:16" ht="15.75" x14ac:dyDescent="0.25">
      <c r="B52" s="7"/>
      <c r="C52" s="3"/>
      <c r="D52" s="172"/>
      <c r="E52" s="173"/>
      <c r="F52" s="173"/>
      <c r="G52" s="173"/>
      <c r="H52" s="173"/>
      <c r="I52" s="173"/>
      <c r="J52" s="173"/>
      <c r="K52" s="173"/>
      <c r="L52" s="173"/>
      <c r="M52" s="115"/>
      <c r="N52" s="54"/>
      <c r="O52" s="9"/>
    </row>
    <row r="53" spans="1:16" ht="26.25" x14ac:dyDescent="0.4">
      <c r="B53" s="7"/>
      <c r="C53" s="3"/>
      <c r="D53" s="173"/>
      <c r="E53" s="173"/>
      <c r="F53" s="173"/>
      <c r="G53" s="173"/>
      <c r="H53" s="173"/>
      <c r="I53" s="173"/>
      <c r="J53" s="173"/>
      <c r="K53" s="173"/>
      <c r="L53" s="173"/>
      <c r="M53" s="123"/>
      <c r="N53" s="54"/>
      <c r="O53" s="9"/>
    </row>
    <row r="54" spans="1:16" ht="26.25" x14ac:dyDescent="0.4">
      <c r="B54" s="7"/>
      <c r="C54" s="3"/>
      <c r="D54" s="157" t="s">
        <v>72</v>
      </c>
      <c r="E54" s="115"/>
      <c r="F54" s="123"/>
      <c r="G54" s="129"/>
      <c r="H54" s="129"/>
      <c r="I54" s="129"/>
      <c r="J54" s="78"/>
      <c r="K54" s="113"/>
      <c r="L54" s="153"/>
      <c r="M54" s="153" t="s">
        <v>62</v>
      </c>
      <c r="N54" s="107"/>
      <c r="O54" s="9"/>
    </row>
    <row r="55" spans="1:16" ht="23.25" x14ac:dyDescent="0.25">
      <c r="B55" s="7"/>
      <c r="C55" s="3"/>
      <c r="D55" s="115"/>
      <c r="E55" s="115"/>
      <c r="F55" s="130"/>
      <c r="G55" s="166"/>
      <c r="H55" s="166"/>
      <c r="I55" s="166"/>
      <c r="J55" s="78"/>
      <c r="K55" s="113"/>
      <c r="L55" s="107"/>
      <c r="M55" s="107"/>
      <c r="N55" s="107"/>
      <c r="O55" s="9"/>
    </row>
    <row r="56" spans="1:16" ht="20.25" x14ac:dyDescent="0.3">
      <c r="B56" s="7"/>
      <c r="C56" s="3"/>
      <c r="D56" s="111" t="s">
        <v>59</v>
      </c>
      <c r="E56" s="152"/>
      <c r="F56" s="78"/>
      <c r="G56" s="78"/>
      <c r="H56" s="78"/>
      <c r="I56" s="78"/>
      <c r="J56" s="78"/>
      <c r="K56" s="83"/>
      <c r="L56" s="83"/>
      <c r="M56" s="84"/>
      <c r="N56" s="54"/>
      <c r="O56" s="125"/>
      <c r="P56" s="126"/>
    </row>
    <row r="57" spans="1:16" ht="20.25" x14ac:dyDescent="0.3">
      <c r="B57" s="7"/>
      <c r="C57" s="3"/>
      <c r="D57" s="112" t="s">
        <v>60</v>
      </c>
      <c r="E57" s="112"/>
      <c r="F57" s="78"/>
      <c r="G57" s="78"/>
      <c r="H57" s="78"/>
      <c r="I57" s="78"/>
      <c r="J57" s="78"/>
      <c r="K57" s="83"/>
      <c r="L57" s="83"/>
      <c r="M57" s="83"/>
      <c r="N57" s="87"/>
      <c r="O57" s="127"/>
      <c r="P57" s="128"/>
    </row>
    <row r="58" spans="1:16" ht="18" customHeight="1" x14ac:dyDescent="0.25">
      <c r="B58" s="7"/>
      <c r="C58" s="3"/>
      <c r="D58" s="165" t="s">
        <v>52</v>
      </c>
      <c r="E58" s="165"/>
      <c r="F58" s="165"/>
      <c r="G58" s="165"/>
      <c r="H58" s="165"/>
      <c r="I58" s="165"/>
      <c r="J58" s="165"/>
      <c r="K58" s="165"/>
      <c r="L58" s="165"/>
      <c r="M58" s="83"/>
      <c r="N58" s="87"/>
      <c r="O58" s="9"/>
    </row>
    <row r="59" spans="1:16" ht="15" customHeight="1" x14ac:dyDescent="0.2">
      <c r="B59" s="7"/>
      <c r="C59" s="3"/>
      <c r="D59" s="165"/>
      <c r="E59" s="165"/>
      <c r="F59" s="165"/>
      <c r="G59" s="165"/>
      <c r="H59" s="165"/>
      <c r="I59" s="165"/>
      <c r="J59" s="165"/>
      <c r="K59" s="165"/>
      <c r="L59" s="165"/>
      <c r="M59" s="84"/>
      <c r="N59" s="54"/>
      <c r="O59" s="9"/>
    </row>
    <row r="60" spans="1:16" ht="20.100000000000001" customHeight="1" x14ac:dyDescent="0.2">
      <c r="B60" s="7"/>
      <c r="C60" s="3"/>
      <c r="D60" s="165"/>
      <c r="E60" s="165"/>
      <c r="F60" s="165"/>
      <c r="G60" s="165"/>
      <c r="H60" s="165"/>
      <c r="I60" s="165"/>
      <c r="J60" s="165"/>
      <c r="K60" s="165"/>
      <c r="L60" s="165"/>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18/11/2021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3713.3999999999996</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2021-11-18T07:21:18Z</cp:lastPrinted>
  <dcterms:created xsi:type="dcterms:W3CDTF">1995-05-29T15:50:39Z</dcterms:created>
  <dcterms:modified xsi:type="dcterms:W3CDTF">2021-11-18T07:23:50Z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3713.4</vt:r8>
  </property>
</Properties>
</file>