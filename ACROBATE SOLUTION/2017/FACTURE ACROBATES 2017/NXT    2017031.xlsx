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FACTURE ACROBATES 2017\"/>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Facture!$N$43</definedName>
    <definedName name="_Tax2">Facture!$N$44</definedName>
    <definedName name="_Tax3">Facture!#REF!</definedName>
    <definedName name="_tax4">Facture!#REF!</definedName>
    <definedName name="_xlnm.Auto_Open21">'AutoOpen Stub Data'!$A$1</definedName>
    <definedName name="boxes">Facture!$E$43:$E$44</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Facture!$N$19</definedName>
    <definedName name="data10">Facture!$F$22</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Facture!$O$20</definedName>
    <definedName name="data20">Facture!$E$27</definedName>
    <definedName name="data21">Facture!$F$27</definedName>
    <definedName name="data22">Facture!$N$27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Facture!$O$21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Facture!$O$22</definedName>
    <definedName name="data40">Facture!#REF!</definedName>
    <definedName name="data41">Facture!#REF!</definedName>
    <definedName name="data42">Facture!#REF!</definedName>
    <definedName name="data43">Facture!#REF!</definedName>
    <definedName name="data44">Facture!#REF!</definedName>
    <definedName name="data45">Facture!$F$38</definedName>
    <definedName name="data46">Facture!#REF!</definedName>
    <definedName name="data47">Facture!$E$25</definedName>
    <definedName name="data48">Facture!$F$25</definedName>
    <definedName name="data49">Facture!$N$25</definedName>
    <definedName name="data5">Facture!$E$19</definedName>
    <definedName name="data50">Facture!#REF!</definedName>
    <definedName name="data51">Facture!#REF!</definedName>
    <definedName name="data52">Facture!#REF!</definedName>
    <definedName name="data53">Facture!$E$26</definedName>
    <definedName name="data54">Facture!$F$26</definedName>
    <definedName name="data55">Facture!$N$26</definedName>
    <definedName name="data56">Facture!#REF!</definedName>
    <definedName name="data57">Facture!#REF!</definedName>
    <definedName name="data58">Facture!#REF!</definedName>
    <definedName name="data59">Facture!$E$40</definedName>
    <definedName name="data6">Facture!$F$20</definedName>
    <definedName name="data60">Facture!$F$40</definedName>
    <definedName name="data61">Facture!$N$40</definedName>
    <definedName name="data62">Facture!$E$43</definedName>
    <definedName name="data63">Facture!$E$44</definedName>
    <definedName name="data64">Facture!#REF!</definedName>
    <definedName name="data65">Facture!$H$44</definedName>
    <definedName name="data66">Facture!$F$46</definedName>
    <definedName name="data67">Facture!$F$48</definedName>
    <definedName name="data68">Facture!$G$49</definedName>
    <definedName name="data69">Facture!$K$49</definedName>
    <definedName name="data7">Facture!$H$21</definedName>
    <definedName name="data70">Facture!$K$50</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Facture!$C$3:$P$60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Facture!$O$11</definedName>
    <definedName name="NS">'Personnaliser votre facture'!$E$49</definedName>
    <definedName name="qzqzqz1">Facture!$E$19:$J$19</definedName>
    <definedName name="qzqzqz10">Facture!#REF!</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Facture!$N$19:$O$19</definedName>
    <definedName name="qzqzqz20">Facture!$F$38:$K$38</definedName>
    <definedName name="qzqzqz21">Facture!$F$25:$K$25</definedName>
    <definedName name="qzqzqz22">Facture!#REF!</definedName>
    <definedName name="qzqzqz23">Facture!$F$26:$K$26</definedName>
    <definedName name="qzqzqz24">Facture!#REF!</definedName>
    <definedName name="qzqzqz25">Facture!$F$40:$K$40</definedName>
    <definedName name="qzqzqz26">Facture!$F$46:$I$46</definedName>
    <definedName name="qzqzqz27">Facture!$F$47:$I$47</definedName>
    <definedName name="qzqzqz28">Facture!$F$48:$I$48</definedName>
    <definedName name="qzqzqz29">Facture!$K$48:$O$50</definedName>
    <definedName name="qzqzqz3">Facture!$E$20:$J$20</definedName>
    <definedName name="qzqzqz30">Facture!$G$49:$I$49</definedName>
    <definedName name="qzqzqz31">Facture!$G$49:$H$49</definedName>
    <definedName name="qzqzqz32">Facture!$K$47:$O$49</definedName>
    <definedName name="qzqzqz4">Facture!$G$21:$H$21</definedName>
    <definedName name="qzqzqz5">Facture!$N$21:$O$21</definedName>
    <definedName name="qzqzqz6">Facture!$E$22:$J$22</definedName>
    <definedName name="qzqzqz7">Facture!$N$22:$O$22</definedName>
    <definedName name="qzqzqz8">Facture!$F$24:$K$24</definedName>
    <definedName name="qzqzqz9">Facture!#REF!</definedName>
    <definedName name="SS">'Personnaliser votre facture'!$E$48</definedName>
    <definedName name="TOT">Facture!$O$45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Facture!$C$3:$P$60</definedName>
  </definedNames>
  <calcPr calcId="152511"/>
</workbook>
</file>

<file path=xl/calcChain.xml><?xml version="1.0" encoding="utf-8"?>
<calcChain xmlns="http://schemas.openxmlformats.org/spreadsheetml/2006/main">
  <c r="O26" i="3" l="1"/>
  <c r="O27" i="3"/>
  <c r="O28" i="3"/>
  <c r="O29" i="3"/>
  <c r="O30" i="3"/>
  <c r="O31" i="3"/>
  <c r="O32" i="3"/>
  <c r="O33" i="3"/>
  <c r="O34" i="3"/>
  <c r="O35" i="3"/>
  <c r="O36" i="3"/>
  <c r="O37" i="3"/>
  <c r="O25" i="3"/>
  <c r="O40" i="3" l="1"/>
  <c r="N44" i="3"/>
  <c r="F33" i="2"/>
  <c r="B8" i="8"/>
  <c r="C8" i="8"/>
  <c r="D8" i="8"/>
  <c r="E8" i="8"/>
  <c r="F8" i="8"/>
  <c r="G8" i="8"/>
  <c r="H8" i="8"/>
  <c r="I8" i="8"/>
  <c r="K8" i="8"/>
  <c r="O41" i="3" l="1"/>
  <c r="O44" i="3" s="1"/>
  <c r="O46" i="3" s="1"/>
  <c r="O45"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O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2" authorId="0" shapeId="0">
      <text>
        <r>
          <rPr>
            <sz val="8"/>
            <color indexed="81"/>
            <rFont val="Tahoma"/>
            <family val="2"/>
          </rPr>
          <t>Cliquez sur ce bouton pour retourner à la feuille Personnaliser vos frais et modifier vos informations personnelles.</t>
        </r>
      </text>
    </comment>
    <comment ref="N15" authorId="1" shapeId="0">
      <text>
        <r>
          <rPr>
            <b/>
            <sz val="8"/>
            <color indexed="81"/>
            <rFont val="Tahoma"/>
            <family val="2"/>
          </rPr>
          <t>GAMESYSTEM:</t>
        </r>
        <r>
          <rPr>
            <sz val="8"/>
            <color indexed="81"/>
            <rFont val="Tahoma"/>
            <family val="2"/>
          </rPr>
          <t xml:space="preserve">
</t>
        </r>
      </text>
    </comment>
    <comment ref="M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<sst xmlns="http://schemas.openxmlformats.org/spreadsheetml/2006/main" count="93" uniqueCount="77">
  <si>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</si>
  <si>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</si>
  <si>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</si>
  <si>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</si>
  <si>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</si>
  <si>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</si>
  <si>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</si>
  <si>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</si>
  <si>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</si>
  <si>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</si>
  <si>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</si>
  <si>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</si>
  <si>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</si>
  <si>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</si>
  <si>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</si>
  <si>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</si>
  <si>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</si>
  <si>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</si>
  <si>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</si>
  <si>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</si>
  <si>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</si>
  <si>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</si>
  <si>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</si>
  <si>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</si>
  <si>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</si>
  <si>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</si>
  <si>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</si>
  <si>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</si>
  <si>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</si>
  <si>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</si>
  <si>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</si>
  <si>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</si>
  <si>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</si>
  <si>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</si>
  <si>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</si>
  <si>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</si>
  <si>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</si>
  <si>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</si>
  <si>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dont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</si>
  <si>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</si>
  <si>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</si>
  <si>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</si>
  <si>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</si>
  <si>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</si>
  <si>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</si>
  <si>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</si>
  <si>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</si>
  <si>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</si>
  <si>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</si>
  <si>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</si>
  <si>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</si>
  <si>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</si>
  <si>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</si>
  <si>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</si>
  <si>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</si>
  <si>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</si>
  <si>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</si>
  <si>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</si>
  <si>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</si>
  <si>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taxes</t>
  </si>
  <si>
    <t>PRODUITS CONFORMES CE</t>
  </si>
  <si>
    <t>MARQUE CAMP SAFETY</t>
  </si>
  <si>
    <t>NXT</t>
  </si>
  <si>
    <t>AV,MOSBAH JARBOU ELMANAR II</t>
  </si>
  <si>
    <t>71 88 28 32            Fax: 71 87 29 03</t>
  </si>
  <si>
    <t>0808707EAM000</t>
  </si>
  <si>
    <t xml:space="preserve"> Mr.ZAHI GASMI</t>
  </si>
  <si>
    <t>FACTURE 2017031</t>
  </si>
  <si>
    <t xml:space="preserve">SANGLE </t>
  </si>
  <si>
    <t xml:space="preserve">EN 354 </t>
  </si>
  <si>
    <t>EN 795/B</t>
  </si>
  <si>
    <t>SANGLE N° 02 17/0078</t>
  </si>
  <si>
    <t>SANGLE N° 02 17/0113</t>
  </si>
  <si>
    <t>SANGLE N° 02 17/0020</t>
  </si>
  <si>
    <t>SANGLE N° 02 17/0016</t>
  </si>
  <si>
    <t>SANGLE N° 02 17/0014</t>
  </si>
  <si>
    <t xml:space="preserve">ARRETE LA PRESENTE FACTURE A LA SOMME DE CENTE QUARANTE HUIT DINARS </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</si>
</sst>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sz val="9"/>
      <name val="Arial"/>
      <family val="2"/>
    </font>
    <font>
      <sz val="10"/>
      <color rgb="FF000000"/>
      <name val="Arial"/>
      <family val="2"/>
    </font>
    <font>
      <sz val="8"/>
      <name val="Times New Roman"/>
      <family val="1"/>
    </font>
    <font>
      <b/>
      <sz val="10"/>
      <name val="Britannic Bold"/>
      <family val="2"/>
    </font>
    <font>
      <u/>
      <sz val="9.5"/>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style="thin">
        <color indexed="64"/>
      </left>
      <right style="thin">
        <color indexed="64"/>
      </right>
      <top/>
      <bottom style="thin">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4" fillId="0" borderId="0" applyNumberFormat="0" applyFill="0" applyBorder="0" applyAlignment="0" applyProtection="0">
      <alignment vertical="top"/>
      <protection locked="0"/>
    </xf>
  </cellStyleXfs>
  <cellXfs count="19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9"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2" xfId="0" applyFill="1" applyBorder="1"/>
    <xf numFmtId="0" fontId="0" fillId="3" borderId="33" xfId="0" applyFill="1" applyBorder="1"/>
    <xf numFmtId="0" fontId="7"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30" xfId="0" applyNumberFormat="1" applyFill="1" applyBorder="1" applyAlignment="1">
      <alignment horizontal="left"/>
    </xf>
    <xf numFmtId="0" fontId="16" fillId="3" borderId="0" xfId="0" applyFont="1" applyFill="1" applyBorder="1" applyAlignment="1">
      <alignment horizontal="right"/>
    </xf>
    <xf numFmtId="0" fontId="18" fillId="3" borderId="27" xfId="0" applyFont="1" applyFill="1" applyBorder="1" applyAlignment="1">
      <alignment horizontal="center"/>
    </xf>
    <xf numFmtId="0" fontId="18" fillId="3" borderId="34" xfId="0" applyFont="1" applyFill="1" applyBorder="1" applyAlignment="1"/>
    <xf numFmtId="168" fontId="18" fillId="3" borderId="27" xfId="0" applyNumberFormat="1" applyFont="1" applyFill="1" applyBorder="1" applyAlignment="1"/>
    <xf numFmtId="0" fontId="18" fillId="3" borderId="36" xfId="0" applyFont="1" applyFill="1" applyBorder="1" applyAlignment="1"/>
    <xf numFmtId="168" fontId="18" fillId="3" borderId="28"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68" fontId="18" fillId="0" borderId="27" xfId="0" applyNumberFormat="1" applyFont="1" applyFill="1" applyBorder="1"/>
    <xf numFmtId="168" fontId="18" fillId="0" borderId="28" xfId="0" applyNumberFormat="1" applyFont="1" applyFill="1" applyBorder="1"/>
    <xf numFmtId="168" fontId="17" fillId="0" borderId="26" xfId="0" applyNumberFormat="1" applyFont="1" applyFill="1" applyBorder="1"/>
    <xf numFmtId="168" fontId="29" fillId="0" borderId="26" xfId="0" applyNumberFormat="1" applyFont="1" applyFill="1" applyBorder="1"/>
    <xf numFmtId="168" fontId="29" fillId="0" borderId="41" xfId="0" applyNumberFormat="1" applyFont="1" applyFill="1" applyBorder="1"/>
    <xf numFmtId="168" fontId="17" fillId="0" borderId="38" xfId="0" applyNumberFormat="1" applyFont="1" applyFill="1" applyBorder="1"/>
    <xf numFmtId="10" fontId="18" fillId="0" borderId="37" xfId="0" quotePrefix="1" applyNumberFormat="1" applyFont="1" applyFill="1" applyBorder="1" applyAlignment="1">
      <alignment horizontal="center"/>
    </xf>
    <xf numFmtId="0" fontId="2" fillId="3" borderId="0" xfId="0" applyFont="1" applyFill="1" applyBorder="1"/>
    <xf numFmtId="0" fontId="24" fillId="6" borderId="45" xfId="0" applyFont="1" applyFill="1" applyBorder="1" applyAlignment="1">
      <alignment vertical="top"/>
    </xf>
    <xf numFmtId="0" fontId="18" fillId="6" borderId="46" xfId="0" applyFont="1" applyFill="1" applyBorder="1" applyAlignment="1">
      <alignment vertical="top"/>
    </xf>
    <xf numFmtId="0" fontId="18" fillId="6" borderId="47" xfId="0" applyFont="1" applyFill="1" applyBorder="1" applyAlignment="1">
      <alignment vertical="top"/>
    </xf>
    <xf numFmtId="0" fontId="18" fillId="6" borderId="32" xfId="0" applyFont="1" applyFill="1" applyBorder="1" applyAlignment="1">
      <alignment vertical="top"/>
    </xf>
    <xf numFmtId="0" fontId="18" fillId="6" borderId="0" xfId="0" applyFont="1" applyFill="1" applyAlignment="1">
      <alignment vertical="top"/>
    </xf>
    <xf numFmtId="0" fontId="18" fillId="6" borderId="34" xfId="0" applyFont="1" applyFill="1" applyBorder="1" applyAlignment="1">
      <alignment vertical="top"/>
    </xf>
    <xf numFmtId="0" fontId="18" fillId="6" borderId="33" xfId="0" applyFont="1" applyFill="1" applyBorder="1" applyAlignment="1">
      <alignment vertical="top"/>
    </xf>
    <xf numFmtId="0" fontId="18" fillId="6" borderId="37" xfId="0" applyFont="1" applyFill="1" applyBorder="1" applyAlignment="1">
      <alignment vertical="top"/>
    </xf>
    <xf numFmtId="0" fontId="18" fillId="6" borderId="36" xfId="0" applyFont="1" applyFill="1" applyBorder="1" applyAlignment="1">
      <alignment vertical="top"/>
    </xf>
    <xf numFmtId="0" fontId="5" fillId="3" borderId="48" xfId="0" applyFont="1" applyFill="1" applyBorder="1" applyAlignment="1">
      <alignment horizontal="center" vertical="center"/>
    </xf>
    <xf numFmtId="0" fontId="32" fillId="3" borderId="32" xfId="0" applyFont="1" applyFill="1" applyBorder="1" applyAlignment="1">
      <alignment horizontal="left" shrinkToFit="1"/>
    </xf>
    <xf numFmtId="0" fontId="18" fillId="6" borderId="0" xfId="0" applyFont="1" applyFill="1" applyBorder="1" applyAlignment="1">
      <alignment vertical="top"/>
    </xf>
    <xf numFmtId="0" fontId="24" fillId="6" borderId="46" xfId="0" applyFont="1" applyFill="1" applyBorder="1" applyAlignment="1">
      <alignment vertical="top"/>
    </xf>
    <xf numFmtId="0" fontId="5" fillId="6" borderId="48" xfId="0" applyFont="1" applyFill="1" applyBorder="1" applyAlignment="1">
      <alignment horizontal="center" vertical="center"/>
    </xf>
    <xf numFmtId="0" fontId="5" fillId="6" borderId="0" xfId="0" applyFont="1" applyFill="1" applyAlignment="1">
      <alignment horizontal="center" vertical="center"/>
    </xf>
    <xf numFmtId="0" fontId="7" fillId="3" borderId="49" xfId="0" applyFont="1" applyFill="1" applyBorder="1" applyAlignment="1">
      <alignment horizontal="center"/>
    </xf>
    <xf numFmtId="0" fontId="0" fillId="6" borderId="32" xfId="0" applyFill="1" applyBorder="1" applyAlignment="1"/>
    <xf numFmtId="0" fontId="2" fillId="6" borderId="32" xfId="0" applyFont="1" applyFill="1" applyBorder="1" applyAlignment="1"/>
    <xf numFmtId="49" fontId="28" fillId="6" borderId="32" xfId="0" quotePrefix="1" applyNumberFormat="1" applyFont="1" applyFill="1" applyBorder="1" applyAlignment="1"/>
    <xf numFmtId="49" fontId="28" fillId="6" borderId="32" xfId="0" applyNumberFormat="1" applyFont="1" applyFill="1" applyBorder="1" applyAlignment="1">
      <alignment horizontal="left"/>
    </xf>
    <xf numFmtId="49" fontId="26" fillId="6" borderId="33" xfId="0" applyNumberFormat="1" applyFont="1" applyFill="1" applyBorder="1" applyAlignment="1">
      <alignment horizontal="center"/>
    </xf>
    <xf numFmtId="0" fontId="0" fillId="6" borderId="25" xfId="0" applyFill="1" applyBorder="1"/>
    <xf numFmtId="49" fontId="2" fillId="3" borderId="39" xfId="0" applyNumberFormat="1"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14" fontId="18" fillId="3" borderId="35" xfId="0" applyNumberFormat="1" applyFont="1" applyFill="1" applyBorder="1" applyAlignment="1"/>
    <xf numFmtId="14" fontId="18" fillId="2" borderId="35" xfId="0" applyNumberFormat="1" applyFont="1" applyBorder="1" applyAlignment="1"/>
    <xf numFmtId="49" fontId="27" fillId="3" borderId="32" xfId="0" applyNumberFormat="1" applyFont="1" applyFill="1" applyBorder="1" applyAlignment="1">
      <alignment shrinkToFit="1"/>
    </xf>
    <xf numFmtId="49" fontId="27" fillId="3" borderId="0" xfId="0" applyNumberFormat="1" applyFont="1" applyFill="1" applyBorder="1" applyAlignment="1">
      <alignment shrinkToFit="1"/>
    </xf>
    <xf numFmtId="49" fontId="27" fillId="3" borderId="34" xfId="0" applyNumberFormat="1" applyFont="1" applyFill="1" applyBorder="1" applyAlignment="1">
      <alignment shrinkToFit="1"/>
    </xf>
    <xf numFmtId="49" fontId="27" fillId="3" borderId="32" xfId="0" applyNumberFormat="1" applyFont="1" applyFill="1" applyBorder="1" applyAlignment="1">
      <alignment horizontal="left"/>
    </xf>
    <xf numFmtId="49" fontId="27" fillId="3" borderId="0" xfId="0" applyNumberFormat="1" applyFont="1" applyFill="1" applyBorder="1" applyAlignment="1">
      <alignment horizontal="left"/>
    </xf>
    <xf numFmtId="49" fontId="27" fillId="3" borderId="34" xfId="0" applyNumberFormat="1" applyFont="1" applyFill="1" applyBorder="1" applyAlignment="1">
      <alignment horizontal="left"/>
    </xf>
    <xf numFmtId="49" fontId="18" fillId="3" borderId="35" xfId="0" applyNumberFormat="1" applyFont="1" applyFill="1" applyBorder="1" applyAlignment="1"/>
    <xf numFmtId="0" fontId="18" fillId="2" borderId="35" xfId="0" applyFont="1" applyBorder="1" applyAlignment="1"/>
    <xf numFmtId="0" fontId="1" fillId="3" borderId="25" xfId="0" applyFont="1" applyFill="1" applyBorder="1" applyAlignment="1"/>
    <xf numFmtId="0" fontId="0" fillId="2" borderId="35" xfId="0" applyBorder="1" applyAlignment="1"/>
    <xf numFmtId="49" fontId="1" fillId="3" borderId="32" xfId="0" applyNumberFormat="1" applyFont="1" applyFill="1" applyBorder="1" applyAlignment="1"/>
    <xf numFmtId="49" fontId="1" fillId="3" borderId="0" xfId="0" applyNumberFormat="1" applyFont="1" applyFill="1" applyBorder="1" applyAlignment="1"/>
    <xf numFmtId="49" fontId="1" fillId="3" borderId="34" xfId="0" applyNumberFormat="1" applyFont="1" applyFill="1" applyBorder="1" applyAlignment="1"/>
    <xf numFmtId="0" fontId="4" fillId="3" borderId="35" xfId="0" applyFont="1" applyFill="1" applyBorder="1" applyAlignment="1"/>
    <xf numFmtId="0" fontId="4" fillId="2" borderId="35" xfId="0" applyFont="1" applyBorder="1" applyAlignment="1"/>
    <xf numFmtId="49" fontId="27" fillId="3" borderId="32" xfId="0" applyNumberFormat="1" applyFont="1" applyFill="1" applyBorder="1" applyAlignment="1">
      <alignment horizontal="left" shrinkToFit="1"/>
    </xf>
    <xf numFmtId="49" fontId="27" fillId="3" borderId="0" xfId="0" applyNumberFormat="1" applyFont="1" applyFill="1" applyBorder="1" applyAlignment="1">
      <alignment horizontal="left" shrinkToFit="1"/>
    </xf>
    <xf numFmtId="49" fontId="27" fillId="3" borderId="34" xfId="0" applyNumberFormat="1" applyFont="1" applyFill="1" applyBorder="1" applyAlignment="1">
      <alignment horizontal="left" shrinkToFit="1"/>
    </xf>
    <xf numFmtId="0" fontId="2" fillId="3" borderId="0" xfId="0" applyFont="1" applyFill="1" applyBorder="1" applyAlignment="1">
      <alignment shrinkToFit="1"/>
    </xf>
    <xf numFmtId="0" fontId="0" fillId="2" borderId="0" xfId="0" applyAlignment="1">
      <alignment shrinkToFit="1"/>
    </xf>
    <xf numFmtId="49" fontId="27" fillId="3" borderId="32" xfId="0" applyNumberFormat="1" applyFont="1" applyFill="1" applyBorder="1" applyAlignment="1"/>
    <xf numFmtId="49" fontId="27" fillId="3" borderId="0" xfId="0" applyNumberFormat="1" applyFont="1" applyFill="1" applyBorder="1" applyAlignment="1"/>
    <xf numFmtId="49" fontId="27" fillId="3" borderId="34" xfId="0" applyNumberFormat="1" applyFont="1" applyFill="1" applyBorder="1" applyAlignment="1"/>
    <xf numFmtId="49" fontId="26" fillId="3" borderId="33" xfId="0" applyNumberFormat="1" applyFont="1" applyFill="1" applyBorder="1" applyAlignment="1">
      <alignment horizontal="center"/>
    </xf>
    <xf numFmtId="49" fontId="26" fillId="3" borderId="37" xfId="0" applyNumberFormat="1" applyFont="1" applyFill="1" applyBorder="1" applyAlignment="1">
      <alignment horizontal="center"/>
    </xf>
    <xf numFmtId="49" fontId="28" fillId="3" borderId="32" xfId="0" applyNumberFormat="1" applyFont="1" applyFill="1" applyBorder="1" applyAlignment="1">
      <alignment horizontal="left"/>
    </xf>
    <xf numFmtId="49" fontId="28" fillId="3" borderId="0" xfId="0" applyNumberFormat="1" applyFont="1" applyFill="1" applyBorder="1" applyAlignment="1">
      <alignment horizontal="left"/>
    </xf>
    <xf numFmtId="0" fontId="33"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1" fillId="3" borderId="40" xfId="0" applyFont="1" applyFill="1" applyBorder="1" applyAlignment="1">
      <alignment horizontal="left"/>
    </xf>
    <xf numFmtId="0" fontId="4" fillId="3" borderId="40" xfId="0" applyFont="1" applyFill="1" applyBorder="1" applyAlignment="1">
      <alignment horizontal="left"/>
    </xf>
    <xf numFmtId="0" fontId="2" fillId="3" borderId="40" xfId="0" applyFont="1" applyFill="1" applyBorder="1" applyAlignment="1">
      <alignment horizontal="left"/>
    </xf>
    <xf numFmtId="49" fontId="4" fillId="3" borderId="40" xfId="0" applyNumberFormat="1" applyFont="1" applyFill="1" applyBorder="1" applyAlignment="1">
      <alignment horizontal="left"/>
    </xf>
    <xf numFmtId="0" fontId="30" fillId="3" borderId="40" xfId="0" applyFont="1" applyFill="1" applyBorder="1" applyAlignment="1"/>
    <xf numFmtId="0" fontId="30"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alignment horizontal="left"/>
    </xf>
    <xf numFmtId="0" fontId="4" fillId="2" borderId="39" xfId="0" applyFont="1" applyBorder="1" applyAlignment="1">
      <alignment horizontal="left"/>
    </xf>
    <xf numFmtId="0" fontId="34" fillId="3" borderId="0" xfId="5" applyFill="1" applyBorder="1" applyAlignment="1" applyProtection="1">
      <alignment horizontal="center"/>
    </xf>
    <xf numFmtId="0" fontId="0" fillId="3" borderId="0" xfId="0"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REF!"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15</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8</xdr:col>
      <xdr:colOff>160421</xdr:colOff>
      <xdr:row>4</xdr:row>
      <xdr:rowOff>140370</xdr:rowOff>
    </xdr:from>
    <xdr:to>
      <xdr:col>15</xdr:col>
      <xdr:colOff>70185</xdr:colOff>
      <xdr:row>10</xdr:row>
      <xdr:rowOff>170448</xdr:rowOff>
    </xdr:to>
    <xdr:pic>
      <xdr:nvPicPr>
        <xdr:cNvPr id="8" name="Image 7"/>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060658" y="551449"/>
          <a:ext cx="4050632" cy="992604"/>
        </a:xfrm>
        <a:prstGeom prst="rect">
          <a:avLst/>
        </a:prstGeom>
      </xdr:spPr>
    </xdr:pic>
    <xdr:clientData/>
  </xdr:twoCellAnchor>
  <mc:AlternateContent xmlns:mc="http://schemas.openxmlformats.org/markup-compatibility/2006">
    <mc:Choice xmlns:a14="http://schemas.microsoft.com/office/drawing/2010/main" Requires="a14">
      <xdr:twoCellAnchor>
        <xdr:from>
          <xdr:col>13</xdr:col>
          <xdr:colOff>485775</xdr:colOff>
          <xdr:row>12</xdr:row>
          <xdr:rowOff>0</xdr:rowOff>
        </xdr:from>
        <xdr:to>
          <xdr:col>14</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41</xdr:row>
          <xdr:rowOff>152400</xdr:rowOff>
        </xdr:from>
        <xdr:to>
          <xdr:col>4</xdr:col>
          <xdr:colOff>695325</xdr:colOff>
          <xdr:row>42</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43</xdr:row>
          <xdr:rowOff>0</xdr:rowOff>
        </xdr:from>
        <xdr:to>
          <xdr:col>4</xdr:col>
          <xdr:colOff>704850</xdr:colOff>
          <xdr:row>44</xdr:row>
          <xdr:rowOff>19049</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44</xdr:row>
          <xdr:rowOff>0</xdr:rowOff>
        </xdr:from>
        <xdr:to>
          <xdr:col>4</xdr:col>
          <xdr:colOff>714375</xdr:colOff>
          <xdr:row>45</xdr:row>
          <xdr:rowOff>8523</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40105</xdr:colOff>
      <xdr:row>3</xdr:row>
      <xdr:rowOff>110288</xdr:rowOff>
    </xdr:from>
    <xdr:to>
      <xdr:col>7</xdr:col>
      <xdr:colOff>551448</xdr:colOff>
      <xdr:row>10</xdr:row>
      <xdr:rowOff>90236</xdr:rowOff>
    </xdr:to>
    <xdr:pic>
      <xdr:nvPicPr>
        <xdr:cNvPr id="14" name="Image 13"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11079" y="360946"/>
          <a:ext cx="3128211" cy="110289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3" t="s">
        <v>0</v>
      </c>
      <c r="E4" s="144"/>
      <c r="F4" s="144"/>
      <c r="G4" s="3"/>
      <c r="H4" s="3"/>
      <c r="I4" s="3"/>
      <c r="J4" s="9"/>
    </row>
    <row r="5" spans="2:10" ht="3" customHeight="1" thickTop="1" x14ac:dyDescent="0.2">
      <c r="B5" s="2"/>
      <c r="C5" s="60"/>
      <c r="D5" s="60"/>
      <c r="E5" s="60"/>
      <c r="F5" s="60"/>
      <c r="G5" s="60"/>
      <c r="H5" s="60"/>
      <c r="I5" s="60"/>
      <c r="J5" s="1"/>
    </row>
    <row r="6" spans="2:10" ht="12.75" customHeight="1" x14ac:dyDescent="0.3">
      <c r="B6" s="7"/>
      <c r="C6" s="3"/>
      <c r="D6" s="21"/>
      <c r="E6" s="3"/>
      <c r="F6" s="3"/>
      <c r="G6" s="3"/>
      <c r="H6" s="3"/>
      <c r="I6" s="3"/>
      <c r="J6" s="9"/>
    </row>
    <row r="7" spans="2:10" x14ac:dyDescent="0.2">
      <c r="B7" s="7"/>
      <c r="C7" s="3"/>
      <c r="D7" s="3"/>
      <c r="E7" s="3"/>
      <c r="F7" s="3"/>
      <c r="G7" s="66" t="s">
        <v>48</v>
      </c>
      <c r="H7" s="3"/>
      <c r="I7" s="3"/>
      <c r="J7" s="9"/>
    </row>
    <row r="8" spans="2:10" x14ac:dyDescent="0.2">
      <c r="B8" s="7"/>
      <c r="C8" s="3"/>
      <c r="D8" s="3"/>
      <c r="E8" s="3"/>
      <c r="F8" s="3"/>
      <c r="G8" s="66" t="s">
        <v>1</v>
      </c>
      <c r="H8" s="3"/>
      <c r="I8" s="3"/>
      <c r="J8" s="9"/>
    </row>
    <row r="9" spans="2:10" x14ac:dyDescent="0.2">
      <c r="B9" s="7"/>
      <c r="C9" s="3"/>
      <c r="D9" s="22"/>
      <c r="E9" s="3"/>
      <c r="F9" s="3"/>
      <c r="G9" s="44"/>
      <c r="H9" s="3"/>
      <c r="I9" s="3"/>
      <c r="J9" s="9"/>
    </row>
    <row r="10" spans="2:10" ht="13.5" thickBot="1" x14ac:dyDescent="0.25">
      <c r="B10" s="7"/>
      <c r="C10" s="3"/>
      <c r="D10" s="145" t="s">
        <v>2</v>
      </c>
      <c r="E10" s="146"/>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56</v>
      </c>
      <c r="F12" s="67" t="s">
        <v>4</v>
      </c>
      <c r="G12" s="17"/>
      <c r="H12" s="27"/>
      <c r="I12" s="3"/>
      <c r="J12" s="9"/>
    </row>
    <row r="13" spans="2:10" ht="13.5" thickBot="1" x14ac:dyDescent="0.25">
      <c r="B13" s="7"/>
      <c r="C13" s="3"/>
      <c r="D13" s="34" t="s">
        <v>5</v>
      </c>
      <c r="E13" s="14" t="s">
        <v>52</v>
      </c>
      <c r="F13" s="67" t="s">
        <v>6</v>
      </c>
      <c r="G13" s="18"/>
      <c r="H13" s="27"/>
      <c r="I13" s="3"/>
      <c r="J13" s="9"/>
    </row>
    <row r="14" spans="2:10" x14ac:dyDescent="0.2">
      <c r="B14" s="7"/>
      <c r="C14" s="3"/>
      <c r="D14" s="34" t="s">
        <v>7</v>
      </c>
      <c r="E14" s="15" t="s">
        <v>53</v>
      </c>
      <c r="F14" s="28"/>
      <c r="G14" s="29"/>
      <c r="H14" s="27"/>
      <c r="I14" s="3"/>
      <c r="J14" s="9"/>
    </row>
    <row r="15" spans="2:10" x14ac:dyDescent="0.2">
      <c r="B15" s="7"/>
      <c r="C15" s="3"/>
      <c r="D15" s="34" t="s">
        <v>8</v>
      </c>
      <c r="E15" s="14" t="s">
        <v>54</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47" t="s">
        <v>49</v>
      </c>
      <c r="E19" s="146"/>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7">
        <v>0.1</v>
      </c>
      <c r="F22" s="35"/>
      <c r="G22" s="38"/>
      <c r="H22" s="27"/>
      <c r="I22" s="3"/>
      <c r="J22" s="9"/>
    </row>
    <row r="23" spans="2:10" x14ac:dyDescent="0.2">
      <c r="B23" s="7"/>
      <c r="C23" s="3"/>
      <c r="D23" s="36">
        <v>2</v>
      </c>
      <c r="E23" s="68">
        <v>0.18</v>
      </c>
      <c r="F23" s="35"/>
      <c r="G23" s="39"/>
      <c r="H23" s="27"/>
      <c r="I23" s="3"/>
      <c r="J23" s="9"/>
    </row>
    <row r="24" spans="2:10" ht="13.5" thickBot="1" x14ac:dyDescent="0.25">
      <c r="B24" s="7"/>
      <c r="C24" s="3"/>
      <c r="D24" s="36">
        <v>3</v>
      </c>
      <c r="E24" s="64">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50</v>
      </c>
      <c r="G27" s="78">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3"/>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48" t="str">
        <f>LOWER(TemplateInformation!B3)</f>
        <v>c:\program files\microsoft office\office\macrolib\factbd.xls</v>
      </c>
      <c r="G33" s="149"/>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45" t="s">
        <v>16</v>
      </c>
      <c r="E36" s="146"/>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6"/>
      <c r="G38" s="47"/>
      <c r="H38" s="48"/>
      <c r="I38" s="62"/>
      <c r="J38" s="23"/>
    </row>
    <row r="39" spans="2:10" ht="14.25" x14ac:dyDescent="0.2">
      <c r="B39" s="7"/>
      <c r="C39" s="3"/>
      <c r="D39" s="46"/>
      <c r="E39" s="47"/>
      <c r="F39" s="49"/>
      <c r="G39" s="47"/>
      <c r="H39" s="48"/>
      <c r="I39" s="62"/>
      <c r="J39" s="23"/>
    </row>
    <row r="40" spans="2:10" ht="14.25" x14ac:dyDescent="0.2">
      <c r="B40" s="7"/>
      <c r="C40" s="3"/>
      <c r="D40" s="46"/>
      <c r="E40" s="47"/>
      <c r="F40" s="47"/>
      <c r="G40" s="47"/>
      <c r="H40" s="48"/>
      <c r="I40" s="62"/>
      <c r="J40" s="23"/>
    </row>
    <row r="41" spans="2:10" ht="14.25" x14ac:dyDescent="0.2">
      <c r="B41" s="7"/>
      <c r="C41" s="3"/>
      <c r="D41" s="46"/>
      <c r="E41" s="47"/>
      <c r="F41" s="47"/>
      <c r="G41" s="47"/>
      <c r="H41" s="48"/>
      <c r="I41" s="62"/>
      <c r="J41" s="23"/>
    </row>
    <row r="42" spans="2:10" ht="20.100000000000001" customHeight="1" x14ac:dyDescent="0.2">
      <c r="B42" s="7"/>
      <c r="C42" s="3"/>
      <c r="D42" s="46"/>
      <c r="E42" s="47"/>
      <c r="F42" s="47"/>
      <c r="G42" s="47"/>
      <c r="H42" s="48"/>
      <c r="I42" s="62"/>
      <c r="J42" s="23"/>
    </row>
    <row r="43" spans="2:10" ht="14.25" x14ac:dyDescent="0.2">
      <c r="B43" s="7"/>
      <c r="C43" s="3"/>
      <c r="D43" s="46"/>
      <c r="E43" s="47"/>
      <c r="F43" s="47"/>
      <c r="G43" s="47"/>
      <c r="H43" s="48"/>
      <c r="I43" s="62"/>
      <c r="J43" s="23"/>
    </row>
    <row r="44" spans="2:10" ht="26.25" customHeight="1" thickBot="1" x14ac:dyDescent="0.25">
      <c r="B44" s="7"/>
      <c r="C44" s="3"/>
      <c r="D44" s="50"/>
      <c r="E44" s="51"/>
      <c r="F44" s="51"/>
      <c r="G44" s="51"/>
      <c r="H44" s="52"/>
      <c r="I44" s="62"/>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5">
        <v>0</v>
      </c>
    </row>
    <row r="49" spans="5:5" x14ac:dyDescent="0.2">
      <c r="E49" s="65" t="b">
        <v>0</v>
      </c>
    </row>
    <row r="50" spans="5:5" x14ac:dyDescent="0.2">
      <c r="E50" s="65" t="b">
        <v>0</v>
      </c>
    </row>
    <row r="51" spans="5:5" x14ac:dyDescent="0.2">
      <c r="E51" s="65" t="s">
        <v>17</v>
      </c>
    </row>
    <row r="52" spans="5:5" x14ac:dyDescent="0.2">
      <c r="E52" s="65"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Q62"/>
  <sheetViews>
    <sheetView showGridLines="0" showRowColHeaders="0" tabSelected="1" zoomScale="95" workbookViewId="0">
      <selection activeCell="F40" sqref="F40:K40"/>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2" width="3.28515625" customWidth="1"/>
    <col min="13" max="13" width="12" customWidth="1"/>
    <col min="14" max="14" width="14.7109375" customWidth="1"/>
    <col min="15" max="15" width="15.7109375" customWidth="1"/>
    <col min="16" max="16" width="3.7109375" customWidth="1"/>
    <col min="17" max="17" width="0.42578125" customWidth="1"/>
    <col min="18" max="18" width="1.7109375" customWidth="1"/>
  </cols>
  <sheetData>
    <row r="1" spans="2:17" ht="6" customHeight="1" thickBot="1" x14ac:dyDescent="0.25"/>
    <row r="2" spans="2:17" ht="0.95" customHeight="1" thickTop="1" x14ac:dyDescent="0.2">
      <c r="B2" s="4"/>
      <c r="C2" s="5"/>
      <c r="D2" s="5"/>
      <c r="E2" s="5"/>
      <c r="F2" s="5"/>
      <c r="G2" s="5"/>
      <c r="H2" s="5"/>
      <c r="I2" s="5"/>
      <c r="J2" s="5"/>
      <c r="K2" s="5"/>
      <c r="L2" s="5"/>
      <c r="M2" s="5"/>
      <c r="N2" s="5"/>
      <c r="O2" s="5"/>
      <c r="P2" s="5"/>
      <c r="Q2" s="6"/>
    </row>
    <row r="3" spans="2:17" x14ac:dyDescent="0.2">
      <c r="B3" s="7"/>
      <c r="C3" s="3"/>
      <c r="D3" s="3"/>
      <c r="E3" s="3"/>
      <c r="F3" s="3"/>
      <c r="G3" s="3"/>
      <c r="H3" s="3"/>
      <c r="I3" s="3"/>
      <c r="J3" s="3"/>
      <c r="K3" s="3"/>
      <c r="L3" s="3"/>
      <c r="M3" s="3"/>
      <c r="N3" s="3"/>
      <c r="O3" s="3"/>
      <c r="P3" s="3"/>
      <c r="Q3" s="9"/>
    </row>
    <row r="4" spans="2:17" x14ac:dyDescent="0.2">
      <c r="B4" s="7"/>
      <c r="C4" s="3"/>
      <c r="D4" s="3"/>
      <c r="E4" s="3"/>
      <c r="F4" s="3"/>
      <c r="G4" s="3"/>
      <c r="H4" s="3"/>
      <c r="I4" s="3"/>
      <c r="J4" s="3"/>
      <c r="K4" s="3"/>
      <c r="L4" s="3"/>
      <c r="M4" s="3"/>
      <c r="N4" s="3"/>
      <c r="O4" s="3"/>
      <c r="P4" s="3"/>
      <c r="Q4" s="9"/>
    </row>
    <row r="5" spans="2:17" x14ac:dyDescent="0.2">
      <c r="B5" s="7"/>
      <c r="C5" s="3"/>
      <c r="D5" s="3"/>
      <c r="E5" s="3"/>
      <c r="F5" s="3"/>
      <c r="G5" s="3"/>
      <c r="H5" s="3"/>
      <c r="I5" s="3"/>
      <c r="J5" s="3"/>
      <c r="K5" s="3"/>
      <c r="L5" s="3"/>
      <c r="M5" s="3"/>
      <c r="N5" s="3"/>
      <c r="O5" s="3"/>
      <c r="P5" s="3"/>
      <c r="Q5" s="9"/>
    </row>
    <row r="6" spans="2:17" x14ac:dyDescent="0.2">
      <c r="B6" s="7"/>
      <c r="C6" s="3"/>
      <c r="D6" s="3"/>
      <c r="E6" s="3"/>
      <c r="F6" s="3"/>
      <c r="G6" s="3"/>
      <c r="H6" s="3"/>
      <c r="I6" s="3"/>
      <c r="J6" s="3"/>
      <c r="K6" s="3"/>
      <c r="L6" s="3"/>
      <c r="M6" s="3"/>
      <c r="N6" s="3"/>
      <c r="O6" s="3"/>
      <c r="P6" s="3"/>
      <c r="Q6" s="9"/>
    </row>
    <row r="7" spans="2:17" x14ac:dyDescent="0.2">
      <c r="B7" s="7"/>
      <c r="C7" s="3"/>
      <c r="D7" s="3"/>
      <c r="E7" s="3"/>
      <c r="F7" s="3"/>
      <c r="G7" s="3"/>
      <c r="H7" s="3"/>
      <c r="I7" s="3"/>
      <c r="J7" s="3"/>
      <c r="K7" s="3"/>
      <c r="L7" s="3"/>
      <c r="M7" s="3"/>
      <c r="N7" s="3"/>
      <c r="O7" s="3"/>
      <c r="P7" s="3"/>
      <c r="Q7" s="9"/>
    </row>
    <row r="8" spans="2:17" x14ac:dyDescent="0.2">
      <c r="B8" s="7"/>
      <c r="C8" s="3"/>
      <c r="D8" s="3"/>
      <c r="E8" s="3"/>
      <c r="F8" s="3"/>
      <c r="G8" s="3"/>
      <c r="H8" s="3"/>
      <c r="I8" s="3"/>
      <c r="J8" s="3"/>
      <c r="K8" s="3"/>
      <c r="L8" s="3"/>
      <c r="M8" s="3"/>
      <c r="N8" s="3"/>
      <c r="O8" s="3"/>
      <c r="P8" s="3"/>
      <c r="Q8" s="9"/>
    </row>
    <row r="9" spans="2:17" x14ac:dyDescent="0.2">
      <c r="B9" s="7"/>
      <c r="C9" s="3"/>
      <c r="D9" s="3"/>
      <c r="E9" s="3"/>
      <c r="F9" s="3"/>
      <c r="G9" s="3"/>
      <c r="H9" s="3"/>
      <c r="I9" s="3"/>
      <c r="J9" s="3"/>
      <c r="K9" s="3"/>
      <c r="L9" s="3"/>
      <c r="M9" s="3"/>
      <c r="N9" s="179"/>
      <c r="O9" s="180"/>
      <c r="P9" s="3"/>
      <c r="Q9" s="9"/>
    </row>
    <row r="10" spans="2:17" x14ac:dyDescent="0.2">
      <c r="B10" s="7"/>
      <c r="C10" s="3"/>
      <c r="D10" s="3"/>
      <c r="E10" s="3"/>
      <c r="F10" s="3"/>
      <c r="G10" s="3"/>
      <c r="H10" s="3"/>
      <c r="I10" s="3"/>
      <c r="J10" s="3"/>
      <c r="K10" s="3"/>
      <c r="L10" s="3"/>
      <c r="M10" s="3"/>
      <c r="N10" s="193"/>
      <c r="O10" s="194"/>
      <c r="P10" s="3"/>
      <c r="Q10" s="9"/>
    </row>
    <row r="11" spans="2:17" ht="20.25" x14ac:dyDescent="0.3">
      <c r="B11" s="7"/>
      <c r="C11" s="3"/>
      <c r="D11" s="3"/>
      <c r="E11" s="3"/>
      <c r="F11" s="3"/>
      <c r="G11" s="3"/>
      <c r="H11" s="3"/>
      <c r="I11" s="3"/>
      <c r="J11" s="3"/>
      <c r="K11" s="8"/>
      <c r="L11" s="8"/>
      <c r="M11" s="8"/>
      <c r="N11" s="79"/>
      <c r="O11" s="79" t="s">
        <v>57</v>
      </c>
      <c r="P11" s="19"/>
      <c r="Q11" s="9"/>
    </row>
    <row r="12" spans="2:17" x14ac:dyDescent="0.2">
      <c r="B12" s="7"/>
      <c r="C12" s="3"/>
      <c r="D12" s="3"/>
      <c r="E12" s="3"/>
      <c r="F12" s="3"/>
      <c r="G12" s="3"/>
      <c r="H12" s="3"/>
      <c r="I12" s="3"/>
      <c r="J12" s="3"/>
      <c r="K12" s="3"/>
      <c r="L12" s="3"/>
      <c r="M12" s="3"/>
      <c r="N12" s="3"/>
      <c r="O12" s="3"/>
      <c r="P12" s="3"/>
      <c r="Q12" s="9"/>
    </row>
    <row r="13" spans="2:17" x14ac:dyDescent="0.2">
      <c r="B13" s="7"/>
      <c r="C13" s="3"/>
      <c r="D13" s="3"/>
      <c r="E13" s="3"/>
      <c r="F13" s="3"/>
      <c r="G13" s="3"/>
      <c r="H13" s="3"/>
      <c r="I13" s="3"/>
      <c r="J13" s="3"/>
      <c r="K13" s="3"/>
      <c r="L13" s="3"/>
      <c r="M13" s="3"/>
      <c r="N13" s="3"/>
      <c r="O13" s="3"/>
      <c r="P13" s="3"/>
      <c r="Q13" s="9"/>
    </row>
    <row r="14" spans="2:17" x14ac:dyDescent="0.2">
      <c r="B14" s="7"/>
      <c r="C14" s="3"/>
      <c r="D14" s="3"/>
      <c r="E14" s="3"/>
      <c r="F14" s="3"/>
      <c r="G14" s="3"/>
      <c r="H14" s="3"/>
      <c r="I14" s="3"/>
      <c r="J14" s="3"/>
      <c r="K14" s="3"/>
      <c r="L14" s="3"/>
      <c r="M14" s="3"/>
      <c r="N14" s="3"/>
      <c r="O14" s="3"/>
      <c r="P14" s="3"/>
      <c r="Q14" s="9"/>
    </row>
    <row r="15" spans="2:17" ht="20.100000000000001" customHeight="1" thickBot="1" x14ac:dyDescent="0.3">
      <c r="B15" s="7"/>
      <c r="C15" s="3"/>
      <c r="D15" s="3"/>
      <c r="E15" s="3"/>
      <c r="F15" s="3"/>
      <c r="G15" s="3"/>
      <c r="H15" s="3"/>
      <c r="I15" s="3"/>
      <c r="J15" s="3"/>
      <c r="K15" s="3"/>
      <c r="L15" s="3"/>
      <c r="M15" s="3"/>
      <c r="N15" s="108" t="s">
        <v>67</v>
      </c>
      <c r="O15" s="99"/>
      <c r="P15" s="3"/>
      <c r="Q15" s="9"/>
    </row>
    <row r="16" spans="2:17" ht="3" customHeight="1" thickTop="1" x14ac:dyDescent="0.3">
      <c r="B16" s="7"/>
      <c r="C16" s="3"/>
      <c r="D16" s="60"/>
      <c r="E16" s="60"/>
      <c r="F16" s="60"/>
      <c r="G16" s="60"/>
      <c r="H16" s="60"/>
      <c r="I16" s="60"/>
      <c r="J16" s="61"/>
      <c r="K16" s="61"/>
      <c r="L16" s="61"/>
      <c r="M16" s="61"/>
      <c r="N16" s="60"/>
      <c r="O16" s="61"/>
      <c r="P16" s="21"/>
      <c r="Q16" s="9"/>
    </row>
    <row r="17" spans="2:17" ht="14.1" customHeight="1" x14ac:dyDescent="0.2">
      <c r="B17" s="7"/>
      <c r="C17" s="3"/>
      <c r="D17" s="3"/>
      <c r="E17" s="3"/>
      <c r="F17" s="3"/>
      <c r="G17" s="3"/>
      <c r="H17" s="3"/>
      <c r="I17" s="3"/>
      <c r="J17" s="3"/>
      <c r="K17" s="3"/>
      <c r="L17" s="3"/>
      <c r="M17" s="3"/>
      <c r="N17" s="3"/>
      <c r="O17" s="3"/>
      <c r="P17" s="3"/>
      <c r="Q17" s="9"/>
    </row>
    <row r="18" spans="2:17" x14ac:dyDescent="0.2">
      <c r="B18" s="7"/>
      <c r="C18" s="3"/>
      <c r="D18" s="3"/>
      <c r="E18" s="3"/>
      <c r="F18" s="3"/>
      <c r="G18" s="3"/>
      <c r="H18" s="3"/>
      <c r="I18" s="3"/>
      <c r="J18" s="3"/>
      <c r="K18" s="3"/>
      <c r="L18" s="3"/>
      <c r="M18" s="3"/>
      <c r="N18" s="3"/>
      <c r="O18" s="3"/>
      <c r="P18" s="3"/>
      <c r="Q18" s="9"/>
    </row>
    <row r="19" spans="2:17" ht="18" x14ac:dyDescent="0.25">
      <c r="B19" s="7"/>
      <c r="C19" s="3"/>
      <c r="D19" s="94" t="s">
        <v>3</v>
      </c>
      <c r="E19" s="189" t="s">
        <v>62</v>
      </c>
      <c r="F19" s="190"/>
      <c r="G19" s="190"/>
      <c r="H19" s="190"/>
      <c r="I19" s="190"/>
      <c r="J19" s="190"/>
      <c r="K19" s="94"/>
      <c r="L19" s="94"/>
      <c r="M19" s="97" t="s">
        <v>18</v>
      </c>
      <c r="N19" s="181">
        <v>42853</v>
      </c>
      <c r="O19" s="182"/>
      <c r="P19" s="57"/>
      <c r="Q19" s="9"/>
    </row>
    <row r="20" spans="2:17" x14ac:dyDescent="0.2">
      <c r="B20" s="7"/>
      <c r="C20" s="3"/>
      <c r="D20" s="94" t="s">
        <v>5</v>
      </c>
      <c r="E20" s="187" t="s">
        <v>63</v>
      </c>
      <c r="F20" s="188"/>
      <c r="G20" s="188"/>
      <c r="H20" s="188"/>
      <c r="I20" s="188"/>
      <c r="J20" s="188"/>
      <c r="K20" s="94"/>
      <c r="L20" s="94"/>
      <c r="M20" s="97"/>
      <c r="N20" s="142"/>
      <c r="O20" s="102"/>
      <c r="P20" s="58"/>
      <c r="Q20" s="9"/>
    </row>
    <row r="21" spans="2:17" x14ac:dyDescent="0.2">
      <c r="B21" s="7"/>
      <c r="C21" s="3"/>
      <c r="D21" s="94" t="s">
        <v>7</v>
      </c>
      <c r="E21" s="103">
        <v>2092</v>
      </c>
      <c r="F21" s="104" t="s">
        <v>8</v>
      </c>
      <c r="G21" s="186"/>
      <c r="H21" s="186"/>
      <c r="I21" s="105" t="s">
        <v>9</v>
      </c>
      <c r="J21" s="102" t="s">
        <v>55</v>
      </c>
      <c r="K21" s="94"/>
      <c r="L21" s="94"/>
      <c r="M21" s="97" t="s">
        <v>19</v>
      </c>
      <c r="N21" s="183" t="s">
        <v>66</v>
      </c>
      <c r="O21" s="184"/>
      <c r="P21" s="3"/>
      <c r="Q21" s="9"/>
    </row>
    <row r="22" spans="2:17" x14ac:dyDescent="0.2">
      <c r="B22" s="7"/>
      <c r="C22" s="3"/>
      <c r="D22" s="119" t="s">
        <v>20</v>
      </c>
      <c r="E22" s="191" t="s">
        <v>64</v>
      </c>
      <c r="F22" s="192"/>
      <c r="G22" s="192"/>
      <c r="H22" s="192"/>
      <c r="I22" s="192"/>
      <c r="J22" s="192"/>
      <c r="K22" s="94"/>
      <c r="L22" s="94"/>
      <c r="M22" s="97" t="s">
        <v>51</v>
      </c>
      <c r="N22" s="185" t="s">
        <v>65</v>
      </c>
      <c r="O22" s="184"/>
      <c r="P22" s="3"/>
      <c r="Q22" s="9"/>
    </row>
    <row r="23" spans="2:17" x14ac:dyDescent="0.2">
      <c r="B23" s="7"/>
      <c r="C23" s="3"/>
      <c r="D23" s="94"/>
      <c r="E23" s="94"/>
      <c r="F23" s="94"/>
      <c r="G23" s="94"/>
      <c r="H23" s="94"/>
      <c r="I23" s="94"/>
      <c r="J23" s="94"/>
      <c r="K23" s="94"/>
      <c r="L23" s="94"/>
      <c r="M23" s="94"/>
      <c r="N23" s="94"/>
      <c r="O23" s="94"/>
      <c r="P23" s="3"/>
      <c r="Q23" s="9"/>
    </row>
    <row r="24" spans="2:17" x14ac:dyDescent="0.2">
      <c r="B24" s="7"/>
      <c r="C24" s="3"/>
      <c r="D24" s="71" t="s">
        <v>36</v>
      </c>
      <c r="E24" s="53" t="s">
        <v>21</v>
      </c>
      <c r="F24" s="160" t="s">
        <v>22</v>
      </c>
      <c r="G24" s="161"/>
      <c r="H24" s="161"/>
      <c r="I24" s="161"/>
      <c r="J24" s="161"/>
      <c r="K24" s="161"/>
      <c r="L24" s="141"/>
      <c r="M24" s="135" t="s">
        <v>37</v>
      </c>
      <c r="N24" s="53" t="s">
        <v>23</v>
      </c>
      <c r="O24" s="54" t="s">
        <v>24</v>
      </c>
      <c r="P24" s="59"/>
      <c r="Q24" s="9"/>
    </row>
    <row r="25" spans="2:17" ht="15" x14ac:dyDescent="0.2">
      <c r="B25" s="7"/>
      <c r="C25" s="3"/>
      <c r="D25" s="130">
        <v>2034060</v>
      </c>
      <c r="E25" s="80">
        <v>5</v>
      </c>
      <c r="F25" s="162" t="s">
        <v>68</v>
      </c>
      <c r="G25" s="163"/>
      <c r="H25" s="163"/>
      <c r="I25" s="163"/>
      <c r="J25" s="163"/>
      <c r="K25" s="164"/>
      <c r="L25" s="136"/>
      <c r="M25" s="81"/>
      <c r="N25" s="82">
        <v>25</v>
      </c>
      <c r="O25" s="112">
        <f>IF(E25&lt;&gt;"",E25*N25,"")</f>
        <v>125</v>
      </c>
      <c r="P25" s="59"/>
      <c r="Q25" s="9"/>
    </row>
    <row r="26" spans="2:17" ht="15" x14ac:dyDescent="0.2">
      <c r="B26" s="7"/>
      <c r="C26" s="3"/>
      <c r="D26" s="130"/>
      <c r="E26" s="80"/>
      <c r="F26" s="172" t="s">
        <v>69</v>
      </c>
      <c r="G26" s="173"/>
      <c r="H26" s="173"/>
      <c r="I26" s="173"/>
      <c r="J26" s="173"/>
      <c r="K26" s="174"/>
      <c r="L26" s="136"/>
      <c r="M26" s="81"/>
      <c r="N26" s="82"/>
      <c r="O26" s="112" t="str">
        <f t="shared" ref="O26:O37" si="0">IF(E26&lt;&gt;"",E26*N26,"")</f>
        <v/>
      </c>
      <c r="P26" s="59"/>
      <c r="Q26" s="9"/>
    </row>
    <row r="27" spans="2:17" ht="15" x14ac:dyDescent="0.2">
      <c r="B27" s="7"/>
      <c r="C27" s="3"/>
      <c r="D27" s="130"/>
      <c r="E27" s="80"/>
      <c r="F27" s="162" t="s">
        <v>70</v>
      </c>
      <c r="G27" s="163"/>
      <c r="H27" s="163"/>
      <c r="I27" s="163"/>
      <c r="J27" s="163"/>
      <c r="K27" s="164"/>
      <c r="L27" s="137"/>
      <c r="M27" s="81"/>
      <c r="N27" s="82"/>
      <c r="O27" s="112" t="str">
        <f t="shared" si="0"/>
        <v/>
      </c>
      <c r="P27" s="59"/>
      <c r="Q27" s="9"/>
    </row>
    <row r="28" spans="2:17" ht="15" x14ac:dyDescent="0.2">
      <c r="B28" s="7"/>
      <c r="C28" s="3"/>
      <c r="D28" s="130"/>
      <c r="E28" s="80"/>
      <c r="F28" s="155" t="s">
        <v>71</v>
      </c>
      <c r="G28" s="156"/>
      <c r="H28" s="156"/>
      <c r="I28" s="156"/>
      <c r="J28" s="156"/>
      <c r="K28" s="157"/>
      <c r="L28" s="136"/>
      <c r="M28" s="81"/>
      <c r="N28" s="82"/>
      <c r="O28" s="112" t="str">
        <f t="shared" si="0"/>
        <v/>
      </c>
      <c r="P28" s="59"/>
      <c r="Q28" s="9"/>
    </row>
    <row r="29" spans="2:17" ht="15" x14ac:dyDescent="0.2">
      <c r="B29" s="7"/>
      <c r="C29" s="3"/>
      <c r="D29" s="130"/>
      <c r="E29" s="80"/>
      <c r="F29" s="155" t="s">
        <v>72</v>
      </c>
      <c r="G29" s="156"/>
      <c r="H29" s="156"/>
      <c r="I29" s="156"/>
      <c r="J29" s="156"/>
      <c r="K29" s="157"/>
      <c r="L29" s="136"/>
      <c r="M29" s="81"/>
      <c r="N29" s="82"/>
      <c r="O29" s="112" t="str">
        <f t="shared" si="0"/>
        <v/>
      </c>
      <c r="P29" s="59"/>
      <c r="Q29" s="9"/>
    </row>
    <row r="30" spans="2:17" ht="15" x14ac:dyDescent="0.2">
      <c r="B30" s="7"/>
      <c r="C30" s="3"/>
      <c r="D30" s="130"/>
      <c r="E30" s="80"/>
      <c r="F30" s="155" t="s">
        <v>73</v>
      </c>
      <c r="G30" s="156"/>
      <c r="H30" s="156"/>
      <c r="I30" s="156"/>
      <c r="J30" s="156"/>
      <c r="K30" s="157"/>
      <c r="L30" s="136"/>
      <c r="M30" s="81"/>
      <c r="N30" s="82"/>
      <c r="O30" s="112" t="str">
        <f t="shared" si="0"/>
        <v/>
      </c>
      <c r="P30" s="59"/>
      <c r="Q30" s="9"/>
    </row>
    <row r="31" spans="2:17" ht="15" x14ac:dyDescent="0.2">
      <c r="B31" s="7"/>
      <c r="C31" s="3"/>
      <c r="D31" s="130"/>
      <c r="E31" s="80"/>
      <c r="F31" s="155" t="s">
        <v>74</v>
      </c>
      <c r="G31" s="156"/>
      <c r="H31" s="156"/>
      <c r="I31" s="156"/>
      <c r="J31" s="156"/>
      <c r="K31" s="157"/>
      <c r="L31" s="136"/>
      <c r="M31" s="81"/>
      <c r="N31" s="82"/>
      <c r="O31" s="112" t="str">
        <f t="shared" si="0"/>
        <v/>
      </c>
      <c r="P31" s="59"/>
      <c r="Q31" s="9"/>
    </row>
    <row r="32" spans="2:17" ht="15" x14ac:dyDescent="0.2">
      <c r="B32" s="7"/>
      <c r="C32" s="3"/>
      <c r="D32" s="130"/>
      <c r="E32" s="80"/>
      <c r="F32" s="155" t="s">
        <v>75</v>
      </c>
      <c r="G32" s="156"/>
      <c r="H32" s="156"/>
      <c r="I32" s="156"/>
      <c r="J32" s="156"/>
      <c r="K32" s="157"/>
      <c r="L32" s="136"/>
      <c r="M32" s="81"/>
      <c r="N32" s="82"/>
      <c r="O32" s="112" t="str">
        <f t="shared" si="0"/>
        <v/>
      </c>
      <c r="P32" s="59"/>
      <c r="Q32" s="9"/>
    </row>
    <row r="33" spans="2:17" ht="15" x14ac:dyDescent="0.2">
      <c r="B33" s="7"/>
      <c r="C33" s="3"/>
      <c r="D33" s="130"/>
      <c r="E33" s="80"/>
      <c r="F33" s="167"/>
      <c r="G33" s="168"/>
      <c r="H33" s="168"/>
      <c r="I33" s="168"/>
      <c r="J33" s="168"/>
      <c r="K33" s="169"/>
      <c r="L33" s="136"/>
      <c r="M33" s="81"/>
      <c r="N33" s="82"/>
      <c r="O33" s="112" t="str">
        <f t="shared" si="0"/>
        <v/>
      </c>
      <c r="P33" s="59"/>
      <c r="Q33" s="9"/>
    </row>
    <row r="34" spans="2:17" ht="15" x14ac:dyDescent="0.2">
      <c r="B34" s="7"/>
      <c r="C34" s="3"/>
      <c r="D34" s="130"/>
      <c r="E34" s="80"/>
      <c r="F34" s="167"/>
      <c r="G34" s="168"/>
      <c r="H34" s="168"/>
      <c r="I34" s="168"/>
      <c r="J34" s="168"/>
      <c r="K34" s="169"/>
      <c r="L34" s="136"/>
      <c r="M34" s="81"/>
      <c r="N34" s="82"/>
      <c r="O34" s="112" t="str">
        <f t="shared" si="0"/>
        <v/>
      </c>
      <c r="P34" s="59"/>
      <c r="Q34" s="9"/>
    </row>
    <row r="35" spans="2:17" ht="15" x14ac:dyDescent="0.2">
      <c r="B35" s="7"/>
      <c r="C35" s="3"/>
      <c r="D35" s="130"/>
      <c r="E35" s="80"/>
      <c r="F35" s="167"/>
      <c r="G35" s="168"/>
      <c r="H35" s="168"/>
      <c r="I35" s="168"/>
      <c r="J35" s="168"/>
      <c r="K35" s="169"/>
      <c r="L35" s="136"/>
      <c r="M35" s="81"/>
      <c r="N35" s="82"/>
      <c r="O35" s="112" t="str">
        <f t="shared" si="0"/>
        <v/>
      </c>
      <c r="P35" s="59"/>
      <c r="Q35" s="9"/>
    </row>
    <row r="36" spans="2:17" ht="15" x14ac:dyDescent="0.2">
      <c r="B36" s="7"/>
      <c r="C36" s="3"/>
      <c r="D36" s="130"/>
      <c r="E36" s="80"/>
      <c r="F36" s="167"/>
      <c r="G36" s="168"/>
      <c r="H36" s="168"/>
      <c r="I36" s="168"/>
      <c r="J36" s="168"/>
      <c r="K36" s="169"/>
      <c r="L36" s="136"/>
      <c r="M36" s="81"/>
      <c r="N36" s="82"/>
      <c r="O36" s="112" t="str">
        <f t="shared" si="0"/>
        <v/>
      </c>
      <c r="P36" s="59"/>
      <c r="Q36" s="9"/>
    </row>
    <row r="37" spans="2:17" ht="15" x14ac:dyDescent="0.2">
      <c r="B37" s="7"/>
      <c r="C37" s="3"/>
      <c r="D37" s="69"/>
      <c r="E37" s="55"/>
      <c r="F37" s="155" t="s">
        <v>60</v>
      </c>
      <c r="G37" s="156"/>
      <c r="H37" s="156"/>
      <c r="I37" s="156"/>
      <c r="J37" s="156"/>
      <c r="K37" s="157"/>
      <c r="L37" s="138"/>
      <c r="M37" s="81"/>
      <c r="N37" s="82"/>
      <c r="O37" s="112" t="str">
        <f t="shared" si="0"/>
        <v/>
      </c>
      <c r="P37" s="59"/>
      <c r="Q37" s="9"/>
    </row>
    <row r="38" spans="2:17" ht="15" x14ac:dyDescent="0.2">
      <c r="B38" s="7"/>
      <c r="C38" s="3"/>
      <c r="D38" s="69"/>
      <c r="E38" s="55"/>
      <c r="F38" s="152" t="s">
        <v>61</v>
      </c>
      <c r="G38" s="153"/>
      <c r="H38" s="153"/>
      <c r="I38" s="153"/>
      <c r="J38" s="153"/>
      <c r="K38" s="154"/>
      <c r="L38" s="139"/>
      <c r="M38" s="81"/>
      <c r="N38" s="82"/>
      <c r="O38" s="112"/>
      <c r="P38" s="59"/>
      <c r="Q38" s="9"/>
    </row>
    <row r="39" spans="2:17" ht="15" x14ac:dyDescent="0.2">
      <c r="B39" s="7"/>
      <c r="C39" s="3"/>
      <c r="D39" s="69"/>
      <c r="E39" s="55"/>
      <c r="F39" s="177"/>
      <c r="G39" s="178"/>
      <c r="H39" s="178"/>
      <c r="I39" s="178"/>
      <c r="J39" s="178"/>
      <c r="K39" s="178"/>
      <c r="L39" s="139"/>
      <c r="M39" s="81"/>
      <c r="N39" s="82"/>
      <c r="O39" s="112"/>
      <c r="P39" s="59"/>
      <c r="Q39" s="9"/>
    </row>
    <row r="40" spans="2:17" ht="15" x14ac:dyDescent="0.2">
      <c r="B40" s="7"/>
      <c r="C40" s="3"/>
      <c r="D40" s="70"/>
      <c r="E40" s="56"/>
      <c r="F40" s="175"/>
      <c r="G40" s="176"/>
      <c r="H40" s="176"/>
      <c r="I40" s="176"/>
      <c r="J40" s="176"/>
      <c r="K40" s="176"/>
      <c r="L40" s="140"/>
      <c r="M40" s="83"/>
      <c r="N40" s="84"/>
      <c r="O40" s="113" t="str">
        <f>IF(E40&lt;&gt;"",E40*N40,"")</f>
        <v/>
      </c>
      <c r="P40" s="59"/>
      <c r="Q40" s="9"/>
    </row>
    <row r="41" spans="2:17" ht="15.75" x14ac:dyDescent="0.25">
      <c r="B41" s="7"/>
      <c r="C41" s="3"/>
      <c r="D41" s="3"/>
      <c r="E41" s="94"/>
      <c r="F41" s="94"/>
      <c r="G41" s="94"/>
      <c r="H41" s="94"/>
      <c r="I41" s="94"/>
      <c r="J41" s="85"/>
      <c r="K41" s="85"/>
      <c r="L41" s="85"/>
      <c r="M41" s="85"/>
      <c r="N41" s="86" t="s">
        <v>25</v>
      </c>
      <c r="O41" s="115">
        <f>SUM(O25:O40)</f>
        <v>125</v>
      </c>
      <c r="P41" s="59"/>
      <c r="Q41" s="9"/>
    </row>
    <row r="42" spans="2:17" ht="15" x14ac:dyDescent="0.2">
      <c r="B42" s="7"/>
      <c r="C42" s="3"/>
      <c r="D42" s="3"/>
      <c r="E42" s="94"/>
      <c r="F42" s="94"/>
      <c r="G42" s="94"/>
      <c r="H42" s="94"/>
      <c r="I42" s="94"/>
      <c r="J42" s="85"/>
      <c r="K42" s="85"/>
      <c r="L42" s="85"/>
      <c r="M42" s="85"/>
      <c r="N42" s="87" t="s">
        <v>50</v>
      </c>
      <c r="O42" s="114">
        <v>0.5</v>
      </c>
      <c r="P42" s="59"/>
      <c r="Q42" s="9"/>
    </row>
    <row r="43" spans="2:17" ht="15.75" x14ac:dyDescent="0.25">
      <c r="B43" s="7"/>
      <c r="C43" s="3"/>
      <c r="D43" s="3"/>
      <c r="E43" s="96"/>
      <c r="F43" s="97" t="s">
        <v>26</v>
      </c>
      <c r="G43" s="94"/>
      <c r="H43" s="94"/>
      <c r="I43" s="94"/>
      <c r="J43" s="88"/>
      <c r="K43" s="88"/>
      <c r="L43" s="88"/>
      <c r="M43" s="86"/>
      <c r="N43" s="118">
        <v>0.12</v>
      </c>
      <c r="O43" s="115"/>
      <c r="P43" s="59"/>
      <c r="Q43" s="9"/>
    </row>
    <row r="44" spans="2:17" ht="15.75" x14ac:dyDescent="0.25">
      <c r="B44" s="7"/>
      <c r="C44" s="3"/>
      <c r="D44" s="3"/>
      <c r="E44" s="98"/>
      <c r="F44" s="97" t="s">
        <v>27</v>
      </c>
      <c r="G44" s="101"/>
      <c r="H44" s="98"/>
      <c r="I44" s="94"/>
      <c r="J44" s="89"/>
      <c r="K44" s="85"/>
      <c r="L44" s="85"/>
      <c r="M44" s="85" t="s">
        <v>59</v>
      </c>
      <c r="N44" s="118">
        <f>IF(dflt2&lt;&gt;"",dflt2,"")</f>
        <v>0.18</v>
      </c>
      <c r="O44" s="114">
        <f>O41*0.18</f>
        <v>22.5</v>
      </c>
      <c r="P44" s="59"/>
      <c r="Q44" s="9"/>
    </row>
    <row r="45" spans="2:17" ht="17.100000000000001" customHeight="1" x14ac:dyDescent="0.25">
      <c r="B45" s="7"/>
      <c r="C45" s="3"/>
      <c r="D45" s="3"/>
      <c r="E45" s="95"/>
      <c r="F45" s="95"/>
      <c r="G45" s="94"/>
      <c r="H45" s="95"/>
      <c r="I45" s="94"/>
      <c r="J45" s="90" t="s">
        <v>28</v>
      </c>
      <c r="K45" s="85"/>
      <c r="L45" s="85"/>
      <c r="M45" s="85"/>
      <c r="N45" s="91" t="s">
        <v>29</v>
      </c>
      <c r="O45" s="116">
        <f>O41+O42+O43+O44</f>
        <v>148</v>
      </c>
      <c r="P45" s="59"/>
      <c r="Q45" s="9"/>
    </row>
    <row r="46" spans="2:17" ht="17.100000000000001" customHeight="1" x14ac:dyDescent="0.25">
      <c r="B46" s="7"/>
      <c r="C46" s="3"/>
      <c r="D46" s="170" t="s">
        <v>76</v>
      </c>
      <c r="E46" s="171"/>
      <c r="F46" s="171"/>
      <c r="G46" s="171"/>
      <c r="H46" s="171"/>
      <c r="I46" s="171"/>
      <c r="J46" s="171"/>
      <c r="K46" s="171"/>
      <c r="L46" s="171"/>
      <c r="M46" s="171"/>
      <c r="N46" s="91" t="s">
        <v>38</v>
      </c>
      <c r="O46" s="117">
        <f>O44</f>
        <v>22.5</v>
      </c>
      <c r="P46" s="59"/>
      <c r="Q46" s="9"/>
    </row>
    <row r="47" spans="2:17" ht="15" x14ac:dyDescent="0.2">
      <c r="B47" s="7"/>
      <c r="C47" s="3"/>
      <c r="D47" s="3"/>
      <c r="E47" s="100"/>
      <c r="F47" s="165"/>
      <c r="G47" s="166"/>
      <c r="H47" s="166"/>
      <c r="I47" s="166"/>
      <c r="J47" s="88"/>
      <c r="K47" s="85"/>
      <c r="L47" s="85"/>
      <c r="M47" s="85"/>
      <c r="N47" s="85"/>
      <c r="O47" s="85"/>
      <c r="P47" s="59"/>
      <c r="Q47" s="9"/>
    </row>
    <row r="48" spans="2:17" ht="15" customHeight="1" x14ac:dyDescent="0.2">
      <c r="B48" s="7"/>
      <c r="C48" s="3"/>
      <c r="D48" s="3"/>
      <c r="E48" s="20"/>
      <c r="F48" s="158"/>
      <c r="G48" s="159"/>
      <c r="H48" s="159"/>
      <c r="I48" s="159"/>
      <c r="J48" s="88"/>
      <c r="K48" s="120" t="s">
        <v>58</v>
      </c>
      <c r="L48" s="132"/>
      <c r="M48" s="121"/>
      <c r="N48" s="121"/>
      <c r="O48" s="122"/>
      <c r="P48" s="59"/>
      <c r="Q48" s="9"/>
    </row>
    <row r="49" spans="1:17" ht="15" x14ac:dyDescent="0.2">
      <c r="B49" s="7"/>
      <c r="C49" s="3"/>
      <c r="D49" s="3"/>
      <c r="E49" s="20"/>
      <c r="F49" s="86"/>
      <c r="G49" s="150"/>
      <c r="H49" s="151"/>
      <c r="I49" s="151"/>
      <c r="J49" s="88"/>
      <c r="K49" s="123"/>
      <c r="L49" s="131"/>
      <c r="M49" s="124"/>
      <c r="N49" s="124"/>
      <c r="O49" s="125"/>
      <c r="P49" s="59"/>
      <c r="Q49" s="9"/>
    </row>
    <row r="50" spans="1:17" ht="15" x14ac:dyDescent="0.2">
      <c r="B50" s="7"/>
      <c r="C50" s="3"/>
      <c r="D50" s="3"/>
      <c r="E50" s="3"/>
      <c r="F50" s="85"/>
      <c r="G50" s="85"/>
      <c r="H50" s="85"/>
      <c r="I50" s="85"/>
      <c r="J50" s="88"/>
      <c r="K50" s="126"/>
      <c r="L50" s="127"/>
      <c r="M50" s="127"/>
      <c r="N50" s="127"/>
      <c r="O50" s="128"/>
      <c r="P50" s="59"/>
      <c r="Q50" s="9"/>
    </row>
    <row r="51" spans="1:17" ht="15" x14ac:dyDescent="0.2">
      <c r="B51" s="7"/>
      <c r="C51" s="3"/>
      <c r="D51" s="107"/>
      <c r="E51" s="111"/>
      <c r="F51" s="85"/>
      <c r="G51" s="85"/>
      <c r="H51" s="85"/>
      <c r="I51" s="85"/>
      <c r="J51" s="88"/>
      <c r="K51" s="93"/>
      <c r="L51" s="93"/>
      <c r="M51" s="93"/>
      <c r="N51" s="93"/>
      <c r="O51" s="93"/>
      <c r="P51" s="59"/>
      <c r="Q51" s="9"/>
    </row>
    <row r="52" spans="1:17" ht="15" x14ac:dyDescent="0.2">
      <c r="B52" s="7"/>
      <c r="C52" s="3"/>
      <c r="D52" s="3"/>
      <c r="E52" s="3"/>
      <c r="F52" s="109"/>
      <c r="G52" s="110"/>
      <c r="H52" s="110"/>
      <c r="I52" s="110"/>
      <c r="J52" s="110"/>
      <c r="K52" s="110"/>
      <c r="L52" s="110"/>
      <c r="M52" s="110"/>
      <c r="N52" s="110"/>
      <c r="O52" s="85"/>
      <c r="P52" s="59"/>
      <c r="Q52" s="9"/>
    </row>
    <row r="53" spans="1:17" ht="15" x14ac:dyDescent="0.2">
      <c r="B53" s="7"/>
      <c r="C53" s="3"/>
      <c r="D53" s="3"/>
      <c r="E53" s="3"/>
      <c r="F53" s="110"/>
      <c r="G53" s="110"/>
      <c r="H53" s="110"/>
      <c r="I53" s="110"/>
      <c r="J53" s="110"/>
      <c r="K53" s="110"/>
      <c r="L53" s="110"/>
      <c r="M53" s="110"/>
      <c r="N53" s="110"/>
      <c r="O53" s="85"/>
      <c r="P53" s="59"/>
      <c r="Q53" s="9"/>
    </row>
    <row r="54" spans="1:17" ht="15" x14ac:dyDescent="0.2">
      <c r="B54" s="7"/>
      <c r="C54" s="3"/>
      <c r="D54" s="3"/>
      <c r="E54" s="94"/>
      <c r="F54" s="110"/>
      <c r="G54" s="110"/>
      <c r="H54" s="110"/>
      <c r="I54" s="110"/>
      <c r="J54" s="110"/>
      <c r="K54" s="110"/>
      <c r="L54" s="110"/>
      <c r="M54" s="110"/>
      <c r="N54" s="110"/>
      <c r="O54" s="92"/>
      <c r="P54" s="59"/>
      <c r="Q54" s="9"/>
    </row>
    <row r="55" spans="1:17" ht="15" x14ac:dyDescent="0.2">
      <c r="B55" s="7"/>
      <c r="C55" s="3"/>
      <c r="D55" s="3"/>
      <c r="E55" s="3"/>
      <c r="F55" s="110"/>
      <c r="G55" s="110"/>
      <c r="H55" s="110"/>
      <c r="I55" s="110"/>
      <c r="J55" s="110"/>
      <c r="K55" s="110"/>
      <c r="L55" s="110"/>
      <c r="M55" s="110"/>
      <c r="N55" s="110"/>
      <c r="O55" s="85"/>
      <c r="P55" s="59"/>
      <c r="Q55" s="9"/>
    </row>
    <row r="56" spans="1:17" ht="13.5" thickBot="1" x14ac:dyDescent="0.25">
      <c r="A56" s="3"/>
      <c r="B56" s="3"/>
      <c r="C56" s="3"/>
      <c r="D56" s="3"/>
      <c r="E56" s="3"/>
      <c r="F56" s="3"/>
      <c r="G56" s="3"/>
      <c r="H56" s="3"/>
      <c r="I56" s="3"/>
      <c r="J56" s="3"/>
      <c r="K56" s="3"/>
      <c r="L56" s="3"/>
      <c r="M56" s="3"/>
      <c r="N56" s="3"/>
      <c r="O56" s="3"/>
      <c r="P56" s="59"/>
      <c r="Q56" s="9"/>
    </row>
    <row r="57" spans="1:17" ht="3" customHeight="1" thickTop="1" x14ac:dyDescent="0.2">
      <c r="A57" s="60"/>
      <c r="B57" s="60"/>
      <c r="C57" s="60"/>
      <c r="D57" s="60"/>
      <c r="E57" s="60"/>
      <c r="F57" s="60"/>
      <c r="G57" s="60"/>
      <c r="H57" s="60"/>
      <c r="I57" s="60"/>
      <c r="J57" s="60"/>
      <c r="K57" s="60"/>
      <c r="L57" s="60"/>
      <c r="M57" s="60"/>
      <c r="N57" s="60"/>
      <c r="O57" s="60"/>
      <c r="P57" s="59"/>
      <c r="Q57" s="9"/>
    </row>
    <row r="58" spans="1:17" x14ac:dyDescent="0.2">
      <c r="A58" s="133"/>
      <c r="B58" s="133"/>
      <c r="C58" s="3"/>
      <c r="D58" s="129"/>
      <c r="E58" s="133"/>
      <c r="F58" s="129"/>
      <c r="G58" s="133"/>
      <c r="H58" s="133"/>
      <c r="I58" s="133"/>
      <c r="J58" s="133"/>
      <c r="K58" s="133"/>
      <c r="L58" s="133"/>
      <c r="M58" s="133"/>
      <c r="N58" s="133"/>
      <c r="O58" s="3"/>
      <c r="P58" s="59"/>
      <c r="Q58" s="9"/>
    </row>
    <row r="59" spans="1:17" x14ac:dyDescent="0.2">
      <c r="A59" s="134"/>
      <c r="B59" s="134"/>
      <c r="C59" s="3"/>
      <c r="D59" s="134"/>
      <c r="E59" s="134"/>
      <c r="F59" s="134"/>
      <c r="G59" s="134"/>
      <c r="H59" s="134"/>
      <c r="I59" s="134"/>
      <c r="J59" s="134"/>
      <c r="K59" s="134"/>
      <c r="L59" s="134"/>
      <c r="M59" s="134"/>
      <c r="N59" s="134"/>
      <c r="O59" s="3"/>
      <c r="P59" s="59"/>
      <c r="Q59" s="9"/>
    </row>
    <row r="60" spans="1:17" x14ac:dyDescent="0.2">
      <c r="A60" s="134"/>
      <c r="B60" s="134"/>
      <c r="C60" s="3"/>
      <c r="D60" s="134"/>
      <c r="E60" s="134"/>
      <c r="F60" s="134"/>
      <c r="G60" s="134"/>
      <c r="H60" s="134"/>
      <c r="I60" s="134"/>
      <c r="J60" s="134"/>
      <c r="K60" s="134"/>
      <c r="L60" s="134"/>
      <c r="M60" s="134"/>
      <c r="N60" s="134"/>
      <c r="O60" s="3"/>
      <c r="P60" s="59"/>
      <c r="Q60" s="9"/>
    </row>
    <row r="61" spans="1:17" ht="0.95" customHeight="1" thickBot="1" x14ac:dyDescent="0.25">
      <c r="B61" s="10"/>
      <c r="C61" s="11"/>
      <c r="D61" s="11"/>
      <c r="E61" s="11"/>
      <c r="F61" s="11"/>
      <c r="G61" s="11"/>
      <c r="H61" s="11"/>
      <c r="I61" s="11"/>
      <c r="J61" s="11"/>
      <c r="K61" s="11"/>
      <c r="L61" s="11"/>
      <c r="M61" s="11"/>
      <c r="N61" s="11"/>
      <c r="O61" s="11"/>
      <c r="P61" s="11"/>
      <c r="Q61" s="12"/>
    </row>
    <row r="62" spans="1:17"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N19" val="35343" numFmtId="14"/>
      <inputCells r="N20" val="452"/>
      <inputCells r="N21" val="T. Farot"/>
      <inputCells r="N22" val="Le Havre"/>
    </scenario>
  </scenarios>
  <mergeCells count="30">
    <mergeCell ref="F34:K34"/>
    <mergeCell ref="N9:O9"/>
    <mergeCell ref="F39:K39"/>
    <mergeCell ref="F37:K37"/>
    <mergeCell ref="F36:K36"/>
    <mergeCell ref="F32:K32"/>
    <mergeCell ref="N19:O19"/>
    <mergeCell ref="N21:O21"/>
    <mergeCell ref="N22:O22"/>
    <mergeCell ref="G21:H21"/>
    <mergeCell ref="E20:J20"/>
    <mergeCell ref="E19:J19"/>
    <mergeCell ref="E22:J22"/>
    <mergeCell ref="N10:O10"/>
    <mergeCell ref="F28:K28"/>
    <mergeCell ref="F29:K29"/>
    <mergeCell ref="F33:K33"/>
    <mergeCell ref="G49:I49"/>
    <mergeCell ref="F38:K38"/>
    <mergeCell ref="F31:K31"/>
    <mergeCell ref="F48:I48"/>
    <mergeCell ref="F24:K24"/>
    <mergeCell ref="F47:I47"/>
    <mergeCell ref="F35:K35"/>
    <mergeCell ref="F30:K30"/>
    <mergeCell ref="D46:M46"/>
    <mergeCell ref="F25:K25"/>
    <mergeCell ref="F26:K26"/>
    <mergeCell ref="F27:K27"/>
    <mergeCell ref="F40:K40"/>
  </mergeCells>
  <phoneticPr fontId="0" type="noConversion"/>
  <dataValidations xWindow="574" yWindow="401" count="1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7:O47 K47:L49"/>
    <dataValidation type="textLength" errorStyle="warning" allowBlank="1" showErrorMessage="1" errorTitle="T.V.A." error="Les cellules ombrées contiennent des formules et sont calculées automatiquement par Excel. N'y tapez aucune information." promptTitle="T.V.A." sqref="N43:N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8:N60"/>
    <dataValidation errorStyle="warning" allowBlank="1" showInputMessage="1" errorTitle="Numéro de carte de crédit" promptTitle="Numéro de carte de crédit" prompt="Tapez ici le numéro de carte de crédit du client" sqref="F48"/>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2"/>
    <dataValidation type="textLength" errorStyle="warning" allowBlank="1" showErrorMessage="1" errorTitle="Sous-total" error="Les cellules ombrées contiennent des formules et sont calculées automatiquement par Excel. N'y tapez aucune information." promptTitle="Sous-total" sqref="O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O4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O43:O4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O45:O46">
      <formula1>0</formula1>
      <formula2>0</formula2>
    </dataValidation>
    <dataValidation allowBlank="1" showErrorMessage="1" sqref="G21:H21"/>
    <dataValidation type="whole" errorStyle="warning" allowBlank="1" showErrorMessage="1" errorTitle="Quantité" error="Tapez un nombre dans cette cellule." promptTitle="Quantité" sqref="E30:E40 E25:E27">
      <formula1>0</formula1>
      <formula2>1000000000</formula2>
    </dataValidation>
    <dataValidation type="decimal" allowBlank="1" showErrorMessage="1" errorTitle="Prix unitaire" error="Tapez un nombre dans cette cellule." promptTitle="Prix unitaire" sqref="N30:N40 N25:N27">
      <formula1>0</formula1>
      <formula2>1000000000</formula2>
    </dataValidation>
    <dataValidation type="list" allowBlank="1" showInputMessage="1" showErrorMessage="1" errorTitle="Code TVA" error="Tapez 1, 2, ou 3." sqref="M30:M40 M25:M27">
      <formula1>"1,2,3"</formula1>
    </dataValidation>
    <dataValidation type="textLength" allowBlank="1" showErrorMessage="1" errorTitle="Cellules ombrées" error="Les cellules ombrées contiennent des formules et sont calculées automatiquement par Excel. N'y tapez aucune information." promptTitle="Cellules ombrées" sqref="O25:O40">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76"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13</xdr:col>
                    <xdr:colOff>485775</xdr:colOff>
                    <xdr:row>12</xdr:row>
                    <xdr:rowOff>0</xdr:rowOff>
                  </from>
                  <to>
                    <xdr:col>14</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41</xdr:row>
                    <xdr:rowOff>152400</xdr:rowOff>
                  </from>
                  <to>
                    <xdr:col>4</xdr:col>
                    <xdr:colOff>695325</xdr:colOff>
                    <xdr:row>42</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43</xdr:row>
                    <xdr:rowOff>0</xdr:rowOff>
                  </from>
                  <to>
                    <xdr:col>4</xdr:col>
                    <xdr:colOff>704850</xdr:colOff>
                    <xdr:row>44</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44</xdr:row>
                    <xdr:rowOff>0</xdr:rowOff>
                  </from>
                  <to>
                    <xdr:col>4</xdr:col>
                    <xdr:colOff>714375</xdr:colOff>
                    <xdr:row>45</xdr:row>
                    <xdr:rowOff>9525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2"/>
  </cols>
  <sheetData>
    <row r="1" spans="1:11" x14ac:dyDescent="0.2">
      <c r="A1" s="72" t="s">
        <v>30</v>
      </c>
    </row>
    <row r="2" spans="1:11" x14ac:dyDescent="0.2">
      <c r="A2" s="72" t="s">
        <v>39</v>
      </c>
      <c r="B2" s="72" t="s">
        <v>31</v>
      </c>
    </row>
    <row r="3" spans="1:11" x14ac:dyDescent="0.2">
      <c r="A3" s="72" t="s">
        <v>40</v>
      </c>
      <c r="B3" s="72" t="s">
        <v>47</v>
      </c>
    </row>
    <row r="4" spans="1:11" x14ac:dyDescent="0.2">
      <c r="A4" s="72" t="s">
        <v>32</v>
      </c>
    </row>
    <row r="5" spans="1:11" x14ac:dyDescent="0.2">
      <c r="A5" s="72" t="s">
        <v>41</v>
      </c>
      <c r="B5" s="72">
        <v>1</v>
      </c>
    </row>
    <row r="6" spans="1:11" x14ac:dyDescent="0.2">
      <c r="A6" s="72">
        <v>1</v>
      </c>
      <c r="B6" s="72" t="s">
        <v>42</v>
      </c>
      <c r="C6" s="72" t="s">
        <v>46</v>
      </c>
      <c r="D6" s="72" t="s">
        <v>43</v>
      </c>
      <c r="E6" s="72">
        <v>10</v>
      </c>
      <c r="G6" s="72">
        <v>-1383939328</v>
      </c>
    </row>
    <row r="7" spans="1:11" x14ac:dyDescent="0.2">
      <c r="A7" s="72" t="s">
        <v>44</v>
      </c>
      <c r="B7" s="72" t="s">
        <v>33</v>
      </c>
      <c r="C7" s="72" t="s">
        <v>18</v>
      </c>
      <c r="D7" s="72" t="s">
        <v>3</v>
      </c>
      <c r="E7" s="72" t="s">
        <v>5</v>
      </c>
      <c r="F7" s="72" t="s">
        <v>7</v>
      </c>
      <c r="G7" s="72" t="s">
        <v>8</v>
      </c>
      <c r="H7" s="72" t="s">
        <v>9</v>
      </c>
      <c r="I7" s="72" t="s">
        <v>20</v>
      </c>
      <c r="J7" s="72" t="s">
        <v>34</v>
      </c>
      <c r="K7" s="72" t="s">
        <v>19</v>
      </c>
    </row>
    <row r="8" spans="1:11" x14ac:dyDescent="0.2">
      <c r="A8" s="72" t="s">
        <v>45</v>
      </c>
      <c r="B8" s="73" t="str">
        <f>Facture!$O$11</f>
        <v/>
      </c>
      <c r="C8" s="74">
        <f>Facture!$N$19</f>
        <v>42853</v>
      </c>
      <c r="D8" s="75" t="str">
        <f>Facture!$E$19</f>
        <v>NXT</v>
      </c>
      <c r="E8" s="72" t="str">
        <f>Facture!$E$20</f>
        <v>AV,MOSBAH JARBOU ELMANAR II</v>
      </c>
      <c r="F8" s="72">
        <f>Facture!$E$21</f>
        <v>2092</v>
      </c>
      <c r="G8" s="75">
        <f>Facture!$G$21</f>
        <v>0</v>
      </c>
      <c r="H8" s="75" t="str">
        <f>Facture!$J$21</f>
        <v>TN</v>
      </c>
      <c r="I8" s="72" t="str">
        <f>Facture!$E$22</f>
        <v>71 88 28 32            Fax: 71 87 29 03</v>
      </c>
      <c r="J8" s="76">
        <f>Facture!$O$45</f>
        <v>148</v>
      </c>
      <c r="K8" s="72" t="str">
        <f>Facture!$N$21</f>
        <v xml:space="preserve"> Mr.ZAHI GASMI</v>
      </c>
    </row>
    <row r="9" spans="1:11" x14ac:dyDescent="0.2">
      <c r="A9" s="72" t="s">
        <v>32</v>
      </c>
    </row>
    <row r="10" spans="1:11" x14ac:dyDescent="0.2">
      <c r="G10" s="72">
        <v>-1261995520</v>
      </c>
    </row>
    <row r="14" spans="1:11" x14ac:dyDescent="0.2">
      <c r="G14" s="72">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82</vt:i4>
      </vt:variant>
    </vt:vector>
  </HeadingPairs>
  <TitlesOfParts>
    <vt:vector size="86" baseType="lpstr">
      <vt:lpstr>Personnaliser votre facture</vt:lpstr>
      <vt:lpstr>Facture</vt:lpstr>
      <vt:lpstr>Patientez un instant...</vt:lpstr>
      <vt:lpstr>TemplateInformation</vt:lpstr>
      <vt:lpstr>_SHR1</vt:lpstr>
      <vt:lpstr>_SHR2</vt:lpstr>
      <vt:lpstr>_Tax1</vt:lpstr>
      <vt:lpstr>_Tax2</vt:lpstr>
      <vt:lpstr>Auto_ouvrir21</vt:lpstr>
      <vt:lpstr>boxes</vt:lpstr>
      <vt:lpstr>CC</vt:lpstr>
      <vt:lpstr>CDB</vt:lpstr>
      <vt:lpstr>CS</vt:lpstr>
      <vt:lpstr>data1</vt:lpstr>
      <vt:lpstr>data10</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2017-03-29T12:59:37Z</cp:lastPrinted>
  <dcterms:created xsi:type="dcterms:W3CDTF">1995-05-29T15:50:39Z</dcterms:created>
  <dcterms:modified xsi:type="dcterms:W3CDTF">2017-04-28T08:59:58Z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vt:lpwstr>
  </property>
  <property fmtid="{D5CDD505-2E9C-101B-9397-08002B2CF9AE}" pid="11" name="Montant de la facture" linkTarget="TOT">
    <vt:r8>148</vt:r8>
  </property>
</Properties>
</file>