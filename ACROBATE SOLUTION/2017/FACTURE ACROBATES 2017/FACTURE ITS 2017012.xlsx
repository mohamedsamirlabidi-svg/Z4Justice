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288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Facture!$M$54</definedName>
    <definedName name="_Tax2">Facture!$M$55</definedName>
    <definedName name="_Tax3">Facture!$M$56</definedName>
    <definedName name="_tax4">Facture!$M$56</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Facture!$F$23</definedName>
    <definedName name="data60">Facture!#REF!</definedName>
    <definedName name="data61">Facture!$M$51</definedName>
    <definedName name="data62">Facture!$E$52</definedName>
    <definedName name="data63">Facture!$E$53</definedName>
    <definedName name="data64">Facture!$E$54</definedName>
    <definedName name="data65">Facture!$H$55</definedName>
    <definedName name="data66">Facture!$F$59</definedName>
    <definedName name="data67">Facture!$F$63</definedName>
    <definedName name="data68">Facture!$G$63</definedName>
    <definedName name="data69">Facture!$K$63</definedName>
    <definedName name="data7">Facture!$H$24</definedName>
    <definedName name="data70">Facture!$K$64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Facture!$F$58:$I$58</definedName>
    <definedName name="qzqzqz27">Facture!$D$59:$E$59</definedName>
    <definedName name="qzqzqz28">Facture!$F$62:$I$62</definedName>
    <definedName name="qzqzqz29">Facture!$L$62:$N$64</definedName>
    <definedName name="qzqzqz3">Facture!$E$23:$J$23</definedName>
    <definedName name="qzqzqz30">Facture!$G$63:$I$63</definedName>
    <definedName name="qzqzqz31">Facture!$G$63:$H$63</definedName>
    <definedName name="qzqzqz32">Facture!$L$61:$N$63</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Facture!$A$1:$O$92</definedName>
  </definedNames>
  <calcPr calcId="152511"/>
</workbook>
</file>

<file path=xl/calcChain.xml><?xml version="1.0" encoding="utf-8"?>
<calcChain xmlns="http://schemas.openxmlformats.org/spreadsheetml/2006/main">
  <c r="N28" i="3" l="1"/>
  <c r="N30" i="3"/>
  <c r="N47" i="3"/>
  <c r="N48" i="3"/>
  <c r="N49" i="3"/>
  <c r="N52" i="3" l="1"/>
  <c r="M55" i="3"/>
  <c r="M56" i="3"/>
  <c r="N56" i="3" s="1"/>
  <c r="F33" i="2"/>
  <c r="K8" i="8"/>
  <c r="I8" i="8"/>
  <c r="H8" i="8"/>
  <c r="G8" i="8"/>
  <c r="F8" i="8"/>
  <c r="E8" i="8"/>
  <c r="D8" i="8"/>
  <c r="C8" i="8"/>
  <c r="B8" i="8"/>
  <c r="N54" i="3" l="1"/>
  <c r="N55" i="3" s="1"/>
  <c r="N58" i="3" s="1"/>
  <c r="N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<sst xmlns="http://schemas.openxmlformats.org/spreadsheetml/2006/main" count="92" uniqueCount="81">
  <si>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</si>
  <si>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</si>
  <si>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</si>
  <si>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</si>
  <si>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</si>
  <si>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</si>
  <si>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</si>
  <si>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</si>
  <si>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</si>
  <si>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</si>
  <si>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</si>
  <si>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</si>
  <si>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</si>
  <si>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</si>
  <si>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</si>
  <si>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</si>
  <si>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</si>
  <si>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</si>
  <si>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</si>
  <si>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</si>
  <si>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</si>
  <si>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</si>
  <si>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</si>
  <si>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</si>
  <si>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</si>
  <si>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</si>
  <si>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</si>
  <si>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</si>
  <si>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</si>
  <si>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</si>
  <si>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</si>
  <si>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</si>
  <si>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</si>
  <si>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</si>
  <si>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</si>
  <si>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</si>
  <si>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</si>
  <si>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</si>
  <si>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</si>
  <si>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</si>
  <si>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</si>
  <si>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</si>
  <si>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</si>
  <si>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</si>
  <si>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</si>
  <si>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</si>
  <si>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</si>
  <si>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</si>
  <si>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</si>
  <si>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</si>
  <si>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</si>
  <si>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</si>
  <si>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</si>
  <si>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</si>
  <si>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</si>
  <si>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</si>
  <si>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</si>
  <si>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</si>
  <si>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</si>
  <si>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</si>
  <si>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</si>
  <si>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</si>
  <si>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</si>
  <si>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</si>
  <si>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Tunis</t>
  </si>
  <si>
    <t>TN</t>
  </si>
  <si>
    <t>RIB: 10 000 000 080746 3788 95</t>
  </si>
  <si>
    <t>STB THAMEUR</t>
  </si>
  <si>
    <t>RC:B161701999  MF:645 267 KMA 000</t>
  </si>
  <si>
    <t xml:space="preserve">MODELES CONFORMES AUX </t>
  </si>
  <si>
    <t>NORMES CE</t>
  </si>
  <si>
    <t>MARQUE CAMP SAFETY</t>
  </si>
  <si>
    <t>ITS TELECOM</t>
  </si>
  <si>
    <t>Descendeur DRUID</t>
  </si>
  <si>
    <t>M corde semi statique</t>
  </si>
  <si>
    <t>remise 15%</t>
  </si>
  <si>
    <t>Réf.Commande:  CA-170013 DU 15/02/2017</t>
  </si>
  <si>
    <t>Mariem Debibi</t>
  </si>
  <si>
    <t>FACTURE  2017012</t>
  </si>
  <si>
    <t>TUNISIE</t>
  </si>
  <si>
    <t>ARRETE LA PRESENTE FACTURE A LA SOMME DE DEUX MILLES SIX CENT VINGT HUIT DINARS 360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</si>
</sst>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0" tint="-4.9989318521683403E-2"/>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4"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3" fillId="3" borderId="0" xfId="0" applyFont="1" applyFill="1" applyBorder="1"/>
    <xf numFmtId="0" fontId="0" fillId="0" borderId="28" xfId="0" applyFill="1" applyBorder="1"/>
    <xf numFmtId="168" fontId="18" fillId="0" borderId="30" xfId="0" applyNumberFormat="1" applyFont="1" applyFill="1" applyBorder="1" applyAlignment="1"/>
    <xf numFmtId="168" fontId="18" fillId="0" borderId="30" xfId="0" applyNumberFormat="1" applyFont="1" applyFill="1" applyBorder="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168" fontId="18" fillId="0" borderId="32" xfId="0" applyNumberFormat="1" applyFont="1" applyFill="1" applyBorder="1" applyAlignment="1">
      <alignment shrinkToFit="1"/>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4"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7" fontId="24" fillId="0" borderId="0" xfId="0" quotePrefix="1" applyNumberFormat="1" applyFont="1" applyFill="1" applyBorder="1"/>
    <xf numFmtId="0" fontId="24" fillId="0" borderId="0" xfId="0" applyFont="1" applyFill="1" applyBorder="1" applyAlignment="1">
      <alignment horizontal="left"/>
    </xf>
    <xf numFmtId="0" fontId="24" fillId="3" borderId="0" xfId="0" applyFont="1" applyFill="1" applyBorder="1" applyAlignment="1">
      <alignment horizontal="left"/>
    </xf>
    <xf numFmtId="0" fontId="24" fillId="3" borderId="0" xfId="0" applyFont="1" applyFill="1" applyBorder="1"/>
    <xf numFmtId="167" fontId="24" fillId="3" borderId="0" xfId="0" applyNumberFormat="1" applyFont="1" applyFill="1" applyBorder="1"/>
    <xf numFmtId="0" fontId="24" fillId="0" borderId="0" xfId="0" applyFont="1" applyFill="1"/>
    <xf numFmtId="167" fontId="24" fillId="3" borderId="0" xfId="0" quotePrefix="1" applyNumberFormat="1" applyFont="1" applyFill="1" applyBorder="1" applyAlignment="1">
      <alignment horizontal="center"/>
    </xf>
    <xf numFmtId="0" fontId="26" fillId="3" borderId="0" xfId="0" applyFont="1" applyFill="1" applyBorder="1"/>
    <xf numFmtId="0" fontId="25" fillId="3" borderId="0" xfId="0" applyFont="1" applyFill="1" applyBorder="1"/>
    <xf numFmtId="0" fontId="26" fillId="3" borderId="0" xfId="0" applyFont="1" applyFill="1" applyBorder="1" applyAlignment="1">
      <alignment horizontal="left"/>
    </xf>
    <xf numFmtId="49" fontId="26" fillId="3" borderId="36" xfId="0" applyNumberFormat="1" applyFont="1" applyFill="1" applyBorder="1" applyAlignment="1">
      <alignment horizontal="left"/>
    </xf>
    <xf numFmtId="0" fontId="26" fillId="3" borderId="0" xfId="0" applyFont="1" applyFill="1" applyBorder="1" applyAlignment="1">
      <alignment horizontal="right"/>
    </xf>
    <xf numFmtId="49" fontId="26" fillId="3" borderId="0" xfId="0" applyNumberFormat="1" applyFont="1" applyFill="1" applyBorder="1" applyAlignment="1">
      <alignment horizontal="left"/>
    </xf>
    <xf numFmtId="49" fontId="25" fillId="3" borderId="36" xfId="0" applyNumberFormat="1" applyFont="1" applyFill="1" applyBorder="1" applyAlignment="1">
      <alignment horizontal="left"/>
    </xf>
    <xf numFmtId="0" fontId="29" fillId="0" borderId="0" xfId="0" applyFont="1" applyFill="1" applyBorder="1"/>
    <xf numFmtId="0" fontId="29" fillId="0" borderId="0" xfId="0" quotePrefix="1" applyFont="1" applyFill="1" applyBorder="1" applyAlignment="1">
      <alignment horizontal="right"/>
    </xf>
    <xf numFmtId="168" fontId="30" fillId="0" borderId="35" xfId="0" applyNumberFormat="1" applyFont="1" applyFill="1" applyBorder="1" applyAlignment="1">
      <alignment shrinkToFit="1"/>
    </xf>
    <xf numFmtId="0" fontId="29" fillId="0" borderId="0" xfId="0" applyFont="1" applyFill="1" applyBorder="1" applyAlignment="1">
      <alignment horizontal="right"/>
    </xf>
    <xf numFmtId="10" fontId="29" fillId="0" borderId="35" xfId="0" quotePrefix="1" applyNumberFormat="1" applyFont="1" applyFill="1" applyBorder="1" applyAlignment="1">
      <alignment horizontal="center"/>
    </xf>
    <xf numFmtId="168" fontId="31" fillId="0" borderId="35" xfId="0" applyNumberFormat="1" applyFont="1" applyFill="1" applyBorder="1" applyAlignment="1">
      <alignment shrinkToFit="1"/>
    </xf>
    <xf numFmtId="10" fontId="29" fillId="0" borderId="32" xfId="0" quotePrefix="1" applyNumberFormat="1" applyFont="1" applyFill="1" applyBorder="1" applyAlignment="1">
      <alignment horizontal="center"/>
    </xf>
    <xf numFmtId="168" fontId="31" fillId="0" borderId="29" xfId="0" applyNumberFormat="1" applyFont="1" applyFill="1" applyBorder="1" applyAlignment="1">
      <alignment shrinkToFit="1"/>
    </xf>
    <xf numFmtId="0" fontId="28" fillId="0" borderId="0" xfId="0" applyFont="1" applyFill="1" applyBorder="1"/>
    <xf numFmtId="168" fontId="31" fillId="0" borderId="0" xfId="0" applyNumberFormat="1" applyFont="1" applyFill="1" applyBorder="1" applyAlignment="1">
      <alignment shrinkToFit="1"/>
    </xf>
    <xf numFmtId="1" fontId="32" fillId="0" borderId="30" xfId="0" applyNumberFormat="1" applyFont="1" applyFill="1" applyBorder="1" applyAlignment="1">
      <alignment horizontal="center"/>
    </xf>
    <xf numFmtId="1" fontId="34" fillId="0" borderId="30" xfId="0" applyNumberFormat="1" applyFont="1" applyFill="1" applyBorder="1" applyAlignment="1">
      <alignment horizontal="center"/>
    </xf>
    <xf numFmtId="0" fontId="32" fillId="0" borderId="30" xfId="0" applyFont="1" applyFill="1" applyBorder="1" applyAlignment="1"/>
    <xf numFmtId="168" fontId="32" fillId="0" borderId="30" xfId="0" applyNumberFormat="1" applyFont="1" applyFill="1" applyBorder="1" applyAlignment="1">
      <alignment shrinkToFit="1"/>
    </xf>
    <xf numFmtId="0" fontId="33" fillId="0" borderId="30" xfId="0" applyFont="1" applyFill="1" applyBorder="1" applyAlignment="1"/>
    <xf numFmtId="168" fontId="32" fillId="0" borderId="30" xfId="0" applyNumberFormat="1" applyFont="1" applyFill="1" applyBorder="1" applyAlignment="1"/>
    <xf numFmtId="0" fontId="37"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38" fillId="0" borderId="30" xfId="0" applyFont="1" applyFill="1" applyBorder="1" applyAlignment="1"/>
    <xf numFmtId="0" fontId="39" fillId="3" borderId="37" xfId="0" applyFont="1" applyFill="1" applyBorder="1"/>
    <xf numFmtId="168" fontId="37" fillId="0" borderId="30" xfId="0" applyNumberFormat="1" applyFont="1" applyFill="1" applyBorder="1" applyAlignment="1">
      <alignment horizontal="center" vertical="center" shrinkToFit="1"/>
    </xf>
    <xf numFmtId="0" fontId="38" fillId="0" borderId="0" xfId="0" applyFont="1" applyFill="1" applyBorder="1"/>
    <xf numFmtId="0" fontId="42" fillId="0" borderId="0" xfId="0" applyFont="1" applyFill="1"/>
    <xf numFmtId="0" fontId="16" fillId="0" borderId="0" xfId="0" applyFont="1" applyFill="1" applyBorder="1" applyAlignment="1">
      <alignment horizontal="center" vertical="center" wrapText="1"/>
    </xf>
    <xf numFmtId="0" fontId="42" fillId="0" borderId="0" xfId="0" applyFont="1" applyFill="1" applyBorder="1" applyAlignment="1">
      <alignment wrapText="1"/>
    </xf>
    <xf numFmtId="0" fontId="38" fillId="0" borderId="0" xfId="0" applyFont="1" applyFill="1" applyBorder="1" applyAlignment="1">
      <alignment horizontal="center" vertical="center" wrapText="1"/>
    </xf>
    <xf numFmtId="0" fontId="5" fillId="3" borderId="42" xfId="0" applyFont="1" applyFill="1" applyBorder="1" applyAlignment="1">
      <alignment horizontal="center" vertical="center"/>
    </xf>
    <xf numFmtId="0" fontId="5" fillId="2" borderId="42"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0" fontId="41" fillId="6" borderId="0" xfId="0" applyFont="1" applyFill="1" applyBorder="1" applyAlignment="1">
      <alignment horizontal="left" vertical="center" wrapText="1"/>
    </xf>
    <xf numFmtId="0" fontId="37" fillId="0" borderId="0" xfId="0" applyFont="1" applyFill="1" applyBorder="1" applyAlignment="1">
      <alignment horizontal="left"/>
    </xf>
    <xf numFmtId="0" fontId="20" fillId="0" borderId="0" xfId="0" applyFont="1" applyFill="1" applyBorder="1" applyAlignment="1">
      <alignment horizontal="center" vertical="center" wrapText="1"/>
    </xf>
    <xf numFmtId="49" fontId="40" fillId="0" borderId="28" xfId="0" applyNumberFormat="1" applyFont="1" applyFill="1" applyBorder="1" applyAlignment="1"/>
    <xf numFmtId="0" fontId="40" fillId="0" borderId="0" xfId="0" applyFont="1" applyFill="1" applyAlignment="1"/>
    <xf numFmtId="0" fontId="40" fillId="0" borderId="41" xfId="0" applyFont="1" applyFill="1" applyBorder="1" applyAlignment="1"/>
    <xf numFmtId="0" fontId="7" fillId="0" borderId="0" xfId="0" applyFont="1" applyFill="1" applyBorder="1" applyAlignment="1"/>
    <xf numFmtId="0" fontId="4" fillId="0" borderId="0" xfId="0" applyFont="1" applyFill="1" applyBorder="1" applyAlignment="1"/>
    <xf numFmtId="49" fontId="32" fillId="0" borderId="28" xfId="0" applyNumberFormat="1" applyFont="1" applyFill="1" applyBorder="1" applyAlignment="1"/>
    <xf numFmtId="0" fontId="32" fillId="0" borderId="0" xfId="0" applyFont="1" applyFill="1" applyAlignment="1"/>
    <xf numFmtId="0" fontId="32" fillId="0" borderId="41" xfId="0" applyFont="1" applyFill="1" applyBorder="1" applyAlignment="1"/>
    <xf numFmtId="0" fontId="0" fillId="0" borderId="0" xfId="0" applyFill="1" applyBorder="1"/>
    <xf numFmtId="49" fontId="33" fillId="0" borderId="28" xfId="0" applyNumberFormat="1" applyFont="1" applyFill="1" applyBorder="1" applyAlignment="1"/>
    <xf numFmtId="0" fontId="33" fillId="0" borderId="0" xfId="0" applyFont="1" applyFill="1" applyAlignment="1"/>
    <xf numFmtId="0" fontId="33" fillId="0" borderId="41" xfId="0" applyFont="1" applyFill="1" applyBorder="1" applyAlignment="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49" fontId="44" fillId="0" borderId="28" xfId="5" applyNumberFormat="1" applyFill="1" applyBorder="1" applyAlignment="1"/>
    <xf numFmtId="0" fontId="24" fillId="0" borderId="28" xfId="0" applyFont="1" applyFill="1" applyBorder="1"/>
    <xf numFmtId="49" fontId="40" fillId="0" borderId="28" xfId="5" applyNumberFormat="1" applyFont="1" applyFill="1" applyBorder="1" applyAlignment="1"/>
    <xf numFmtId="0" fontId="2" fillId="3" borderId="0" xfId="0" applyFont="1" applyFill="1" applyBorder="1"/>
    <xf numFmtId="0" fontId="20" fillId="3" borderId="0" xfId="0" applyFont="1" applyFill="1" applyBorder="1"/>
    <xf numFmtId="0" fontId="0" fillId="7" borderId="0" xfId="0" applyFill="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14" fontId="18" fillId="0" borderId="34" xfId="0" applyNumberFormat="1" applyFont="1" applyFill="1" applyBorder="1" applyAlignment="1"/>
    <xf numFmtId="0" fontId="21" fillId="0" borderId="0" xfId="0" applyFont="1" applyFill="1" applyBorder="1" applyAlignment="1">
      <alignment horizontal="center" vertical="center" wrapText="1"/>
    </xf>
    <xf numFmtId="0" fontId="36" fillId="3" borderId="0" xfId="0" applyFont="1" applyFill="1" applyBorder="1" applyAlignment="1">
      <alignment vertical="center"/>
    </xf>
    <xf numFmtId="0" fontId="36" fillId="2" borderId="0" xfId="0" applyFont="1" applyBorder="1" applyAlignment="1">
      <alignment vertical="center"/>
    </xf>
    <xf numFmtId="0" fontId="36" fillId="2" borderId="0" xfId="0" applyFont="1" applyAlignment="1">
      <alignment vertical="center"/>
    </xf>
    <xf numFmtId="49" fontId="25" fillId="3" borderId="37" xfId="0" applyNumberFormat="1" applyFont="1" applyFill="1" applyBorder="1" applyAlignment="1">
      <alignment horizontal="left"/>
    </xf>
    <xf numFmtId="0" fontId="22" fillId="3" borderId="33" xfId="0" applyFont="1" applyFill="1" applyBorder="1" applyAlignment="1"/>
    <xf numFmtId="0" fontId="24" fillId="2" borderId="34" xfId="0" applyFont="1" applyBorder="1" applyAlignment="1"/>
    <xf numFmtId="0" fontId="24" fillId="2" borderId="46" xfId="0" applyFont="1" applyBorder="1" applyAlignment="1"/>
    <xf numFmtId="0" fontId="22" fillId="0" borderId="0" xfId="0" applyFont="1" applyFill="1" applyBorder="1" applyAlignment="1">
      <alignment horizontal="center"/>
    </xf>
    <xf numFmtId="0" fontId="27" fillId="3" borderId="43" xfId="0" applyFont="1" applyFill="1" applyBorder="1" applyAlignment="1">
      <alignment horizontal="center" vertical="center" wrapText="1" shrinkToFit="1"/>
    </xf>
    <xf numFmtId="0" fontId="27" fillId="3" borderId="44" xfId="0" applyFont="1" applyFill="1" applyBorder="1" applyAlignment="1">
      <alignment horizontal="center" vertical="center" wrapText="1" shrinkToFit="1"/>
    </xf>
    <xf numFmtId="0" fontId="27" fillId="3" borderId="45" xfId="0" applyFont="1" applyFill="1" applyBorder="1" applyAlignment="1">
      <alignment horizontal="center" vertical="center" wrapText="1" shrinkToFit="1"/>
    </xf>
    <xf numFmtId="14" fontId="25" fillId="3" borderId="36" xfId="0" applyNumberFormat="1" applyFont="1" applyFill="1" applyBorder="1" applyAlignment="1">
      <alignment horizontal="left"/>
    </xf>
    <xf numFmtId="14" fontId="25" fillId="3" borderId="36" xfId="0" quotePrefix="1" applyNumberFormat="1" applyFont="1" applyFill="1" applyBorder="1" applyAlignment="1">
      <alignment horizontal="left"/>
    </xf>
    <xf numFmtId="0" fontId="26" fillId="3" borderId="37" xfId="0" applyFont="1" applyFill="1" applyBorder="1" applyAlignment="1">
      <alignment horizontal="left"/>
    </xf>
    <xf numFmtId="0" fontId="25" fillId="3" borderId="37" xfId="0" applyFont="1" applyFill="1" applyBorder="1" applyAlignment="1">
      <alignment horizontal="left"/>
    </xf>
    <xf numFmtId="49" fontId="35" fillId="3" borderId="36" xfId="0" applyNumberFormat="1" applyFont="1" applyFill="1" applyBorder="1" applyAlignment="1"/>
    <xf numFmtId="0" fontId="35" fillId="2" borderId="36" xfId="0" applyFont="1" applyBorder="1" applyAlignment="1"/>
    <xf numFmtId="0" fontId="40" fillId="3" borderId="36" xfId="0" applyFont="1" applyFill="1" applyBorder="1" applyAlignment="1"/>
    <xf numFmtId="0" fontId="37"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126999</xdr:colOff>
      <xdr:row>2</xdr:row>
      <xdr:rowOff>47625</xdr:rowOff>
    </xdr:from>
    <xdr:to>
      <xdr:col>6</xdr:col>
      <xdr:colOff>587374</xdr:colOff>
      <xdr:row>10</xdr:row>
      <xdr:rowOff>111125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49" y="142875"/>
          <a:ext cx="4429125" cy="1492250"/>
        </a:xfrm>
        <a:prstGeom prst="rect">
          <a:avLst/>
        </a:prstGeom>
        <a:noFill/>
        <a:ln>
          <a:noFill/>
        </a:ln>
      </xdr:spPr>
    </xdr:pic>
    <xdr:clientData/>
  </xdr:twoCellAnchor>
  <xdr:twoCellAnchor editAs="oneCell">
    <xdr:from>
      <xdr:col>12</xdr:col>
      <xdr:colOff>2587625</xdr:colOff>
      <xdr:row>3</xdr:row>
      <xdr:rowOff>31750</xdr:rowOff>
    </xdr:from>
    <xdr:to>
      <xdr:col>13</xdr:col>
      <xdr:colOff>1000125</xdr:colOff>
      <xdr:row>9</xdr:row>
      <xdr:rowOff>47625</xdr:rowOff>
    </xdr:to>
    <xdr:pic>
      <xdr:nvPicPr>
        <xdr:cNvPr id="8" name="Image 7"/>
        <xdr:cNvPicPr/>
      </xdr:nvPicPr>
      <xdr:blipFill>
        <a:blip xmlns:r="http://schemas.openxmlformats.org/officeDocument/2006/relationships" r:embed="rId2" cstate="print"/>
        <a:srcRect/>
        <a:stretch>
          <a:fillRect/>
        </a:stretch>
      </xdr:blipFill>
      <xdr:spPr bwMode="auto">
        <a:xfrm>
          <a:off x="13271500" y="285750"/>
          <a:ext cx="1397000" cy="11271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48</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49</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50</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94"/>
  <sheetViews>
    <sheetView showGridLines="0" showRowColHeaders="0" tabSelected="1" topLeftCell="C1" zoomScale="60" zoomScaleNormal="60" workbookViewId="0">
      <selection activeCell="J46" sqref="J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x14ac:dyDescent="0.25">
      <c r="A1" s="74"/>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ht="18" x14ac:dyDescent="0.25">
      <c r="B9" s="7"/>
      <c r="C9" s="3"/>
      <c r="D9" s="3"/>
      <c r="E9" s="3"/>
      <c r="F9" s="3"/>
      <c r="G9" s="3"/>
      <c r="H9" s="3"/>
      <c r="I9" s="3"/>
      <c r="J9" s="144"/>
      <c r="K9" s="144"/>
      <c r="L9" s="3"/>
      <c r="M9" s="3"/>
      <c r="N9" s="3"/>
      <c r="O9" s="3"/>
      <c r="P9" s="9"/>
    </row>
    <row r="10" spans="1:16" x14ac:dyDescent="0.2">
      <c r="B10" s="7"/>
      <c r="C10" s="3"/>
      <c r="D10" s="3"/>
      <c r="E10" s="3"/>
      <c r="F10" s="3"/>
      <c r="G10" s="3"/>
      <c r="H10" s="3"/>
      <c r="I10" s="3"/>
      <c r="J10" s="3"/>
      <c r="K10" s="3"/>
      <c r="L10" s="3"/>
      <c r="M10" s="3"/>
      <c r="N10" s="3"/>
      <c r="O10" s="3"/>
      <c r="P10" s="9"/>
    </row>
    <row r="11" spans="1:16" ht="15" x14ac:dyDescent="0.25">
      <c r="B11" s="7"/>
      <c r="C11" s="3"/>
      <c r="D11" s="3"/>
      <c r="E11" s="3"/>
      <c r="F11" s="3"/>
      <c r="G11" s="3"/>
      <c r="H11" s="3"/>
      <c r="I11" s="3"/>
      <c r="J11" s="3"/>
      <c r="K11" s="3"/>
      <c r="L11" s="3"/>
      <c r="M11" s="179"/>
      <c r="N11" s="180" t="s">
        <v>79</v>
      </c>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ht="13.5" thickBot="1" x14ac:dyDescent="0.25">
      <c r="B17" s="7"/>
      <c r="C17" s="3"/>
      <c r="D17" s="3"/>
      <c r="E17" s="3"/>
      <c r="F17" s="3"/>
      <c r="G17" s="3"/>
      <c r="H17" s="3"/>
      <c r="I17" s="3"/>
      <c r="J17" s="3"/>
      <c r="K17" s="3"/>
      <c r="L17" s="3"/>
      <c r="M17" s="3"/>
      <c r="N17" s="3"/>
      <c r="O17" s="3"/>
      <c r="P17" s="9"/>
    </row>
    <row r="18" spans="2:16" ht="27.75" thickTop="1" thickBot="1" x14ac:dyDescent="0.45">
      <c r="B18" s="7"/>
      <c r="C18" s="3"/>
      <c r="D18" s="142" t="s">
        <v>68</v>
      </c>
      <c r="E18" s="75"/>
      <c r="F18" s="75"/>
      <c r="G18" s="75"/>
      <c r="H18" s="3"/>
      <c r="I18" s="3"/>
      <c r="J18" s="3"/>
      <c r="K18" s="3"/>
      <c r="L18" s="3"/>
      <c r="M18" s="199" t="s">
        <v>78</v>
      </c>
      <c r="N18" s="3"/>
      <c r="O18" s="3"/>
      <c r="P18" s="9"/>
    </row>
    <row r="19" spans="2:16" ht="21.95" customHeight="1" thickTop="1" x14ac:dyDescent="0.3">
      <c r="B19" s="7"/>
      <c r="C19" s="3"/>
      <c r="D19" s="55"/>
      <c r="E19" s="55"/>
      <c r="F19" s="55"/>
      <c r="G19" s="55"/>
      <c r="H19" s="55"/>
      <c r="I19" s="55"/>
      <c r="J19" s="56"/>
      <c r="K19" s="56"/>
      <c r="L19" s="56"/>
      <c r="M19" s="200"/>
      <c r="N19" s="56"/>
      <c r="O19" s="20"/>
      <c r="P19" s="9"/>
    </row>
    <row r="20" spans="2:16" ht="21.95" customHeight="1" thickBot="1" x14ac:dyDescent="0.25">
      <c r="B20" s="7"/>
      <c r="C20" s="3"/>
      <c r="D20" s="3"/>
      <c r="E20" s="3"/>
      <c r="F20" s="3"/>
      <c r="G20" s="3"/>
      <c r="H20" s="3"/>
      <c r="I20" s="3"/>
      <c r="J20" s="3"/>
      <c r="K20" s="3"/>
      <c r="L20" s="3"/>
      <c r="M20" s="201"/>
      <c r="N20" s="3"/>
      <c r="O20" s="3"/>
      <c r="P20" s="9"/>
    </row>
    <row r="21" spans="2:16" ht="13.5" thickTop="1" x14ac:dyDescent="0.2">
      <c r="B21" s="7"/>
      <c r="C21" s="3"/>
      <c r="D21" s="3"/>
      <c r="E21" s="3"/>
      <c r="F21" s="3"/>
      <c r="G21" s="3"/>
      <c r="H21" s="3"/>
      <c r="I21" s="3"/>
      <c r="J21" s="3"/>
      <c r="K21" s="3"/>
      <c r="L21" s="3"/>
      <c r="M21" s="3"/>
      <c r="N21" s="3"/>
      <c r="O21" s="3"/>
      <c r="P21" s="9"/>
    </row>
    <row r="22" spans="2:16" ht="45" x14ac:dyDescent="0.6">
      <c r="B22" s="7"/>
      <c r="C22" s="3"/>
      <c r="D22" s="119" t="s">
        <v>56</v>
      </c>
      <c r="E22" s="206" t="s">
        <v>72</v>
      </c>
      <c r="F22" s="207"/>
      <c r="G22" s="207"/>
      <c r="H22" s="207"/>
      <c r="I22" s="207"/>
      <c r="J22" s="207"/>
      <c r="K22" s="120"/>
      <c r="L22" s="121" t="s">
        <v>19</v>
      </c>
      <c r="M22" s="202">
        <v>42782</v>
      </c>
      <c r="N22" s="203"/>
      <c r="O22" s="52"/>
      <c r="P22" s="9"/>
    </row>
    <row r="23" spans="2:16" ht="33.75" x14ac:dyDescent="0.5">
      <c r="B23" s="7"/>
      <c r="C23" s="3"/>
      <c r="D23" s="119" t="s">
        <v>57</v>
      </c>
      <c r="E23" s="191"/>
      <c r="F23" s="192"/>
      <c r="G23" s="192"/>
      <c r="H23" s="192"/>
      <c r="I23" s="192"/>
      <c r="J23" s="192"/>
      <c r="K23" s="193"/>
      <c r="L23" s="121" t="s">
        <v>76</v>
      </c>
      <c r="M23" s="122"/>
      <c r="N23" s="122"/>
      <c r="O23" s="53"/>
      <c r="P23" s="9"/>
    </row>
    <row r="24" spans="2:16" ht="33.75" x14ac:dyDescent="0.5">
      <c r="B24" s="7"/>
      <c r="C24" s="3"/>
      <c r="D24" s="119" t="s">
        <v>58</v>
      </c>
      <c r="E24" s="146">
        <v>2092</v>
      </c>
      <c r="F24" s="123" t="s">
        <v>8</v>
      </c>
      <c r="G24" s="194" t="s">
        <v>64</v>
      </c>
      <c r="H24" s="194"/>
      <c r="I24" s="124" t="s">
        <v>9</v>
      </c>
      <c r="J24" s="125" t="s">
        <v>65</v>
      </c>
      <c r="K24" s="120"/>
      <c r="L24" s="121" t="s">
        <v>63</v>
      </c>
      <c r="M24" s="204" t="s">
        <v>77</v>
      </c>
      <c r="N24" s="204"/>
      <c r="O24" s="3"/>
      <c r="P24" s="9"/>
    </row>
    <row r="25" spans="2:16" ht="33.75" x14ac:dyDescent="0.5">
      <c r="B25" s="7"/>
      <c r="C25" s="3"/>
      <c r="D25" s="119" t="s">
        <v>59</v>
      </c>
      <c r="E25" s="208"/>
      <c r="F25" s="209"/>
      <c r="G25" s="209"/>
      <c r="H25" s="209"/>
      <c r="I25" s="209"/>
      <c r="J25" s="209"/>
      <c r="K25" s="120"/>
      <c r="L25" s="121" t="s">
        <v>60</v>
      </c>
      <c r="M25" s="205"/>
      <c r="N25" s="205"/>
      <c r="O25" s="3"/>
      <c r="P25" s="9"/>
    </row>
    <row r="26" spans="2:16" x14ac:dyDescent="0.2">
      <c r="B26" s="7"/>
      <c r="C26" s="3"/>
      <c r="D26" s="73"/>
      <c r="E26" s="73"/>
      <c r="F26" s="73"/>
      <c r="G26" s="73"/>
      <c r="H26" s="73"/>
      <c r="I26" s="73"/>
      <c r="J26" s="73"/>
      <c r="K26" s="73"/>
      <c r="L26" s="73"/>
      <c r="M26" s="73"/>
      <c r="N26" s="73"/>
      <c r="O26" s="3"/>
      <c r="P26" s="9"/>
    </row>
    <row r="27" spans="2:16" ht="18" x14ac:dyDescent="0.25">
      <c r="B27" s="7"/>
      <c r="C27" s="3"/>
      <c r="D27" s="103" t="s">
        <v>36</v>
      </c>
      <c r="E27" s="103" t="s">
        <v>22</v>
      </c>
      <c r="F27" s="195" t="s">
        <v>23</v>
      </c>
      <c r="G27" s="196"/>
      <c r="H27" s="196"/>
      <c r="I27" s="196"/>
      <c r="J27" s="196"/>
      <c r="K27" s="197"/>
      <c r="L27" s="104" t="s">
        <v>37</v>
      </c>
      <c r="M27" s="103" t="s">
        <v>24</v>
      </c>
      <c r="N27" s="105" t="s">
        <v>25</v>
      </c>
      <c r="O27" s="106"/>
      <c r="P27" s="9"/>
    </row>
    <row r="28" spans="2:16" ht="30" x14ac:dyDescent="0.4">
      <c r="B28" s="7"/>
      <c r="C28" s="3"/>
      <c r="D28" s="177">
        <v>2232</v>
      </c>
      <c r="E28" s="136">
        <v>2</v>
      </c>
      <c r="F28" s="161" t="s">
        <v>73</v>
      </c>
      <c r="G28" s="162"/>
      <c r="H28" s="162"/>
      <c r="I28" s="162"/>
      <c r="J28" s="162"/>
      <c r="K28" s="163"/>
      <c r="L28" s="145">
        <v>2</v>
      </c>
      <c r="M28" s="139">
        <v>750</v>
      </c>
      <c r="N28" s="147">
        <f t="shared" ref="N28:N49" si="0">IF(E28&lt;&gt;"",E28*M28,"")</f>
        <v>1500</v>
      </c>
      <c r="O28" s="54"/>
      <c r="P28" s="9"/>
    </row>
    <row r="29" spans="2:16" ht="30" x14ac:dyDescent="0.4">
      <c r="B29" s="7"/>
      <c r="C29" s="3"/>
      <c r="D29" s="177"/>
      <c r="E29" s="136"/>
      <c r="F29" s="161"/>
      <c r="G29" s="162"/>
      <c r="H29" s="162"/>
      <c r="I29" s="162"/>
      <c r="J29" s="162"/>
      <c r="K29" s="163"/>
      <c r="L29" s="140"/>
      <c r="M29" s="141"/>
      <c r="N29" s="147"/>
      <c r="O29" s="54"/>
      <c r="P29" s="9"/>
    </row>
    <row r="30" spans="2:16" ht="30" x14ac:dyDescent="0.4">
      <c r="B30" s="7"/>
      <c r="C30" s="3"/>
      <c r="D30" s="177"/>
      <c r="E30" s="137">
        <v>200</v>
      </c>
      <c r="F30" s="161" t="s">
        <v>74</v>
      </c>
      <c r="G30" s="162"/>
      <c r="H30" s="162"/>
      <c r="I30" s="162"/>
      <c r="J30" s="162"/>
      <c r="K30" s="163"/>
      <c r="L30" s="138">
        <v>2</v>
      </c>
      <c r="M30" s="141">
        <v>5.6</v>
      </c>
      <c r="N30" s="147">
        <f t="shared" si="0"/>
        <v>1120</v>
      </c>
      <c r="O30" s="54"/>
      <c r="P30" s="9"/>
    </row>
    <row r="31" spans="2:16" ht="30" x14ac:dyDescent="0.4">
      <c r="B31" s="7"/>
      <c r="C31" s="3"/>
      <c r="D31" s="177"/>
      <c r="E31" s="137"/>
      <c r="F31" s="161"/>
      <c r="G31" s="162"/>
      <c r="H31" s="162"/>
      <c r="I31" s="162"/>
      <c r="J31" s="162"/>
      <c r="K31" s="163"/>
      <c r="L31" s="138"/>
      <c r="M31" s="141"/>
      <c r="N31" s="147"/>
      <c r="O31" s="111"/>
      <c r="P31" s="9"/>
    </row>
    <row r="32" spans="2:16" ht="30" x14ac:dyDescent="0.4">
      <c r="B32" s="7"/>
      <c r="C32" s="3"/>
      <c r="D32" s="177"/>
      <c r="E32" s="137"/>
      <c r="F32" s="161"/>
      <c r="G32" s="162"/>
      <c r="H32" s="162"/>
      <c r="I32" s="162"/>
      <c r="J32" s="162"/>
      <c r="K32" s="163"/>
      <c r="L32" s="138"/>
      <c r="M32" s="141"/>
      <c r="N32" s="147"/>
      <c r="O32" s="111"/>
      <c r="P32" s="9"/>
    </row>
    <row r="33" spans="2:16" ht="30" x14ac:dyDescent="0.4">
      <c r="B33" s="7"/>
      <c r="C33" s="3"/>
      <c r="D33" s="177"/>
      <c r="E33" s="137"/>
      <c r="F33" s="176"/>
      <c r="G33" s="162"/>
      <c r="H33" s="162"/>
      <c r="I33" s="162"/>
      <c r="J33" s="162"/>
      <c r="K33" s="163"/>
      <c r="L33" s="138"/>
      <c r="M33" s="141"/>
      <c r="N33" s="147"/>
      <c r="O33" s="54"/>
      <c r="P33" s="9"/>
    </row>
    <row r="34" spans="2:16" ht="30" x14ac:dyDescent="0.4">
      <c r="B34" s="7"/>
      <c r="C34" s="3"/>
      <c r="D34" s="177"/>
      <c r="E34" s="137"/>
      <c r="F34" s="161"/>
      <c r="G34" s="162"/>
      <c r="H34" s="162"/>
      <c r="I34" s="162"/>
      <c r="J34" s="162"/>
      <c r="K34" s="163"/>
      <c r="L34" s="138"/>
      <c r="M34" s="141"/>
      <c r="N34" s="147"/>
      <c r="O34" s="54"/>
      <c r="P34" s="9"/>
    </row>
    <row r="35" spans="2:16" ht="30" x14ac:dyDescent="0.4">
      <c r="B35" s="7"/>
      <c r="C35" s="3"/>
      <c r="D35" s="177"/>
      <c r="E35" s="137"/>
      <c r="F35" s="166" t="s">
        <v>69</v>
      </c>
      <c r="G35" s="167"/>
      <c r="H35" s="167"/>
      <c r="I35" s="167"/>
      <c r="J35" s="167"/>
      <c r="K35" s="168"/>
      <c r="L35" s="138"/>
      <c r="M35" s="141"/>
      <c r="N35" s="147"/>
      <c r="O35" s="54"/>
      <c r="P35" s="9"/>
    </row>
    <row r="36" spans="2:16" ht="30" x14ac:dyDescent="0.4">
      <c r="B36" s="7"/>
      <c r="C36" s="3"/>
      <c r="D36" s="177"/>
      <c r="E36" s="137"/>
      <c r="F36" s="166" t="s">
        <v>70</v>
      </c>
      <c r="G36" s="174"/>
      <c r="H36" s="174"/>
      <c r="I36" s="174"/>
      <c r="J36" s="174"/>
      <c r="K36" s="175"/>
      <c r="L36" s="138"/>
      <c r="M36" s="141"/>
      <c r="N36" s="147"/>
      <c r="O36" s="54"/>
      <c r="P36" s="9"/>
    </row>
    <row r="37" spans="2:16" ht="30" x14ac:dyDescent="0.4">
      <c r="B37" s="7"/>
      <c r="C37" s="3"/>
      <c r="D37" s="177"/>
      <c r="E37" s="137"/>
      <c r="F37" s="173" t="s">
        <v>71</v>
      </c>
      <c r="G37" s="171"/>
      <c r="H37" s="171"/>
      <c r="I37" s="171"/>
      <c r="J37" s="171"/>
      <c r="K37" s="172"/>
      <c r="L37" s="138"/>
      <c r="M37" s="141"/>
      <c r="N37" s="147"/>
      <c r="O37" s="54"/>
      <c r="P37" s="9"/>
    </row>
    <row r="38" spans="2:16" ht="30" x14ac:dyDescent="0.4">
      <c r="B38" s="7"/>
      <c r="C38" s="3"/>
      <c r="D38" s="117"/>
      <c r="E38" s="137"/>
      <c r="F38" s="178"/>
      <c r="G38" s="167"/>
      <c r="H38" s="167"/>
      <c r="I38" s="167"/>
      <c r="J38" s="167"/>
      <c r="K38" s="168"/>
      <c r="L38" s="138"/>
      <c r="M38" s="141"/>
      <c r="N38" s="147"/>
      <c r="O38" s="54"/>
      <c r="P38" s="9"/>
    </row>
    <row r="39" spans="2:16" ht="30" x14ac:dyDescent="0.4">
      <c r="B39" s="7"/>
      <c r="C39" s="3"/>
      <c r="D39" s="177"/>
      <c r="E39" s="79"/>
      <c r="F39" s="176"/>
      <c r="G39" s="167"/>
      <c r="H39" s="167"/>
      <c r="I39" s="167"/>
      <c r="J39" s="167"/>
      <c r="K39" s="168"/>
      <c r="L39" s="138"/>
      <c r="M39" s="141"/>
      <c r="N39" s="147"/>
      <c r="O39" s="54"/>
      <c r="P39" s="9"/>
    </row>
    <row r="40" spans="2:16" ht="30" x14ac:dyDescent="0.4">
      <c r="B40" s="7"/>
      <c r="C40" s="3"/>
      <c r="D40" s="177"/>
      <c r="E40" s="79"/>
      <c r="F40" s="176"/>
      <c r="G40" s="162"/>
      <c r="H40" s="162"/>
      <c r="I40" s="167"/>
      <c r="J40" s="167"/>
      <c r="K40" s="168"/>
      <c r="L40" s="80"/>
      <c r="M40" s="77"/>
      <c r="N40" s="147"/>
      <c r="O40" s="54"/>
      <c r="P40" s="9"/>
    </row>
    <row r="41" spans="2:16" ht="30" x14ac:dyDescent="0.4">
      <c r="B41" s="7"/>
      <c r="C41" s="3"/>
      <c r="D41" s="177"/>
      <c r="E41" s="137"/>
      <c r="F41" s="178"/>
      <c r="G41" s="167"/>
      <c r="H41" s="167"/>
      <c r="I41" s="167"/>
      <c r="J41" s="167"/>
      <c r="K41" s="168"/>
      <c r="L41" s="138"/>
      <c r="M41" s="141"/>
      <c r="N41" s="147"/>
      <c r="O41" s="54"/>
      <c r="P41" s="9"/>
    </row>
    <row r="42" spans="2:16" ht="30" x14ac:dyDescent="0.4">
      <c r="B42" s="7"/>
      <c r="C42" s="3"/>
      <c r="D42" s="177"/>
      <c r="E42" s="79"/>
      <c r="F42" s="176"/>
      <c r="G42" s="167"/>
      <c r="H42" s="167"/>
      <c r="I42" s="167"/>
      <c r="J42" s="167"/>
      <c r="K42" s="168"/>
      <c r="L42" s="80"/>
      <c r="M42" s="77"/>
      <c r="N42" s="147"/>
      <c r="O42" s="54"/>
      <c r="P42" s="9"/>
    </row>
    <row r="43" spans="2:16" ht="30" x14ac:dyDescent="0.4">
      <c r="B43" s="7"/>
      <c r="C43" s="3"/>
      <c r="D43" s="177"/>
      <c r="E43" s="137"/>
      <c r="F43" s="178"/>
      <c r="G43" s="167"/>
      <c r="H43" s="167"/>
      <c r="I43" s="167"/>
      <c r="J43" s="167"/>
      <c r="K43" s="168"/>
      <c r="L43" s="138"/>
      <c r="M43" s="141"/>
      <c r="N43" s="147"/>
      <c r="O43" s="54"/>
      <c r="P43" s="9"/>
    </row>
    <row r="44" spans="2:16" ht="30" x14ac:dyDescent="0.4">
      <c r="B44" s="7"/>
      <c r="C44" s="3"/>
      <c r="D44" s="76"/>
      <c r="E44" s="79"/>
      <c r="F44" s="176"/>
      <c r="G44" s="167"/>
      <c r="H44" s="167"/>
      <c r="I44" s="167"/>
      <c r="J44" s="167"/>
      <c r="K44" s="168"/>
      <c r="L44" s="80"/>
      <c r="M44" s="77"/>
      <c r="N44" s="147"/>
      <c r="O44" s="54"/>
      <c r="P44" s="9"/>
    </row>
    <row r="45" spans="2:16" ht="30" x14ac:dyDescent="0.4">
      <c r="B45" s="7"/>
      <c r="C45" s="3"/>
      <c r="D45" s="76"/>
      <c r="E45" s="79"/>
      <c r="F45" s="176"/>
      <c r="G45" s="167"/>
      <c r="H45" s="167"/>
      <c r="I45" s="167"/>
      <c r="J45" s="167"/>
      <c r="K45" s="168"/>
      <c r="L45" s="80"/>
      <c r="M45" s="77"/>
      <c r="N45" s="147"/>
      <c r="O45" s="54"/>
      <c r="P45" s="9"/>
    </row>
    <row r="46" spans="2:16" ht="30" x14ac:dyDescent="0.4">
      <c r="B46" s="7"/>
      <c r="C46" s="3"/>
      <c r="D46" s="76"/>
      <c r="E46" s="79"/>
      <c r="F46" s="176"/>
      <c r="G46" s="167"/>
      <c r="H46" s="167"/>
      <c r="I46" s="167"/>
      <c r="J46" s="167"/>
      <c r="K46" s="168"/>
      <c r="L46" s="80"/>
      <c r="M46" s="77"/>
      <c r="N46" s="147"/>
      <c r="O46" s="54"/>
      <c r="P46" s="9"/>
    </row>
    <row r="47" spans="2:16" ht="30" x14ac:dyDescent="0.4">
      <c r="B47" s="7"/>
      <c r="C47" s="3"/>
      <c r="D47" s="76"/>
      <c r="E47" s="79"/>
      <c r="F47" s="176"/>
      <c r="G47" s="167"/>
      <c r="H47" s="167"/>
      <c r="I47" s="167"/>
      <c r="J47" s="167"/>
      <c r="K47" s="168"/>
      <c r="L47" s="80"/>
      <c r="M47" s="77"/>
      <c r="N47" s="147" t="str">
        <f t="shared" si="0"/>
        <v/>
      </c>
      <c r="O47" s="54"/>
      <c r="P47" s="9"/>
    </row>
    <row r="48" spans="2:16" ht="30" x14ac:dyDescent="0.4">
      <c r="B48" s="7"/>
      <c r="C48" s="3"/>
      <c r="D48" s="76"/>
      <c r="E48" s="79"/>
      <c r="F48" s="176"/>
      <c r="G48" s="167"/>
      <c r="H48" s="167"/>
      <c r="I48" s="167"/>
      <c r="J48" s="167"/>
      <c r="K48" s="168"/>
      <c r="L48" s="80"/>
      <c r="M48" s="77"/>
      <c r="N48" s="147" t="str">
        <f t="shared" si="0"/>
        <v/>
      </c>
      <c r="O48" s="54"/>
      <c r="P48" s="9"/>
    </row>
    <row r="49" spans="2:16" ht="26.25" x14ac:dyDescent="0.2">
      <c r="B49" s="7"/>
      <c r="C49" s="3"/>
      <c r="D49" s="81"/>
      <c r="E49" s="82"/>
      <c r="F49" s="181"/>
      <c r="G49" s="181"/>
      <c r="H49" s="181"/>
      <c r="I49" s="181"/>
      <c r="J49" s="181"/>
      <c r="K49" s="181"/>
      <c r="L49" s="80"/>
      <c r="M49" s="77"/>
      <c r="N49" s="147" t="str">
        <f t="shared" si="0"/>
        <v/>
      </c>
      <c r="O49" s="54"/>
      <c r="P49" s="9"/>
    </row>
    <row r="50" spans="2:16" ht="15" x14ac:dyDescent="0.2">
      <c r="B50" s="7"/>
      <c r="C50" s="3"/>
      <c r="D50" s="86"/>
      <c r="E50" s="87"/>
      <c r="F50" s="181"/>
      <c r="G50" s="181"/>
      <c r="H50" s="181"/>
      <c r="I50" s="181"/>
      <c r="J50" s="181"/>
      <c r="K50" s="181"/>
      <c r="L50" s="80"/>
      <c r="M50" s="77"/>
      <c r="N50" s="78"/>
      <c r="O50" s="54"/>
      <c r="P50" s="9"/>
    </row>
    <row r="51" spans="2:16" ht="15" x14ac:dyDescent="0.2">
      <c r="B51" s="7"/>
      <c r="C51" s="3"/>
      <c r="D51" s="86"/>
      <c r="E51" s="87"/>
      <c r="F51" s="181"/>
      <c r="G51" s="181"/>
      <c r="H51" s="181"/>
      <c r="I51" s="181"/>
      <c r="J51" s="181"/>
      <c r="K51" s="181"/>
      <c r="L51" s="83"/>
      <c r="M51" s="84"/>
      <c r="N51" s="85"/>
      <c r="O51" s="54"/>
      <c r="P51" s="9"/>
    </row>
    <row r="52" spans="2:16" ht="35.25" x14ac:dyDescent="0.5">
      <c r="B52" s="7"/>
      <c r="C52" s="3"/>
      <c r="D52" s="96"/>
      <c r="E52" s="112"/>
      <c r="F52" s="170"/>
      <c r="G52" s="87"/>
      <c r="H52" s="87"/>
      <c r="I52" s="87"/>
      <c r="J52" s="88"/>
      <c r="K52" s="107"/>
      <c r="L52" s="126"/>
      <c r="M52" s="127" t="s">
        <v>26</v>
      </c>
      <c r="N52" s="128">
        <f>SUM(N28:N51)</f>
        <v>2620</v>
      </c>
      <c r="O52" s="54"/>
      <c r="P52" s="9"/>
    </row>
    <row r="53" spans="2:16" ht="35.25" x14ac:dyDescent="0.5">
      <c r="B53" s="7"/>
      <c r="C53" s="3"/>
      <c r="D53" s="118"/>
      <c r="E53" s="114" t="s">
        <v>61</v>
      </c>
      <c r="F53" s="87"/>
      <c r="G53" s="87"/>
      <c r="H53" s="87"/>
      <c r="I53" s="87"/>
      <c r="J53" s="88"/>
      <c r="K53" s="107"/>
      <c r="L53" s="126"/>
      <c r="M53" s="129" t="s">
        <v>50</v>
      </c>
      <c r="N53" s="128">
        <v>0.5</v>
      </c>
      <c r="O53" s="54"/>
      <c r="P53" s="9"/>
    </row>
    <row r="54" spans="2:16" ht="35.25" x14ac:dyDescent="0.5">
      <c r="B54" s="7"/>
      <c r="C54" s="3"/>
      <c r="D54" s="116"/>
      <c r="E54" s="114" t="s">
        <v>62</v>
      </c>
      <c r="F54" s="87"/>
      <c r="G54" s="87"/>
      <c r="H54" s="87"/>
      <c r="I54" s="87"/>
      <c r="J54" s="90"/>
      <c r="K54" s="108"/>
      <c r="L54" s="127" t="s">
        <v>27</v>
      </c>
      <c r="M54" s="130" t="s">
        <v>75</v>
      </c>
      <c r="N54" s="131">
        <f>N52*0.15</f>
        <v>393</v>
      </c>
      <c r="O54" s="54"/>
      <c r="P54" s="9"/>
    </row>
    <row r="55" spans="2:16" ht="35.25" x14ac:dyDescent="0.5">
      <c r="B55" s="7"/>
      <c r="C55" s="3"/>
      <c r="D55" s="96"/>
      <c r="E55" s="117"/>
      <c r="F55" s="113"/>
      <c r="G55" s="92"/>
      <c r="H55" s="91"/>
      <c r="I55" s="87"/>
      <c r="J55" s="93"/>
      <c r="K55" s="107"/>
      <c r="L55" s="126"/>
      <c r="M55" s="132">
        <f>IF(dflt2&lt;&gt;"",dflt2,"")</f>
        <v>0.18</v>
      </c>
      <c r="N55" s="128">
        <f>(N52-N54)*0.18</f>
        <v>400.85999999999996</v>
      </c>
      <c r="O55" s="54"/>
      <c r="P55" s="9"/>
    </row>
    <row r="56" spans="2:16" ht="35.25" x14ac:dyDescent="0.5">
      <c r="B56" s="7"/>
      <c r="C56" s="3"/>
      <c r="D56" s="86"/>
      <c r="E56" s="97"/>
      <c r="F56" s="115"/>
      <c r="G56" s="87"/>
      <c r="H56" s="94"/>
      <c r="I56" s="87"/>
      <c r="J56" s="95" t="s">
        <v>28</v>
      </c>
      <c r="K56" s="107"/>
      <c r="L56" s="126"/>
      <c r="M56" s="132">
        <f>IF(dflt3&lt;&gt;"",dflt3,"")</f>
        <v>0.28999999999999998</v>
      </c>
      <c r="N56" s="133">
        <f>M56*SUMIF(L28:L51,3,N28:N51)</f>
        <v>0</v>
      </c>
      <c r="O56" s="54"/>
      <c r="P56" s="9"/>
    </row>
    <row r="57" spans="2:16" ht="35.25" x14ac:dyDescent="0.5">
      <c r="B57" s="7"/>
      <c r="C57" s="3"/>
      <c r="D57" s="198" t="s">
        <v>80</v>
      </c>
      <c r="E57" s="198"/>
      <c r="F57" s="198"/>
      <c r="G57" s="198"/>
      <c r="H57" s="198"/>
      <c r="I57" s="198"/>
      <c r="J57" s="198"/>
      <c r="K57" s="198"/>
      <c r="L57" s="198"/>
      <c r="M57" s="129" t="s">
        <v>29</v>
      </c>
      <c r="N57" s="128">
        <f>N52-N54+N53+N55</f>
        <v>2628.36</v>
      </c>
      <c r="O57" s="54"/>
      <c r="P57" s="9"/>
    </row>
    <row r="58" spans="2:16" ht="35.25" x14ac:dyDescent="0.5">
      <c r="B58" s="7"/>
      <c r="C58" s="3"/>
      <c r="D58" s="169"/>
      <c r="E58" s="169"/>
      <c r="F58" s="117"/>
      <c r="G58" s="165"/>
      <c r="H58" s="165"/>
      <c r="I58" s="165"/>
      <c r="J58" s="98"/>
      <c r="K58" s="98"/>
      <c r="L58" s="134"/>
      <c r="M58" s="129" t="s">
        <v>38</v>
      </c>
      <c r="N58" s="131">
        <f>N55</f>
        <v>400.85999999999996</v>
      </c>
      <c r="O58" s="54"/>
      <c r="P58" s="9"/>
    </row>
    <row r="59" spans="2:16" ht="35.25" x14ac:dyDescent="0.5">
      <c r="B59" s="7"/>
      <c r="C59" s="3"/>
      <c r="D59" s="159"/>
      <c r="E59" s="159"/>
      <c r="F59" s="164"/>
      <c r="G59" s="110"/>
      <c r="H59" s="110"/>
      <c r="I59" s="110"/>
      <c r="J59" s="98"/>
      <c r="K59" s="98"/>
      <c r="L59" s="134"/>
      <c r="M59" s="129"/>
      <c r="N59" s="135"/>
      <c r="O59" s="106"/>
      <c r="P59" s="9"/>
    </row>
    <row r="60" spans="2:16" ht="18" x14ac:dyDescent="0.25">
      <c r="B60" s="7"/>
      <c r="C60" s="3"/>
      <c r="D60" s="86"/>
      <c r="E60" s="99"/>
      <c r="F60" s="109"/>
      <c r="G60" s="169"/>
      <c r="H60" s="169"/>
      <c r="I60" s="169"/>
      <c r="J60" s="169"/>
      <c r="K60" s="169"/>
      <c r="L60" s="169"/>
      <c r="M60" s="169"/>
      <c r="N60" s="169"/>
      <c r="O60" s="106"/>
      <c r="P60" s="9"/>
    </row>
    <row r="61" spans="2:16" ht="26.25" x14ac:dyDescent="0.4">
      <c r="B61" s="7"/>
      <c r="C61" s="3"/>
      <c r="D61" s="86"/>
      <c r="E61" s="99"/>
      <c r="F61" s="169"/>
      <c r="G61" s="159"/>
      <c r="H61" s="159"/>
      <c r="I61" s="159"/>
      <c r="J61" s="159"/>
      <c r="K61" s="159"/>
      <c r="L61" s="159"/>
      <c r="M61" s="159"/>
      <c r="N61" s="159"/>
      <c r="O61" s="106"/>
      <c r="P61" s="9"/>
    </row>
    <row r="62" spans="2:16" ht="26.25" x14ac:dyDescent="0.4">
      <c r="B62" s="7"/>
      <c r="C62" s="3"/>
      <c r="D62" s="86"/>
      <c r="E62" s="86"/>
      <c r="F62" s="159"/>
      <c r="G62" s="157"/>
      <c r="H62" s="157"/>
      <c r="I62" s="157"/>
      <c r="J62" s="90"/>
      <c r="K62" s="158"/>
      <c r="L62" s="158"/>
      <c r="M62" s="158"/>
      <c r="N62" s="158"/>
      <c r="O62" s="106"/>
      <c r="P62" s="9"/>
    </row>
    <row r="63" spans="2:16" ht="23.25" x14ac:dyDescent="0.25">
      <c r="B63" s="7"/>
      <c r="C63" s="3"/>
      <c r="D63" s="86"/>
      <c r="E63" s="86"/>
      <c r="F63" s="156"/>
      <c r="G63" s="189"/>
      <c r="H63" s="189"/>
      <c r="I63" s="189"/>
      <c r="J63" s="90"/>
      <c r="K63" s="158"/>
      <c r="L63" s="158"/>
      <c r="M63" s="158"/>
      <c r="N63" s="158"/>
      <c r="O63" s="106"/>
      <c r="P63" s="9"/>
    </row>
    <row r="64" spans="2:16" ht="23.25" x14ac:dyDescent="0.25">
      <c r="B64" s="7"/>
      <c r="C64" s="3"/>
      <c r="D64" s="86"/>
      <c r="E64" s="86"/>
      <c r="F64" s="89"/>
      <c r="G64" s="88"/>
      <c r="H64" s="88"/>
      <c r="I64" s="88"/>
      <c r="J64" s="90"/>
      <c r="K64" s="158"/>
      <c r="L64" s="158"/>
      <c r="M64" s="158"/>
      <c r="N64" s="158"/>
      <c r="O64" s="106"/>
      <c r="P64" s="9"/>
    </row>
    <row r="65" spans="2:16" ht="18" x14ac:dyDescent="0.25">
      <c r="B65" s="7"/>
      <c r="C65" s="3"/>
      <c r="D65" s="86"/>
      <c r="E65" s="86"/>
      <c r="F65" s="88"/>
      <c r="G65" s="88"/>
      <c r="H65" s="88"/>
      <c r="I65" s="88"/>
      <c r="J65" s="90"/>
      <c r="K65" s="143"/>
      <c r="L65" s="143"/>
      <c r="M65" s="143"/>
      <c r="N65" s="143"/>
      <c r="O65" s="106"/>
      <c r="P65" s="9"/>
    </row>
    <row r="66" spans="2:16" ht="18" x14ac:dyDescent="0.25">
      <c r="B66" s="7"/>
      <c r="C66" s="3"/>
      <c r="D66" s="86"/>
      <c r="E66" s="86"/>
      <c r="F66" s="88"/>
      <c r="G66" s="88"/>
      <c r="H66" s="88"/>
      <c r="I66" s="88"/>
      <c r="J66" s="90"/>
      <c r="K66" s="143"/>
      <c r="L66" s="143"/>
      <c r="M66" s="143"/>
      <c r="N66" s="143"/>
      <c r="O66" s="106"/>
      <c r="P66" s="9"/>
    </row>
    <row r="67" spans="2:16" ht="18" x14ac:dyDescent="0.25">
      <c r="B67" s="7"/>
      <c r="C67" s="3"/>
      <c r="D67" s="86"/>
      <c r="E67" s="86"/>
      <c r="F67" s="88"/>
      <c r="G67" s="88"/>
      <c r="H67" s="88"/>
      <c r="I67" s="88"/>
      <c r="J67" s="90"/>
      <c r="K67" s="143"/>
      <c r="L67" s="143"/>
      <c r="M67" s="143"/>
      <c r="N67" s="143"/>
      <c r="O67" s="106"/>
      <c r="P67" s="9"/>
    </row>
    <row r="68" spans="2:16" ht="15" x14ac:dyDescent="0.2">
      <c r="B68" s="7"/>
      <c r="C68" s="3"/>
      <c r="D68" s="86"/>
      <c r="E68" s="86"/>
      <c r="F68" s="88"/>
      <c r="G68" s="88"/>
      <c r="H68" s="88"/>
      <c r="I68" s="88"/>
      <c r="J68" s="90"/>
      <c r="K68" s="143"/>
      <c r="L68" s="143"/>
      <c r="M68" s="143"/>
      <c r="N68" s="143"/>
      <c r="O68" s="54"/>
      <c r="P68" s="9"/>
    </row>
    <row r="69" spans="2:16" ht="20.100000000000001" customHeight="1" x14ac:dyDescent="0.2">
      <c r="B69" s="7"/>
      <c r="C69" s="3"/>
      <c r="D69" s="86"/>
      <c r="E69" s="86"/>
      <c r="F69" s="88"/>
      <c r="G69" s="88"/>
      <c r="H69" s="88"/>
      <c r="I69" s="88"/>
      <c r="J69" s="90"/>
      <c r="K69" s="143"/>
      <c r="L69" s="143"/>
      <c r="M69" s="143"/>
      <c r="N69" s="143"/>
      <c r="O69" s="54"/>
      <c r="P69" s="9"/>
    </row>
    <row r="70" spans="2:16" ht="20.100000000000001" customHeight="1" x14ac:dyDescent="0.2">
      <c r="B70" s="7"/>
      <c r="C70" s="3"/>
      <c r="D70" s="86"/>
      <c r="E70" s="86"/>
      <c r="F70" s="88"/>
      <c r="G70" s="88"/>
      <c r="H70" s="88"/>
      <c r="I70" s="88"/>
      <c r="J70" s="90"/>
      <c r="K70" s="100"/>
      <c r="L70" s="100"/>
      <c r="M70" s="100"/>
      <c r="N70" s="100"/>
      <c r="O70" s="54"/>
      <c r="P70" s="9"/>
    </row>
    <row r="71" spans="2:16" ht="20.100000000000001" customHeight="1" x14ac:dyDescent="0.2">
      <c r="B71" s="7"/>
      <c r="C71" s="3"/>
      <c r="D71" s="86"/>
      <c r="E71" s="86"/>
      <c r="F71" s="88"/>
      <c r="G71" s="88"/>
      <c r="H71" s="88"/>
      <c r="I71" s="88"/>
      <c r="J71" s="90"/>
      <c r="K71" s="100"/>
      <c r="L71" s="100"/>
      <c r="M71" s="100"/>
      <c r="N71" s="100"/>
      <c r="O71" s="54"/>
      <c r="P71" s="9"/>
    </row>
    <row r="72" spans="2:16" ht="20.25" x14ac:dyDescent="0.3">
      <c r="B72" s="7"/>
      <c r="C72" s="3"/>
      <c r="D72" s="148" t="s">
        <v>66</v>
      </c>
      <c r="E72" s="149"/>
      <c r="F72" s="88"/>
      <c r="G72" s="88"/>
      <c r="H72" s="88"/>
      <c r="I72" s="88"/>
      <c r="J72" s="90"/>
      <c r="K72" s="100"/>
      <c r="L72" s="100"/>
      <c r="M72" s="100"/>
      <c r="N72" s="100"/>
      <c r="O72" s="54"/>
      <c r="P72" s="9"/>
    </row>
    <row r="73" spans="2:16" ht="20.25" x14ac:dyDescent="0.3">
      <c r="B73" s="7"/>
      <c r="C73" s="3"/>
      <c r="D73" s="151" t="s">
        <v>67</v>
      </c>
      <c r="E73" s="151"/>
      <c r="F73" s="88"/>
      <c r="G73" s="88"/>
      <c r="H73" s="88"/>
      <c r="I73" s="88"/>
      <c r="J73" s="90"/>
      <c r="K73" s="100"/>
      <c r="L73" s="100"/>
      <c r="M73" s="100"/>
      <c r="N73" s="100"/>
      <c r="O73" s="54"/>
      <c r="P73" s="9"/>
    </row>
    <row r="74" spans="2:16" ht="15" x14ac:dyDescent="0.2">
      <c r="B74" s="7"/>
      <c r="C74" s="3"/>
      <c r="D74" s="86"/>
      <c r="E74" s="86"/>
      <c r="F74" s="88"/>
      <c r="G74" s="88"/>
      <c r="H74" s="88"/>
      <c r="I74" s="88"/>
      <c r="J74" s="90"/>
      <c r="K74" s="100"/>
      <c r="L74" s="100"/>
      <c r="M74" s="100"/>
      <c r="N74" s="100"/>
      <c r="O74" s="54"/>
      <c r="P74" s="9"/>
    </row>
    <row r="75" spans="2:16" ht="20.25" x14ac:dyDescent="0.2">
      <c r="B75" s="7"/>
      <c r="C75" s="3"/>
      <c r="D75" s="86"/>
      <c r="E75" s="86"/>
      <c r="F75" s="150"/>
      <c r="G75" s="88"/>
      <c r="H75" s="88"/>
      <c r="I75" s="88"/>
      <c r="J75" s="90"/>
      <c r="K75" s="100"/>
      <c r="L75" s="100"/>
      <c r="M75" s="100"/>
      <c r="N75" s="100"/>
      <c r="O75" s="54"/>
      <c r="P75" s="9"/>
    </row>
    <row r="76" spans="2:16" ht="20.25" x14ac:dyDescent="0.2">
      <c r="B76" s="7"/>
      <c r="C76" s="3"/>
      <c r="D76" s="101"/>
      <c r="E76" s="101"/>
      <c r="F76" s="152"/>
      <c r="G76" s="88"/>
      <c r="H76" s="88"/>
      <c r="I76" s="88"/>
      <c r="J76" s="90"/>
      <c r="K76" s="100"/>
      <c r="L76" s="100"/>
      <c r="M76" s="100"/>
      <c r="N76" s="100"/>
      <c r="O76" s="54"/>
      <c r="P76" s="9"/>
    </row>
    <row r="77" spans="2:16" ht="15" x14ac:dyDescent="0.2">
      <c r="B77" s="7"/>
      <c r="C77" s="3"/>
      <c r="D77" s="101"/>
      <c r="E77" s="101"/>
      <c r="F77" s="88"/>
      <c r="G77" s="88"/>
      <c r="H77" s="88"/>
      <c r="I77" s="88"/>
      <c r="J77" s="90"/>
      <c r="K77" s="100"/>
      <c r="L77" s="100"/>
      <c r="M77" s="100"/>
      <c r="N77" s="100"/>
      <c r="O77" s="54"/>
      <c r="P77" s="9"/>
    </row>
    <row r="78" spans="2:16" ht="15" x14ac:dyDescent="0.2">
      <c r="B78" s="7"/>
      <c r="C78" s="3"/>
      <c r="D78" s="101"/>
      <c r="E78" s="101"/>
      <c r="F78" s="88"/>
      <c r="G78" s="160"/>
      <c r="H78" s="160"/>
      <c r="I78" s="160"/>
      <c r="J78" s="160"/>
      <c r="K78" s="160"/>
      <c r="L78" s="160"/>
      <c r="M78" s="160"/>
      <c r="N78" s="102"/>
      <c r="O78" s="54"/>
      <c r="P78" s="9"/>
    </row>
    <row r="79" spans="2:16" ht="15" x14ac:dyDescent="0.2">
      <c r="B79" s="7"/>
      <c r="C79" s="3"/>
      <c r="D79" s="101"/>
      <c r="E79" s="101"/>
      <c r="F79" s="190" t="s">
        <v>55</v>
      </c>
      <c r="G79" s="190"/>
      <c r="H79" s="190"/>
      <c r="I79" s="190"/>
      <c r="J79" s="190"/>
      <c r="K79" s="190"/>
      <c r="L79" s="190"/>
      <c r="M79" s="160"/>
      <c r="N79" s="102"/>
      <c r="O79" s="54"/>
      <c r="P79" s="9"/>
    </row>
    <row r="80" spans="2:16" ht="15.75" thickBot="1" x14ac:dyDescent="0.25">
      <c r="B80" s="7"/>
      <c r="C80" s="3"/>
      <c r="D80" s="3"/>
      <c r="E80" s="3"/>
      <c r="F80" s="160"/>
      <c r="G80" s="160"/>
      <c r="H80" s="160"/>
      <c r="I80" s="160"/>
      <c r="J80" s="160"/>
      <c r="K80" s="160"/>
      <c r="L80" s="160"/>
      <c r="M80" s="160"/>
      <c r="N80" s="102"/>
      <c r="O80" s="54"/>
      <c r="P80" s="9"/>
    </row>
    <row r="81" spans="2:16" ht="15.75" thickTop="1" x14ac:dyDescent="0.2">
      <c r="B81" s="7"/>
      <c r="C81" s="3"/>
      <c r="D81" s="3"/>
      <c r="E81" s="55"/>
      <c r="F81" s="160"/>
      <c r="G81" s="160"/>
      <c r="H81" s="160"/>
      <c r="I81" s="160"/>
      <c r="J81" s="160"/>
      <c r="K81" s="160"/>
      <c r="L81" s="160"/>
      <c r="M81" s="160"/>
      <c r="N81" s="102"/>
      <c r="O81" s="54"/>
      <c r="P81" s="9"/>
    </row>
    <row r="82" spans="2:16" ht="15.75" thickBot="1" x14ac:dyDescent="0.25">
      <c r="B82" s="7"/>
      <c r="C82" s="3"/>
      <c r="D82" s="3"/>
      <c r="E82" s="3"/>
      <c r="F82" s="160"/>
      <c r="G82" s="3"/>
      <c r="H82" s="3"/>
      <c r="I82" s="3"/>
      <c r="J82" s="3"/>
      <c r="K82" s="3"/>
      <c r="L82" s="3"/>
      <c r="M82" s="3"/>
      <c r="N82" s="3"/>
      <c r="O82" s="54"/>
      <c r="P82" s="9"/>
    </row>
    <row r="83" spans="2:16" ht="14.25" thickTop="1" thickBot="1" x14ac:dyDescent="0.25">
      <c r="B83" s="7"/>
      <c r="C83" s="3"/>
      <c r="D83" s="3"/>
      <c r="E83" s="3"/>
      <c r="F83" s="3"/>
      <c r="G83" s="55"/>
      <c r="H83" s="55"/>
      <c r="I83" s="55"/>
      <c r="J83" s="55"/>
      <c r="K83" s="55"/>
      <c r="L83" s="55"/>
      <c r="M83" s="55"/>
      <c r="N83" s="55"/>
      <c r="O83" s="54"/>
      <c r="P83" s="9"/>
    </row>
    <row r="84" spans="2:16" ht="13.5" thickTop="1" x14ac:dyDescent="0.2">
      <c r="B84" s="7"/>
      <c r="C84" s="3"/>
      <c r="D84" s="3"/>
      <c r="E84" s="3"/>
      <c r="F84" s="55"/>
      <c r="G84" s="154"/>
      <c r="H84" s="154"/>
      <c r="I84" s="154"/>
      <c r="J84" s="154"/>
      <c r="K84" s="154"/>
      <c r="L84" s="154"/>
      <c r="M84" s="154"/>
      <c r="N84" s="3"/>
      <c r="O84" s="54"/>
      <c r="P84" s="9"/>
    </row>
    <row r="85" spans="2:16" ht="15" customHeight="1" thickBot="1" x14ac:dyDescent="0.25">
      <c r="B85" s="7"/>
      <c r="C85" s="3"/>
      <c r="D85" s="11"/>
      <c r="E85" s="11"/>
      <c r="F85" s="153"/>
      <c r="G85" s="155"/>
      <c r="H85" s="155"/>
      <c r="I85" s="155"/>
      <c r="J85" s="155"/>
      <c r="K85" s="155"/>
      <c r="L85" s="155"/>
      <c r="M85" s="155"/>
      <c r="N85" s="3"/>
      <c r="O85" s="54"/>
      <c r="P85" s="9"/>
    </row>
    <row r="86" spans="2:16" ht="225" customHeight="1" thickTop="1" x14ac:dyDescent="0.2">
      <c r="B86" s="7"/>
      <c r="C86" s="3"/>
      <c r="F86" s="155"/>
      <c r="G86" s="155"/>
      <c r="H86" s="155"/>
      <c r="I86" s="155"/>
      <c r="J86" s="155"/>
      <c r="K86" s="155"/>
      <c r="L86" s="155"/>
      <c r="M86" s="155"/>
      <c r="N86" s="3"/>
      <c r="O86" s="54"/>
      <c r="P86" s="9"/>
    </row>
    <row r="87" spans="2:16" ht="13.5" thickBot="1" x14ac:dyDescent="0.25">
      <c r="B87" s="7"/>
      <c r="C87" s="3"/>
      <c r="F87" s="155"/>
      <c r="G87" s="11"/>
      <c r="H87" s="11"/>
      <c r="I87" s="11"/>
      <c r="J87" s="11"/>
      <c r="K87" s="11"/>
      <c r="L87" s="11"/>
      <c r="M87" s="11"/>
      <c r="N87" s="11"/>
      <c r="O87" s="54"/>
      <c r="P87" s="9"/>
    </row>
    <row r="88" spans="2:16" ht="14.25" thickTop="1" thickBot="1" x14ac:dyDescent="0.25">
      <c r="B88" s="7"/>
      <c r="C88" s="3"/>
      <c r="F88" s="11"/>
      <c r="O88" s="54"/>
      <c r="P88" s="9"/>
    </row>
    <row r="89" spans="2:16" ht="3" customHeight="1" thickTop="1" x14ac:dyDescent="0.2">
      <c r="B89" s="7"/>
      <c r="C89" s="3"/>
      <c r="O89" s="54"/>
      <c r="P89" s="9"/>
    </row>
    <row r="90" spans="2:16" x14ac:dyDescent="0.2">
      <c r="B90" s="7"/>
      <c r="C90" s="3"/>
      <c r="O90" s="54"/>
      <c r="P90" s="9"/>
    </row>
    <row r="91" spans="2:16" x14ac:dyDescent="0.2">
      <c r="B91" s="7"/>
      <c r="C91" s="3"/>
      <c r="O91" s="54"/>
      <c r="P91" s="9"/>
    </row>
    <row r="92" spans="2:16" x14ac:dyDescent="0.2">
      <c r="B92" s="7"/>
      <c r="C92" s="3"/>
      <c r="O92" s="54"/>
      <c r="P92" s="9"/>
    </row>
    <row r="93" spans="2:16" ht="0.95" customHeight="1" thickBot="1" x14ac:dyDescent="0.25">
      <c r="B93" s="10"/>
      <c r="C93" s="11"/>
      <c r="O93" s="11"/>
      <c r="P93" s="12"/>
    </row>
    <row r="94" spans="2:16" ht="6" customHeight="1"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M18:M20"/>
    <mergeCell ref="M22:N22"/>
    <mergeCell ref="M24:N24"/>
    <mergeCell ref="M25:N25"/>
    <mergeCell ref="E22:J22"/>
    <mergeCell ref="E25:J25"/>
    <mergeCell ref="G63:I63"/>
    <mergeCell ref="F79:L79"/>
    <mergeCell ref="E23:K23"/>
    <mergeCell ref="G24:H24"/>
    <mergeCell ref="F27:K27"/>
    <mergeCell ref="D57:L57"/>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79 F7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K63"/>
    <dataValidation type="textLength" errorStyle="warning" allowBlank="1" showErrorMessage="1" errorTitle="T.V.A." error="Les cellules ombrées contiennent des formules et sont calculées automatiquement par Excel. N'y tapez aucune information." promptTitle="T.V.A." sqref="M54: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N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N5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85:F87 G84:M86"/>
    <dataValidation type="decimal" allowBlank="1" showErrorMessage="1" errorTitle="Prix unitaire" error="Tapez un nombre dans cette cellule." promptTitle="Prix unitaire" sqref="M28:M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8:N51">
      <formula1>0</formula1>
      <formula2>0</formula2>
    </dataValidation>
    <dataValidation type="list" allowBlank="1" showInputMessage="1" showErrorMessage="1" errorTitle="Code TVA" error="Tapez 1, 2, ou 3." sqref="L28:L51">
      <formula1>"1,2,3"</formula1>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47244094488188981" right="0.51181102362204722" top="0.6692913385826772" bottom="0.82677165354330717" header="0.78740157480314965" footer="0.31496062992125984"/>
  <pageSetup paperSize="9" scale="3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39</v>
      </c>
      <c r="B2" s="64" t="s">
        <v>31</v>
      </c>
    </row>
    <row r="3" spans="1:11" x14ac:dyDescent="0.2">
      <c r="A3" s="64" t="s">
        <v>40</v>
      </c>
      <c r="B3" s="64" t="s">
        <v>47</v>
      </c>
    </row>
    <row r="4" spans="1:11" x14ac:dyDescent="0.2">
      <c r="A4" s="64" t="s">
        <v>32</v>
      </c>
    </row>
    <row r="5" spans="1:11" x14ac:dyDescent="0.2">
      <c r="A5" s="64" t="s">
        <v>41</v>
      </c>
      <c r="B5" s="64">
        <v>1</v>
      </c>
    </row>
    <row r="6" spans="1:11" x14ac:dyDescent="0.2">
      <c r="A6" s="64">
        <v>1</v>
      </c>
      <c r="B6" s="64" t="s">
        <v>42</v>
      </c>
      <c r="C6" s="64" t="s">
        <v>46</v>
      </c>
      <c r="D6" s="64" t="s">
        <v>43</v>
      </c>
      <c r="E6" s="64">
        <v>10</v>
      </c>
      <c r="G6" s="64">
        <v>1197261567</v>
      </c>
    </row>
    <row r="7" spans="1:11" x14ac:dyDescent="0.2">
      <c r="A7" s="64" t="s">
        <v>44</v>
      </c>
      <c r="B7" s="64" t="s">
        <v>33</v>
      </c>
      <c r="C7" s="64" t="s">
        <v>19</v>
      </c>
      <c r="D7" s="64" t="s">
        <v>3</v>
      </c>
      <c r="E7" s="64" t="s">
        <v>5</v>
      </c>
      <c r="F7" s="64" t="s">
        <v>7</v>
      </c>
      <c r="G7" s="64" t="s">
        <v>8</v>
      </c>
      <c r="H7" s="64" t="s">
        <v>9</v>
      </c>
      <c r="I7" s="64" t="s">
        <v>21</v>
      </c>
      <c r="J7" s="64" t="s">
        <v>34</v>
      </c>
      <c r="K7" s="64" t="s">
        <v>20</v>
      </c>
    </row>
    <row r="8" spans="1:11" x14ac:dyDescent="0.2">
      <c r="A8" s="64" t="s">
        <v>45</v>
      </c>
      <c r="B8" s="65" t="str">
        <f>Facture!$N$4</f>
        <v/>
      </c>
      <c r="C8" s="66">
        <f>Facture!$M$22</f>
        <v>42782</v>
      </c>
      <c r="D8" s="67" t="str">
        <f>Facture!$E$22</f>
        <v>ITS TELECOM</v>
      </c>
      <c r="E8" s="64">
        <f>Facture!$E$23</f>
        <v>0</v>
      </c>
      <c r="F8" s="64">
        <f>Facture!$E$24</f>
        <v>2092</v>
      </c>
      <c r="G8" s="67" t="str">
        <f>Facture!$G$24</f>
        <v>Tunis</v>
      </c>
      <c r="H8" s="67" t="str">
        <f>Facture!$J$24</f>
        <v>TN</v>
      </c>
      <c r="I8" s="64">
        <f>Facture!$E$25</f>
        <v>0</v>
      </c>
      <c r="J8" s="68">
        <f>Facture!$N$57</f>
        <v>2628.36</v>
      </c>
      <c r="K8" s="64" t="str">
        <f>Facture!$M$24</f>
        <v>Mariem Debibi</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2016-05-13T08:55:09Z</cp:lastPrinted>
  <dcterms:created xsi:type="dcterms:W3CDTF">1995-05-29T15:50:39Z</dcterms:created>
  <dcterms:modified xsi:type="dcterms:W3CDTF">2017-04-05T16:04:32Z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TELECOM</vt:lpwstr>
  </property>
  <property fmtid="{D5CDD505-2E9C-101B-9397-08002B2CF9AE}" pid="11" name="Montant de la facture" linkTarget="TOT">
    <vt:r8>2628.36</vt:r8>
  </property>
</Properties>
</file>