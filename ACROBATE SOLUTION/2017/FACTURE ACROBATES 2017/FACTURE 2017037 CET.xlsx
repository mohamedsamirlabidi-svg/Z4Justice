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Facture!$M$41</definedName>
    <definedName name="_Tax2">Facture!$M$42</definedName>
    <definedName name="_Tax3">Facture!$M$43</definedName>
    <definedName name="_tax4">Facture!$M$43</definedName>
    <definedName name="_xlnm.Auto_Open21">'AutoOpen Stub Data'!$A$1</definedName>
    <definedName name="boxes">Facture!$E$41:$E$42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Facture!$F$38</definedName>
    <definedName name="data61">Facture!$M$38</definedName>
    <definedName name="data62">Facture!$E$41</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Facture!$F$45:$I$45</definedName>
    <definedName name="qzqzqz27">Facture!$F$46:$I$46</definedName>
    <definedName name="qzqzqz28">Facture!$F$47:$I$47</definedName>
    <definedName name="qzqzqz29">Facture!$K$47:$N$49</definedName>
    <definedName name="qzqzqz3">Facture!$E$20:$J$20</definedName>
    <definedName name="qzqzqz30">Facture!$G$48:$I$48</definedName>
    <definedName name="qzqzqz31">Facture!$G$48:$H$48</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Facture!$C$3:$O$59</definedName>
  </definedNames>
  <calcPr calcId="152511"/>
</workbook>
</file>

<file path=xl/calcChain.xml><?xml version="1.0" encoding="utf-8"?>
<calcChain xmlns="http://schemas.openxmlformats.org/spreadsheetml/2006/main">
  <c r="N32" i="3" l="1"/>
  <c r="N25" i="3"/>
  <c r="N37" i="3"/>
  <c r="N36" i="3"/>
  <c r="N35" i="3"/>
  <c r="N34" i="3"/>
  <c r="N33" i="3"/>
  <c r="N26" i="3"/>
  <c r="N30" i="3"/>
  <c r="N29" i="3"/>
  <c r="N27" i="3" l="1"/>
  <c r="N38" i="3"/>
  <c r="M42" i="3"/>
  <c r="M43" i="3"/>
  <c r="F33" i="2"/>
  <c r="B8" i="8"/>
  <c r="C8" i="8"/>
  <c r="D8" i="8"/>
  <c r="E8" i="8"/>
  <c r="F8" i="8"/>
  <c r="G8" i="8"/>
  <c r="H8" i="8"/>
  <c r="I8" i="8"/>
  <c r="K8" i="8"/>
  <c r="N28" i="3" l="1"/>
  <c r="N31" i="3"/>
  <c r="N39" i="3" l="1"/>
  <c r="N42" i="3" s="1"/>
  <c r="N45" i="3" s="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<sst xmlns="http://schemas.openxmlformats.org/spreadsheetml/2006/main" count="94" uniqueCount="77">
  <si>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</si>
  <si>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</si>
  <si>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</si>
  <si>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</si>
  <si>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</si>
  <si>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</si>
  <si>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</si>
  <si>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</si>
  <si>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</si>
  <si>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</si>
  <si>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</si>
  <si>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</si>
  <si>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</si>
  <si>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</si>
  <si>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</si>
  <si>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</si>
  <si>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</si>
  <si>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</si>
  <si>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</si>
  <si>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</si>
  <si>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</si>
  <si>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</si>
  <si>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</si>
  <si>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</si>
  <si>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</si>
  <si>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</si>
  <si>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</si>
  <si>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</si>
  <si>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</si>
  <si>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</si>
  <si>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</si>
  <si>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</si>
  <si>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</si>
  <si>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</si>
  <si>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</si>
  <si>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</si>
  <si>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</si>
  <si>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</si>
  <si>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</si>
  <si>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</si>
  <si>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</si>
  <si>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</si>
  <si>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</si>
  <si>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</si>
  <si>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</si>
  <si>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</si>
  <si>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</si>
  <si>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</si>
  <si>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</si>
  <si>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</si>
  <si>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</si>
  <si>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</si>
  <si>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</si>
  <si>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</si>
  <si>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</si>
  <si>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</si>
  <si>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</si>
  <si>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</si>
  <si>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</si>
  <si>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</si>
  <si>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</si>
  <si>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</si>
  <si>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TUNIS</t>
  </si>
  <si>
    <t>CET Intrnational</t>
  </si>
  <si>
    <t>MR Ridha MBAREK</t>
  </si>
  <si>
    <t>LIGNES DE VIE DE 25 M</t>
  </si>
  <si>
    <t>LIGNES DE VIE DE 30 M</t>
  </si>
  <si>
    <t>LIGNES DE VIE DE 31 M</t>
  </si>
  <si>
    <t>LIGNES DE VIE DE 35 M</t>
  </si>
  <si>
    <t>LIGNES DE VIE DE 40 M</t>
  </si>
  <si>
    <t>PRODUITS FALL PROTEC</t>
  </si>
  <si>
    <t>AVANCE : 25000 DT (VINGT CINQ MILLE DINARS)</t>
  </si>
  <si>
    <t>RESTE : 7863,5 DT  : SEPT  MILLE HUIT CENT SOIXANTE TROIS DINARS 500 MILLIMES</t>
  </si>
  <si>
    <t xml:space="preserve">                                   FACTURE 2017037</t>
  </si>
  <si>
    <t>1473281K/A/M/000</t>
  </si>
  <si>
    <t>06 rue 8609 2éme étage d2-02 zone industriel charguia1</t>
  </si>
  <si>
    <t xml:space="preserve">       71 804 780               71 807 792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</si>
</sst>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4" fillId="0" borderId="35" xfId="0" applyFont="1" applyFill="1" applyBorder="1" applyAlignment="1"/>
    <xf numFmtId="0" fontId="18" fillId="0"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49" fontId="35" fillId="3" borderId="32" xfId="0" applyNumberFormat="1" applyFont="1" applyFill="1" applyBorder="1" applyAlignment="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xf numFmtId="49" fontId="35" fillId="3" borderId="0" xfId="0" applyNumberFormat="1" applyFont="1" applyFill="1" applyBorder="1" applyAlignment="1"/>
    <xf numFmtId="49" fontId="35" fillId="3" borderId="34" xfId="0" applyNumberFormat="1" applyFont="1" applyFill="1" applyBorder="1" applyAlignment="1"/>
    <xf numFmtId="0" fontId="2" fillId="3" borderId="4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152400</xdr:rowOff>
        </xdr:from>
        <xdr:to>
          <xdr:col>4</xdr:col>
          <xdr:colOff>695325</xdr:colOff>
          <xdr:row>40</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190499</xdr:colOff>
      <xdr:row>10</xdr:row>
      <xdr:rowOff>180473</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837447" cy="1243263"/>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6" t="s">
        <v>0</v>
      </c>
      <c r="E4" s="127"/>
      <c r="F4" s="12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8" t="s">
        <v>2</v>
      </c>
      <c r="E10" s="12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0" t="s">
        <v>49</v>
      </c>
      <c r="E19" s="12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1" t="str">
        <f>LOWER(TemplateInformation!B3)</f>
        <v>c:\program files\microsoft office\office\macrolib\factbd.xls</v>
      </c>
      <c r="G33" s="13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8" t="s">
        <v>16</v>
      </c>
      <c r="E36" s="12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1"/>
  <sheetViews>
    <sheetView showGridLines="0" showRowColHeaders="0" tabSelected="1" topLeftCell="A4"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3" t="s">
        <v>60</v>
      </c>
      <c r="N9" s="134"/>
      <c r="O9" s="3"/>
      <c r="P9" s="9"/>
    </row>
    <row r="10" spans="2:16" x14ac:dyDescent="0.2">
      <c r="B10" s="7"/>
      <c r="C10" s="3"/>
      <c r="D10" s="3"/>
      <c r="E10" s="3"/>
      <c r="F10" s="3"/>
      <c r="G10" s="3"/>
      <c r="H10" s="3"/>
      <c r="I10" s="3"/>
      <c r="J10" s="3"/>
      <c r="K10" s="3"/>
      <c r="L10" s="3"/>
      <c r="M10" s="171" t="s">
        <v>61</v>
      </c>
      <c r="N10" s="172"/>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8" t="s">
        <v>73</v>
      </c>
      <c r="K15" s="3"/>
      <c r="L15" s="3"/>
      <c r="M15" s="104"/>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77" t="s">
        <v>63</v>
      </c>
      <c r="F19" s="178"/>
      <c r="G19" s="178"/>
      <c r="H19" s="178"/>
      <c r="I19" s="178"/>
      <c r="J19" s="178"/>
      <c r="K19" s="91"/>
      <c r="L19" s="94" t="s">
        <v>18</v>
      </c>
      <c r="M19" s="162">
        <v>42857</v>
      </c>
      <c r="N19" s="163"/>
      <c r="O19" s="57"/>
      <c r="P19" s="9"/>
    </row>
    <row r="20" spans="2:16" x14ac:dyDescent="0.2">
      <c r="B20" s="7"/>
      <c r="C20" s="3"/>
      <c r="D20" s="91" t="s">
        <v>5</v>
      </c>
      <c r="E20" s="175" t="s">
        <v>75</v>
      </c>
      <c r="F20" s="176"/>
      <c r="G20" s="176"/>
      <c r="H20" s="176"/>
      <c r="I20" s="176"/>
      <c r="J20" s="176"/>
      <c r="K20" s="91"/>
      <c r="L20" s="94"/>
      <c r="M20" s="98"/>
      <c r="N20" s="98"/>
      <c r="O20" s="58"/>
      <c r="P20" s="9"/>
    </row>
    <row r="21" spans="2:16" x14ac:dyDescent="0.2">
      <c r="B21" s="7"/>
      <c r="C21" s="3"/>
      <c r="D21" s="91" t="s">
        <v>7</v>
      </c>
      <c r="E21" s="99"/>
      <c r="F21" s="100" t="s">
        <v>8</v>
      </c>
      <c r="G21" s="173" t="s">
        <v>62</v>
      </c>
      <c r="H21" s="174"/>
      <c r="I21" s="101" t="s">
        <v>9</v>
      </c>
      <c r="J21" s="98" t="s">
        <v>55</v>
      </c>
      <c r="K21" s="91"/>
      <c r="L21" s="94" t="s">
        <v>19</v>
      </c>
      <c r="M21" s="164" t="s">
        <v>64</v>
      </c>
      <c r="N21" s="165"/>
      <c r="O21" s="3"/>
      <c r="P21" s="9"/>
    </row>
    <row r="22" spans="2:16" x14ac:dyDescent="0.2">
      <c r="B22" s="7"/>
      <c r="C22" s="3"/>
      <c r="D22" s="91" t="s">
        <v>20</v>
      </c>
      <c r="E22" s="179" t="s">
        <v>76</v>
      </c>
      <c r="F22" s="180"/>
      <c r="G22" s="180"/>
      <c r="H22" s="180"/>
      <c r="I22" s="180"/>
      <c r="J22" s="180"/>
      <c r="K22" s="91"/>
      <c r="L22" s="94" t="s">
        <v>51</v>
      </c>
      <c r="M22" s="195" t="s">
        <v>74</v>
      </c>
      <c r="N22" s="165"/>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81" t="s">
        <v>22</v>
      </c>
      <c r="G24" s="182"/>
      <c r="H24" s="182"/>
      <c r="I24" s="182"/>
      <c r="J24" s="182"/>
      <c r="K24" s="183"/>
      <c r="L24" s="70" t="s">
        <v>37</v>
      </c>
      <c r="M24" s="53" t="s">
        <v>59</v>
      </c>
      <c r="N24" s="54" t="s">
        <v>23</v>
      </c>
      <c r="O24" s="59"/>
      <c r="P24" s="9"/>
    </row>
    <row r="25" spans="2:16" ht="15.75" x14ac:dyDescent="0.25">
      <c r="B25" s="7"/>
      <c r="C25" s="3"/>
      <c r="D25" s="109"/>
      <c r="E25" s="79"/>
      <c r="F25" s="184"/>
      <c r="G25" s="185"/>
      <c r="H25" s="185"/>
      <c r="I25" s="185"/>
      <c r="J25" s="185"/>
      <c r="K25" s="186"/>
      <c r="L25" s="80">
        <v>2</v>
      </c>
      <c r="M25" s="116"/>
      <c r="N25" s="114" t="str">
        <f t="shared" ref="N25:N38" si="0">IF(E25&lt;&gt;"",E25*M25,"")</f>
        <v/>
      </c>
      <c r="O25" s="59"/>
      <c r="P25" s="9"/>
    </row>
    <row r="26" spans="2:16" ht="15" x14ac:dyDescent="0.2">
      <c r="B26" s="7"/>
      <c r="C26" s="3"/>
      <c r="D26" s="109"/>
      <c r="E26" s="79"/>
      <c r="F26" s="154"/>
      <c r="G26" s="155"/>
      <c r="H26" s="155"/>
      <c r="I26" s="155"/>
      <c r="J26" s="155"/>
      <c r="K26" s="156"/>
      <c r="L26" s="80"/>
      <c r="M26" s="116"/>
      <c r="N26" s="114" t="str">
        <f t="shared" si="0"/>
        <v/>
      </c>
      <c r="O26" s="59"/>
      <c r="P26" s="9"/>
    </row>
    <row r="27" spans="2:16" ht="15.75" x14ac:dyDescent="0.25">
      <c r="B27" s="7"/>
      <c r="C27" s="3"/>
      <c r="D27" s="109"/>
      <c r="E27" s="79">
        <v>11</v>
      </c>
      <c r="F27" s="192" t="s">
        <v>65</v>
      </c>
      <c r="G27" s="193"/>
      <c r="H27" s="193"/>
      <c r="I27" s="193"/>
      <c r="J27" s="193"/>
      <c r="K27" s="194"/>
      <c r="L27" s="80">
        <v>2</v>
      </c>
      <c r="M27" s="116">
        <v>1393</v>
      </c>
      <c r="N27" s="114">
        <f t="shared" si="0"/>
        <v>15323</v>
      </c>
      <c r="O27" s="59"/>
      <c r="P27" s="9"/>
    </row>
    <row r="28" spans="2:16" ht="15.75" x14ac:dyDescent="0.25">
      <c r="B28" s="7"/>
      <c r="C28" s="3"/>
      <c r="D28" s="109"/>
      <c r="E28" s="79"/>
      <c r="F28" s="187"/>
      <c r="G28" s="188"/>
      <c r="H28" s="188"/>
      <c r="I28" s="188"/>
      <c r="J28" s="188"/>
      <c r="K28" s="189"/>
      <c r="L28" s="80"/>
      <c r="M28" s="116"/>
      <c r="N28" s="114" t="str">
        <f t="shared" si="0"/>
        <v/>
      </c>
      <c r="O28" s="59"/>
      <c r="P28" s="9"/>
    </row>
    <row r="29" spans="2:16" ht="15.75" x14ac:dyDescent="0.25">
      <c r="B29" s="7"/>
      <c r="C29" s="3"/>
      <c r="D29" s="109"/>
      <c r="E29" s="79">
        <v>5</v>
      </c>
      <c r="F29" s="187" t="s">
        <v>66</v>
      </c>
      <c r="G29" s="188"/>
      <c r="H29" s="188"/>
      <c r="I29" s="188"/>
      <c r="J29" s="188"/>
      <c r="K29" s="189"/>
      <c r="L29" s="80">
        <v>2</v>
      </c>
      <c r="M29" s="116">
        <v>1506</v>
      </c>
      <c r="N29" s="114">
        <f t="shared" si="0"/>
        <v>7530</v>
      </c>
      <c r="O29" s="59"/>
      <c r="P29" s="9"/>
    </row>
    <row r="30" spans="2:16" ht="15" x14ac:dyDescent="0.2">
      <c r="B30" s="7"/>
      <c r="C30" s="3"/>
      <c r="D30" s="109"/>
      <c r="E30" s="55"/>
      <c r="F30" s="148"/>
      <c r="G30" s="149"/>
      <c r="H30" s="149"/>
      <c r="I30" s="149"/>
      <c r="J30" s="149"/>
      <c r="K30" s="150"/>
      <c r="L30" s="80"/>
      <c r="M30" s="116"/>
      <c r="N30" s="114" t="str">
        <f t="shared" si="0"/>
        <v/>
      </c>
      <c r="O30" s="59"/>
      <c r="P30" s="9"/>
    </row>
    <row r="31" spans="2:16" ht="15" x14ac:dyDescent="0.2">
      <c r="B31" s="7"/>
      <c r="C31" s="3"/>
      <c r="D31" s="109"/>
      <c r="E31" s="55">
        <v>1</v>
      </c>
      <c r="F31" s="151" t="s">
        <v>67</v>
      </c>
      <c r="G31" s="160"/>
      <c r="H31" s="160"/>
      <c r="I31" s="160"/>
      <c r="J31" s="160"/>
      <c r="K31" s="161"/>
      <c r="L31" s="80">
        <v>2</v>
      </c>
      <c r="M31" s="116">
        <v>1526</v>
      </c>
      <c r="N31" s="114">
        <f t="shared" si="0"/>
        <v>1526</v>
      </c>
      <c r="O31" s="59"/>
      <c r="P31" s="9"/>
    </row>
    <row r="32" spans="2:16" ht="15" x14ac:dyDescent="0.2">
      <c r="B32" s="7"/>
      <c r="C32" s="3"/>
      <c r="D32" s="109"/>
      <c r="E32" s="55"/>
      <c r="F32" s="151"/>
      <c r="G32" s="152"/>
      <c r="H32" s="152"/>
      <c r="I32" s="152"/>
      <c r="J32" s="152"/>
      <c r="K32" s="153"/>
      <c r="L32" s="80"/>
      <c r="M32" s="116"/>
      <c r="N32" s="114" t="str">
        <f t="shared" si="0"/>
        <v/>
      </c>
      <c r="O32" s="59"/>
      <c r="P32" s="9"/>
    </row>
    <row r="33" spans="2:16" ht="15" x14ac:dyDescent="0.2">
      <c r="B33" s="7"/>
      <c r="C33" s="3"/>
      <c r="D33" s="109"/>
      <c r="E33" s="55">
        <v>1</v>
      </c>
      <c r="F33" s="151" t="s">
        <v>68</v>
      </c>
      <c r="G33" s="152"/>
      <c r="H33" s="152"/>
      <c r="I33" s="152"/>
      <c r="J33" s="152"/>
      <c r="K33" s="153"/>
      <c r="L33" s="80">
        <v>2</v>
      </c>
      <c r="M33" s="116">
        <v>1675</v>
      </c>
      <c r="N33" s="114">
        <f t="shared" si="0"/>
        <v>1675</v>
      </c>
      <c r="O33" s="59"/>
      <c r="P33" s="9"/>
    </row>
    <row r="34" spans="2:16" ht="15" x14ac:dyDescent="0.2">
      <c r="B34" s="7"/>
      <c r="C34" s="3"/>
      <c r="D34" s="109"/>
      <c r="E34" s="55"/>
      <c r="F34" s="151"/>
      <c r="G34" s="152"/>
      <c r="H34" s="152"/>
      <c r="I34" s="152"/>
      <c r="J34" s="152"/>
      <c r="K34" s="153"/>
      <c r="L34" s="80"/>
      <c r="M34" s="116"/>
      <c r="N34" s="114" t="str">
        <f t="shared" si="0"/>
        <v/>
      </c>
      <c r="O34" s="59"/>
      <c r="P34" s="9"/>
    </row>
    <row r="35" spans="2:16" ht="15" x14ac:dyDescent="0.2">
      <c r="B35" s="7"/>
      <c r="C35" s="3"/>
      <c r="D35" s="109"/>
      <c r="E35" s="55">
        <v>1</v>
      </c>
      <c r="F35" s="151" t="s">
        <v>69</v>
      </c>
      <c r="G35" s="152"/>
      <c r="H35" s="152"/>
      <c r="I35" s="152"/>
      <c r="J35" s="152"/>
      <c r="K35" s="153"/>
      <c r="L35" s="80">
        <v>2</v>
      </c>
      <c r="M35" s="116">
        <v>1796</v>
      </c>
      <c r="N35" s="114">
        <f t="shared" si="0"/>
        <v>1796</v>
      </c>
      <c r="O35" s="59"/>
      <c r="P35" s="9"/>
    </row>
    <row r="36" spans="2:16" ht="15.75" x14ac:dyDescent="0.25">
      <c r="B36" s="7"/>
      <c r="C36" s="3"/>
      <c r="D36" s="109"/>
      <c r="E36" s="55"/>
      <c r="F36" s="168"/>
      <c r="G36" s="169"/>
      <c r="H36" s="169"/>
      <c r="I36" s="169"/>
      <c r="J36" s="169"/>
      <c r="K36" s="170"/>
      <c r="L36" s="80"/>
      <c r="M36" s="116"/>
      <c r="N36" s="114" t="str">
        <f t="shared" si="0"/>
        <v/>
      </c>
      <c r="O36" s="59"/>
      <c r="P36" s="9"/>
    </row>
    <row r="37" spans="2:16" ht="15.75" x14ac:dyDescent="0.25">
      <c r="B37" s="7"/>
      <c r="C37" s="3"/>
      <c r="D37" s="109"/>
      <c r="E37" s="55"/>
      <c r="F37" s="111"/>
      <c r="G37" s="112"/>
      <c r="H37" s="112"/>
      <c r="I37" s="112"/>
      <c r="J37" s="112"/>
      <c r="K37" s="113"/>
      <c r="L37" s="80"/>
      <c r="M37" s="116"/>
      <c r="N37" s="114" t="str">
        <f t="shared" si="0"/>
        <v/>
      </c>
      <c r="O37" s="59"/>
      <c r="P37" s="9"/>
    </row>
    <row r="38" spans="2:16" ht="15" x14ac:dyDescent="0.2">
      <c r="B38" s="7"/>
      <c r="C38" s="3"/>
      <c r="D38" s="110"/>
      <c r="E38" s="56"/>
      <c r="F38" s="157" t="s">
        <v>70</v>
      </c>
      <c r="G38" s="158"/>
      <c r="H38" s="158"/>
      <c r="I38" s="158"/>
      <c r="J38" s="158"/>
      <c r="K38" s="159"/>
      <c r="L38" s="81"/>
      <c r="M38" s="117"/>
      <c r="N38" s="115" t="str">
        <f t="shared" si="0"/>
        <v/>
      </c>
      <c r="O38" s="59"/>
      <c r="P38" s="9"/>
    </row>
    <row r="39" spans="2:16" ht="15.75" x14ac:dyDescent="0.25">
      <c r="B39" s="7"/>
      <c r="C39" s="3"/>
      <c r="D39" s="3"/>
      <c r="E39" s="91"/>
      <c r="F39" s="91"/>
      <c r="G39" s="91"/>
      <c r="H39" s="91"/>
      <c r="I39" s="91"/>
      <c r="J39" s="82"/>
      <c r="K39" s="82"/>
      <c r="L39" s="82"/>
      <c r="M39" s="83" t="s">
        <v>24</v>
      </c>
      <c r="N39" s="118">
        <f>SUM(N25:N38)</f>
        <v>27850</v>
      </c>
      <c r="O39" s="59"/>
      <c r="P39" s="9"/>
    </row>
    <row r="40" spans="2:16" ht="15" x14ac:dyDescent="0.2">
      <c r="B40" s="7"/>
      <c r="C40" s="3"/>
      <c r="D40" s="3"/>
      <c r="E40" s="91"/>
      <c r="F40" s="91"/>
      <c r="G40" s="91"/>
      <c r="H40" s="91"/>
      <c r="I40" s="91"/>
      <c r="J40" s="82"/>
      <c r="K40" s="82"/>
      <c r="L40" s="82"/>
      <c r="M40" s="84" t="s">
        <v>50</v>
      </c>
      <c r="N40" s="119">
        <v>0.5</v>
      </c>
      <c r="O40" s="59"/>
      <c r="P40" s="9"/>
    </row>
    <row r="41" spans="2:16" ht="15.75" x14ac:dyDescent="0.25">
      <c r="B41" s="7"/>
      <c r="C41" s="3"/>
      <c r="D41" s="3"/>
      <c r="E41" s="93"/>
      <c r="F41" s="94" t="s">
        <v>25</v>
      </c>
      <c r="G41" s="91"/>
      <c r="H41" s="91"/>
      <c r="I41" s="91"/>
      <c r="J41" s="85"/>
      <c r="K41" s="85"/>
      <c r="L41" s="83" t="s">
        <v>26</v>
      </c>
      <c r="M41" s="108">
        <v>0.12</v>
      </c>
      <c r="N41" s="118"/>
      <c r="O41" s="59"/>
      <c r="P41" s="9"/>
    </row>
    <row r="42" spans="2:16" ht="15.75" x14ac:dyDescent="0.25">
      <c r="B42" s="7"/>
      <c r="C42" s="3"/>
      <c r="D42" s="3"/>
      <c r="E42" s="95"/>
      <c r="F42" s="94" t="s">
        <v>27</v>
      </c>
      <c r="G42" s="97"/>
      <c r="H42" s="95"/>
      <c r="I42" s="91"/>
      <c r="J42" s="86"/>
      <c r="K42" s="82"/>
      <c r="L42" s="82"/>
      <c r="M42" s="108">
        <f>IF(dflt2&lt;&gt;"",dflt2,"")</f>
        <v>0.18</v>
      </c>
      <c r="N42" s="119">
        <f>N39*0.18</f>
        <v>5013</v>
      </c>
      <c r="O42" s="59"/>
      <c r="P42" s="9"/>
    </row>
    <row r="43" spans="2:16" ht="15" x14ac:dyDescent="0.2">
      <c r="B43" s="7"/>
      <c r="C43" s="3"/>
      <c r="D43" s="3"/>
      <c r="E43" s="95">
        <v>3</v>
      </c>
      <c r="F43" s="94"/>
      <c r="G43" s="91"/>
      <c r="H43" s="96"/>
      <c r="I43" s="91"/>
      <c r="J43" s="87" t="s">
        <v>28</v>
      </c>
      <c r="K43" s="82"/>
      <c r="L43" s="82"/>
      <c r="M43" s="108">
        <f>IF(dflt3&lt;&gt;"",dflt3,"")</f>
        <v>0.28999999999999998</v>
      </c>
      <c r="N43" s="119"/>
      <c r="O43" s="59"/>
      <c r="P43" s="9"/>
    </row>
    <row r="44" spans="2:16" ht="17.100000000000001" customHeight="1" x14ac:dyDescent="0.25">
      <c r="B44" s="7"/>
      <c r="C44" s="3"/>
      <c r="D44" s="3"/>
      <c r="E44" s="92"/>
      <c r="F44" s="92"/>
      <c r="G44" s="91"/>
      <c r="H44" s="92"/>
      <c r="I44" s="91"/>
      <c r="J44" s="87" t="s">
        <v>28</v>
      </c>
      <c r="K44" s="82"/>
      <c r="L44" s="82"/>
      <c r="M44" s="88" t="s">
        <v>29</v>
      </c>
      <c r="N44" s="120">
        <f>N39+N40+N41+N42</f>
        <v>32863.5</v>
      </c>
      <c r="O44" s="59"/>
      <c r="P44" s="9"/>
    </row>
    <row r="45" spans="2:16" ht="17.100000000000001" customHeight="1" x14ac:dyDescent="0.25">
      <c r="B45" s="7"/>
      <c r="C45" s="3"/>
      <c r="D45" s="190" t="s">
        <v>71</v>
      </c>
      <c r="E45" s="191"/>
      <c r="F45" s="191"/>
      <c r="G45" s="191"/>
      <c r="H45" s="191"/>
      <c r="I45" s="191"/>
      <c r="J45" s="191"/>
      <c r="K45" s="191"/>
      <c r="L45" s="191"/>
      <c r="M45" s="88" t="s">
        <v>38</v>
      </c>
      <c r="N45" s="121">
        <f>N42</f>
        <v>5013</v>
      </c>
      <c r="O45" s="59"/>
      <c r="P45" s="9"/>
    </row>
    <row r="46" spans="2:16" ht="15" x14ac:dyDescent="0.2">
      <c r="B46" s="7"/>
      <c r="C46" s="3"/>
      <c r="D46" s="122" t="s">
        <v>72</v>
      </c>
      <c r="E46" s="123"/>
      <c r="F46" s="124"/>
      <c r="G46" s="124"/>
      <c r="H46" s="124"/>
      <c r="I46" s="124"/>
      <c r="J46" s="125"/>
      <c r="K46" s="82"/>
      <c r="L46" s="82"/>
      <c r="M46" s="82"/>
      <c r="N46" s="82"/>
      <c r="O46" s="59"/>
      <c r="P46" s="9"/>
    </row>
    <row r="47" spans="2:16" ht="15" customHeight="1" x14ac:dyDescent="0.2">
      <c r="B47" s="7"/>
      <c r="C47" s="3"/>
      <c r="D47" s="3"/>
      <c r="E47" s="20"/>
      <c r="F47" s="146"/>
      <c r="G47" s="147"/>
      <c r="H47" s="147"/>
      <c r="I47" s="147"/>
      <c r="J47" s="85"/>
      <c r="K47" s="137" t="s">
        <v>58</v>
      </c>
      <c r="L47" s="138"/>
      <c r="M47" s="138"/>
      <c r="N47" s="139"/>
      <c r="O47" s="59"/>
      <c r="P47" s="9"/>
    </row>
    <row r="48" spans="2:16" ht="15" customHeight="1" x14ac:dyDescent="0.2">
      <c r="B48" s="7"/>
      <c r="C48" s="3"/>
      <c r="D48" s="3"/>
      <c r="E48" s="20"/>
      <c r="F48" s="83"/>
      <c r="G48" s="135"/>
      <c r="H48" s="136"/>
      <c r="I48" s="136"/>
      <c r="J48" s="85"/>
      <c r="K48" s="140"/>
      <c r="L48" s="141"/>
      <c r="M48" s="141"/>
      <c r="N48" s="142"/>
      <c r="O48" s="59"/>
      <c r="P48" s="9"/>
    </row>
    <row r="49" spans="2:16" ht="15" customHeight="1" x14ac:dyDescent="0.2">
      <c r="B49" s="7"/>
      <c r="C49" s="3"/>
      <c r="D49" s="3"/>
      <c r="E49" s="3"/>
      <c r="F49" s="82"/>
      <c r="G49" s="82"/>
      <c r="H49" s="82"/>
      <c r="I49" s="82"/>
      <c r="J49" s="85"/>
      <c r="K49" s="143"/>
      <c r="L49" s="144"/>
      <c r="M49" s="144"/>
      <c r="N49" s="145"/>
      <c r="O49" s="59"/>
      <c r="P49" s="9"/>
    </row>
    <row r="50" spans="2:16" ht="15" x14ac:dyDescent="0.2">
      <c r="B50" s="7"/>
      <c r="C50" s="3"/>
      <c r="D50" s="103"/>
      <c r="E50" s="107"/>
      <c r="F50" s="82"/>
      <c r="G50" s="82"/>
      <c r="H50" s="82"/>
      <c r="I50" s="82"/>
      <c r="J50" s="85"/>
      <c r="K50" s="90"/>
      <c r="L50" s="90"/>
      <c r="M50" s="90"/>
      <c r="N50" s="90"/>
      <c r="O50" s="59"/>
      <c r="P50" s="9"/>
    </row>
    <row r="51" spans="2:16" ht="15" x14ac:dyDescent="0.2">
      <c r="B51" s="7"/>
      <c r="C51" s="3"/>
      <c r="D51" s="3"/>
      <c r="E51" s="3"/>
      <c r="F51" s="105"/>
      <c r="G51" s="106"/>
      <c r="H51" s="106"/>
      <c r="I51" s="106"/>
      <c r="J51" s="106"/>
      <c r="K51" s="106"/>
      <c r="L51" s="106"/>
      <c r="M51" s="106"/>
      <c r="N51" s="82"/>
      <c r="O51" s="59"/>
      <c r="P51" s="9"/>
    </row>
    <row r="52" spans="2:16" ht="15" x14ac:dyDescent="0.2">
      <c r="B52" s="7"/>
      <c r="C52" s="3"/>
      <c r="D52" s="3"/>
      <c r="E52" s="3"/>
      <c r="F52" s="106"/>
      <c r="G52" s="106"/>
      <c r="H52" s="106"/>
      <c r="I52" s="106"/>
      <c r="J52" s="106"/>
      <c r="K52" s="106"/>
      <c r="L52" s="106"/>
      <c r="M52" s="106"/>
      <c r="N52" s="82"/>
      <c r="O52" s="59"/>
      <c r="P52" s="9"/>
    </row>
    <row r="53" spans="2:16" ht="15" x14ac:dyDescent="0.2">
      <c r="B53" s="7"/>
      <c r="C53" s="3"/>
      <c r="D53" s="3"/>
      <c r="E53" s="91"/>
      <c r="F53" s="106"/>
      <c r="G53" s="106"/>
      <c r="H53" s="106"/>
      <c r="I53" s="106"/>
      <c r="J53" s="106"/>
      <c r="K53" s="106"/>
      <c r="L53" s="106"/>
      <c r="M53" s="106"/>
      <c r="N53" s="89"/>
      <c r="O53" s="59"/>
      <c r="P53" s="9"/>
    </row>
    <row r="54" spans="2:16" ht="15" x14ac:dyDescent="0.2">
      <c r="B54" s="7"/>
      <c r="C54" s="3"/>
      <c r="D54" s="3"/>
      <c r="E54" s="3"/>
      <c r="F54" s="106"/>
      <c r="G54" s="106"/>
      <c r="H54" s="106"/>
      <c r="I54" s="106"/>
      <c r="J54" s="106"/>
      <c r="K54" s="106"/>
      <c r="L54" s="106"/>
      <c r="M54" s="106"/>
      <c r="N54" s="82"/>
      <c r="O54" s="59"/>
      <c r="P54" s="9"/>
    </row>
    <row r="55" spans="2:16" ht="13.5" thickBot="1" x14ac:dyDescent="0.25">
      <c r="B55" s="7"/>
      <c r="C55" s="3"/>
      <c r="D55" s="3"/>
      <c r="E55" s="3"/>
      <c r="F55" s="3"/>
      <c r="G55" s="3"/>
      <c r="H55" s="3"/>
      <c r="I55" s="3"/>
      <c r="J55" s="3"/>
      <c r="K55" s="3"/>
      <c r="L55" s="3"/>
      <c r="M55" s="3"/>
      <c r="N55" s="3"/>
      <c r="O55" s="59"/>
      <c r="P55" s="9"/>
    </row>
    <row r="56" spans="2:16" ht="3" customHeight="1" thickTop="1" x14ac:dyDescent="0.2">
      <c r="B56" s="7"/>
      <c r="C56" s="3"/>
      <c r="D56" s="3"/>
      <c r="E56" s="60"/>
      <c r="F56" s="60"/>
      <c r="G56" s="60"/>
      <c r="H56" s="60"/>
      <c r="I56" s="60"/>
      <c r="J56" s="60"/>
      <c r="K56" s="60"/>
      <c r="L56" s="60"/>
      <c r="M56" s="60"/>
      <c r="N56" s="60"/>
      <c r="O56" s="59"/>
      <c r="P56" s="9"/>
    </row>
    <row r="57" spans="2:16" x14ac:dyDescent="0.2">
      <c r="B57" s="7"/>
      <c r="C57" s="3"/>
      <c r="D57" s="3"/>
      <c r="E57" s="3"/>
      <c r="F57" s="166"/>
      <c r="G57" s="166"/>
      <c r="H57" s="166"/>
      <c r="I57" s="166"/>
      <c r="J57" s="166"/>
      <c r="K57" s="166"/>
      <c r="L57" s="166"/>
      <c r="M57" s="166"/>
      <c r="N57" s="3"/>
      <c r="O57" s="59"/>
      <c r="P57" s="9"/>
    </row>
    <row r="58" spans="2:16" x14ac:dyDescent="0.2">
      <c r="B58" s="7"/>
      <c r="C58" s="3"/>
      <c r="D58" s="3"/>
      <c r="E58" s="3"/>
      <c r="F58" s="167"/>
      <c r="G58" s="167"/>
      <c r="H58" s="167"/>
      <c r="I58" s="167"/>
      <c r="J58" s="167"/>
      <c r="K58" s="167"/>
      <c r="L58" s="167"/>
      <c r="M58" s="167"/>
      <c r="N58" s="3"/>
      <c r="O58" s="59"/>
      <c r="P58" s="9"/>
    </row>
    <row r="59" spans="2:16" x14ac:dyDescent="0.2">
      <c r="B59" s="7"/>
      <c r="C59" s="3"/>
      <c r="D59" s="3"/>
      <c r="E59" s="3"/>
      <c r="F59" s="167"/>
      <c r="G59" s="167"/>
      <c r="H59" s="167"/>
      <c r="I59" s="167"/>
      <c r="J59" s="167"/>
      <c r="K59" s="167"/>
      <c r="L59" s="167"/>
      <c r="M59" s="167"/>
      <c r="N59" s="3"/>
      <c r="O59" s="59"/>
      <c r="P59" s="9"/>
    </row>
    <row r="60" spans="2:16" ht="0.95" customHeight="1" thickBot="1" x14ac:dyDescent="0.25">
      <c r="B60" s="10"/>
      <c r="C60" s="11"/>
      <c r="D60" s="11"/>
      <c r="E60" s="11"/>
      <c r="F60" s="11"/>
      <c r="G60" s="11"/>
      <c r="H60" s="11"/>
      <c r="I60" s="11"/>
      <c r="J60" s="11"/>
      <c r="K60" s="11"/>
      <c r="L60" s="11"/>
      <c r="M60" s="11"/>
      <c r="N60" s="11"/>
      <c r="O60" s="11"/>
      <c r="P60" s="12"/>
    </row>
    <row r="61"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F57:M59"/>
    <mergeCell ref="F36:K36"/>
    <mergeCell ref="F32:K32"/>
    <mergeCell ref="F33:K33"/>
    <mergeCell ref="M10:N10"/>
    <mergeCell ref="G21:H21"/>
    <mergeCell ref="E20:J20"/>
    <mergeCell ref="E19:J19"/>
    <mergeCell ref="E22:J22"/>
    <mergeCell ref="F24:K24"/>
    <mergeCell ref="F25:K25"/>
    <mergeCell ref="F28:K28"/>
    <mergeCell ref="D45:L45"/>
    <mergeCell ref="F29:K29"/>
    <mergeCell ref="F27:K27"/>
    <mergeCell ref="M9:N9"/>
    <mergeCell ref="G48:I48"/>
    <mergeCell ref="K47:N49"/>
    <mergeCell ref="F47:I47"/>
    <mergeCell ref="F30:K30"/>
    <mergeCell ref="F34:K34"/>
    <mergeCell ref="F35:K35"/>
    <mergeCell ref="F26:K26"/>
    <mergeCell ref="F38:K38"/>
    <mergeCell ref="F31:K31"/>
    <mergeCell ref="M19:N19"/>
    <mergeCell ref="M21:N21"/>
    <mergeCell ref="M22:N22"/>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1:N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1:M43">
      <formula1>0</formula1>
      <formula2>0</formula2>
    </dataValidation>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6:N4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M59"/>
    <dataValidation allowBlank="1" showErrorMessage="1" sqref="G21:H21"/>
    <dataValidation type="textLength" allowBlank="1" showErrorMessage="1" errorTitle="Cellules ombrées" error="Les cellules ombrées contiennent des formules et sont calculées automatiquement par Excel. N'y tapez aucune information." promptTitle="Cellules ombrées" sqref="N25:N38">
      <formula1>0</formula1>
      <formula2>0</formula2>
    </dataValidation>
    <dataValidation type="decimal" allowBlank="1" showErrorMessage="1" errorTitle="Prix unitaire" error="Tapez un nombre dans cette cellule." promptTitle="Prix unitaire" sqref="M25:M38">
      <formula1>0</formula1>
      <formula2>1000000000</formula2>
    </dataValidation>
    <dataValidation type="whole" errorStyle="warning" allowBlank="1" showErrorMessage="1" errorTitle="Quantité" error="Tapez un nombre dans cette cellule." promptTitle="Quantité" sqref="E25:E38">
      <formula1>0</formula1>
      <formula2>1000000000</formula2>
    </dataValidation>
    <dataValidation type="list" allowBlank="1" showInputMessage="1" showErrorMessage="1" errorTitle="Code TVA" error="Tapez 1, 2, ou 3." sqref="L25:L38">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39</xdr:row>
                    <xdr:rowOff>152400</xdr:rowOff>
                  </from>
                  <to>
                    <xdr:col>4</xdr:col>
                    <xdr:colOff>695325</xdr:colOff>
                    <xdr:row>40</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42857</v>
      </c>
      <c r="D8" s="74" t="str">
        <f>Facture!$E$19</f>
        <v>CET Intrnational</v>
      </c>
      <c r="E8" s="71" t="str">
        <f>Facture!$E$20</f>
        <v>06 rue 8609 2éme étage d2-02 zone industriel charguia1</v>
      </c>
      <c r="F8" s="71">
        <f>Facture!$E$21</f>
        <v>0</v>
      </c>
      <c r="G8" s="74" t="str">
        <f>Facture!$G$21</f>
        <v>TUNIS</v>
      </c>
      <c r="H8" s="74" t="str">
        <f>Facture!$J$21</f>
        <v>TN</v>
      </c>
      <c r="I8" s="71" t="str">
        <f>Facture!$E$22</f>
        <v xml:space="preserve">       71 804 780               71 807 792</v>
      </c>
      <c r="J8" s="75">
        <f>Facture!$N$44</f>
        <v>32863.5</v>
      </c>
      <c r="K8" s="71" t="str">
        <f>Facture!$M$21</f>
        <v>MR Ridha MBAREK</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84</vt:i4>
      </vt:variant>
    </vt:vector>
  </HeadingPairs>
  <TitlesOfParts>
    <vt:vector size="8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2017-06-22T11:14:32Z</cp:lastPrinted>
  <dcterms:created xsi:type="dcterms:W3CDTF">1995-05-29T15:50:39Z</dcterms:created>
  <dcterms:modified xsi:type="dcterms:W3CDTF">2017-08-04T09:39:50Z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CET Intrnational</vt:lpwstr>
  </property>
  <property fmtid="{D5CDD505-2E9C-101B-9397-08002B2CF9AE}" pid="11" name="Montant de la facture" linkTarget="TOT">
    <vt:r8>32863.5</vt:r8>
  </property>
</Properties>
</file>