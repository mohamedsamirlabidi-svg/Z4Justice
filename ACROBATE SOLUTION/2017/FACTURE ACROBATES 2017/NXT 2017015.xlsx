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Facture!$F$28</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5" i="3" l="1"/>
  <c r="O26" i="3" l="1"/>
  <c r="O28" i="3"/>
  <c r="O29" i="3"/>
  <c r="O30" i="3"/>
  <c r="O31" i="3"/>
  <c r="O36" i="3"/>
  <c r="O40" i="3"/>
  <c r="O27" i="3" l="1"/>
  <c r="N43" i="3"/>
  <c r="F33" i="2"/>
  <c r="B8" i="8"/>
  <c r="C8" i="8"/>
  <c r="D8" i="8"/>
  <c r="E8" i="8"/>
  <c r="F8" i="8"/>
  <c r="G8" i="8"/>
  <c r="H8" i="8"/>
  <c r="I8" i="8"/>
  <c r="K8" i="8"/>
  <c r="O41" i="3" l="1"/>
  <c r="O43" i="3" l="1"/>
  <c r="O45" i="3" s="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<sst xmlns="http://schemas.openxmlformats.org/spreadsheetml/2006/main" count="88" uniqueCount="72">
  <si>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</si>
  <si>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</si>
  <si>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</si>
  <si>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</si>
  <si>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</si>
  <si>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</si>
  <si>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</si>
  <si>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</si>
  <si>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</si>
  <si>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</si>
  <si>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</si>
  <si>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</si>
  <si>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</si>
  <si>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</si>
  <si>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</si>
  <si>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</si>
  <si>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</si>
  <si>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</si>
  <si>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</si>
  <si>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</si>
  <si>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</si>
  <si>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</si>
  <si>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</si>
  <si>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</si>
  <si>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</si>
  <si>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</si>
  <si>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</si>
  <si>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</si>
  <si>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</si>
  <si>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</si>
  <si>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</si>
  <si>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</si>
  <si>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</si>
  <si>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</si>
  <si>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</si>
  <si>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</si>
  <si>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</si>
  <si>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</si>
  <si>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</si>
  <si>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</si>
  <si>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</si>
  <si>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</si>
  <si>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</si>
  <si>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</si>
  <si>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</si>
  <si>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</si>
  <si>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</si>
  <si>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</si>
  <si>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</si>
  <si>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</si>
  <si>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</si>
  <si>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</si>
  <si>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</si>
  <si>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</si>
  <si>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</si>
  <si>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</si>
  <si>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</si>
  <si>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</si>
  <si>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</si>
  <si>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</si>
  <si>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</si>
  <si>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TUNIS</t>
  </si>
  <si>
    <t xml:space="preserve">ARRETE LA PRESENTE FACTURE A LA SOMME DE DEUX MILLE  CENT ET UN    DINARS  ET 785 MILLIMES </t>
  </si>
  <si>
    <t>FACTURE2017015</t>
  </si>
  <si>
    <t xml:space="preserve">NXT </t>
  </si>
  <si>
    <t>0808707EAM000</t>
  </si>
  <si>
    <t>AV MOSBAH JARBOU EL MANAR II</t>
  </si>
  <si>
    <t xml:space="preserve">                          FAX            </t>
  </si>
  <si>
    <t xml:space="preserve">RIB:10 000 000 080746 3788 95 </t>
  </si>
  <si>
    <t>STB THAMEUR</t>
  </si>
  <si>
    <r>
      <t xml:space="preserve">                                                                                 </t>
    </r>
    <r>
      <rPr>
        <u/>
        <sz val="6"/>
        <rFont val="Arial"/>
        <family val="2"/>
      </rPr>
      <t xml:space="preserve">  TOUS NOS PRODUITS SONT CONFORMES AUX NORMES DE SECURITE "CEE" ET PRESENTENT LE CERTIFICAT DE CONFORMITE</t>
    </r>
  </si>
  <si>
    <t>SAC OUTILLAGE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</si>
</sst>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
      <sz val="6"/>
      <name val="Arial"/>
      <family val="2"/>
    </font>
    <font>
      <i/>
      <sz val="6"/>
      <name val="Arial"/>
      <family val="2"/>
    </font>
    <font>
      <u/>
      <sz val="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33" fillId="0" borderId="28" xfId="0" applyNumberFormat="1" applyFont="1" applyFill="1" applyBorder="1"/>
    <xf numFmtId="0" fontId="2" fillId="3" borderId="0" xfId="0" applyFont="1" applyFill="1" applyBorder="1"/>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7" fillId="3" borderId="45"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41"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24" fillId="6" borderId="0" xfId="0" applyFont="1" applyFill="1" applyBorder="1" applyAlignment="1">
      <alignment vertical="top"/>
    </xf>
    <xf numFmtId="0" fontId="5" fillId="6" borderId="0" xfId="0" applyFont="1" applyFill="1" applyBorder="1" applyAlignment="1">
      <alignment horizontal="center" vertical="center"/>
    </xf>
    <xf numFmtId="0" fontId="5" fillId="3" borderId="0" xfId="0" applyFont="1" applyFill="1" applyBorder="1" applyAlignment="1">
      <alignment horizontal="center" vertical="center"/>
    </xf>
    <xf numFmtId="0" fontId="0" fillId="6" borderId="0" xfId="0" applyFill="1" applyBorder="1"/>
    <xf numFmtId="0" fontId="0" fillId="6" borderId="0" xfId="0" applyNumberFormat="1" applyFont="1" applyFill="1" applyBorder="1" applyAlignment="1"/>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168" fontId="17" fillId="0" borderId="41" xfId="0" applyNumberFormat="1" applyFont="1" applyFill="1" applyBorder="1" applyAlignment="1">
      <alignment shrinkToFit="1"/>
    </xf>
    <xf numFmtId="0" fontId="19" fillId="3" borderId="41" xfId="0" applyFont="1" applyFill="1" applyBorder="1" applyAlignment="1">
      <alignment horizontal="right"/>
    </xf>
    <xf numFmtId="0" fontId="31" fillId="3" borderId="41" xfId="0" applyFont="1" applyFill="1" applyBorder="1" applyAlignment="1">
      <alignment horizontal="right"/>
    </xf>
    <xf numFmtId="0" fontId="39" fillId="3" borderId="0" xfId="0" applyFont="1" applyFill="1" applyBorder="1" applyAlignment="1">
      <alignment horizontal="left" vertical="top"/>
    </xf>
    <xf numFmtId="0" fontId="40" fillId="6" borderId="0" xfId="0" applyFont="1" applyFill="1" applyBorder="1" applyAlignment="1">
      <alignment horizontal="left" vertical="top"/>
    </xf>
    <xf numFmtId="0" fontId="39" fillId="6" borderId="0" xfId="0" applyFont="1" applyFill="1" applyBorder="1" applyAlignment="1">
      <alignment horizontal="left" vertical="top"/>
    </xf>
    <xf numFmtId="0" fontId="39" fillId="6" borderId="0" xfId="0" applyNumberFormat="1" applyFont="1" applyFill="1" applyBorder="1" applyAlignment="1">
      <alignment horizontal="left" vertical="top"/>
    </xf>
    <xf numFmtId="0" fontId="39" fillId="3" borderId="7" xfId="0" applyFont="1" applyFill="1" applyBorder="1" applyAlignment="1">
      <alignment horizontal="left" vertical="top"/>
    </xf>
    <xf numFmtId="0" fontId="39" fillId="2" borderId="0" xfId="0" applyFont="1" applyAlignment="1">
      <alignment horizontal="left" vertical="top"/>
    </xf>
    <xf numFmtId="0" fontId="41" fillId="6" borderId="0" xfId="0"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8"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0" fontId="0" fillId="6" borderId="0" xfId="0" applyFill="1"/>
    <xf numFmtId="0" fontId="0" fillId="6" borderId="7" xfId="0" applyFill="1" applyBorder="1"/>
    <xf numFmtId="0" fontId="0" fillId="6" borderId="9" xfId="0" applyFill="1" applyBorder="1"/>
    <xf numFmtId="0" fontId="0" fillId="6" borderId="10" xfId="0" applyFill="1" applyBorder="1"/>
    <xf numFmtId="0" fontId="0" fillId="6" borderId="6" xfId="0" applyFill="1" applyBorder="1"/>
    <xf numFmtId="0" fontId="0" fillId="6" borderId="8"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49</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R64"/>
  <sheetViews>
    <sheetView showGridLines="0" showRowColHeaders="0" tabSelected="1" topLeftCell="A19" zoomScale="95" workbookViewId="0">
      <selection activeCell="E66" sqref="E6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4"/>
      <c r="O9" s="185"/>
      <c r="P9" s="3"/>
      <c r="Q9" s="9"/>
    </row>
    <row r="10" spans="2:17" x14ac:dyDescent="0.2">
      <c r="B10" s="7"/>
      <c r="C10" s="3"/>
      <c r="D10" s="3"/>
      <c r="E10" s="3"/>
      <c r="F10" s="3"/>
      <c r="G10" s="3"/>
      <c r="H10" s="3"/>
      <c r="I10" s="3"/>
      <c r="J10" s="3"/>
      <c r="K10" s="3"/>
      <c r="L10" s="3"/>
      <c r="M10" s="3"/>
      <c r="N10" s="202"/>
      <c r="O10" s="203"/>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8" t="s">
        <v>64</v>
      </c>
      <c r="F19" s="199"/>
      <c r="G19" s="199"/>
      <c r="H19" s="199"/>
      <c r="I19" s="199"/>
      <c r="J19" s="199"/>
      <c r="K19" s="94"/>
      <c r="L19" s="94"/>
      <c r="M19" s="96" t="s">
        <v>18</v>
      </c>
      <c r="N19" s="189">
        <v>42796</v>
      </c>
      <c r="O19" s="190"/>
      <c r="P19" s="58"/>
      <c r="Q19" s="9"/>
    </row>
    <row r="20" spans="2:17" x14ac:dyDescent="0.2">
      <c r="B20" s="7"/>
      <c r="C20" s="3"/>
      <c r="D20" s="94" t="s">
        <v>5</v>
      </c>
      <c r="E20" s="196" t="s">
        <v>66</v>
      </c>
      <c r="F20" s="197"/>
      <c r="G20" s="197"/>
      <c r="H20" s="197"/>
      <c r="I20" s="197"/>
      <c r="J20" s="197"/>
      <c r="K20" s="94"/>
      <c r="L20" s="94"/>
      <c r="M20" s="96"/>
      <c r="N20" s="101"/>
      <c r="O20" s="101"/>
      <c r="P20" s="59"/>
      <c r="Q20" s="9"/>
    </row>
    <row r="21" spans="2:17" x14ac:dyDescent="0.2">
      <c r="B21" s="7"/>
      <c r="C21" s="3"/>
      <c r="D21" s="94" t="s">
        <v>7</v>
      </c>
      <c r="E21" s="102">
        <v>2092</v>
      </c>
      <c r="F21" s="103" t="s">
        <v>8</v>
      </c>
      <c r="G21" s="194" t="s">
        <v>61</v>
      </c>
      <c r="H21" s="195"/>
      <c r="I21" s="104" t="s">
        <v>9</v>
      </c>
      <c r="J21" s="101" t="s">
        <v>55</v>
      </c>
      <c r="K21" s="94"/>
      <c r="L21" s="94"/>
      <c r="M21" s="96" t="s">
        <v>19</v>
      </c>
      <c r="N21" s="191"/>
      <c r="O21" s="192"/>
      <c r="P21" s="3"/>
      <c r="Q21" s="9"/>
    </row>
    <row r="22" spans="2:17" x14ac:dyDescent="0.2">
      <c r="B22" s="7"/>
      <c r="C22" s="3"/>
      <c r="D22" s="116" t="s">
        <v>20</v>
      </c>
      <c r="E22" s="200" t="s">
        <v>67</v>
      </c>
      <c r="F22" s="201"/>
      <c r="G22" s="201"/>
      <c r="H22" s="201"/>
      <c r="I22" s="201"/>
      <c r="J22" s="201"/>
      <c r="K22" s="94"/>
      <c r="L22" s="94"/>
      <c r="M22" s="96" t="s">
        <v>51</v>
      </c>
      <c r="N22" s="193" t="s">
        <v>65</v>
      </c>
      <c r="O22" s="192"/>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4" t="s">
        <v>22</v>
      </c>
      <c r="G24" s="205"/>
      <c r="H24" s="205"/>
      <c r="I24" s="205"/>
      <c r="J24" s="205"/>
      <c r="K24" s="205"/>
      <c r="L24" s="125"/>
      <c r="M24" s="119" t="s">
        <v>37</v>
      </c>
      <c r="N24" s="53" t="s">
        <v>23</v>
      </c>
      <c r="O24" s="54" t="s">
        <v>24</v>
      </c>
      <c r="P24" s="60"/>
      <c r="Q24" s="9"/>
    </row>
    <row r="25" spans="2:17" x14ac:dyDescent="0.2">
      <c r="B25" s="7"/>
      <c r="C25" s="3"/>
      <c r="D25" s="70"/>
      <c r="E25" s="55"/>
      <c r="F25" s="206"/>
      <c r="G25" s="207"/>
      <c r="H25" s="207"/>
      <c r="I25" s="207"/>
      <c r="J25" s="207"/>
      <c r="K25" s="208"/>
      <c r="L25" s="120"/>
      <c r="M25" s="73"/>
      <c r="N25" s="80"/>
      <c r="O25" s="113" t="str">
        <f t="shared" ref="O25:O36" si="0">IF(E25&lt;&gt;"",E25*N25,"")</f>
        <v/>
      </c>
      <c r="P25" s="60"/>
      <c r="Q25" s="9"/>
    </row>
    <row r="26" spans="2:17" ht="15" x14ac:dyDescent="0.2">
      <c r="B26" s="7"/>
      <c r="C26" s="3"/>
      <c r="D26" s="117"/>
      <c r="E26" s="83">
        <v>10</v>
      </c>
      <c r="F26" s="155" t="s">
        <v>71</v>
      </c>
      <c r="G26" s="209"/>
      <c r="H26" s="209"/>
      <c r="I26" s="209"/>
      <c r="J26" s="209"/>
      <c r="K26" s="210"/>
      <c r="L26" s="120"/>
      <c r="M26" s="84"/>
      <c r="N26" s="128">
        <v>29.5</v>
      </c>
      <c r="O26" s="129">
        <f t="shared" si="0"/>
        <v>295</v>
      </c>
      <c r="P26" s="60"/>
      <c r="Q26" s="9"/>
    </row>
    <row r="27" spans="2:17" ht="15" x14ac:dyDescent="0.2">
      <c r="B27" s="7"/>
      <c r="C27" s="3"/>
      <c r="D27" s="117"/>
      <c r="E27" s="83"/>
      <c r="F27" s="155"/>
      <c r="G27" s="156"/>
      <c r="H27" s="156"/>
      <c r="I27" s="156"/>
      <c r="J27" s="156"/>
      <c r="K27" s="157"/>
      <c r="L27" s="121"/>
      <c r="M27" s="84"/>
      <c r="N27" s="85"/>
      <c r="O27" s="129" t="str">
        <f t="shared" si="0"/>
        <v/>
      </c>
      <c r="P27" s="60"/>
      <c r="Q27" s="9"/>
    </row>
    <row r="28" spans="2:17" ht="15" x14ac:dyDescent="0.2">
      <c r="B28" s="7"/>
      <c r="C28" s="3"/>
      <c r="D28" s="117"/>
      <c r="E28" s="83"/>
      <c r="F28" s="179"/>
      <c r="G28" s="180"/>
      <c r="H28" s="180"/>
      <c r="I28" s="180"/>
      <c r="J28" s="180"/>
      <c r="K28" s="181"/>
      <c r="L28" s="120"/>
      <c r="M28" s="84"/>
      <c r="N28" s="85"/>
      <c r="O28" s="126" t="str">
        <f t="shared" si="0"/>
        <v/>
      </c>
      <c r="P28" s="60"/>
      <c r="Q28" s="9"/>
    </row>
    <row r="29" spans="2:17" ht="15" x14ac:dyDescent="0.2">
      <c r="B29" s="7"/>
      <c r="C29" s="3"/>
      <c r="D29" s="117"/>
      <c r="E29" s="83"/>
      <c r="F29" s="179"/>
      <c r="G29" s="180"/>
      <c r="H29" s="180"/>
      <c r="I29" s="180"/>
      <c r="J29" s="180"/>
      <c r="K29" s="181"/>
      <c r="L29" s="120"/>
      <c r="M29" s="84"/>
      <c r="N29" s="85"/>
      <c r="O29" s="114" t="str">
        <f t="shared" si="0"/>
        <v/>
      </c>
      <c r="P29" s="60"/>
      <c r="Q29" s="9"/>
    </row>
    <row r="30" spans="2:17" ht="15" x14ac:dyDescent="0.2">
      <c r="B30" s="7"/>
      <c r="C30" s="3"/>
      <c r="D30" s="117"/>
      <c r="E30" s="83"/>
      <c r="F30" s="179"/>
      <c r="G30" s="180"/>
      <c r="H30" s="180"/>
      <c r="I30" s="180"/>
      <c r="J30" s="180"/>
      <c r="K30" s="181"/>
      <c r="L30" s="120"/>
      <c r="M30" s="84"/>
      <c r="N30" s="85"/>
      <c r="O30" s="114" t="str">
        <f t="shared" si="0"/>
        <v/>
      </c>
      <c r="P30" s="60"/>
      <c r="Q30" s="9"/>
    </row>
    <row r="31" spans="2:17" ht="15" x14ac:dyDescent="0.2">
      <c r="B31" s="7"/>
      <c r="C31" s="3"/>
      <c r="D31" s="117"/>
      <c r="E31" s="83"/>
      <c r="F31" s="169"/>
      <c r="G31" s="170"/>
      <c r="H31" s="170"/>
      <c r="I31" s="170"/>
      <c r="J31" s="170"/>
      <c r="K31" s="171"/>
      <c r="L31" s="120"/>
      <c r="M31" s="84"/>
      <c r="N31" s="85"/>
      <c r="O31" s="114" t="str">
        <f t="shared" si="0"/>
        <v/>
      </c>
      <c r="P31" s="60"/>
      <c r="Q31" s="9"/>
    </row>
    <row r="32" spans="2:17" ht="15" x14ac:dyDescent="0.2">
      <c r="B32" s="7"/>
      <c r="C32" s="3"/>
      <c r="D32" s="117"/>
      <c r="E32" s="83"/>
      <c r="F32" s="186"/>
      <c r="G32" s="187"/>
      <c r="H32" s="187"/>
      <c r="I32" s="187"/>
      <c r="J32" s="187"/>
      <c r="K32" s="188"/>
      <c r="L32" s="120"/>
      <c r="M32" s="84"/>
      <c r="N32" s="85"/>
      <c r="O32" s="114"/>
      <c r="P32" s="60"/>
      <c r="Q32" s="9"/>
    </row>
    <row r="33" spans="2:17" ht="15" x14ac:dyDescent="0.2">
      <c r="B33" s="7"/>
      <c r="C33" s="3"/>
      <c r="D33" s="117"/>
      <c r="E33" s="83"/>
      <c r="F33" s="186" t="s">
        <v>59</v>
      </c>
      <c r="G33" s="187"/>
      <c r="H33" s="187"/>
      <c r="I33" s="187"/>
      <c r="J33" s="187"/>
      <c r="K33" s="188"/>
      <c r="L33" s="120"/>
      <c r="M33" s="84"/>
      <c r="N33" s="85"/>
      <c r="O33" s="114"/>
      <c r="P33" s="60"/>
      <c r="Q33" s="9"/>
    </row>
    <row r="34" spans="2:17" ht="15" x14ac:dyDescent="0.2">
      <c r="B34" s="7"/>
      <c r="C34" s="3"/>
      <c r="D34" s="117"/>
      <c r="E34" s="83"/>
      <c r="F34" s="166" t="s">
        <v>60</v>
      </c>
      <c r="G34" s="167"/>
      <c r="H34" s="167"/>
      <c r="I34" s="167"/>
      <c r="J34" s="167"/>
      <c r="K34" s="168"/>
      <c r="L34" s="120"/>
      <c r="M34" s="84"/>
      <c r="N34" s="85"/>
      <c r="O34" s="115"/>
      <c r="P34" s="60"/>
      <c r="Q34" s="9"/>
    </row>
    <row r="35" spans="2:17" ht="15" x14ac:dyDescent="0.2">
      <c r="B35" s="7"/>
      <c r="C35" s="3"/>
      <c r="D35" s="117"/>
      <c r="E35" s="83"/>
      <c r="F35" s="176"/>
      <c r="G35" s="177"/>
      <c r="H35" s="177"/>
      <c r="I35" s="177"/>
      <c r="J35" s="177"/>
      <c r="K35" s="178"/>
      <c r="L35" s="120"/>
      <c r="M35" s="84"/>
      <c r="N35" s="85"/>
      <c r="O35" s="114"/>
      <c r="P35" s="60"/>
      <c r="Q35" s="9"/>
    </row>
    <row r="36" spans="2:17" ht="15" x14ac:dyDescent="0.2">
      <c r="B36" s="7"/>
      <c r="C36" s="3"/>
      <c r="D36" s="117"/>
      <c r="E36" s="83"/>
      <c r="F36" s="176"/>
      <c r="G36" s="177"/>
      <c r="H36" s="177"/>
      <c r="I36" s="177"/>
      <c r="J36" s="177"/>
      <c r="K36" s="178"/>
      <c r="L36" s="120"/>
      <c r="M36" s="84"/>
      <c r="N36" s="85"/>
      <c r="O36" s="114" t="str">
        <f t="shared" si="0"/>
        <v/>
      </c>
      <c r="P36" s="60"/>
      <c r="Q36" s="9"/>
    </row>
    <row r="37" spans="2:17" ht="15.75" x14ac:dyDescent="0.25">
      <c r="B37" s="7"/>
      <c r="C37" s="3"/>
      <c r="D37" s="70"/>
      <c r="E37" s="56"/>
      <c r="F37" s="108"/>
      <c r="G37" s="107"/>
      <c r="H37" s="107"/>
      <c r="I37" s="107"/>
      <c r="J37" s="107"/>
      <c r="K37" s="107"/>
      <c r="L37" s="122"/>
      <c r="M37" s="84"/>
      <c r="N37" s="85"/>
      <c r="O37" s="114"/>
      <c r="P37" s="60"/>
      <c r="Q37" s="9"/>
    </row>
    <row r="38" spans="2:17" ht="15" x14ac:dyDescent="0.2">
      <c r="B38" s="7"/>
      <c r="C38" s="3"/>
      <c r="D38" s="70"/>
      <c r="E38" s="56"/>
      <c r="F38" s="160"/>
      <c r="G38" s="161"/>
      <c r="H38" s="161"/>
      <c r="I38" s="161"/>
      <c r="J38" s="161"/>
      <c r="K38" s="161"/>
      <c r="L38" s="123"/>
      <c r="M38" s="84"/>
      <c r="N38" s="85"/>
      <c r="O38" s="114"/>
      <c r="P38" s="60"/>
      <c r="Q38" s="9"/>
    </row>
    <row r="39" spans="2:17" ht="15" x14ac:dyDescent="0.2">
      <c r="B39" s="7"/>
      <c r="C39" s="3"/>
      <c r="D39" s="70"/>
      <c r="E39" s="56"/>
      <c r="F39" s="160"/>
      <c r="G39" s="161"/>
      <c r="H39" s="161"/>
      <c r="I39" s="161"/>
      <c r="J39" s="161"/>
      <c r="K39" s="161"/>
      <c r="L39" s="123"/>
      <c r="M39" s="84"/>
      <c r="N39" s="85"/>
      <c r="O39" s="114"/>
      <c r="P39" s="60"/>
      <c r="Q39" s="9"/>
    </row>
    <row r="40" spans="2:17" ht="15" x14ac:dyDescent="0.2">
      <c r="B40" s="7"/>
      <c r="C40" s="3"/>
      <c r="D40" s="71"/>
      <c r="E40" s="57"/>
      <c r="F40" s="158"/>
      <c r="G40" s="159"/>
      <c r="H40" s="159"/>
      <c r="I40" s="159"/>
      <c r="J40" s="159"/>
      <c r="K40" s="159"/>
      <c r="L40" s="124"/>
      <c r="M40" s="86"/>
      <c r="N40" s="85"/>
      <c r="O40" s="114" t="str">
        <f>IF(E40&lt;&gt;"",E40*N40,"")</f>
        <v/>
      </c>
      <c r="P40" s="60"/>
      <c r="Q40" s="9"/>
    </row>
    <row r="41" spans="2:17" ht="15.75" x14ac:dyDescent="0.25">
      <c r="B41" s="7"/>
      <c r="C41" s="3"/>
      <c r="D41" s="3"/>
      <c r="E41" s="94"/>
      <c r="F41" s="94"/>
      <c r="G41" s="94"/>
      <c r="H41" s="94"/>
      <c r="I41" s="94"/>
      <c r="J41" s="87"/>
      <c r="K41" s="87"/>
      <c r="L41" s="87"/>
      <c r="M41" s="87"/>
      <c r="N41" s="135" t="s">
        <v>25</v>
      </c>
      <c r="O41" s="127">
        <f>SUM(O25:O40)</f>
        <v>295</v>
      </c>
      <c r="P41" s="60"/>
      <c r="Q41" s="9"/>
    </row>
    <row r="42" spans="2:17" ht="15" x14ac:dyDescent="0.2">
      <c r="B42" s="7"/>
      <c r="C42" s="3"/>
      <c r="D42" s="3"/>
      <c r="E42" s="94"/>
      <c r="F42" s="94"/>
      <c r="G42" s="94"/>
      <c r="H42" s="94"/>
      <c r="I42" s="94"/>
      <c r="J42" s="87"/>
      <c r="K42" s="87"/>
      <c r="L42" s="87"/>
      <c r="M42" s="87"/>
      <c r="N42" s="140" t="s">
        <v>50</v>
      </c>
      <c r="O42" s="136">
        <v>0.5</v>
      </c>
      <c r="P42" s="60"/>
      <c r="Q42" s="9"/>
    </row>
    <row r="43" spans="2:17" ht="15" x14ac:dyDescent="0.2">
      <c r="B43" s="7"/>
      <c r="C43" s="3"/>
      <c r="D43" s="3"/>
      <c r="E43" s="95"/>
      <c r="F43" s="96" t="s">
        <v>26</v>
      </c>
      <c r="G43" s="94"/>
      <c r="H43" s="94"/>
      <c r="I43" s="94"/>
      <c r="J43" s="89"/>
      <c r="K43" s="89"/>
      <c r="L43" s="89"/>
      <c r="M43" s="88"/>
      <c r="N43" s="137">
        <f>IF(dflt2&lt;&gt;"",dflt2,"")</f>
        <v>0.18</v>
      </c>
      <c r="O43" s="138">
        <f>O41*0.18</f>
        <v>53.1</v>
      </c>
      <c r="P43" s="60"/>
      <c r="Q43" s="9"/>
    </row>
    <row r="44" spans="2:17" ht="15.75" x14ac:dyDescent="0.25">
      <c r="B44" s="7"/>
      <c r="C44" s="3"/>
      <c r="D44" s="3"/>
      <c r="E44" s="97"/>
      <c r="F44" s="96" t="s">
        <v>27</v>
      </c>
      <c r="G44" s="100"/>
      <c r="H44" s="97"/>
      <c r="I44" s="94"/>
      <c r="J44" s="90"/>
      <c r="K44" s="87"/>
      <c r="L44" s="87"/>
      <c r="M44" s="87"/>
      <c r="N44" s="139" t="s">
        <v>29</v>
      </c>
      <c r="O44" s="127">
        <f>O41+O42++O43</f>
        <v>348.6</v>
      </c>
      <c r="P44" s="60"/>
      <c r="Q44" s="9"/>
    </row>
    <row r="45" spans="2:17" ht="15.75" x14ac:dyDescent="0.25">
      <c r="B45" s="7"/>
      <c r="C45" s="3"/>
      <c r="D45" s="3"/>
      <c r="E45" s="97">
        <v>3</v>
      </c>
      <c r="F45" s="96"/>
      <c r="G45" s="94"/>
      <c r="H45" s="98"/>
      <c r="I45" s="94"/>
      <c r="J45" s="91" t="s">
        <v>28</v>
      </c>
      <c r="K45" s="87"/>
      <c r="L45" s="87"/>
      <c r="M45" s="87"/>
      <c r="N45" s="139" t="s">
        <v>38</v>
      </c>
      <c r="O45" s="138">
        <f>O43</f>
        <v>53.1</v>
      </c>
      <c r="P45" s="60"/>
      <c r="Q45" s="9"/>
    </row>
    <row r="46" spans="2:17" ht="17.100000000000001" customHeight="1" x14ac:dyDescent="0.2">
      <c r="B46" s="7"/>
      <c r="C46" s="3"/>
      <c r="D46" s="162" t="s">
        <v>62</v>
      </c>
      <c r="E46" s="163"/>
      <c r="F46" s="163"/>
      <c r="G46" s="163"/>
      <c r="H46" s="163"/>
      <c r="I46" s="163"/>
      <c r="J46" s="163"/>
      <c r="K46" s="163"/>
      <c r="L46" s="163"/>
      <c r="M46" s="163"/>
      <c r="N46" s="87"/>
      <c r="O46" s="87"/>
      <c r="P46" s="60"/>
      <c r="Q46" s="9"/>
    </row>
    <row r="47" spans="2:17" ht="17.100000000000001" customHeight="1" x14ac:dyDescent="0.2">
      <c r="B47" s="7"/>
      <c r="C47" s="3"/>
      <c r="D47" s="182"/>
      <c r="E47" s="183"/>
      <c r="F47" s="183"/>
      <c r="G47" s="183"/>
      <c r="H47" s="183"/>
      <c r="I47" s="183"/>
      <c r="J47" s="183"/>
      <c r="K47" s="183"/>
      <c r="L47" s="183"/>
      <c r="M47" s="183"/>
      <c r="N47" s="118"/>
      <c r="O47" s="118"/>
      <c r="P47" s="60"/>
      <c r="Q47" s="9"/>
    </row>
    <row r="48" spans="2:17" ht="15" x14ac:dyDescent="0.2">
      <c r="B48" s="7"/>
      <c r="C48" s="3"/>
      <c r="D48" s="3"/>
      <c r="E48" s="99"/>
      <c r="F48" s="174"/>
      <c r="G48" s="175"/>
      <c r="H48" s="175"/>
      <c r="I48" s="175"/>
      <c r="J48" s="87"/>
      <c r="K48" s="87"/>
      <c r="L48" s="87"/>
      <c r="M48" s="87"/>
      <c r="N48" s="118"/>
      <c r="O48" s="118"/>
      <c r="P48" s="60"/>
      <c r="Q48" s="9"/>
    </row>
    <row r="49" spans="2:18" ht="15" customHeight="1" x14ac:dyDescent="0.2">
      <c r="B49" s="7"/>
      <c r="C49" s="3"/>
      <c r="D49" s="3"/>
      <c r="E49" s="20"/>
      <c r="F49" s="172"/>
      <c r="G49" s="173"/>
      <c r="H49" s="173"/>
      <c r="I49" s="173"/>
      <c r="J49" s="87"/>
      <c r="K49" s="130" t="s">
        <v>58</v>
      </c>
      <c r="L49" s="130"/>
      <c r="M49" s="118"/>
      <c r="N49" s="118"/>
      <c r="O49" s="118"/>
      <c r="P49" s="60"/>
      <c r="Q49" s="9"/>
    </row>
    <row r="50" spans="2:18" ht="15" x14ac:dyDescent="0.2">
      <c r="B50" s="7"/>
      <c r="C50" s="3"/>
      <c r="D50" s="3"/>
      <c r="E50" s="20"/>
      <c r="F50" s="88"/>
      <c r="G50" s="164"/>
      <c r="H50" s="165"/>
      <c r="I50" s="165"/>
      <c r="J50" s="87"/>
      <c r="K50" s="118"/>
      <c r="L50" s="118"/>
      <c r="M50" s="118"/>
      <c r="N50" s="93"/>
      <c r="O50" s="93"/>
      <c r="P50" s="60"/>
      <c r="Q50" s="9"/>
    </row>
    <row r="51" spans="2:18" ht="15" x14ac:dyDescent="0.2">
      <c r="B51" s="7"/>
      <c r="C51" s="3"/>
      <c r="D51" s="3"/>
      <c r="E51" s="3"/>
      <c r="F51" s="87"/>
      <c r="G51" s="87"/>
      <c r="H51" s="87"/>
      <c r="I51" s="87"/>
      <c r="J51" s="87"/>
      <c r="K51" s="118"/>
      <c r="L51" s="118"/>
      <c r="M51" s="118"/>
      <c r="N51" s="111"/>
      <c r="O51" s="87"/>
      <c r="P51" s="60"/>
      <c r="Q51" s="9"/>
    </row>
    <row r="52" spans="2:18" ht="15" x14ac:dyDescent="0.2">
      <c r="B52" s="7"/>
      <c r="C52" s="3"/>
      <c r="D52" s="106"/>
      <c r="E52" s="112"/>
      <c r="F52" s="87"/>
      <c r="G52" s="87"/>
      <c r="H52" s="87"/>
      <c r="I52" s="87"/>
      <c r="J52" s="87"/>
      <c r="K52" s="93"/>
      <c r="L52" s="93"/>
      <c r="M52" s="93"/>
      <c r="N52" s="111"/>
      <c r="O52" s="87"/>
      <c r="P52" s="60"/>
      <c r="Q52" s="9"/>
    </row>
    <row r="53" spans="2:18" ht="15" x14ac:dyDescent="0.2">
      <c r="B53" s="7"/>
      <c r="C53" s="3"/>
      <c r="D53" s="3"/>
      <c r="E53" s="3"/>
      <c r="F53" s="110"/>
      <c r="G53" s="111"/>
      <c r="H53" s="111"/>
      <c r="I53" s="111"/>
      <c r="J53" s="111"/>
      <c r="K53" s="111"/>
      <c r="L53" s="111"/>
      <c r="M53" s="111"/>
      <c r="N53" s="111"/>
      <c r="O53" s="92"/>
      <c r="P53" s="60"/>
      <c r="Q53" s="9"/>
    </row>
    <row r="54" spans="2:18" ht="15" x14ac:dyDescent="0.2">
      <c r="B54" s="7"/>
      <c r="C54" s="3"/>
      <c r="D54" s="3"/>
      <c r="E54" s="3"/>
      <c r="F54" s="111"/>
      <c r="G54" s="111"/>
      <c r="H54" s="111"/>
      <c r="I54" s="111"/>
      <c r="J54" s="111"/>
      <c r="K54" s="111"/>
      <c r="L54" s="111"/>
      <c r="M54" s="111"/>
      <c r="N54" s="111"/>
      <c r="O54" s="87"/>
      <c r="P54" s="60"/>
      <c r="Q54" s="9"/>
    </row>
    <row r="55" spans="2:18" ht="15" x14ac:dyDescent="0.2">
      <c r="B55" s="7"/>
      <c r="C55" s="3"/>
      <c r="D55" s="116" t="s">
        <v>68</v>
      </c>
      <c r="E55" s="94"/>
      <c r="F55" s="111"/>
      <c r="G55" s="111"/>
      <c r="H55" s="111"/>
      <c r="I55" s="111"/>
      <c r="J55" s="111"/>
      <c r="K55" s="111"/>
      <c r="L55" s="111"/>
      <c r="M55" s="111"/>
      <c r="N55" s="3"/>
      <c r="O55" s="3"/>
      <c r="P55" s="60"/>
      <c r="Q55" s="9"/>
    </row>
    <row r="56" spans="2:18" ht="15" x14ac:dyDescent="0.2">
      <c r="B56" s="7"/>
      <c r="C56" s="3"/>
      <c r="D56" s="116" t="s">
        <v>69</v>
      </c>
      <c r="E56" s="3"/>
      <c r="F56" s="111"/>
      <c r="G56" s="111"/>
      <c r="H56" s="111"/>
      <c r="I56" s="111"/>
      <c r="J56" s="111"/>
      <c r="K56" s="111"/>
      <c r="L56" s="111"/>
      <c r="M56" s="111"/>
      <c r="N56" s="3"/>
      <c r="O56" s="3"/>
      <c r="P56" s="60"/>
      <c r="Q56" s="9"/>
    </row>
    <row r="57" spans="2:18" x14ac:dyDescent="0.2">
      <c r="B57" s="7"/>
      <c r="C57" s="3"/>
      <c r="D57" s="3"/>
      <c r="E57" s="3"/>
      <c r="F57" s="3"/>
      <c r="G57" s="3"/>
      <c r="H57" s="3"/>
      <c r="I57" s="3"/>
      <c r="J57" s="3"/>
      <c r="K57" s="3"/>
      <c r="L57" s="3"/>
      <c r="M57" s="3"/>
      <c r="N57" s="131"/>
      <c r="O57" s="3"/>
      <c r="P57" s="60"/>
      <c r="Q57" s="9"/>
    </row>
    <row r="58" spans="2:18" ht="3" customHeight="1" x14ac:dyDescent="0.2">
      <c r="B58" s="7"/>
      <c r="C58" s="3"/>
      <c r="D58" s="3"/>
      <c r="E58" s="3"/>
      <c r="F58" s="3"/>
      <c r="G58" s="3"/>
      <c r="H58" s="3"/>
      <c r="I58" s="3"/>
      <c r="J58" s="3"/>
      <c r="K58" s="3"/>
      <c r="L58" s="3"/>
      <c r="M58" s="3"/>
      <c r="N58" s="131"/>
      <c r="O58" s="3"/>
      <c r="P58" s="60"/>
      <c r="Q58" s="9"/>
    </row>
    <row r="59" spans="2:18" x14ac:dyDescent="0.2">
      <c r="B59" s="7"/>
      <c r="C59" s="3"/>
      <c r="D59" s="3"/>
      <c r="E59" s="3"/>
      <c r="F59" s="132"/>
      <c r="G59" s="131"/>
      <c r="H59" s="131"/>
      <c r="I59" s="131"/>
      <c r="J59" s="131"/>
      <c r="K59" s="131"/>
      <c r="L59" s="131"/>
      <c r="M59" s="131"/>
      <c r="N59" s="142"/>
      <c r="O59" s="133"/>
      <c r="P59" s="134"/>
      <c r="Q59" s="9"/>
    </row>
    <row r="60" spans="2:18" x14ac:dyDescent="0.2">
      <c r="B60" s="215"/>
      <c r="C60" s="133"/>
      <c r="D60" s="141" t="s">
        <v>70</v>
      </c>
      <c r="E60" s="141"/>
      <c r="F60" s="142"/>
      <c r="G60" s="142"/>
      <c r="H60" s="142"/>
      <c r="I60" s="142"/>
      <c r="J60" s="142"/>
      <c r="K60" s="142"/>
      <c r="L60" s="142"/>
      <c r="M60" s="142"/>
      <c r="N60" s="147"/>
      <c r="O60" s="143"/>
      <c r="P60" s="144"/>
      <c r="Q60" s="145"/>
      <c r="R60" s="146"/>
    </row>
    <row r="61" spans="2:18" x14ac:dyDescent="0.2">
      <c r="B61" s="215"/>
      <c r="C61" s="133"/>
      <c r="D61" s="133"/>
      <c r="E61" s="133"/>
      <c r="F61" s="131"/>
      <c r="G61" s="131"/>
      <c r="H61" s="131"/>
      <c r="I61" s="131"/>
      <c r="J61" s="131"/>
      <c r="K61" s="131"/>
      <c r="L61" s="131"/>
      <c r="M61" s="131"/>
      <c r="N61" s="133"/>
      <c r="O61" s="133"/>
      <c r="P61" s="134"/>
      <c r="Q61" s="212"/>
    </row>
    <row r="62" spans="2:18" ht="0.95" customHeight="1" thickBot="1" x14ac:dyDescent="0.25">
      <c r="B62" s="216"/>
      <c r="C62" s="213"/>
      <c r="D62" s="213"/>
      <c r="E62" s="133"/>
      <c r="F62" s="133"/>
      <c r="G62" s="133"/>
      <c r="H62" s="133"/>
      <c r="I62" s="133"/>
      <c r="J62" s="133"/>
      <c r="K62" s="133"/>
      <c r="L62" s="133"/>
      <c r="M62" s="133"/>
      <c r="N62" s="133"/>
      <c r="O62" s="133"/>
      <c r="P62" s="213"/>
      <c r="Q62" s="214"/>
    </row>
    <row r="63" spans="2:18" ht="6" customHeight="1" thickTop="1" x14ac:dyDescent="0.2">
      <c r="B63" s="211"/>
      <c r="C63" s="211"/>
      <c r="D63" s="211"/>
      <c r="E63" s="211"/>
      <c r="F63" s="211"/>
      <c r="G63" s="211"/>
      <c r="H63" s="211"/>
      <c r="I63" s="211"/>
      <c r="J63" s="211"/>
      <c r="K63" s="211"/>
      <c r="L63" s="211"/>
      <c r="M63" s="211"/>
      <c r="N63" s="211"/>
      <c r="O63" s="211"/>
      <c r="P63" s="211"/>
      <c r="Q63" s="211"/>
    </row>
    <row r="64" spans="2:18" x14ac:dyDescent="0.2">
      <c r="B64" s="211"/>
      <c r="C64" s="211"/>
      <c r="D64" s="211"/>
      <c r="E64" s="211"/>
      <c r="F64" s="211"/>
      <c r="G64" s="211"/>
      <c r="H64" s="211"/>
      <c r="I64" s="211"/>
      <c r="J64" s="211"/>
      <c r="K64" s="211"/>
      <c r="L64" s="211"/>
      <c r="M64" s="211"/>
      <c r="N64" s="211"/>
      <c r="O64" s="211"/>
      <c r="P64" s="211"/>
      <c r="Q64" s="211"/>
    </row>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L50 N46:O46 M48"/>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N57:N59"/>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42796</v>
      </c>
      <c r="D8" s="77" t="str">
        <f>Facture!$E$19</f>
        <v xml:space="preserve">NXT </v>
      </c>
      <c r="E8" s="74" t="str">
        <f>Facture!$E$20</f>
        <v>AV MOSBAH JARBOU EL MANAR II</v>
      </c>
      <c r="F8" s="74">
        <f>Facture!$E$21</f>
        <v>2092</v>
      </c>
      <c r="G8" s="77" t="str">
        <f>Facture!$G$21</f>
        <v>TUNIS</v>
      </c>
      <c r="H8" s="77" t="str">
        <f>Facture!$J$21</f>
        <v>TN</v>
      </c>
      <c r="I8" s="74" t="str">
        <f>Facture!$E$22</f>
        <v xml:space="preserve">                          FAX            </v>
      </c>
      <c r="J8" s="78">
        <f>Facture!$O$44</f>
        <v>348.6</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2017-03-02T11:27:19Z</cp:lastPrinted>
  <dcterms:created xsi:type="dcterms:W3CDTF">1995-05-29T15:50:39Z</dcterms:created>
  <dcterms:modified xsi:type="dcterms:W3CDTF">2017-03-02T15:17:23Z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348.6</vt:r8>
  </property>
</Properties>
</file>