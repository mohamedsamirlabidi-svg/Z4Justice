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Facture!$M$41</definedName>
    <definedName name="_Tax3">Facture!$M$43</definedName>
    <definedName name="_tax4">Facture!$M$43</definedName>
    <definedName name="_xlnm.Auto_Open21">'AutoOpen Stub Data'!$A$1</definedName>
    <definedName name="boxes">Facture!$E$39:$E$40</definedName>
    <definedName name="CC">'Personnaliser votre facture'!$G$22:$G$25</definedName>
    <definedName name="CCT">Facture!$H$41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Facture!$F$22</definedName>
    <definedName name="data60">Facture!$F$38</definedName>
    <definedName name="data61">Facture!$M$38</definedName>
    <definedName name="data62">Facture!$E$39</definedName>
    <definedName name="data63">Facture!$E$40</definedName>
    <definedName name="data64">Facture!$E$41</definedName>
    <definedName name="data65">Facture!$H$40</definedName>
    <definedName name="data66">Facture!#REF!</definedName>
    <definedName name="data67">Facture!$F$45</definedName>
    <definedName name="data68">Facture!$G$49</definedName>
    <definedName name="data69">Facture!$K$49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Facture!$F$38:$K$38</definedName>
    <definedName name="qzqzqz26">Facture!#REF!</definedName>
    <definedName name="qzqzqz27">Facture!#REF!</definedName>
    <definedName name="qzqzqz28">Facture!$F$45:$I$45</definedName>
    <definedName name="qzqzqz29">Facture!$K$53:$N$53</definedName>
    <definedName name="qzqzqz3">Facture!$E$22:$J$22</definedName>
    <definedName name="qzqzqz30">Facture!$G$49:$I$49</definedName>
    <definedName name="qzqzqz31">Facture!$G$49:$H$49</definedName>
    <definedName name="qzqzqz32">Facture!$K$49:$N$53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Facture!$C$3:$O$53</definedName>
  </definedNames>
  <calcPr calcId="152511"/>
</workbook>
</file>

<file path=xl/calcChain.xml><?xml version="1.0" encoding="utf-8"?>
<calcChain xmlns="http://schemas.openxmlformats.org/spreadsheetml/2006/main">
  <c r="N41" i="3" l="1"/>
  <c r="N42" i="3" s="1"/>
  <c r="N37" i="3"/>
  <c r="N39"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<sst xmlns="http://schemas.openxmlformats.org/spreadsheetml/2006/main" count="88" uniqueCount="72">
  <si>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</si>
  <si>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</si>
  <si>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</si>
  <si>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</si>
  <si>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</si>
  <si>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</si>
  <si>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</si>
  <si>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</si>
  <si>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</si>
  <si>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</si>
  <si>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</si>
  <si>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</si>
  <si>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</si>
  <si>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</si>
  <si>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</si>
  <si>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</si>
  <si>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</si>
  <si>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</si>
  <si>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</si>
  <si>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</si>
  <si>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</si>
  <si>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</si>
  <si>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</si>
  <si>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</si>
  <si>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</si>
  <si>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</si>
  <si>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</si>
  <si>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</si>
  <si>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</si>
  <si>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</si>
  <si>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</si>
  <si>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</si>
  <si>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</si>
  <si>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</si>
  <si>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</si>
  <si>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</si>
  <si>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</si>
  <si>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</si>
  <si>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</si>
  <si>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</si>
  <si>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</si>
  <si>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</si>
  <si>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</si>
  <si>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</si>
  <si>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</si>
  <si>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</si>
  <si>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</si>
  <si>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</si>
  <si>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</si>
  <si>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</si>
  <si>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</si>
  <si>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</si>
  <si>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</si>
  <si>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</si>
  <si>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</si>
  <si>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</si>
  <si>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</si>
  <si>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</si>
  <si>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</si>
  <si>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</si>
  <si>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</si>
  <si>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</si>
  <si>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</si>
  <si>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RIB: 10 000 000 080746 3788 95</t>
  </si>
  <si>
    <t>STB THAMEUR</t>
  </si>
  <si>
    <t>349828V/M/000</t>
  </si>
  <si>
    <r>
      <t xml:space="preserve">Responsable </t>
    </r>
    <r>
      <rPr>
        <sz val="8"/>
        <rFont val="Arial"/>
        <family val="2"/>
      </rPr>
      <t xml:space="preserve">Mme  Dorra Kammoun  </t>
    </r>
  </si>
  <si>
    <t xml:space="preserve">37 Rue des fonderies ZI Ben Arous </t>
  </si>
  <si>
    <t xml:space="preserve">EKM </t>
  </si>
  <si>
    <t>CERTIFICATION DE CONFORMITÉ D’UN ÉCHAFAUDAGE</t>
  </si>
  <si>
    <t xml:space="preserve">Mme  Dorra Kammoun  </t>
  </si>
  <si>
    <t>FACTURE N°2026-008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</si>
</sst>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42"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2" fillId="3" borderId="0" xfId="0" applyFont="1" applyFill="1" applyBorder="1"/>
    <xf numFmtId="0" fontId="5" fillId="6" borderId="42"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49" fontId="31" fillId="0" borderId="32" xfId="0"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29" fillId="3" borderId="36" xfId="0" applyNumberFormat="1" applyFont="1" applyFill="1" applyBorder="1" applyAlignment="1">
      <alignment horizontal="center"/>
    </xf>
    <xf numFmtId="14" fontId="29"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7" fillId="3" borderId="52" xfId="0" applyFont="1" applyFill="1" applyBorder="1" applyAlignment="1">
      <alignment horizontal="left"/>
    </xf>
    <xf numFmtId="0" fontId="7"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49" fontId="7" fillId="3" borderId="36" xfId="0" applyNumberFormat="1" applyFont="1" applyFill="1" applyBorder="1" applyAlignment="1">
      <alignment horizontal="center"/>
    </xf>
    <xf numFmtId="49" fontId="7" fillId="3" borderId="36"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54140</xdr:colOff>
      <xdr:row>24</xdr:row>
      <xdr:rowOff>37098</xdr:rowOff>
    </xdr:to>
    <xdr:sp macro="" textlink="">
      <xdr:nvSpPr>
        <xdr:cNvPr id="2115" name="INVB2"/>
        <xdr:cNvSpPr>
          <a:spLocks noChangeArrowheads="1"/>
        </xdr:cNvSpPr>
      </xdr:nvSpPr>
      <xdr:spPr bwMode="auto">
        <a:xfrm>
          <a:off x="488331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38</xdr:row>
          <xdr:rowOff>0</xdr:rowOff>
        </xdr:from>
        <xdr:to>
          <xdr:col>4</xdr:col>
          <xdr:colOff>695325</xdr:colOff>
          <xdr:row>39</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0</xdr:rowOff>
        </xdr:from>
        <xdr:to>
          <xdr:col>4</xdr:col>
          <xdr:colOff>704850</xdr:colOff>
          <xdr:row>40</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40</xdr:row>
          <xdr:rowOff>28575</xdr:rowOff>
        </xdr:from>
        <xdr:to>
          <xdr:col>4</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90239</xdr:colOff>
      <xdr:row>7</xdr:row>
      <xdr:rowOff>20053</xdr:rowOff>
    </xdr:from>
    <xdr:to>
      <xdr:col>12</xdr:col>
      <xdr:colOff>681790</xdr:colOff>
      <xdr:row>12</xdr:row>
      <xdr:rowOff>20053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52739" y="912395"/>
          <a:ext cx="1614235" cy="802105"/>
        </a:xfrm>
        <a:prstGeom prst="rect">
          <a:avLst/>
        </a:prstGeom>
        <a:noFill/>
        <a:ln>
          <a:noFill/>
        </a:ln>
      </xdr:spPr>
    </xdr:pic>
    <xdr:clientData/>
  </xdr:twoCellAnchor>
  <xdr:twoCellAnchor editAs="oneCell">
    <xdr:from>
      <xdr:col>12</xdr:col>
      <xdr:colOff>671764</xdr:colOff>
      <xdr:row>6</xdr:row>
      <xdr:rowOff>50131</xdr:rowOff>
    </xdr:from>
    <xdr:to>
      <xdr:col>13</xdr:col>
      <xdr:colOff>832185</xdr:colOff>
      <xdr:row>12</xdr:row>
      <xdr:rowOff>26301</xdr:rowOff>
    </xdr:to>
    <xdr:pic>
      <xdr:nvPicPr>
        <xdr:cNvPr id="3" name="Image 2"/>
        <xdr:cNvPicPr>
          <a:picLocks noChangeAspect="1"/>
        </xdr:cNvPicPr>
      </xdr:nvPicPr>
      <xdr:blipFill>
        <a:blip xmlns:r="http://schemas.openxmlformats.org/officeDocument/2006/relationships" r:embed="rId3"/>
        <a:stretch>
          <a:fillRect/>
        </a:stretch>
      </xdr:blipFill>
      <xdr:spPr>
        <a:xfrm>
          <a:off x="6456948" y="782052"/>
          <a:ext cx="1143000" cy="9386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4" t="s">
        <v>0</v>
      </c>
      <c r="E4" s="135"/>
      <c r="F4" s="13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6" t="s">
        <v>2</v>
      </c>
      <c r="E10" s="13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8" t="s">
        <v>45</v>
      </c>
      <c r="E19" s="13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9" t="str">
        <f>LOWER(TemplateInformation!B3)</f>
        <v>c:\program files\microsoft office\office\macrolib\factbd.xls</v>
      </c>
      <c r="G33" s="14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6" t="s">
        <v>16</v>
      </c>
      <c r="E36" s="13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5"/>
  <sheetViews>
    <sheetView showGridLines="0" showRowColHeaders="0" tabSelected="1" topLeftCell="A17"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9"/>
      <c r="N9" s="150"/>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6"/>
      <c r="N11" s="107"/>
      <c r="O11" s="3"/>
      <c r="P11" s="8"/>
    </row>
    <row r="12" spans="2:16" x14ac:dyDescent="0.2">
      <c r="B12" s="7"/>
      <c r="C12" s="3"/>
      <c r="D12" s="3"/>
      <c r="E12" s="3"/>
      <c r="F12" s="3"/>
      <c r="G12" s="3"/>
      <c r="H12" s="3"/>
      <c r="I12" s="3"/>
      <c r="J12" s="3"/>
      <c r="K12" s="3"/>
      <c r="L12" s="3"/>
      <c r="M12" s="106"/>
      <c r="N12" s="107"/>
      <c r="O12" s="3"/>
      <c r="P12" s="8"/>
    </row>
    <row r="13" spans="2:16" x14ac:dyDescent="0.2">
      <c r="B13" s="7"/>
      <c r="C13" s="3"/>
      <c r="D13" s="3"/>
      <c r="E13" s="3"/>
      <c r="F13" s="3"/>
      <c r="G13" s="3"/>
      <c r="H13" s="3"/>
      <c r="I13" s="3"/>
      <c r="J13" s="3"/>
      <c r="K13" s="3"/>
      <c r="L13" s="3"/>
      <c r="M13" s="158"/>
      <c r="N13" s="159"/>
      <c r="O13" s="3"/>
      <c r="P13" s="8"/>
    </row>
    <row r="14" spans="2:16" x14ac:dyDescent="0.2">
      <c r="B14" s="7"/>
      <c r="C14" s="3"/>
      <c r="D14" s="3"/>
      <c r="E14" s="3"/>
      <c r="F14" s="3"/>
      <c r="G14" s="3"/>
      <c r="H14" s="145"/>
      <c r="I14" s="145"/>
      <c r="J14" s="145"/>
      <c r="K14" s="145"/>
      <c r="L14" s="145"/>
      <c r="M14" s="3"/>
      <c r="N14" s="3"/>
      <c r="O14" s="3"/>
      <c r="P14" s="8"/>
    </row>
    <row r="15" spans="2:16" ht="20.100000000000001" customHeight="1" x14ac:dyDescent="0.2">
      <c r="B15" s="7"/>
      <c r="C15" s="3"/>
      <c r="D15" s="3"/>
      <c r="E15" s="3"/>
      <c r="F15" s="3"/>
      <c r="G15" s="3"/>
      <c r="H15" s="145"/>
      <c r="I15" s="145"/>
      <c r="J15" s="145"/>
      <c r="K15" s="145"/>
      <c r="L15" s="14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5"/>
      <c r="I17" s="3"/>
      <c r="J17" s="98"/>
      <c r="K17" s="3"/>
      <c r="L17" s="3"/>
      <c r="M17" s="168" t="s">
        <v>71</v>
      </c>
      <c r="N17" s="169"/>
      <c r="O17" s="3"/>
      <c r="P17" s="8"/>
    </row>
    <row r="18" spans="1:16" ht="19.5" thickTop="1" x14ac:dyDescent="0.3">
      <c r="B18" s="7"/>
      <c r="C18" s="3"/>
      <c r="D18" s="58"/>
      <c r="E18" s="58"/>
      <c r="F18" s="58"/>
      <c r="G18" s="58"/>
      <c r="H18" s="58"/>
      <c r="I18" s="58"/>
      <c r="J18" s="59"/>
      <c r="K18" s="59"/>
      <c r="L18" s="59"/>
      <c r="M18" s="170"/>
      <c r="N18" s="171"/>
      <c r="O18" s="19"/>
      <c r="P18" s="8"/>
    </row>
    <row r="19" spans="1:16" ht="13.5" thickBot="1" x14ac:dyDescent="0.25">
      <c r="B19" s="7"/>
      <c r="C19" s="3"/>
      <c r="D19" s="3"/>
      <c r="E19" s="3"/>
      <c r="F19" s="3"/>
      <c r="G19" s="3"/>
      <c r="H19" s="3"/>
      <c r="I19" s="3"/>
      <c r="J19" s="3"/>
      <c r="K19" s="3"/>
      <c r="L19" s="3"/>
      <c r="M19" s="172"/>
      <c r="N19" s="173"/>
      <c r="O19" s="3"/>
      <c r="P19" s="8"/>
    </row>
    <row r="20" spans="1:16" x14ac:dyDescent="0.2">
      <c r="B20" s="7"/>
      <c r="C20" s="3"/>
      <c r="D20" s="3"/>
      <c r="E20" s="3"/>
      <c r="F20" s="3"/>
      <c r="G20" s="3"/>
      <c r="H20" s="3"/>
      <c r="I20" s="3"/>
      <c r="J20" s="3"/>
      <c r="K20" s="3"/>
      <c r="L20" s="3"/>
      <c r="M20" s="119"/>
      <c r="N20" s="3"/>
      <c r="O20" s="3"/>
      <c r="P20" s="8"/>
    </row>
    <row r="21" spans="1:16" ht="18" x14ac:dyDescent="0.25">
      <c r="B21" s="7"/>
      <c r="C21" s="3"/>
      <c r="D21" s="81" t="s">
        <v>3</v>
      </c>
      <c r="E21" s="164" t="s">
        <v>68</v>
      </c>
      <c r="F21" s="165"/>
      <c r="G21" s="165"/>
      <c r="H21" s="165"/>
      <c r="I21" s="165"/>
      <c r="J21" s="165"/>
      <c r="K21" s="81"/>
      <c r="L21" s="83" t="s">
        <v>18</v>
      </c>
      <c r="M21" s="153">
        <v>46048</v>
      </c>
      <c r="N21" s="154"/>
      <c r="O21" s="55"/>
      <c r="P21" s="8"/>
    </row>
    <row r="22" spans="1:16" ht="14.25" x14ac:dyDescent="0.2">
      <c r="B22" s="7"/>
      <c r="C22" s="3"/>
      <c r="D22" s="81" t="s">
        <v>5</v>
      </c>
      <c r="E22" s="162" t="s">
        <v>67</v>
      </c>
      <c r="F22" s="162"/>
      <c r="G22" s="162"/>
      <c r="H22" s="163"/>
      <c r="I22" s="163"/>
      <c r="J22" s="163"/>
      <c r="K22" s="81"/>
      <c r="L22" s="115" t="s">
        <v>59</v>
      </c>
      <c r="M22" s="177"/>
      <c r="N22" s="178"/>
      <c r="O22" s="56"/>
      <c r="P22" s="8"/>
    </row>
    <row r="23" spans="1:16" x14ac:dyDescent="0.2">
      <c r="B23" s="7"/>
      <c r="C23" s="3"/>
      <c r="D23" s="81" t="s">
        <v>7</v>
      </c>
      <c r="E23" s="88"/>
      <c r="F23" s="89" t="s">
        <v>8</v>
      </c>
      <c r="G23" s="160"/>
      <c r="H23" s="161"/>
      <c r="I23" s="90" t="s">
        <v>9</v>
      </c>
      <c r="J23" s="87" t="s">
        <v>51</v>
      </c>
      <c r="K23" s="81"/>
      <c r="L23" s="104" t="s">
        <v>66</v>
      </c>
      <c r="M23" s="155" t="s">
        <v>70</v>
      </c>
      <c r="N23" s="156"/>
      <c r="O23" s="3"/>
      <c r="P23" s="8"/>
    </row>
    <row r="24" spans="1:16" x14ac:dyDescent="0.2">
      <c r="B24" s="7"/>
      <c r="C24" s="3"/>
      <c r="D24" s="81" t="s">
        <v>20</v>
      </c>
      <c r="E24" s="166">
        <v>55372072</v>
      </c>
      <c r="F24" s="167"/>
      <c r="G24" s="167"/>
      <c r="H24" s="167"/>
      <c r="I24" s="167"/>
      <c r="J24" s="167"/>
      <c r="K24" s="81"/>
      <c r="L24" s="83" t="s">
        <v>47</v>
      </c>
      <c r="M24" s="157" t="s">
        <v>65</v>
      </c>
      <c r="N24" s="156"/>
      <c r="O24" s="3"/>
      <c r="P24" s="8"/>
    </row>
    <row r="25" spans="1:16" x14ac:dyDescent="0.2">
      <c r="B25" s="7"/>
      <c r="C25" s="3"/>
      <c r="D25" s="81"/>
      <c r="E25" s="81"/>
      <c r="F25" s="81"/>
      <c r="G25" s="81"/>
      <c r="H25" s="81"/>
      <c r="I25" s="81"/>
      <c r="J25" s="81"/>
      <c r="K25" s="81"/>
      <c r="L25" s="81"/>
      <c r="M25" s="81"/>
      <c r="N25" s="81"/>
      <c r="O25" s="3"/>
      <c r="P25" s="8"/>
    </row>
    <row r="26" spans="1:16" x14ac:dyDescent="0.2">
      <c r="B26" s="7"/>
      <c r="C26" s="3"/>
      <c r="D26" s="67" t="s">
        <v>34</v>
      </c>
      <c r="E26" s="51" t="s">
        <v>21</v>
      </c>
      <c r="F26" s="174" t="s">
        <v>22</v>
      </c>
      <c r="G26" s="175"/>
      <c r="H26" s="175"/>
      <c r="I26" s="175"/>
      <c r="J26" s="175"/>
      <c r="K26" s="175"/>
      <c r="L26" s="176"/>
      <c r="M26" s="52" t="s">
        <v>53</v>
      </c>
      <c r="N26" s="108" t="s">
        <v>23</v>
      </c>
      <c r="O26" s="57"/>
      <c r="P26" s="8"/>
    </row>
    <row r="27" spans="1:16" ht="15.75" x14ac:dyDescent="0.25">
      <c r="B27" s="7"/>
      <c r="C27" s="3"/>
      <c r="D27" s="128"/>
      <c r="E27" s="53"/>
      <c r="F27" s="124"/>
      <c r="G27" s="109"/>
      <c r="H27" s="109"/>
      <c r="I27" s="109"/>
      <c r="J27" s="109"/>
      <c r="K27" s="109"/>
      <c r="L27" s="80"/>
      <c r="M27" s="94"/>
      <c r="N27" s="94"/>
      <c r="O27" s="57"/>
      <c r="P27" s="8"/>
    </row>
    <row r="28" spans="1:16" ht="15" x14ac:dyDescent="0.2">
      <c r="B28" s="7"/>
      <c r="C28" s="3"/>
      <c r="D28" s="92"/>
      <c r="E28" s="53"/>
      <c r="F28" s="126"/>
      <c r="G28" s="109"/>
      <c r="H28" s="109"/>
      <c r="I28" s="109"/>
      <c r="J28" s="109"/>
      <c r="K28" s="109"/>
      <c r="L28" s="80"/>
      <c r="M28" s="94"/>
      <c r="N28" s="94"/>
      <c r="O28" s="57"/>
      <c r="P28" s="8"/>
    </row>
    <row r="29" spans="1:16" ht="15.75" x14ac:dyDescent="0.25">
      <c r="B29" s="7"/>
      <c r="C29" s="3"/>
      <c r="D29" s="92"/>
      <c r="E29" s="53"/>
      <c r="F29" s="127"/>
      <c r="G29" s="109"/>
      <c r="H29" s="109"/>
      <c r="I29" s="109"/>
      <c r="J29" s="109"/>
      <c r="K29" s="109"/>
      <c r="L29" s="80"/>
      <c r="M29" s="94"/>
      <c r="N29" s="94"/>
      <c r="O29" s="57"/>
      <c r="P29" s="8"/>
    </row>
    <row r="30" spans="1:16" ht="15.75" x14ac:dyDescent="0.25">
      <c r="B30" s="7"/>
      <c r="C30" s="3"/>
      <c r="D30" s="92"/>
      <c r="E30" s="53"/>
      <c r="F30" s="127"/>
      <c r="G30" s="109"/>
      <c r="H30" s="109"/>
      <c r="I30" s="109"/>
      <c r="J30" s="109"/>
      <c r="K30" s="109"/>
      <c r="L30" s="80"/>
      <c r="M30" s="94"/>
      <c r="N30" s="94"/>
      <c r="O30" s="57"/>
      <c r="P30" s="8"/>
    </row>
    <row r="31" spans="1:16" ht="15.75" x14ac:dyDescent="0.25">
      <c r="A31" s="97" t="s">
        <v>54</v>
      </c>
      <c r="B31" s="7"/>
      <c r="C31" s="3"/>
      <c r="D31" s="128"/>
      <c r="E31" s="53">
        <v>1</v>
      </c>
      <c r="F31" s="133" t="s">
        <v>69</v>
      </c>
      <c r="G31" s="109"/>
      <c r="H31" s="109"/>
      <c r="I31" s="109"/>
      <c r="J31" s="109"/>
      <c r="K31" s="109"/>
      <c r="L31" s="80"/>
      <c r="M31" s="94">
        <v>300</v>
      </c>
      <c r="N31" s="94">
        <v>300</v>
      </c>
      <c r="O31" s="57"/>
      <c r="P31" s="8"/>
    </row>
    <row r="32" spans="1:16" ht="15" x14ac:dyDescent="0.2">
      <c r="A32" s="97"/>
      <c r="B32" s="7"/>
      <c r="C32" s="3"/>
      <c r="D32" s="92"/>
      <c r="E32" s="53"/>
      <c r="F32" s="126"/>
      <c r="G32" s="109"/>
      <c r="H32" s="109"/>
      <c r="I32" s="109"/>
      <c r="J32" s="109"/>
      <c r="K32" s="109"/>
      <c r="L32" s="80"/>
      <c r="M32" s="94"/>
      <c r="N32" s="94"/>
      <c r="O32" s="57"/>
      <c r="P32" s="8"/>
    </row>
    <row r="33" spans="2:16" ht="15.75" x14ac:dyDescent="0.25">
      <c r="B33" s="7"/>
      <c r="C33" s="3"/>
      <c r="D33" s="92"/>
      <c r="E33" s="53"/>
      <c r="F33" s="127"/>
      <c r="G33" s="109"/>
      <c r="H33" s="109"/>
      <c r="I33" s="109"/>
      <c r="J33" s="109"/>
      <c r="K33" s="109"/>
      <c r="L33" s="80"/>
      <c r="M33" s="94"/>
      <c r="N33" s="94"/>
      <c r="O33" s="57"/>
      <c r="P33" s="8"/>
    </row>
    <row r="34" spans="2:16" ht="15.75" x14ac:dyDescent="0.25">
      <c r="B34" s="7"/>
      <c r="C34" s="3"/>
      <c r="D34" s="92"/>
      <c r="E34" s="53"/>
      <c r="F34" s="127"/>
      <c r="G34" s="109"/>
      <c r="H34" s="109"/>
      <c r="I34" s="109"/>
      <c r="J34" s="109"/>
      <c r="K34" s="109"/>
      <c r="L34" s="80"/>
      <c r="M34" s="94"/>
      <c r="N34" s="94"/>
      <c r="O34" s="57"/>
      <c r="P34" s="8"/>
    </row>
    <row r="35" spans="2:16" ht="15.75" x14ac:dyDescent="0.25">
      <c r="B35" s="7"/>
      <c r="C35" s="3"/>
      <c r="D35" s="128"/>
      <c r="E35" s="53"/>
      <c r="F35" s="124"/>
      <c r="G35" s="109"/>
      <c r="H35" s="109"/>
      <c r="I35" s="109"/>
      <c r="J35" s="109"/>
      <c r="K35" s="109"/>
      <c r="L35" s="80"/>
      <c r="M35" s="94"/>
      <c r="N35" s="94"/>
      <c r="O35" s="57"/>
      <c r="P35" s="8"/>
    </row>
    <row r="36" spans="2:16" ht="17.100000000000001" customHeight="1" x14ac:dyDescent="0.25">
      <c r="B36" s="7"/>
      <c r="C36" s="3"/>
      <c r="D36" s="92"/>
      <c r="E36" s="53"/>
      <c r="F36" s="127"/>
      <c r="G36" s="109"/>
      <c r="H36" s="109"/>
      <c r="I36" s="109"/>
      <c r="J36" s="109"/>
      <c r="K36" s="109"/>
      <c r="L36" s="80"/>
      <c r="M36" s="94"/>
      <c r="N36" s="94"/>
      <c r="O36" s="57"/>
      <c r="P36" s="8"/>
    </row>
    <row r="37" spans="2:16" ht="15.75" x14ac:dyDescent="0.25">
      <c r="B37" s="7"/>
      <c r="C37" s="3"/>
      <c r="D37" s="92"/>
      <c r="E37" s="53"/>
      <c r="F37" s="127"/>
      <c r="G37" s="109"/>
      <c r="H37" s="109"/>
      <c r="I37" s="109"/>
      <c r="J37" s="109"/>
      <c r="K37" s="109"/>
      <c r="L37" s="80"/>
      <c r="M37" s="94"/>
      <c r="N37" s="94" t="str">
        <f t="shared" ref="N37" si="0">IF(E37&lt;&gt;"",E37*M37,"")</f>
        <v/>
      </c>
      <c r="O37" s="57"/>
      <c r="P37" s="8"/>
    </row>
    <row r="38" spans="2:16" ht="15" customHeight="1" x14ac:dyDescent="0.2">
      <c r="B38" s="7"/>
      <c r="C38" s="3"/>
      <c r="D38" s="93"/>
      <c r="E38" s="54"/>
      <c r="F38" s="151"/>
      <c r="G38" s="152"/>
      <c r="H38" s="152"/>
      <c r="I38" s="152"/>
      <c r="J38" s="152"/>
      <c r="K38" s="152"/>
      <c r="L38" s="110"/>
      <c r="M38" s="94"/>
      <c r="N38" s="94"/>
      <c r="O38" s="57"/>
      <c r="P38" s="8"/>
    </row>
    <row r="39" spans="2:16" ht="15" customHeight="1" x14ac:dyDescent="0.25">
      <c r="B39" s="7"/>
      <c r="C39" s="3"/>
      <c r="D39" s="3"/>
      <c r="E39" s="82"/>
      <c r="F39" s="104" t="s">
        <v>25</v>
      </c>
      <c r="G39" s="81"/>
      <c r="H39" s="81"/>
      <c r="I39" s="81"/>
      <c r="J39" s="77"/>
      <c r="K39" s="77"/>
      <c r="L39" s="76"/>
      <c r="M39" s="101" t="s">
        <v>24</v>
      </c>
      <c r="N39" s="95">
        <f>SUM(N27:N37)</f>
        <v>300</v>
      </c>
      <c r="O39" s="57"/>
      <c r="P39" s="8"/>
    </row>
    <row r="40" spans="2:16" ht="15" customHeight="1" x14ac:dyDescent="0.25">
      <c r="B40" s="7"/>
      <c r="C40" s="3"/>
      <c r="D40" s="3"/>
      <c r="E40" s="84"/>
      <c r="F40" s="129" t="s">
        <v>62</v>
      </c>
      <c r="G40" s="86"/>
      <c r="H40" s="84"/>
      <c r="I40" s="81"/>
      <c r="J40" s="78"/>
      <c r="K40" s="75"/>
      <c r="L40" s="75"/>
      <c r="M40" s="103" t="s">
        <v>61</v>
      </c>
      <c r="N40" s="102">
        <v>1</v>
      </c>
      <c r="O40" s="57"/>
      <c r="P40" s="8"/>
    </row>
    <row r="41" spans="2:16" ht="15" x14ac:dyDescent="0.2">
      <c r="B41" s="7"/>
      <c r="C41" s="3"/>
      <c r="D41" s="3"/>
      <c r="E41" s="84">
        <v>2</v>
      </c>
      <c r="F41" s="104" t="s">
        <v>56</v>
      </c>
      <c r="G41" s="81"/>
      <c r="H41" s="85"/>
      <c r="I41" s="81"/>
      <c r="J41" s="79" t="s">
        <v>26</v>
      </c>
      <c r="K41" s="75"/>
      <c r="L41" s="75"/>
      <c r="M41" s="103">
        <v>0.19</v>
      </c>
      <c r="N41" s="102">
        <f>N39*0.19</f>
        <v>57</v>
      </c>
      <c r="O41" s="57"/>
      <c r="P41" s="8"/>
    </row>
    <row r="42" spans="2:16" ht="15.75" x14ac:dyDescent="0.25">
      <c r="B42" s="7"/>
      <c r="C42" s="132" t="s">
        <v>63</v>
      </c>
      <c r="D42" s="132" t="s">
        <v>63</v>
      </c>
      <c r="E42" s="84"/>
      <c r="F42" s="104"/>
      <c r="G42" s="81"/>
      <c r="H42" s="85"/>
      <c r="I42" s="81"/>
      <c r="J42" s="79"/>
      <c r="K42" s="75"/>
      <c r="L42" s="75"/>
      <c r="M42" s="146" t="s">
        <v>27</v>
      </c>
      <c r="N42" s="147">
        <f>SUM(N39:N41)</f>
        <v>358</v>
      </c>
      <c r="O42" s="57"/>
      <c r="P42" s="8"/>
    </row>
    <row r="43" spans="2:16" ht="15.75" x14ac:dyDescent="0.25">
      <c r="B43" s="7"/>
      <c r="C43" s="132" t="s">
        <v>64</v>
      </c>
      <c r="D43" s="125" t="s">
        <v>64</v>
      </c>
      <c r="E43" s="116"/>
      <c r="F43" s="116"/>
      <c r="G43" s="116"/>
      <c r="H43" s="116"/>
      <c r="I43" s="116"/>
      <c r="J43" s="116"/>
      <c r="K43" s="116"/>
      <c r="L43" s="116"/>
      <c r="M43" s="146"/>
      <c r="N43" s="148"/>
      <c r="O43" s="57"/>
      <c r="P43" s="8"/>
    </row>
    <row r="44" spans="2:16" ht="15" customHeight="1" x14ac:dyDescent="0.2">
      <c r="B44" s="7"/>
      <c r="C44" s="115"/>
      <c r="D44" s="115"/>
      <c r="E44" s="115"/>
      <c r="F44" s="115"/>
      <c r="G44" s="115"/>
      <c r="H44" s="115"/>
      <c r="I44" s="115"/>
      <c r="J44" s="115"/>
      <c r="K44" s="115"/>
      <c r="L44" s="115"/>
      <c r="M44" s="130"/>
      <c r="N44" s="131"/>
      <c r="O44" s="57"/>
      <c r="P44" s="8"/>
    </row>
    <row r="45" spans="2:16" ht="15" customHeight="1" x14ac:dyDescent="0.2">
      <c r="B45" s="7"/>
      <c r="C45" s="141" t="s">
        <v>58</v>
      </c>
      <c r="D45" s="141"/>
      <c r="E45" s="141"/>
      <c r="F45" s="141"/>
      <c r="G45" s="141"/>
      <c r="H45" s="141"/>
      <c r="I45" s="141"/>
      <c r="J45" s="141"/>
      <c r="K45" s="141"/>
      <c r="L45" s="141"/>
      <c r="M45" s="141"/>
      <c r="N45" s="141"/>
      <c r="O45" s="57"/>
      <c r="P45" s="8"/>
    </row>
    <row r="46" spans="2:16" ht="12.75" customHeight="1" x14ac:dyDescent="0.2">
      <c r="B46" s="7"/>
      <c r="C46" s="115"/>
      <c r="D46" s="3"/>
      <c r="E46" s="122"/>
      <c r="F46" s="122"/>
      <c r="G46" s="122"/>
      <c r="H46" s="122"/>
      <c r="I46" s="122"/>
      <c r="J46" s="122"/>
      <c r="K46" s="122"/>
      <c r="L46" s="122"/>
      <c r="M46" s="98"/>
      <c r="N46" s="99"/>
      <c r="O46" s="57"/>
      <c r="P46" s="8"/>
    </row>
    <row r="47" spans="2:16" ht="3" customHeight="1" x14ac:dyDescent="0.2">
      <c r="B47" s="7"/>
      <c r="C47" s="123"/>
      <c r="D47" s="3"/>
      <c r="E47" s="113"/>
      <c r="F47" s="113"/>
      <c r="G47" s="113"/>
      <c r="H47" s="113"/>
      <c r="I47" s="113"/>
      <c r="J47" s="113"/>
      <c r="K47" s="113"/>
      <c r="L47" s="113"/>
      <c r="M47" s="117"/>
      <c r="N47" s="118"/>
      <c r="O47" s="57"/>
      <c r="P47" s="8"/>
    </row>
    <row r="48" spans="2:16" ht="15.75" x14ac:dyDescent="0.2">
      <c r="B48" s="7"/>
      <c r="C48" s="3"/>
      <c r="D48" s="3"/>
      <c r="E48" s="18"/>
      <c r="F48" s="143" t="s">
        <v>55</v>
      </c>
      <c r="G48" s="143"/>
      <c r="H48" s="143"/>
      <c r="I48" s="143"/>
      <c r="J48" s="143"/>
      <c r="K48" s="143"/>
      <c r="L48" s="143"/>
      <c r="M48" s="96" t="s">
        <v>60</v>
      </c>
      <c r="N48" s="118"/>
      <c r="O48" s="57"/>
      <c r="P48" s="8"/>
    </row>
    <row r="49" spans="1:16" ht="15.75" customHeight="1" x14ac:dyDescent="0.2">
      <c r="B49" s="7"/>
      <c r="C49" s="142" t="s">
        <v>57</v>
      </c>
      <c r="D49" s="142"/>
      <c r="E49" s="142"/>
      <c r="F49" s="142"/>
      <c r="G49" s="142"/>
      <c r="H49" s="142"/>
      <c r="I49" s="142"/>
      <c r="J49" s="142"/>
      <c r="K49" s="142"/>
      <c r="L49" s="142"/>
      <c r="M49" s="142"/>
      <c r="N49" s="100"/>
      <c r="O49" s="57"/>
      <c r="P49" s="8"/>
    </row>
    <row r="50" spans="1:16" ht="15.75" customHeight="1" x14ac:dyDescent="0.2">
      <c r="B50" s="7"/>
      <c r="C50" s="3"/>
      <c r="D50" s="3"/>
      <c r="E50" s="121"/>
      <c r="F50" s="121"/>
      <c r="G50" s="121"/>
      <c r="H50" s="121"/>
      <c r="I50" s="121"/>
      <c r="J50" s="121"/>
      <c r="K50" s="121"/>
      <c r="L50" s="121"/>
      <c r="M50" s="121"/>
      <c r="N50" s="96"/>
      <c r="O50" s="57"/>
      <c r="P50" s="8"/>
    </row>
    <row r="51" spans="1:16" ht="0.95" customHeight="1" thickBot="1" x14ac:dyDescent="0.25">
      <c r="B51" s="7"/>
      <c r="C51" s="111"/>
      <c r="D51" s="111"/>
      <c r="E51" s="112"/>
      <c r="F51" s="112"/>
      <c r="G51" s="112"/>
      <c r="H51" s="144"/>
      <c r="I51" s="144"/>
      <c r="J51" s="144"/>
      <c r="K51" s="144"/>
      <c r="L51" s="144"/>
      <c r="M51" s="112"/>
      <c r="N51" s="112"/>
      <c r="O51" s="57"/>
      <c r="P51" s="8"/>
    </row>
    <row r="52" spans="1:16" ht="6" customHeight="1" thickTop="1" x14ac:dyDescent="0.2">
      <c r="B52" s="7"/>
      <c r="C52" s="58"/>
      <c r="D52" s="58"/>
      <c r="E52" s="58"/>
      <c r="F52" s="58"/>
      <c r="G52" s="58"/>
      <c r="H52" s="58"/>
      <c r="I52" s="58"/>
      <c r="J52" s="58"/>
      <c r="K52" s="58"/>
      <c r="L52" s="58"/>
      <c r="M52" s="58"/>
      <c r="N52" s="58"/>
      <c r="O52" s="57"/>
      <c r="P52" s="8"/>
    </row>
    <row r="53" spans="1:16" x14ac:dyDescent="0.2">
      <c r="B53" s="7"/>
      <c r="C53" s="114"/>
      <c r="D53" s="114"/>
      <c r="E53" s="114"/>
      <c r="F53" s="114"/>
      <c r="G53" s="114"/>
      <c r="H53" s="114"/>
      <c r="I53" s="114"/>
      <c r="J53" s="114"/>
      <c r="K53" s="120"/>
      <c r="L53" s="120"/>
      <c r="M53" s="120"/>
      <c r="N53" s="120"/>
      <c r="O53" s="57"/>
      <c r="P53" s="8"/>
    </row>
    <row r="54" spans="1:16" x14ac:dyDescent="0.2">
      <c r="A54" s="98"/>
    </row>
    <row r="55" spans="1:16" x14ac:dyDescent="0.2">
      <c r="A55" s="9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M9:N9"/>
    <mergeCell ref="F38:K38"/>
    <mergeCell ref="M21:N21"/>
    <mergeCell ref="M23:N23"/>
    <mergeCell ref="M24:N24"/>
    <mergeCell ref="M13:N13"/>
    <mergeCell ref="G23:H23"/>
    <mergeCell ref="E22:J22"/>
    <mergeCell ref="E21:J21"/>
    <mergeCell ref="E24:J24"/>
    <mergeCell ref="M17:N19"/>
    <mergeCell ref="F26:L26"/>
    <mergeCell ref="M22:N22"/>
    <mergeCell ref="C45:N45"/>
    <mergeCell ref="C49:M49"/>
    <mergeCell ref="F48:L48"/>
    <mergeCell ref="H51:L51"/>
    <mergeCell ref="H14:L15"/>
    <mergeCell ref="M42:M43"/>
    <mergeCell ref="N42:N43"/>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39">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0:N4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0: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2">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31 M27: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0 N32:N38">
      <formula1>0</formula1>
      <formula2>0</formula2>
    </dataValidation>
    <dataValidation type="list" allowBlank="1" showInputMessage="1" showErrorMessage="1" errorTitle="Code TVA" error="Tapez 1, 2, ou 3." sqref="L27:L38">
      <formula1>"1,2,3"</formula1>
    </dataValidation>
    <dataValidation type="whole" errorStyle="warning" allowBlank="1" showErrorMessage="1" errorTitle="Quantité" error="Tapez un nombre dans cette cellule." promptTitle="Quantité" sqref="E27:E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38</xdr:row>
                    <xdr:rowOff>0</xdr:rowOff>
                  </from>
                  <to>
                    <xdr:col>4</xdr:col>
                    <xdr:colOff>695325</xdr:colOff>
                    <xdr:row>39</xdr:row>
                    <xdr:rowOff>19050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39</xdr:row>
                    <xdr:rowOff>0</xdr:rowOff>
                  </from>
                  <to>
                    <xdr:col>4</xdr:col>
                    <xdr:colOff>704850</xdr:colOff>
                    <xdr:row>40</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40</xdr:row>
                    <xdr:rowOff>28575</xdr:rowOff>
                  </from>
                  <to>
                    <xdr:col>4</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46048</v>
      </c>
      <c r="D8" s="71" t="str">
        <f>Facture!$E$21</f>
        <v xml:space="preserve">EKM </v>
      </c>
      <c r="E8" s="68" t="str">
        <f>Facture!$E$22</f>
        <v xml:space="preserve">37 Rue des fonderies ZI Ben Arous </v>
      </c>
      <c r="F8" s="68">
        <f>Facture!$E$23</f>
        <v>0</v>
      </c>
      <c r="G8" s="71">
        <f>Facture!$G$23</f>
        <v>0</v>
      </c>
      <c r="H8" s="71" t="str">
        <f>Facture!$J$23</f>
        <v>TN</v>
      </c>
      <c r="I8" s="68">
        <f>Facture!$E$24</f>
        <v>55372072</v>
      </c>
      <c r="J8" s="72">
        <f>Facture!$N$42</f>
        <v>358</v>
      </c>
      <c r="K8" s="68" t="str">
        <f>Facture!$M$23</f>
        <v xml:space="preserve">Mme  Dorra Kammoun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2026-01-26T07:46:35Z</cp:lastPrinted>
  <dcterms:created xsi:type="dcterms:W3CDTF">1995-05-29T15:50:39Z</dcterms:created>
  <dcterms:modified xsi:type="dcterms:W3CDTF">2026-01-30T10:34:00Z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358</vt:r8>
  </property>
</Properties>
</file>