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Facture!$E$43:$E$46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8" i="3" l="1"/>
  <c r="M47" i="3"/>
  <c r="M36" i="3" l="1"/>
  <c r="M37" i="3"/>
  <c r="M38" i="3"/>
  <c r="M39" i="3"/>
  <c r="M40" i="3"/>
  <c r="M41" i="3"/>
  <c r="M42" i="3"/>
  <c r="M29" i="3"/>
  <c r="M30" i="3"/>
  <c r="M28" i="3" l="1"/>
  <c r="M31" i="3"/>
  <c r="M32" i="3"/>
  <c r="M33" i="3"/>
  <c r="M34" i="3"/>
  <c r="M35" i="3"/>
  <c r="M43" i="3" l="1"/>
  <c r="F33" i="2"/>
  <c r="K8" i="8"/>
  <c r="I8" i="8"/>
  <c r="H8" i="8"/>
  <c r="G8" i="8"/>
  <c r="F8" i="8"/>
  <c r="E8" i="8"/>
  <c r="D8" i="8"/>
  <c r="C8" i="8"/>
  <c r="B8" i="8"/>
  <c r="M44" i="3" l="1"/>
  <c r="M45" i="3" s="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<sst xmlns="http://schemas.openxmlformats.org/spreadsheetml/2006/main" count="87" uniqueCount="77">
  <si>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</si>
  <si>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</si>
  <si>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</si>
  <si>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</si>
  <si>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</si>
  <si>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</si>
  <si>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</si>
  <si>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</si>
  <si>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</si>
  <si>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</si>
  <si>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</si>
  <si>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</si>
  <si>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</si>
  <si>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</si>
  <si>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</si>
  <si>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</si>
  <si>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</si>
  <si>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</si>
  <si>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</si>
  <si>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</si>
  <si>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</si>
  <si>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</si>
  <si>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</si>
  <si>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</si>
  <si>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</si>
  <si>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</si>
  <si>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</si>
  <si>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</si>
  <si>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</si>
  <si>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</si>
  <si>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</si>
  <si>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</si>
  <si>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</si>
  <si>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</si>
  <si>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</si>
  <si>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</si>
  <si>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</si>
  <si>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</si>
  <si>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</si>
  <si>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</si>
  <si>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</si>
  <si>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</si>
  <si>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</si>
  <si>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</si>
  <si>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</si>
  <si>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</si>
  <si>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</si>
  <si>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</si>
  <si>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</si>
  <si>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</si>
  <si>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</si>
  <si>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</si>
  <si>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</si>
  <si>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</si>
  <si>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</si>
  <si>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</si>
  <si>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</si>
  <si>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</si>
  <si>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</si>
  <si>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</si>
  <si>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</si>
  <si>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</si>
  <si>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</si>
  <si>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</si>
  <si>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</si>
  <si>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</si>
  <si>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Responsable: Service achat</t>
  </si>
  <si>
    <t>MF:719218H/A/M/000</t>
  </si>
  <si>
    <t xml:space="preserve">       Fax: 71 857 740</t>
  </si>
  <si>
    <t>POLE TECHNOLOGIQUE DE LA COMMUNICATION ROUTE RAOUED</t>
  </si>
  <si>
    <t>ARIANA</t>
  </si>
  <si>
    <t>Offre de prix 201805002</t>
  </si>
  <si>
    <t>Date : 09/03/2018</t>
  </si>
  <si>
    <t>Chaussures De Securité</t>
  </si>
  <si>
    <t>Remise 30%</t>
  </si>
  <si>
    <t xml:space="preserve">TOTAL  Apres  remise </t>
  </si>
  <si>
    <t>ARRETE LA PRESENTE DEVIS  A LA SOMME DE:  SEPT CENT DINARS ET 320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</si>
</sst>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54"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42" fillId="6" borderId="0" xfId="0" applyFont="1" applyFill="1" applyBorder="1"/>
    <xf numFmtId="0" fontId="42" fillId="0" borderId="46" xfId="0" quotePrefix="1" applyFont="1" applyFill="1" applyBorder="1" applyAlignment="1">
      <alignment horizontal="righ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3"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80" t="s">
        <v>71</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5" t="s">
        <v>64</v>
      </c>
      <c r="F22" s="185"/>
      <c r="G22" s="185"/>
      <c r="H22" s="185"/>
      <c r="I22" s="185"/>
      <c r="J22" s="185"/>
      <c r="K22" s="104"/>
      <c r="L22" s="183" t="s">
        <v>72</v>
      </c>
      <c r="M22" s="183"/>
      <c r="N22" s="52"/>
      <c r="O22" s="9"/>
    </row>
    <row r="23" spans="2:15" ht="33.75" x14ac:dyDescent="0.5">
      <c r="B23" s="7"/>
      <c r="C23" s="3"/>
      <c r="D23" s="103" t="s">
        <v>54</v>
      </c>
      <c r="E23" s="174" t="s">
        <v>69</v>
      </c>
      <c r="F23" s="174"/>
      <c r="G23" s="174"/>
      <c r="H23" s="174"/>
      <c r="I23" s="174"/>
      <c r="J23" s="174"/>
      <c r="K23" s="174"/>
      <c r="L23" s="105" t="s">
        <v>65</v>
      </c>
      <c r="M23" s="105"/>
      <c r="N23" s="53"/>
      <c r="O23" s="9"/>
    </row>
    <row r="24" spans="2:15" ht="33.75" x14ac:dyDescent="0.5">
      <c r="B24" s="7"/>
      <c r="C24" s="3"/>
      <c r="D24" s="103" t="s">
        <v>55</v>
      </c>
      <c r="E24" s="118">
        <v>2088</v>
      </c>
      <c r="F24" s="106" t="s">
        <v>8</v>
      </c>
      <c r="G24" s="175" t="s">
        <v>70</v>
      </c>
      <c r="H24" s="175"/>
      <c r="I24" s="107" t="s">
        <v>9</v>
      </c>
      <c r="J24" s="108" t="s">
        <v>59</v>
      </c>
      <c r="K24" s="104"/>
      <c r="L24" s="184" t="s">
        <v>66</v>
      </c>
      <c r="M24" s="184"/>
      <c r="N24" s="3"/>
      <c r="O24" s="9"/>
    </row>
    <row r="25" spans="2:15" ht="33.75" x14ac:dyDescent="0.5">
      <c r="B25" s="7"/>
      <c r="C25" s="3"/>
      <c r="D25" s="103" t="s">
        <v>56</v>
      </c>
      <c r="E25" s="186" t="s">
        <v>68</v>
      </c>
      <c r="F25" s="186"/>
      <c r="G25" s="186"/>
      <c r="H25" s="186"/>
      <c r="I25" s="186"/>
      <c r="J25" s="186"/>
      <c r="K25" s="104"/>
      <c r="L25" s="184" t="s">
        <v>67</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64"/>
      <c r="E28" s="111">
        <v>7</v>
      </c>
      <c r="F28" s="125" t="s">
        <v>73</v>
      </c>
      <c r="G28" s="154"/>
      <c r="H28" s="154"/>
      <c r="I28" s="154"/>
      <c r="J28" s="154"/>
      <c r="K28" s="155"/>
      <c r="L28" s="113">
        <v>120</v>
      </c>
      <c r="M28" s="119">
        <f>IF(E28&lt;&gt;"",E28*L28,"")</f>
        <v>840</v>
      </c>
      <c r="N28" s="54"/>
      <c r="O28" s="9"/>
    </row>
    <row r="29" spans="2:15" ht="30" x14ac:dyDescent="0.4">
      <c r="B29" s="7"/>
      <c r="C29" s="3"/>
      <c r="D29" s="164"/>
      <c r="E29" s="111"/>
      <c r="F29" s="125"/>
      <c r="G29" s="156"/>
      <c r="H29" s="156"/>
      <c r="I29" s="156"/>
      <c r="J29" s="156"/>
      <c r="K29" s="157"/>
      <c r="L29" s="114"/>
      <c r="M29" s="119" t="str">
        <f>IF(E29&lt;&gt;"",E29*L29,"")</f>
        <v/>
      </c>
      <c r="N29" s="54"/>
      <c r="O29" s="9"/>
    </row>
    <row r="30" spans="2:15" ht="30" x14ac:dyDescent="0.4">
      <c r="B30" s="7"/>
      <c r="C30" s="3"/>
      <c r="D30" s="164"/>
      <c r="E30" s="111"/>
      <c r="F30" s="125"/>
      <c r="G30" s="156"/>
      <c r="H30" s="156"/>
      <c r="I30" s="156"/>
      <c r="J30" s="156"/>
      <c r="K30" s="157"/>
      <c r="L30" s="114"/>
      <c r="M30" s="119" t="str">
        <f t="shared" ref="M30:M42" si="0">IF(E30&lt;&gt;"",E30*L30,"")</f>
        <v/>
      </c>
      <c r="N30" s="54"/>
      <c r="O30" s="9"/>
    </row>
    <row r="31" spans="2:15" ht="30" x14ac:dyDescent="0.4">
      <c r="B31" s="7"/>
      <c r="C31" s="3"/>
      <c r="D31" s="164"/>
      <c r="E31" s="111"/>
      <c r="F31" s="125"/>
      <c r="G31" s="156"/>
      <c r="H31" s="156"/>
      <c r="I31" s="156"/>
      <c r="J31" s="156"/>
      <c r="K31" s="157"/>
      <c r="L31" s="114"/>
      <c r="M31" s="119" t="str">
        <f t="shared" si="0"/>
        <v/>
      </c>
      <c r="N31" s="54"/>
      <c r="O31" s="9"/>
    </row>
    <row r="32" spans="2:15" ht="30" x14ac:dyDescent="0.4">
      <c r="B32" s="7"/>
      <c r="C32" s="3"/>
      <c r="D32" s="128"/>
      <c r="E32" s="112"/>
      <c r="F32" s="125"/>
      <c r="G32" s="156"/>
      <c r="H32" s="156"/>
      <c r="I32" s="156"/>
      <c r="J32" s="156"/>
      <c r="K32" s="157"/>
      <c r="L32" s="114"/>
      <c r="M32" s="119" t="str">
        <f t="shared" si="0"/>
        <v/>
      </c>
      <c r="N32" s="95"/>
      <c r="O32" s="9"/>
    </row>
    <row r="33" spans="2:15" ht="30" x14ac:dyDescent="0.4">
      <c r="B33" s="7"/>
      <c r="C33" s="3"/>
      <c r="D33" s="128"/>
      <c r="E33" s="112"/>
      <c r="F33" s="125"/>
      <c r="G33" s="156"/>
      <c r="H33" s="156"/>
      <c r="I33" s="156"/>
      <c r="J33" s="156"/>
      <c r="K33" s="157"/>
      <c r="L33" s="114"/>
      <c r="M33" s="119" t="str">
        <f t="shared" si="0"/>
        <v/>
      </c>
      <c r="N33" s="95"/>
      <c r="O33" s="9"/>
    </row>
    <row r="34" spans="2:15" ht="30" x14ac:dyDescent="0.4">
      <c r="B34" s="7"/>
      <c r="C34" s="3"/>
      <c r="D34" s="128"/>
      <c r="E34" s="112"/>
      <c r="F34" s="125"/>
      <c r="G34" s="156"/>
      <c r="H34" s="156"/>
      <c r="I34" s="156"/>
      <c r="J34" s="156"/>
      <c r="K34" s="157"/>
      <c r="L34" s="114"/>
      <c r="M34" s="119" t="str">
        <f t="shared" si="0"/>
        <v/>
      </c>
      <c r="N34" s="95"/>
      <c r="O34" s="9"/>
    </row>
    <row r="35" spans="2:15" ht="30" x14ac:dyDescent="0.4">
      <c r="B35" s="7"/>
      <c r="C35" s="3"/>
      <c r="D35" s="128"/>
      <c r="E35" s="112"/>
      <c r="F35" s="125"/>
      <c r="G35" s="156"/>
      <c r="H35" s="156"/>
      <c r="I35" s="156"/>
      <c r="J35" s="156"/>
      <c r="K35" s="157"/>
      <c r="L35" s="114"/>
      <c r="M35" s="119" t="str">
        <f t="shared" si="0"/>
        <v/>
      </c>
      <c r="N35" s="95"/>
      <c r="O35" s="9"/>
    </row>
    <row r="36" spans="2:15" ht="30" x14ac:dyDescent="0.4">
      <c r="B36" s="7"/>
      <c r="C36" s="3"/>
      <c r="D36" s="128"/>
      <c r="E36" s="112"/>
      <c r="F36" s="125"/>
      <c r="G36" s="156"/>
      <c r="H36" s="156"/>
      <c r="I36" s="156"/>
      <c r="J36" s="156"/>
      <c r="K36" s="157"/>
      <c r="L36" s="114"/>
      <c r="M36" s="119" t="str">
        <f t="shared" si="0"/>
        <v/>
      </c>
      <c r="N36" s="54"/>
      <c r="O36" s="9"/>
    </row>
    <row r="37" spans="2:15" ht="30" x14ac:dyDescent="0.4">
      <c r="B37" s="7"/>
      <c r="C37" s="3"/>
      <c r="D37" s="128"/>
      <c r="E37" s="112"/>
      <c r="F37" s="125"/>
      <c r="G37" s="156"/>
      <c r="H37" s="156"/>
      <c r="I37" s="156"/>
      <c r="J37" s="156"/>
      <c r="K37" s="157"/>
      <c r="L37" s="114"/>
      <c r="M37" s="119" t="str">
        <f t="shared" si="0"/>
        <v/>
      </c>
      <c r="N37" s="54"/>
      <c r="O37" s="9"/>
    </row>
    <row r="38" spans="2:15" ht="30" x14ac:dyDescent="0.4">
      <c r="B38" s="7"/>
      <c r="C38" s="3"/>
      <c r="D38" s="128"/>
      <c r="E38" s="112"/>
      <c r="F38" s="125"/>
      <c r="G38" s="156"/>
      <c r="H38" s="156"/>
      <c r="I38" s="156"/>
      <c r="J38" s="156"/>
      <c r="K38" s="157"/>
      <c r="L38" s="114"/>
      <c r="M38" s="119" t="str">
        <f t="shared" si="0"/>
        <v/>
      </c>
      <c r="N38" s="54"/>
      <c r="O38" s="9"/>
    </row>
    <row r="39" spans="2:15" ht="30" x14ac:dyDescent="0.4">
      <c r="B39" s="7"/>
      <c r="C39" s="3"/>
      <c r="D39" s="128"/>
      <c r="E39" s="112"/>
      <c r="F39" s="125"/>
      <c r="G39" s="156"/>
      <c r="H39" s="156"/>
      <c r="I39" s="156"/>
      <c r="J39" s="156"/>
      <c r="K39" s="157"/>
      <c r="L39" s="114"/>
      <c r="M39" s="119" t="str">
        <f t="shared" si="0"/>
        <v/>
      </c>
      <c r="N39" s="54"/>
      <c r="O39" s="9"/>
    </row>
    <row r="40" spans="2:15" ht="30" x14ac:dyDescent="0.4">
      <c r="B40" s="7"/>
      <c r="C40" s="3"/>
      <c r="D40" s="128"/>
      <c r="E40" s="112"/>
      <c r="F40" s="125"/>
      <c r="G40" s="156"/>
      <c r="H40" s="156"/>
      <c r="I40" s="156"/>
      <c r="J40" s="156"/>
      <c r="K40" s="157"/>
      <c r="L40" s="114"/>
      <c r="M40" s="119" t="str">
        <f t="shared" si="0"/>
        <v/>
      </c>
      <c r="N40" s="54"/>
      <c r="O40" s="9"/>
    </row>
    <row r="41" spans="2:15" ht="30" x14ac:dyDescent="0.4">
      <c r="B41" s="7"/>
      <c r="C41" s="3"/>
      <c r="D41" s="128"/>
      <c r="E41" s="112"/>
      <c r="F41" s="125"/>
      <c r="G41" s="156"/>
      <c r="H41" s="156"/>
      <c r="I41" s="156"/>
      <c r="J41" s="156"/>
      <c r="K41" s="157"/>
      <c r="L41" s="114"/>
      <c r="M41" s="119" t="str">
        <f t="shared" si="0"/>
        <v/>
      </c>
      <c r="N41" s="54"/>
      <c r="O41" s="9"/>
    </row>
    <row r="42" spans="2:15" ht="30" x14ac:dyDescent="0.4">
      <c r="B42" s="7"/>
      <c r="C42" s="3"/>
      <c r="D42" s="151"/>
      <c r="E42" s="160"/>
      <c r="F42" s="161"/>
      <c r="G42" s="152"/>
      <c r="H42" s="152"/>
      <c r="I42" s="152"/>
      <c r="J42" s="152"/>
      <c r="K42" s="153"/>
      <c r="L42" s="162"/>
      <c r="M42" s="163" t="str">
        <f t="shared" si="0"/>
        <v/>
      </c>
      <c r="N42" s="54"/>
      <c r="O42" s="9"/>
    </row>
    <row r="43" spans="2:15" ht="35.25" x14ac:dyDescent="0.5">
      <c r="B43" s="7"/>
      <c r="C43" s="3"/>
      <c r="D43" s="85"/>
      <c r="E43" s="96"/>
      <c r="F43" s="132"/>
      <c r="G43" s="129"/>
      <c r="H43" s="129"/>
      <c r="I43" s="129"/>
      <c r="J43" s="130"/>
      <c r="K43" s="131"/>
      <c r="L43" s="134" t="s">
        <v>26</v>
      </c>
      <c r="M43" s="139">
        <f>SUM(M28:M42)</f>
        <v>840</v>
      </c>
      <c r="N43" s="54"/>
      <c r="O43" s="9"/>
    </row>
    <row r="44" spans="2:15" ht="35.25" x14ac:dyDescent="0.5">
      <c r="B44" s="7"/>
      <c r="C44" s="3"/>
      <c r="D44" s="85"/>
      <c r="E44" s="96"/>
      <c r="F44" s="132"/>
      <c r="G44" s="129"/>
      <c r="H44" s="129"/>
      <c r="I44" s="129"/>
      <c r="J44" s="130"/>
      <c r="K44" s="131"/>
      <c r="L44" s="134" t="s">
        <v>74</v>
      </c>
      <c r="M44" s="139">
        <f>+M43*30%</f>
        <v>252</v>
      </c>
      <c r="N44" s="54"/>
      <c r="O44" s="9"/>
    </row>
    <row r="45" spans="2:15" ht="35.25" x14ac:dyDescent="0.5">
      <c r="B45" s="7"/>
      <c r="C45" s="3"/>
      <c r="D45" s="85"/>
      <c r="E45" s="96"/>
      <c r="F45" s="132"/>
      <c r="G45" s="129"/>
      <c r="H45" s="129"/>
      <c r="I45" s="129"/>
      <c r="J45" s="130"/>
      <c r="K45" s="187"/>
      <c r="L45" s="188" t="s">
        <v>75</v>
      </c>
      <c r="M45" s="139">
        <f>+M43-M44</f>
        <v>588</v>
      </c>
      <c r="N45" s="54"/>
      <c r="O45" s="9"/>
    </row>
    <row r="46" spans="2:15" ht="35.25" x14ac:dyDescent="0.5">
      <c r="B46" s="7"/>
      <c r="C46" s="3"/>
      <c r="D46" s="102"/>
      <c r="E46" s="98" t="s">
        <v>57</v>
      </c>
      <c r="F46" s="77"/>
      <c r="G46" s="77"/>
      <c r="H46" s="77"/>
      <c r="I46" s="77"/>
      <c r="J46" s="78"/>
      <c r="K46" s="93"/>
      <c r="L46" s="133" t="s">
        <v>47</v>
      </c>
      <c r="M46" s="109">
        <v>0.6</v>
      </c>
      <c r="N46" s="54"/>
      <c r="O46" s="9"/>
    </row>
    <row r="47" spans="2:15" ht="35.25" x14ac:dyDescent="0.5">
      <c r="B47" s="7"/>
      <c r="C47" s="3"/>
      <c r="D47" s="99"/>
      <c r="E47" s="98" t="s">
        <v>58</v>
      </c>
      <c r="F47" s="77"/>
      <c r="G47" s="77"/>
      <c r="H47" s="77"/>
      <c r="I47" s="77"/>
      <c r="J47" s="80"/>
      <c r="K47" s="94"/>
      <c r="L47" s="135">
        <v>0.19</v>
      </c>
      <c r="M47" s="109">
        <f>M45*0.19</f>
        <v>111.72</v>
      </c>
      <c r="N47" s="54"/>
      <c r="O47" s="9"/>
    </row>
    <row r="48" spans="2:15" ht="35.25" x14ac:dyDescent="0.5">
      <c r="B48" s="7"/>
      <c r="C48" s="3"/>
      <c r="D48" s="85"/>
      <c r="E48" s="101"/>
      <c r="F48" s="97"/>
      <c r="G48" s="82"/>
      <c r="H48" s="81"/>
      <c r="I48" s="77"/>
      <c r="J48" s="83"/>
      <c r="K48" s="93"/>
      <c r="L48" s="110" t="s">
        <v>28</v>
      </c>
      <c r="M48" s="109">
        <f>+M45+M46+M47</f>
        <v>700.32</v>
      </c>
      <c r="N48" s="54"/>
      <c r="O48" s="9"/>
    </row>
    <row r="49" spans="2:16" ht="18" x14ac:dyDescent="0.2">
      <c r="B49" s="7"/>
      <c r="C49" s="3"/>
      <c r="D49" s="76"/>
      <c r="E49" s="86"/>
      <c r="F49" s="100"/>
      <c r="G49" s="77"/>
      <c r="H49" s="64"/>
      <c r="I49" s="77"/>
      <c r="J49" s="84" t="s">
        <v>27</v>
      </c>
      <c r="K49" s="78"/>
      <c r="L49" s="158"/>
      <c r="M49" s="158"/>
      <c r="N49" s="54"/>
      <c r="O49" s="9"/>
    </row>
    <row r="50" spans="2:16" ht="35.25" x14ac:dyDescent="0.5">
      <c r="B50" s="7"/>
      <c r="C50" s="3"/>
      <c r="D50" s="127"/>
      <c r="E50" s="127"/>
      <c r="F50" s="101"/>
      <c r="G50" s="126"/>
      <c r="H50" s="126"/>
      <c r="I50" s="126"/>
      <c r="J50" s="87"/>
      <c r="K50" s="87"/>
      <c r="L50" s="110"/>
      <c r="M50" s="159"/>
      <c r="N50" s="54"/>
      <c r="O50" s="9"/>
    </row>
    <row r="51" spans="2:16" x14ac:dyDescent="0.2">
      <c r="B51" s="7"/>
      <c r="C51" s="3"/>
      <c r="D51" s="179" t="s">
        <v>76</v>
      </c>
      <c r="E51" s="179"/>
      <c r="F51" s="179"/>
      <c r="G51" s="179"/>
      <c r="H51" s="179"/>
      <c r="I51" s="179"/>
      <c r="J51" s="179"/>
      <c r="K51" s="179"/>
      <c r="L51" s="179"/>
      <c r="M51" s="127"/>
      <c r="N51" s="54"/>
      <c r="O51" s="9"/>
    </row>
    <row r="52" spans="2:16" ht="26.25" x14ac:dyDescent="0.4">
      <c r="B52" s="7"/>
      <c r="C52" s="3"/>
      <c r="D52" s="179"/>
      <c r="E52" s="179"/>
      <c r="F52" s="179"/>
      <c r="G52" s="179"/>
      <c r="H52" s="179"/>
      <c r="I52" s="179"/>
      <c r="J52" s="179"/>
      <c r="K52" s="179"/>
      <c r="L52" s="179"/>
      <c r="M52" s="124"/>
      <c r="N52" s="54"/>
      <c r="O52" s="9"/>
    </row>
    <row r="53" spans="2:16" ht="26.25" x14ac:dyDescent="0.4">
      <c r="B53" s="7"/>
      <c r="C53" s="3"/>
      <c r="D53" s="76"/>
      <c r="E53" s="76"/>
      <c r="F53" s="138"/>
      <c r="G53" s="149"/>
      <c r="H53" s="149"/>
      <c r="I53" s="149"/>
      <c r="J53" s="80"/>
      <c r="K53" s="123"/>
      <c r="L53" s="140" t="s">
        <v>63</v>
      </c>
      <c r="M53" s="141"/>
      <c r="N53" s="142"/>
      <c r="O53" s="9"/>
    </row>
    <row r="54" spans="2:16" ht="23.25" x14ac:dyDescent="0.25">
      <c r="B54" s="7"/>
      <c r="C54" s="3"/>
      <c r="D54" s="76"/>
      <c r="E54" s="76"/>
      <c r="F54" s="150"/>
      <c r="G54" s="173"/>
      <c r="H54" s="173"/>
      <c r="I54" s="173"/>
      <c r="J54" s="80"/>
      <c r="K54" s="123"/>
      <c r="L54" s="143"/>
      <c r="M54" s="116"/>
      <c r="N54" s="144"/>
      <c r="O54" s="9"/>
    </row>
    <row r="55" spans="2:16" ht="23.25" x14ac:dyDescent="0.2">
      <c r="B55" s="7"/>
      <c r="C55" s="3"/>
      <c r="D55" s="76"/>
      <c r="E55" s="76"/>
      <c r="F55" s="79"/>
      <c r="G55" s="78"/>
      <c r="H55" s="78"/>
      <c r="I55" s="78"/>
      <c r="J55" s="80"/>
      <c r="K55" s="123"/>
      <c r="L55" s="146"/>
      <c r="M55" s="147"/>
      <c r="N55" s="147"/>
      <c r="O55" s="9"/>
    </row>
    <row r="56" spans="2:16" ht="15" x14ac:dyDescent="0.2">
      <c r="B56" s="7"/>
      <c r="C56" s="3"/>
      <c r="D56" s="76"/>
      <c r="E56" s="76"/>
      <c r="F56" s="78"/>
      <c r="G56" s="78"/>
      <c r="H56" s="78"/>
      <c r="I56" s="78"/>
      <c r="J56" s="80"/>
      <c r="K56" s="116"/>
      <c r="L56" s="116"/>
      <c r="M56" s="116"/>
      <c r="N56" s="54"/>
      <c r="O56" s="9"/>
    </row>
    <row r="57" spans="2:16" ht="20.25" x14ac:dyDescent="0.3">
      <c r="B57" s="7"/>
      <c r="C57" s="3"/>
      <c r="D57" s="120" t="s">
        <v>60</v>
      </c>
      <c r="E57" s="121"/>
      <c r="F57" s="78"/>
      <c r="G57" s="78"/>
      <c r="H57" s="78"/>
      <c r="I57" s="78"/>
      <c r="J57" s="80"/>
      <c r="K57" s="88"/>
      <c r="L57" s="88"/>
      <c r="M57" s="89"/>
      <c r="N57" s="54"/>
      <c r="O57" s="144"/>
      <c r="P57" s="145"/>
    </row>
    <row r="58" spans="2:16" ht="20.25" x14ac:dyDescent="0.3">
      <c r="B58" s="7"/>
      <c r="C58" s="3"/>
      <c r="D58" s="122" t="s">
        <v>61</v>
      </c>
      <c r="E58" s="122"/>
      <c r="F58" s="78"/>
      <c r="G58" s="78"/>
      <c r="H58" s="78"/>
      <c r="I58" s="78"/>
      <c r="J58" s="80"/>
      <c r="K58" s="88"/>
      <c r="L58" s="88"/>
      <c r="M58" s="88"/>
      <c r="N58" s="92"/>
      <c r="O58" s="147"/>
      <c r="P58" s="148"/>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2" t="s">
        <v>52</v>
      </c>
      <c r="E60" s="172"/>
      <c r="F60" s="172"/>
      <c r="G60" s="172"/>
      <c r="H60" s="172"/>
      <c r="I60" s="172"/>
      <c r="J60" s="172"/>
      <c r="K60" s="172"/>
      <c r="L60" s="172"/>
      <c r="M60" s="88"/>
      <c r="N60" s="92"/>
      <c r="O60" s="9"/>
    </row>
    <row r="61" spans="2:16" ht="15" customHeight="1" x14ac:dyDescent="0.2">
      <c r="B61" s="7"/>
      <c r="C61" s="3"/>
      <c r="D61" s="172"/>
      <c r="E61" s="172"/>
      <c r="F61" s="172"/>
      <c r="G61" s="172"/>
      <c r="H61" s="172"/>
      <c r="I61" s="172"/>
      <c r="J61" s="172"/>
      <c r="K61" s="172"/>
      <c r="L61" s="172"/>
      <c r="M61" s="89"/>
      <c r="N61" s="54"/>
      <c r="O61" s="9"/>
    </row>
    <row r="62" spans="2:16" ht="20.100000000000001" customHeight="1" x14ac:dyDescent="0.2">
      <c r="B62" s="7"/>
      <c r="C62" s="3"/>
      <c r="D62" s="172"/>
      <c r="E62" s="172"/>
      <c r="F62" s="172"/>
      <c r="G62" s="172"/>
      <c r="H62" s="172"/>
      <c r="I62" s="172"/>
      <c r="J62" s="172"/>
      <c r="K62" s="172"/>
      <c r="L62" s="172"/>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6"/>
      <c r="B65" s="136"/>
      <c r="C65" s="136"/>
      <c r="D65" s="136"/>
      <c r="E65" s="136"/>
      <c r="F65" s="136"/>
      <c r="G65" s="136"/>
      <c r="H65" s="136"/>
      <c r="I65" s="136"/>
      <c r="J65" s="136"/>
      <c r="K65" s="136"/>
      <c r="L65" s="136"/>
      <c r="M65" s="137"/>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09/03/2018</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700.32</v>
      </c>
      <c r="K8" s="64" t="str">
        <f>Facture!$L$24</f>
        <v>Responsable: Service achat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2018-03-09T11:12:40Z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700.32</vt:r8>
  </property>
</Properties>
</file>