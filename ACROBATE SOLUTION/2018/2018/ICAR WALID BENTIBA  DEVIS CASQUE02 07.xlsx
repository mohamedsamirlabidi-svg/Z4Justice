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4370" windowHeight="753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5" i="3" l="1"/>
  <c r="M36" i="3"/>
  <c r="M37" i="3"/>
  <c r="M38" i="3"/>
  <c r="M39" i="3"/>
  <c r="M40" i="3"/>
  <c r="M41" i="3"/>
  <c r="M42" i="3"/>
  <c r="M43" i="3"/>
  <c r="M28" i="3" l="1"/>
  <c r="M29" i="3"/>
  <c r="M30" i="3"/>
  <c r="M44" i="3" l="1"/>
  <c r="M46" i="3" s="1"/>
  <c r="M47"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<sst xmlns="http://schemas.openxmlformats.org/spreadsheetml/2006/main" count="84" uniqueCount="74">
  <si>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</si>
  <si>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</si>
  <si>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</si>
  <si>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</si>
  <si>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</si>
  <si>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</si>
  <si>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</si>
  <si>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</si>
  <si>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</si>
  <si>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</si>
  <si>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</si>
  <si>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</si>
  <si>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</si>
  <si>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</si>
  <si>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</si>
  <si>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</si>
  <si>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</si>
  <si>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</si>
  <si>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</si>
  <si>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</si>
  <si>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</si>
  <si>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</si>
  <si>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</si>
  <si>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</si>
  <si>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</si>
  <si>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</si>
  <si>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</si>
  <si>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</si>
  <si>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</si>
  <si>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</si>
  <si>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</si>
  <si>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</si>
  <si>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</si>
  <si>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</si>
  <si>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</si>
  <si>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</si>
  <si>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</si>
  <si>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</si>
  <si>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</si>
  <si>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</si>
  <si>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</si>
  <si>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</si>
  <si>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</si>
  <si>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</si>
  <si>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</si>
  <si>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</si>
  <si>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</si>
  <si>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</si>
  <si>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</si>
  <si>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</si>
  <si>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</si>
  <si>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</si>
  <si>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</si>
  <si>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</si>
  <si>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</si>
  <si>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</si>
  <si>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</si>
  <si>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</si>
  <si>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</si>
  <si>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</si>
  <si>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</si>
  <si>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</si>
  <si>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Consultation:</t>
  </si>
  <si>
    <t>P.U.DT</t>
  </si>
  <si>
    <t>TOUS NOS PRODUITS SONT CONFORMES AUX NORMES DE SÉCURITÉ "CE"  ET PRESENTENT LE CERTIFICAT DE CONFORMITE</t>
  </si>
  <si>
    <t>MF:</t>
  </si>
  <si>
    <t>C001</t>
  </si>
  <si>
    <t>http://doc.camp.it/PdfCataloghi/CAMP_SAFETY_ITA_FRA_DEU.pdf</t>
  </si>
  <si>
    <t xml:space="preserve"> CATALOGUE :</t>
  </si>
  <si>
    <t>Offre de prix 201805605</t>
  </si>
  <si>
    <t xml:space="preserve">ICAR </t>
  </si>
  <si>
    <r>
      <t xml:space="preserve">Responsable: </t>
    </r>
    <r>
      <rPr>
        <b/>
        <sz val="22"/>
        <rFont val="Arial"/>
        <family val="2"/>
      </rPr>
      <t>Mr  Walid BEN TIBA</t>
    </r>
  </si>
  <si>
    <t>Date : 02/07/2018</t>
  </si>
  <si>
    <t xml:space="preserve">Casque de securite V-GARD MSA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</si>
</sst>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b/>
      <sz val="24"/>
      <color rgb="FFFF0000"/>
      <name val="Arial"/>
      <family val="2"/>
    </font>
    <font>
      <b/>
      <sz val="18"/>
      <color theme="1"/>
      <name val="Arial"/>
      <family val="2"/>
    </font>
    <font>
      <b/>
      <sz val="18"/>
      <name val="Arial"/>
      <family val="2"/>
    </font>
    <font>
      <u/>
      <sz val="14"/>
      <name val="Arial"/>
      <family val="2"/>
    </font>
    <font>
      <sz val="12"/>
      <color rgb="FFFF0000"/>
      <name val="Arial"/>
      <family val="2"/>
    </font>
    <font>
      <u/>
      <sz val="20"/>
      <name val="Algerian"/>
      <family val="5"/>
    </font>
    <font>
      <sz val="18"/>
      <color rgb="FFFF0000"/>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6" xfId="0" applyFont="1" applyFill="1" applyBorder="1"/>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1" xfId="0" applyNumberFormat="1" applyFont="1" applyFill="1" applyBorder="1" applyAlignment="1">
      <alignment shrinkToFit="1"/>
    </xf>
    <xf numFmtId="0" fontId="41" fillId="6" borderId="52" xfId="0" applyFont="1" applyFill="1" applyBorder="1" applyAlignment="1">
      <alignment vertical="top"/>
    </xf>
    <xf numFmtId="0" fontId="41" fillId="6" borderId="53" xfId="0" applyFont="1" applyFill="1" applyBorder="1" applyAlignment="1">
      <alignment vertical="top"/>
    </xf>
    <xf numFmtId="0" fontId="18" fillId="6" borderId="53"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4"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40" xfId="5" applyNumberFormat="1" applyFill="1" applyBorder="1" applyAlignment="1"/>
    <xf numFmtId="0" fontId="0" fillId="6" borderId="0" xfId="0" applyFill="1"/>
    <xf numFmtId="168" fontId="29" fillId="0" borderId="0" xfId="0" applyNumberFormat="1" applyFont="1" applyFill="1" applyBorder="1" applyAlignment="1">
      <alignment shrinkToFit="1"/>
    </xf>
    <xf numFmtId="49" fontId="36" fillId="0" borderId="55" xfId="0" applyNumberFormat="1" applyFont="1" applyFill="1" applyBorder="1" applyAlignment="1"/>
    <xf numFmtId="168" fontId="30" fillId="0" borderId="48" xfId="0" applyNumberFormat="1" applyFont="1" applyFill="1" applyBorder="1" applyAlignment="1"/>
    <xf numFmtId="1" fontId="30" fillId="0" borderId="40" xfId="0" applyNumberFormat="1" applyFont="1" applyFill="1" applyBorder="1" applyAlignment="1">
      <alignment horizontal="center"/>
    </xf>
    <xf numFmtId="0" fontId="21" fillId="3" borderId="52" xfId="0" applyFont="1" applyFill="1" applyBorder="1" applyAlignment="1">
      <alignment horizontal="center"/>
    </xf>
    <xf numFmtId="1" fontId="32" fillId="0" borderId="40" xfId="0" applyNumberFormat="1" applyFont="1" applyFill="1" applyBorder="1" applyAlignment="1">
      <alignment horizontal="center"/>
    </xf>
    <xf numFmtId="0" fontId="23" fillId="6" borderId="29" xfId="0" applyFont="1" applyFill="1" applyBorder="1" applyAlignment="1">
      <alignment horizontal="center"/>
    </xf>
    <xf numFmtId="0" fontId="21" fillId="3" borderId="0" xfId="0" applyFont="1" applyFill="1" applyBorder="1" applyAlignment="1">
      <alignment horizontal="center"/>
    </xf>
    <xf numFmtId="0" fontId="21" fillId="3" borderId="28" xfId="0" applyFont="1" applyFill="1" applyBorder="1" applyAlignment="1">
      <alignment horizontal="center"/>
    </xf>
    <xf numFmtId="0" fontId="21" fillId="3" borderId="29" xfId="0" applyFont="1" applyFill="1" applyBorder="1" applyAlignment="1">
      <alignment horizontal="center"/>
    </xf>
    <xf numFmtId="49" fontId="42" fillId="0" borderId="28" xfId="5" applyNumberFormat="1" applyFont="1" applyFill="1" applyBorder="1" applyAlignment="1"/>
    <xf numFmtId="49" fontId="43" fillId="0" borderId="28" xfId="5" applyNumberFormat="1" applyFont="1" applyFill="1" applyBorder="1" applyAlignment="1"/>
    <xf numFmtId="0" fontId="44" fillId="3" borderId="28" xfId="0" applyFont="1" applyFill="1" applyBorder="1" applyAlignment="1"/>
    <xf numFmtId="0" fontId="44" fillId="3" borderId="0" xfId="0" applyFont="1" applyFill="1" applyBorder="1" applyAlignment="1"/>
    <xf numFmtId="0" fontId="44" fillId="3" borderId="40" xfId="0" applyFont="1" applyFill="1" applyBorder="1" applyAlignment="1"/>
    <xf numFmtId="49" fontId="46" fillId="6" borderId="0" xfId="5" applyNumberFormat="1" applyFont="1" applyFill="1" applyBorder="1" applyAlignment="1"/>
    <xf numFmtId="49" fontId="46" fillId="6" borderId="40" xfId="5" applyNumberFormat="1" applyFont="1" applyFill="1" applyBorder="1" applyAlignment="1"/>
    <xf numFmtId="0" fontId="45" fillId="6" borderId="0" xfId="0" applyFont="1" applyFill="1" applyBorder="1" applyAlignment="1"/>
    <xf numFmtId="0" fontId="45" fillId="6" borderId="40" xfId="0" applyFont="1" applyFill="1" applyBorder="1" applyAlignment="1"/>
    <xf numFmtId="49" fontId="33" fillId="6" borderId="0" xfId="0" applyNumberFormat="1" applyFont="1" applyFill="1" applyBorder="1" applyAlignment="1"/>
    <xf numFmtId="0" fontId="2" fillId="6" borderId="0" xfId="0" applyFont="1" applyFill="1"/>
    <xf numFmtId="1" fontId="23" fillId="0" borderId="40" xfId="0" applyNumberFormat="1" applyFont="1" applyFill="1" applyBorder="1" applyAlignment="1">
      <alignment horizontal="center"/>
    </xf>
    <xf numFmtId="49" fontId="38" fillId="0" borderId="28" xfId="0" applyNumberFormat="1" applyFont="1" applyFill="1" applyBorder="1" applyAlignment="1"/>
    <xf numFmtId="49" fontId="48" fillId="0" borderId="28" xfId="0" applyNumberFormat="1" applyFont="1" applyFill="1" applyBorder="1" applyAlignment="1"/>
    <xf numFmtId="49" fontId="49" fillId="0" borderId="28" xfId="0" applyNumberFormat="1" applyFont="1" applyFill="1" applyBorder="1" applyAlignment="1"/>
    <xf numFmtId="1" fontId="32" fillId="0" borderId="51" xfId="0" applyNumberFormat="1" applyFont="1" applyFill="1" applyBorder="1" applyAlignment="1">
      <alignment horizontal="center"/>
    </xf>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47" fillId="3" borderId="0" xfId="0" applyFont="1" applyFill="1" applyBorder="1" applyAlignment="1">
      <alignment shrinkToFit="1"/>
    </xf>
    <xf numFmtId="0" fontId="2" fillId="3" borderId="0" xfId="0" applyFont="1" applyFill="1" applyBorder="1" applyAlignment="1">
      <alignment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27" fillId="3" borderId="35" xfId="0" applyNumberFormat="1" applyFont="1" applyFill="1" applyBorder="1" applyAlignment="1"/>
    <xf numFmtId="0" fontId="36" fillId="3" borderId="35"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333375</xdr:colOff>
      <xdr:row>5</xdr:row>
      <xdr:rowOff>79376</xdr:rowOff>
    </xdr:from>
    <xdr:to>
      <xdr:col>13</xdr:col>
      <xdr:colOff>142874</xdr:colOff>
      <xdr:row>13</xdr:row>
      <xdr:rowOff>95250</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72500" y="746126"/>
          <a:ext cx="4984749" cy="1349374"/>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twoCellAnchor editAs="oneCell">
    <xdr:from>
      <xdr:col>10</xdr:col>
      <xdr:colOff>412750</xdr:colOff>
      <xdr:row>27</xdr:row>
      <xdr:rowOff>269875</xdr:rowOff>
    </xdr:from>
    <xdr:to>
      <xdr:col>11</xdr:col>
      <xdr:colOff>841375</xdr:colOff>
      <xdr:row>30</xdr:row>
      <xdr:rowOff>269875</xdr:rowOff>
    </xdr:to>
    <xdr:pic>
      <xdr:nvPicPr>
        <xdr:cNvPr id="11" name="Image 10" descr="C:\Users\User\Documents\v-gard-200.jpg"/>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667625" y="6096000"/>
          <a:ext cx="1412875" cy="1143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6" t="s">
        <v>0</v>
      </c>
      <c r="E4" s="177"/>
      <c r="F4" s="17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8" t="s">
        <v>2</v>
      </c>
      <c r="E10" s="17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0" t="s">
        <v>45</v>
      </c>
      <c r="E19" s="17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1" t="str">
        <f>LOWER(TemplateInformation!B3)</f>
        <v>c:\program files\microsoft office\office\macrolib\factbd.xls</v>
      </c>
      <c r="G33" s="18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8" t="s">
        <v>16</v>
      </c>
      <c r="E36" s="17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60</v>
      </c>
      <c r="E18" s="75"/>
      <c r="F18" s="75"/>
      <c r="G18" s="75"/>
      <c r="H18" s="3"/>
      <c r="I18" s="3"/>
      <c r="J18" s="3"/>
      <c r="K18" s="3"/>
      <c r="L18" s="192" t="s">
        <v>69</v>
      </c>
      <c r="M18" s="3"/>
      <c r="N18" s="3"/>
      <c r="O18" s="9"/>
    </row>
    <row r="19" spans="2:15" ht="21.95" customHeight="1" thickTop="1" x14ac:dyDescent="0.3">
      <c r="B19" s="7"/>
      <c r="C19" s="3"/>
      <c r="D19" s="55"/>
      <c r="E19" s="55"/>
      <c r="F19" s="55"/>
      <c r="G19" s="55"/>
      <c r="H19" s="55"/>
      <c r="I19" s="55"/>
      <c r="J19" s="56"/>
      <c r="K19" s="56"/>
      <c r="L19" s="193"/>
      <c r="M19" s="56"/>
      <c r="N19" s="20"/>
      <c r="O19" s="9"/>
    </row>
    <row r="20" spans="2:15" ht="21.95" customHeight="1" thickBot="1" x14ac:dyDescent="0.25">
      <c r="B20" s="7"/>
      <c r="C20" s="3"/>
      <c r="D20" s="3"/>
      <c r="E20" s="3"/>
      <c r="F20" s="3"/>
      <c r="G20" s="3"/>
      <c r="H20" s="3"/>
      <c r="I20" s="3"/>
      <c r="J20" s="3"/>
      <c r="K20" s="3"/>
      <c r="L20" s="19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51</v>
      </c>
      <c r="E22" s="197" t="s">
        <v>70</v>
      </c>
      <c r="F22" s="197"/>
      <c r="G22" s="197"/>
      <c r="H22" s="197"/>
      <c r="I22" s="197"/>
      <c r="J22" s="197"/>
      <c r="K22" s="103"/>
      <c r="L22" s="195" t="s">
        <v>72</v>
      </c>
      <c r="M22" s="195"/>
      <c r="N22" s="52"/>
      <c r="O22" s="9"/>
    </row>
    <row r="23" spans="2:15" ht="33.75" x14ac:dyDescent="0.5">
      <c r="B23" s="7"/>
      <c r="C23" s="3"/>
      <c r="D23" s="102" t="s">
        <v>52</v>
      </c>
      <c r="E23" s="185"/>
      <c r="F23" s="185"/>
      <c r="G23" s="185"/>
      <c r="H23" s="185"/>
      <c r="I23" s="185"/>
      <c r="J23" s="185"/>
      <c r="K23" s="185"/>
      <c r="L23" s="104" t="s">
        <v>62</v>
      </c>
      <c r="M23" s="104"/>
      <c r="N23" s="53"/>
      <c r="O23" s="9"/>
    </row>
    <row r="24" spans="2:15" ht="33.75" x14ac:dyDescent="0.5">
      <c r="B24" s="7"/>
      <c r="C24" s="3"/>
      <c r="D24" s="102" t="s">
        <v>53</v>
      </c>
      <c r="E24" s="114"/>
      <c r="F24" s="105" t="s">
        <v>8</v>
      </c>
      <c r="G24" s="186"/>
      <c r="H24" s="186"/>
      <c r="I24" s="106" t="s">
        <v>9</v>
      </c>
      <c r="J24" s="107" t="s">
        <v>57</v>
      </c>
      <c r="K24" s="103"/>
      <c r="L24" s="196" t="s">
        <v>71</v>
      </c>
      <c r="M24" s="196"/>
      <c r="N24" s="3"/>
      <c r="O24" s="9"/>
    </row>
    <row r="25" spans="2:15" ht="33.75" x14ac:dyDescent="0.5">
      <c r="B25" s="7"/>
      <c r="C25" s="3"/>
      <c r="D25" s="102" t="s">
        <v>54</v>
      </c>
      <c r="E25" s="198"/>
      <c r="F25" s="198"/>
      <c r="G25" s="198"/>
      <c r="H25" s="198"/>
      <c r="I25" s="198"/>
      <c r="J25" s="198"/>
      <c r="K25" s="103"/>
      <c r="L25" s="196" t="s">
        <v>65</v>
      </c>
      <c r="M25" s="19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4" t="s">
        <v>34</v>
      </c>
      <c r="E27" s="90" t="s">
        <v>22</v>
      </c>
      <c r="F27" s="187" t="s">
        <v>23</v>
      </c>
      <c r="G27" s="188"/>
      <c r="H27" s="188"/>
      <c r="I27" s="188"/>
      <c r="J27" s="188"/>
      <c r="K27" s="189"/>
      <c r="L27" s="90" t="s">
        <v>63</v>
      </c>
      <c r="M27" s="91" t="s">
        <v>24</v>
      </c>
      <c r="N27" s="92"/>
      <c r="O27" s="9"/>
    </row>
    <row r="28" spans="2:15" ht="30" x14ac:dyDescent="0.4">
      <c r="B28" s="7"/>
      <c r="C28" s="3"/>
      <c r="D28" s="159"/>
      <c r="E28" s="157"/>
      <c r="F28" s="162"/>
      <c r="G28" s="163"/>
      <c r="H28" s="163"/>
      <c r="I28" s="163"/>
      <c r="J28" s="163"/>
      <c r="K28" s="164"/>
      <c r="L28" s="158"/>
      <c r="M28" s="110" t="str">
        <f t="shared" ref="M28:M43" si="0">IF(E28&lt;&gt;"",E28*L28,"")</f>
        <v/>
      </c>
      <c r="N28" s="92"/>
      <c r="O28" s="9"/>
    </row>
    <row r="29" spans="2:15" ht="30" x14ac:dyDescent="0.4">
      <c r="B29" s="7"/>
      <c r="C29" s="3"/>
      <c r="D29" s="171" t="s">
        <v>66</v>
      </c>
      <c r="E29" s="153">
        <v>10</v>
      </c>
      <c r="F29" s="120" t="s">
        <v>73</v>
      </c>
      <c r="G29" s="167"/>
      <c r="H29" s="167"/>
      <c r="I29" s="167"/>
      <c r="J29" s="167"/>
      <c r="K29" s="168"/>
      <c r="L29" s="110">
        <v>35</v>
      </c>
      <c r="M29" s="110">
        <f t="shared" si="0"/>
        <v>350</v>
      </c>
      <c r="N29" s="92"/>
      <c r="O29" s="9"/>
    </row>
    <row r="30" spans="2:15" ht="30" x14ac:dyDescent="0.4">
      <c r="B30" s="7"/>
      <c r="C30" s="3"/>
      <c r="D30" s="156"/>
      <c r="E30" s="153"/>
      <c r="F30" s="120"/>
      <c r="G30" s="169"/>
      <c r="H30" s="170"/>
      <c r="I30" s="169"/>
      <c r="J30" s="165"/>
      <c r="K30" s="166"/>
      <c r="L30" s="110"/>
      <c r="M30" s="110" t="str">
        <f t="shared" si="0"/>
        <v/>
      </c>
      <c r="N30" s="54"/>
      <c r="O30" s="9"/>
    </row>
    <row r="31" spans="2:15" ht="30" x14ac:dyDescent="0.4">
      <c r="B31" s="7"/>
      <c r="C31" s="3"/>
      <c r="D31" s="156"/>
      <c r="E31" s="155"/>
      <c r="F31" s="149"/>
      <c r="G31" s="147"/>
      <c r="H31" s="147"/>
      <c r="I31" s="147"/>
      <c r="J31" s="147"/>
      <c r="K31" s="148"/>
      <c r="L31" s="110"/>
      <c r="M31" s="110"/>
      <c r="N31" s="54"/>
      <c r="O31" s="9"/>
    </row>
    <row r="32" spans="2:15" ht="30" x14ac:dyDescent="0.4">
      <c r="B32" s="7"/>
      <c r="C32" s="3"/>
      <c r="D32" s="156"/>
      <c r="E32" s="155"/>
      <c r="F32" s="161"/>
      <c r="G32" s="147"/>
      <c r="H32" s="147"/>
      <c r="I32" s="147"/>
      <c r="J32" s="147"/>
      <c r="K32" s="148"/>
      <c r="L32" s="110"/>
      <c r="M32" s="110"/>
      <c r="N32" s="54"/>
      <c r="O32" s="9"/>
    </row>
    <row r="33" spans="2:15" ht="30" x14ac:dyDescent="0.4">
      <c r="B33" s="7"/>
      <c r="C33" s="3"/>
      <c r="D33" s="156"/>
      <c r="E33" s="155"/>
      <c r="F33" s="161"/>
      <c r="G33" s="147"/>
      <c r="H33" s="147"/>
      <c r="I33" s="147"/>
      <c r="J33" s="147"/>
      <c r="K33" s="148"/>
      <c r="L33" s="110"/>
      <c r="M33" s="110"/>
      <c r="N33" s="54"/>
      <c r="O33" s="9"/>
    </row>
    <row r="34" spans="2:15" ht="30" x14ac:dyDescent="0.4">
      <c r="B34" s="7"/>
      <c r="C34" s="3"/>
      <c r="D34" s="156"/>
      <c r="E34" s="155"/>
      <c r="F34" s="161"/>
      <c r="G34" s="147"/>
      <c r="H34" s="147"/>
      <c r="I34" s="147"/>
      <c r="J34" s="147"/>
      <c r="K34" s="148"/>
      <c r="L34" s="110"/>
      <c r="M34" s="110"/>
      <c r="N34" s="54"/>
      <c r="O34" s="9"/>
    </row>
    <row r="35" spans="2:15" ht="30" x14ac:dyDescent="0.4">
      <c r="B35" s="7"/>
      <c r="C35" s="3"/>
      <c r="D35" s="156"/>
      <c r="E35" s="153"/>
      <c r="F35" s="160"/>
      <c r="G35" s="147"/>
      <c r="H35" s="147"/>
      <c r="I35" s="147"/>
      <c r="J35" s="147"/>
      <c r="K35" s="148"/>
      <c r="L35" s="110"/>
      <c r="M35" s="110" t="str">
        <f t="shared" si="0"/>
        <v/>
      </c>
      <c r="N35" s="54"/>
      <c r="O35" s="9"/>
    </row>
    <row r="36" spans="2:15" ht="30" x14ac:dyDescent="0.4">
      <c r="B36" s="7"/>
      <c r="C36" s="3"/>
      <c r="D36" s="171"/>
      <c r="E36" s="153"/>
      <c r="F36" s="120"/>
      <c r="G36" s="147"/>
      <c r="H36" s="147"/>
      <c r="I36" s="147"/>
      <c r="J36" s="147"/>
      <c r="K36" s="148"/>
      <c r="L36" s="110"/>
      <c r="M36" s="110" t="str">
        <f t="shared" si="0"/>
        <v/>
      </c>
      <c r="N36" s="54"/>
      <c r="O36" s="9"/>
    </row>
    <row r="37" spans="2:15" ht="30" x14ac:dyDescent="0.4">
      <c r="B37" s="7"/>
      <c r="C37" s="3"/>
      <c r="D37" s="159"/>
      <c r="E37" s="155"/>
      <c r="F37" s="120"/>
      <c r="G37" s="147"/>
      <c r="H37" s="147"/>
      <c r="I37" s="147"/>
      <c r="J37" s="147"/>
      <c r="K37" s="148"/>
      <c r="L37" s="110"/>
      <c r="M37" s="110" t="str">
        <f t="shared" si="0"/>
        <v/>
      </c>
      <c r="N37" s="54"/>
      <c r="O37" s="9"/>
    </row>
    <row r="38" spans="2:15" ht="30" x14ac:dyDescent="0.4">
      <c r="B38" s="7"/>
      <c r="C38" s="3"/>
      <c r="D38" s="171"/>
      <c r="E38" s="155"/>
      <c r="F38" s="172"/>
      <c r="G38" s="147"/>
      <c r="H38" s="147"/>
      <c r="I38" s="147"/>
      <c r="J38" s="147"/>
      <c r="K38" s="148"/>
      <c r="L38" s="110"/>
      <c r="M38" s="110" t="str">
        <f t="shared" si="0"/>
        <v/>
      </c>
      <c r="N38" s="54"/>
      <c r="O38" s="9"/>
    </row>
    <row r="39" spans="2:15" ht="30" x14ac:dyDescent="0.4">
      <c r="B39" s="7"/>
      <c r="C39" s="3"/>
      <c r="D39" s="156"/>
      <c r="E39" s="155"/>
      <c r="F39" s="160"/>
      <c r="G39" s="147"/>
      <c r="H39" s="147"/>
      <c r="I39" s="147"/>
      <c r="J39" s="147"/>
      <c r="K39" s="148"/>
      <c r="L39" s="110"/>
      <c r="M39" s="110" t="str">
        <f t="shared" si="0"/>
        <v/>
      </c>
      <c r="N39" s="54"/>
      <c r="O39" s="9"/>
    </row>
    <row r="40" spans="2:15" ht="30" x14ac:dyDescent="0.4">
      <c r="B40" s="7"/>
      <c r="C40" s="3"/>
      <c r="D40" s="156"/>
      <c r="E40" s="155"/>
      <c r="F40" s="120"/>
      <c r="G40" s="147"/>
      <c r="H40" s="147"/>
      <c r="I40" s="147"/>
      <c r="J40" s="147"/>
      <c r="K40" s="148"/>
      <c r="L40" s="110"/>
      <c r="M40" s="110" t="str">
        <f t="shared" si="0"/>
        <v/>
      </c>
      <c r="N40" s="54"/>
      <c r="O40" s="9"/>
    </row>
    <row r="41" spans="2:15" ht="30.75" x14ac:dyDescent="0.45">
      <c r="B41" s="7"/>
      <c r="C41" s="3"/>
      <c r="D41" s="156"/>
      <c r="E41" s="155"/>
      <c r="F41" s="173" t="s">
        <v>68</v>
      </c>
      <c r="G41" s="147"/>
      <c r="H41" s="147"/>
      <c r="I41" s="147"/>
      <c r="J41" s="147"/>
      <c r="K41" s="148"/>
      <c r="L41" s="110"/>
      <c r="M41" s="110" t="str">
        <f t="shared" si="0"/>
        <v/>
      </c>
      <c r="N41" s="54"/>
      <c r="O41" s="9"/>
    </row>
    <row r="42" spans="2:15" ht="30" x14ac:dyDescent="0.4">
      <c r="B42" s="7"/>
      <c r="C42" s="3"/>
      <c r="D42" s="156"/>
      <c r="E42" s="155"/>
      <c r="F42" s="174" t="s">
        <v>67</v>
      </c>
      <c r="G42" s="147"/>
      <c r="H42" s="147"/>
      <c r="I42" s="147"/>
      <c r="J42" s="147"/>
      <c r="K42" s="148"/>
      <c r="L42" s="110"/>
      <c r="M42" s="110" t="str">
        <f t="shared" si="0"/>
        <v/>
      </c>
      <c r="N42" s="54"/>
      <c r="O42" s="9"/>
    </row>
    <row r="43" spans="2:15" ht="30" x14ac:dyDescent="0.4">
      <c r="B43" s="7"/>
      <c r="C43" s="3"/>
      <c r="D43" s="151"/>
      <c r="E43" s="175"/>
      <c r="F43" s="151"/>
      <c r="G43" s="145"/>
      <c r="H43" s="145"/>
      <c r="I43" s="145"/>
      <c r="J43" s="145"/>
      <c r="K43" s="146"/>
      <c r="L43" s="152"/>
      <c r="M43" s="152" t="str">
        <f t="shared" si="0"/>
        <v/>
      </c>
      <c r="N43" s="54"/>
      <c r="O43" s="9"/>
    </row>
    <row r="44" spans="2:15" ht="35.25" x14ac:dyDescent="0.5">
      <c r="B44" s="7"/>
      <c r="C44" s="3"/>
      <c r="D44" s="85"/>
      <c r="E44" s="95"/>
      <c r="F44" s="126"/>
      <c r="G44" s="123"/>
      <c r="H44" s="123"/>
      <c r="I44" s="123"/>
      <c r="J44" s="124"/>
      <c r="K44" s="125"/>
      <c r="L44" s="128" t="s">
        <v>25</v>
      </c>
      <c r="M44" s="133">
        <f>SUM(M28:M43)</f>
        <v>350</v>
      </c>
      <c r="N44" s="54"/>
      <c r="O44" s="9"/>
    </row>
    <row r="45" spans="2:15" ht="35.25" x14ac:dyDescent="0.5">
      <c r="B45" s="7"/>
      <c r="C45" s="3"/>
      <c r="D45" s="101"/>
      <c r="E45" s="97" t="s">
        <v>55</v>
      </c>
      <c r="F45" s="77"/>
      <c r="G45" s="77"/>
      <c r="H45" s="77"/>
      <c r="I45" s="77"/>
      <c r="J45" s="78"/>
      <c r="K45" s="93"/>
      <c r="L45" s="127" t="s">
        <v>46</v>
      </c>
      <c r="M45" s="108">
        <v>0.6</v>
      </c>
      <c r="N45" s="54"/>
      <c r="O45" s="9"/>
    </row>
    <row r="46" spans="2:15" ht="35.25" x14ac:dyDescent="0.5">
      <c r="B46" s="7"/>
      <c r="C46" s="3"/>
      <c r="D46" s="98"/>
      <c r="E46" s="97" t="s">
        <v>56</v>
      </c>
      <c r="F46" s="77"/>
      <c r="G46" s="77"/>
      <c r="H46" s="77"/>
      <c r="I46" s="77"/>
      <c r="J46" s="80"/>
      <c r="K46" s="94"/>
      <c r="L46" s="129">
        <v>0.19</v>
      </c>
      <c r="M46" s="108">
        <f>+M44*19%</f>
        <v>66.5</v>
      </c>
      <c r="N46" s="54"/>
      <c r="O46" s="9"/>
    </row>
    <row r="47" spans="2:15" ht="35.25" x14ac:dyDescent="0.5">
      <c r="B47" s="7"/>
      <c r="C47" s="3"/>
      <c r="D47" s="85"/>
      <c r="E47" s="100"/>
      <c r="F47" s="96"/>
      <c r="G47" s="82"/>
      <c r="H47" s="81"/>
      <c r="I47" s="77"/>
      <c r="J47" s="83"/>
      <c r="K47" s="93"/>
      <c r="L47" s="109" t="s">
        <v>27</v>
      </c>
      <c r="M47" s="108">
        <f>+M44+M45+M46</f>
        <v>417.1</v>
      </c>
      <c r="N47" s="54"/>
      <c r="O47" s="9"/>
    </row>
    <row r="48" spans="2:15" ht="18" x14ac:dyDescent="0.2">
      <c r="B48" s="7"/>
      <c r="C48" s="3"/>
      <c r="D48" s="76"/>
      <c r="E48" s="86"/>
      <c r="F48" s="99"/>
      <c r="G48" s="77"/>
      <c r="H48" s="64"/>
      <c r="I48" s="77"/>
      <c r="J48" s="84" t="s">
        <v>26</v>
      </c>
      <c r="K48" s="78"/>
      <c r="L48" s="149"/>
      <c r="M48" s="149"/>
      <c r="N48" s="54"/>
      <c r="O48" s="9"/>
    </row>
    <row r="49" spans="1:16" ht="35.25" x14ac:dyDescent="0.5">
      <c r="B49" s="7"/>
      <c r="C49" s="3"/>
      <c r="D49" s="122"/>
      <c r="E49" s="122"/>
      <c r="F49" s="100"/>
      <c r="G49" s="121"/>
      <c r="H49" s="121"/>
      <c r="I49" s="121"/>
      <c r="J49" s="87"/>
      <c r="K49" s="87"/>
      <c r="L49" s="109"/>
      <c r="M49" s="150"/>
      <c r="N49" s="54"/>
      <c r="O49" s="9"/>
    </row>
    <row r="50" spans="1:16" ht="15" x14ac:dyDescent="0.2">
      <c r="B50" s="7"/>
      <c r="C50" s="3"/>
      <c r="D50" s="190"/>
      <c r="E50" s="190"/>
      <c r="F50" s="190"/>
      <c r="G50" s="190"/>
      <c r="H50" s="190"/>
      <c r="I50" s="190"/>
      <c r="J50" s="190"/>
      <c r="K50" s="190"/>
      <c r="L50" s="190"/>
      <c r="M50" s="122"/>
      <c r="N50" s="54"/>
      <c r="O50" s="9"/>
    </row>
    <row r="51" spans="1:16" ht="26.25" x14ac:dyDescent="0.4">
      <c r="B51" s="7"/>
      <c r="C51" s="3"/>
      <c r="D51" s="191"/>
      <c r="E51" s="191"/>
      <c r="F51" s="191"/>
      <c r="G51" s="191"/>
      <c r="H51" s="191"/>
      <c r="I51" s="191"/>
      <c r="J51" s="191"/>
      <c r="K51" s="191"/>
      <c r="L51" s="191"/>
      <c r="M51" s="119"/>
      <c r="N51" s="54"/>
      <c r="O51" s="9"/>
    </row>
    <row r="52" spans="1:16" ht="26.25" x14ac:dyDescent="0.4">
      <c r="B52" s="7"/>
      <c r="C52" s="3"/>
      <c r="D52" s="76"/>
      <c r="E52" s="76"/>
      <c r="F52" s="132"/>
      <c r="G52" s="143"/>
      <c r="H52" s="143"/>
      <c r="I52" s="143"/>
      <c r="J52" s="80"/>
      <c r="K52" s="118"/>
      <c r="L52" s="134" t="s">
        <v>61</v>
      </c>
      <c r="M52" s="135"/>
      <c r="N52" s="136"/>
      <c r="O52" s="9"/>
    </row>
    <row r="53" spans="1:16" ht="23.25" x14ac:dyDescent="0.25">
      <c r="B53" s="7"/>
      <c r="C53" s="3"/>
      <c r="D53" s="76"/>
      <c r="E53" s="76"/>
      <c r="F53" s="144"/>
      <c r="G53" s="184"/>
      <c r="H53" s="184"/>
      <c r="I53" s="184"/>
      <c r="J53" s="80"/>
      <c r="K53" s="118"/>
      <c r="L53" s="137"/>
      <c r="M53" s="112"/>
      <c r="N53" s="138"/>
      <c r="O53" s="9"/>
    </row>
    <row r="54" spans="1:16" ht="23.25" x14ac:dyDescent="0.2">
      <c r="B54" s="7"/>
      <c r="C54" s="3"/>
      <c r="D54" s="76"/>
      <c r="E54" s="76"/>
      <c r="F54" s="79"/>
      <c r="G54" s="78"/>
      <c r="H54" s="78"/>
      <c r="I54" s="78"/>
      <c r="J54" s="80"/>
      <c r="K54" s="118"/>
      <c r="L54" s="140"/>
      <c r="M54" s="141"/>
      <c r="N54" s="141"/>
      <c r="O54" s="9"/>
    </row>
    <row r="55" spans="1:16" ht="15" x14ac:dyDescent="0.2">
      <c r="B55" s="7"/>
      <c r="C55" s="3"/>
      <c r="D55" s="76"/>
      <c r="E55" s="76"/>
      <c r="F55" s="78"/>
      <c r="G55" s="78"/>
      <c r="H55" s="78"/>
      <c r="I55" s="78"/>
      <c r="J55" s="80"/>
      <c r="K55" s="112"/>
      <c r="L55" s="112"/>
      <c r="M55" s="112"/>
      <c r="N55" s="54"/>
      <c r="O55" s="9"/>
    </row>
    <row r="56" spans="1:16" ht="20.25" x14ac:dyDescent="0.3">
      <c r="B56" s="7"/>
      <c r="C56" s="3"/>
      <c r="D56" s="115" t="s">
        <v>58</v>
      </c>
      <c r="E56" s="116"/>
      <c r="F56" s="78"/>
      <c r="G56" s="78"/>
      <c r="H56" s="78"/>
      <c r="I56" s="78"/>
      <c r="J56" s="80"/>
      <c r="K56" s="88"/>
      <c r="L56" s="88"/>
      <c r="M56" s="89"/>
      <c r="N56" s="54"/>
      <c r="O56" s="138"/>
      <c r="P56" s="139"/>
    </row>
    <row r="57" spans="1:16" ht="20.25" x14ac:dyDescent="0.3">
      <c r="B57" s="7"/>
      <c r="C57" s="3"/>
      <c r="D57" s="117" t="s">
        <v>59</v>
      </c>
      <c r="E57" s="117"/>
      <c r="F57" s="78"/>
      <c r="G57" s="78"/>
      <c r="H57" s="78"/>
      <c r="I57" s="78"/>
      <c r="J57" s="80"/>
      <c r="K57" s="88"/>
      <c r="L57" s="88"/>
      <c r="M57" s="88"/>
      <c r="N57" s="92"/>
      <c r="O57" s="141"/>
      <c r="P57" s="142"/>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83" t="s">
        <v>64</v>
      </c>
      <c r="E59" s="183"/>
      <c r="F59" s="183"/>
      <c r="G59" s="183"/>
      <c r="H59" s="183"/>
      <c r="I59" s="183"/>
      <c r="J59" s="183"/>
      <c r="K59" s="183"/>
      <c r="L59" s="183"/>
      <c r="M59" s="88"/>
      <c r="N59" s="92"/>
      <c r="O59" s="9"/>
    </row>
    <row r="60" spans="1:16" ht="15" customHeight="1" x14ac:dyDescent="0.2">
      <c r="B60" s="7"/>
      <c r="C60" s="3"/>
      <c r="D60" s="183"/>
      <c r="E60" s="183"/>
      <c r="F60" s="183"/>
      <c r="G60" s="183"/>
      <c r="H60" s="183"/>
      <c r="I60" s="183"/>
      <c r="J60" s="183"/>
      <c r="K60" s="183"/>
      <c r="L60" s="183"/>
      <c r="M60" s="89"/>
      <c r="N60" s="54"/>
      <c r="O60" s="9"/>
    </row>
    <row r="61" spans="1:16" ht="20.100000000000001" customHeight="1" x14ac:dyDescent="0.2">
      <c r="B61" s="7"/>
      <c r="C61" s="3"/>
      <c r="D61" s="183"/>
      <c r="E61" s="183"/>
      <c r="F61" s="183"/>
      <c r="G61" s="183"/>
      <c r="H61" s="183"/>
      <c r="I61" s="183"/>
      <c r="J61" s="183"/>
      <c r="K61" s="183"/>
      <c r="L61" s="183"/>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0"/>
      <c r="B64" s="130"/>
      <c r="C64" s="130"/>
      <c r="D64" s="130"/>
      <c r="E64" s="130"/>
      <c r="F64" s="130"/>
      <c r="G64" s="130"/>
      <c r="H64" s="130"/>
      <c r="I64" s="130"/>
      <c r="J64" s="130"/>
      <c r="K64" s="130"/>
      <c r="L64" s="130"/>
      <c r="M64" s="131"/>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9:L61"/>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30:L43">
      <formula1>0</formula1>
      <formula2>1000000000</formula2>
    </dataValidation>
    <dataValidation type="whole" errorStyle="warning" allowBlank="1" showErrorMessage="1" errorTitle="Quantité" error="Tapez un nombre dans cette cellule." promptTitle="Quantité" sqref="E30:E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02/07/2018</v>
      </c>
      <c r="D8" s="67" t="str">
        <f>Facture!$E$22</f>
        <v xml:space="preserve">ICAR </v>
      </c>
      <c r="E8" s="64">
        <f>Facture!$E$23</f>
        <v>0</v>
      </c>
      <c r="F8" s="64">
        <f>Facture!$E$24</f>
        <v>0</v>
      </c>
      <c r="G8" s="67">
        <f>Facture!$G$24</f>
        <v>0</v>
      </c>
      <c r="H8" s="67" t="str">
        <f>Facture!$J$24</f>
        <v>TN</v>
      </c>
      <c r="I8" s="64">
        <f>Facture!$E$25</f>
        <v>0</v>
      </c>
      <c r="J8" s="68">
        <f>Facture!$M$47</f>
        <v>417.1</v>
      </c>
      <c r="K8" s="64" t="str">
        <f>Facture!$L$24</f>
        <v>Responsable: Mr  Walid BEN TIBA</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2018-03-16T08:41:08Z</cp:lastPrinted>
  <dcterms:created xsi:type="dcterms:W3CDTF">1995-05-29T15:50:39Z</dcterms:created>
  <dcterms:modified xsi:type="dcterms:W3CDTF">2018-07-02T11:36:09Z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ICAR </vt:lpwstr>
  </property>
  <property fmtid="{D5CDD505-2E9C-101B-9397-08002B2CF9AE}" pid="11" name="Montant de la facture" linkTarget="TOT">
    <vt:r8>417.1</vt:r8>
  </property>
</Properties>
</file>