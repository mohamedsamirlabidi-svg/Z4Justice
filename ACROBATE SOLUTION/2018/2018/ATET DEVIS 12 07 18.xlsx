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Facture!$N$61</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Facture!$N$16</definedName>
    <definedName name="data10">Facture!$F$19</definedName>
    <definedName name="data11">Facture!$E$24</definedName>
    <definedName name="data12">Facture!$F$24</definedName>
    <definedName name="data13">Facture!$N$24</definedName>
    <definedName name="data14">Facture!$E$25</definedName>
    <definedName name="data15">Facture!$F$25</definedName>
    <definedName name="data16">Facture!$N$25</definedName>
    <definedName name="data17">Facture!#REF!</definedName>
    <definedName name="data18">Facture!#REF!</definedName>
    <definedName name="data19">Facture!#REF!</definedName>
    <definedName name="data2">Facture!$O$17</definedName>
    <definedName name="data20">Facture!$E$26</definedName>
    <definedName name="data21">Facture!$F$26</definedName>
    <definedName name="data22">Facture!$N$26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Facture!$O$19</definedName>
    <definedName name="data40">Facture!#REF!</definedName>
    <definedName name="data41">Facture!#REF!</definedName>
    <definedName name="data42">Facture!#REF!</definedName>
    <definedName name="data43">Facture!#REF!</definedName>
    <definedName name="data44">Facture!#REF!</definedName>
    <definedName name="data45">Facture!$F$57</definedName>
    <definedName name="data46">Facture!#REF!</definedName>
    <definedName name="data47">Facture!#REF!</definedName>
    <definedName name="data48">Facture!#REF!</definedName>
    <definedName name="data49">Facture!#REF!</definedName>
    <definedName name="data5">Facture!$E$16</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Facture!$E$58</definedName>
    <definedName name="data6">Facture!$F$17</definedName>
    <definedName name="data60">Facture!$F$58</definedName>
    <definedName name="data61">Facture!$N$58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Facture!$H$18</definedName>
    <definedName name="data70">Facture!$K$69</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Facture!$C$1:$P$79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Facture!$O$8</definedName>
    <definedName name="NS">'Personnaliser votre facture'!$E$49</definedName>
    <definedName name="qzqzqz1">Facture!$E$16:$J$16</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Facture!$N$16:$O$16</definedName>
    <definedName name="qzqzqz20">Facture!$F$57:$K$57</definedName>
    <definedName name="qzqzqz21">Facture!#REF!</definedName>
    <definedName name="qzqzqz22">Facture!#REF!</definedName>
    <definedName name="qzqzqz23">Facture!#REF!</definedName>
    <definedName name="qzqzqz24">Facture!#REF!</definedName>
    <definedName name="qzqzqz25">Facture!$F$58:$K$58</definedName>
    <definedName name="qzqzqz26">Facture!$F$65:$I$65</definedName>
    <definedName name="qzqzqz27">Facture!$F$66:$I$66</definedName>
    <definedName name="qzqzqz28">Facture!$F$67:$I$67</definedName>
    <definedName name="qzqzqz29">Facture!$K$67:$O$69</definedName>
    <definedName name="qzqzqz3">Facture!$E$17:$J$17</definedName>
    <definedName name="qzqzqz30">Facture!$G$68:$I$68</definedName>
    <definedName name="qzqzqz31">Facture!$G$68:$H$68</definedName>
    <definedName name="qzqzqz32">Facture!$K$66:$O$68</definedName>
    <definedName name="qzqzqz4">Facture!$G$18:$H$18</definedName>
    <definedName name="qzqzqz5">Facture!$N$18:$O$18</definedName>
    <definedName name="qzqzqz6">Facture!$E$19:$J$19</definedName>
    <definedName name="qzqzqz7">Facture!$N$19:$O$19</definedName>
    <definedName name="qzqzqz8">Facture!$F$21:$K$21</definedName>
    <definedName name="qzqzqz9">Facture!$F$24:$K$24</definedName>
    <definedName name="SS">'Personnaliser votre facture'!$E$48</definedName>
    <definedName name="TOT">Facture!$O$62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Facture!$C$1:$P$79</definedName>
  </definedNames>
  <calcPr calcId="152511"/>
</workbook>
</file>

<file path=xl/calcChain.xml><?xml version="1.0" encoding="utf-8"?>
<calcChain xmlns="http://schemas.openxmlformats.org/spreadsheetml/2006/main">
  <c r="O50" i="3" l="1"/>
  <c r="O51" i="3"/>
  <c r="O52" i="3"/>
  <c r="O53" i="3"/>
  <c r="O54" i="3"/>
  <c r="O55" i="3"/>
  <c r="O56" i="3"/>
  <c r="O57" i="3"/>
  <c r="O58" i="3"/>
  <c r="O46" i="3"/>
  <c r="O47" i="3"/>
  <c r="O48" i="3"/>
  <c r="O49" i="3"/>
  <c r="O25" i="3" l="1"/>
  <c r="O26" i="3"/>
  <c r="O27" i="3"/>
  <c r="O28" i="3"/>
  <c r="O29" i="3"/>
  <c r="O30" i="3"/>
  <c r="O31" i="3"/>
  <c r="O32" i="3"/>
  <c r="O33" i="3"/>
  <c r="O34" i="3"/>
  <c r="O35" i="3"/>
  <c r="O36" i="3"/>
  <c r="O37" i="3"/>
  <c r="O38" i="3"/>
  <c r="O39" i="3"/>
  <c r="O40" i="3"/>
  <c r="O41" i="3"/>
  <c r="O42" i="3"/>
  <c r="O43" i="3"/>
  <c r="O44" i="3"/>
  <c r="O45" i="3"/>
  <c r="O24" i="3" l="1"/>
  <c r="F33" i="2"/>
  <c r="B8" i="8"/>
  <c r="C8" i="8"/>
  <c r="D8" i="8"/>
  <c r="E8" i="8"/>
  <c r="F8" i="8"/>
  <c r="G8" i="8"/>
  <c r="H8" i="8"/>
  <c r="I8" i="8"/>
  <c r="K8" i="8"/>
  <c r="O59" i="3" l="1"/>
  <c r="O61" i="3" s="1"/>
  <c r="O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N8"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8"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9" authorId="0" shapeId="0">
      <text>
        <r>
          <rPr>
            <sz val="8"/>
            <color indexed="81"/>
            <rFont val="Tahoma"/>
            <family val="2"/>
          </rPr>
          <t>Cliquez sur ce bouton pour retourner à la feuille Personnaliser vos frais et modifier vos informations personnelles.</t>
        </r>
      </text>
    </comment>
    <comment ref="N12" authorId="1" shapeId="0">
      <text>
        <r>
          <rPr>
            <b/>
            <sz val="8"/>
            <color indexed="81"/>
            <rFont val="Tahoma"/>
            <family val="2"/>
          </rPr>
          <t>GAMESYSTEM:</t>
        </r>
        <r>
          <rPr>
            <sz val="8"/>
            <color indexed="81"/>
            <rFont val="Tahoma"/>
            <family val="2"/>
          </rPr>
          <t xml:space="preserve">
</t>
        </r>
      </text>
    </comment>
    <comment ref="M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6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<sst xmlns="http://schemas.openxmlformats.org/spreadsheetml/2006/main" count="107" uniqueCount="91">
  <si>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</si>
  <si>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</si>
  <si>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</si>
  <si>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</si>
  <si>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</si>
  <si>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</si>
  <si>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</si>
  <si>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</si>
  <si>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</si>
  <si>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</si>
  <si>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</si>
  <si>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</si>
  <si>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</si>
  <si>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</si>
  <si>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</si>
  <si>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</si>
  <si>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</si>
  <si>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</si>
  <si>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</si>
  <si>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</si>
  <si>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</si>
  <si>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</si>
  <si>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</si>
  <si>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</si>
  <si>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</si>
  <si>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</si>
  <si>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</si>
  <si>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</si>
  <si>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</si>
  <si>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</si>
  <si>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</si>
  <si>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</si>
  <si>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</si>
  <si>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</si>
  <si>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</si>
  <si>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</si>
  <si>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</si>
  <si>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</si>
  <si>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</si>
  <si>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</si>
  <si>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</si>
  <si>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</si>
  <si>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</si>
  <si>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</si>
  <si>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</si>
  <si>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</si>
  <si>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</si>
  <si>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</si>
  <si>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</si>
  <si>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</si>
  <si>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</si>
  <si>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</si>
  <si>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</si>
  <si>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</si>
  <si>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</si>
  <si>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</si>
  <si>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</si>
  <si>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</si>
  <si>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</si>
  <si>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</si>
  <si>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</si>
  <si>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</si>
  <si>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DEVIS 201807805</t>
  </si>
  <si>
    <t xml:space="preserve">Longe double cordage </t>
  </si>
  <si>
    <t>http://doc.camp.it/SchedeTecniche/SAFETY/ENG/203002.pdf</t>
  </si>
  <si>
    <t>http://www.camp.it/prodotti3.aspx?CAT=37&amp;CDV=S7&amp;B=&amp;ART=~2004</t>
  </si>
  <si>
    <t>2240-2001</t>
  </si>
  <si>
    <t>http://doc.camp.it/SchedeTecniche/SAFETY/ENG/2034060.pdf</t>
  </si>
  <si>
    <t>Mousquetons</t>
  </si>
  <si>
    <t>http://doc.camp.it/SchedeTecniche/SAFETY/ENG/0981.pdf</t>
  </si>
  <si>
    <t>ATET</t>
  </si>
  <si>
    <t>Casque SKYLOR PLUS</t>
  </si>
  <si>
    <t>http://doc.camp.it/SchedeTecniche/SAFETY/ENG/0209.pdf</t>
  </si>
  <si>
    <t>Fiche Technique:EN 397+LD+440 V a.c.+ -20C° + MM</t>
  </si>
  <si>
    <t>Fiche Technique:EN 362</t>
  </si>
  <si>
    <t xml:space="preserve">N° Commande </t>
  </si>
  <si>
    <t xml:space="preserve">Poulie </t>
  </si>
  <si>
    <t xml:space="preserve">Fiche Technique : EN 12278 </t>
  </si>
  <si>
    <t>http://doc.camp.it/SchedeTecniche/SAFETY/ENG/2152.pdf</t>
  </si>
  <si>
    <t xml:space="preserve">Chaussure Securite </t>
  </si>
  <si>
    <t>EN ISO 20345:2011</t>
  </si>
  <si>
    <t>Fiche Technique:EN 354 - EN795/B</t>
  </si>
  <si>
    <t>Sangle</t>
  </si>
  <si>
    <t>Fiche Technique:EN 354 EN 795/B</t>
  </si>
  <si>
    <t xml:space="preserve">Harnais orbital </t>
  </si>
  <si>
    <t>Fiche Technique:EN361,EN358</t>
  </si>
  <si>
    <t xml:space="preserve">CORDE 1métre </t>
  </si>
  <si>
    <t>CHS001</t>
  </si>
  <si>
    <t>Mr.med boulehmi</t>
  </si>
  <si>
    <t xml:space="preserve">  22045660       Fax:</t>
  </si>
  <si>
    <t>ARRETE LA PRESENTE DEVIS A LA SOMME DE : HUIT CENT QUARANTE SEPT DINARS ET 285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</si>
</sst>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u/>
      <sz val="9"/>
      <color theme="10"/>
      <name val="Arial"/>
      <family val="2"/>
    </font>
    <font>
      <b/>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29" fillId="0" borderId="41" xfId="0" applyNumberFormat="1" applyFont="1" applyFill="1" applyBorder="1"/>
    <xf numFmtId="0" fontId="2" fillId="3" borderId="0" xfId="0" applyFont="1" applyFill="1" applyBorder="1"/>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49" fontId="35" fillId="3" borderId="33" xfId="5" applyNumberFormat="1" applyFont="1" applyFill="1" applyBorder="1" applyAlignment="1" applyProtection="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0" fontId="1" fillId="3" borderId="25" xfId="0" applyFont="1" applyFill="1" applyBorder="1" applyAlignment="1"/>
    <xf numFmtId="0" fontId="0" fillId="2" borderId="3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0" fontId="2" fillId="3" borderId="0" xfId="0" applyFont="1" applyFill="1" applyBorder="1" applyAlignment="1">
      <alignment horizontal="left"/>
    </xf>
    <xf numFmtId="49" fontId="37" fillId="3" borderId="33" xfId="5" applyNumberFormat="1" applyFont="1" applyFill="1" applyBorder="1" applyAlignment="1" applyProtection="1">
      <alignment horizontal="left"/>
    </xf>
    <xf numFmtId="0" fontId="7" fillId="3" borderId="33" xfId="0" applyFont="1" applyFill="1" applyBorder="1" applyAlignment="1">
      <alignment horizontal="center"/>
    </xf>
    <xf numFmtId="0" fontId="0" fillId="6" borderId="33" xfId="0" applyFill="1" applyBorder="1"/>
    <xf numFmtId="0" fontId="7" fillId="3" borderId="0" xfId="0" applyFont="1" applyFill="1" applyBorder="1" applyAlignment="1">
      <alignment horizontal="center"/>
    </xf>
    <xf numFmtId="0" fontId="1" fillId="3" borderId="33" xfId="0" applyFont="1" applyFill="1" applyBorder="1" applyAlignment="1">
      <alignment horizontal="center"/>
    </xf>
    <xf numFmtId="0" fontId="1" fillId="3" borderId="28" xfId="0" applyFont="1" applyFill="1" applyBorder="1" applyAlignment="1">
      <alignment horizontal="center"/>
    </xf>
    <xf numFmtId="0" fontId="1" fillId="6" borderId="45" xfId="0" applyFont="1" applyFill="1" applyBorder="1" applyAlignment="1"/>
    <xf numFmtId="0" fontId="0" fillId="6" borderId="46" xfId="0" applyFill="1" applyBorder="1" applyAlignment="1"/>
    <xf numFmtId="0" fontId="0" fillId="6" borderId="0" xfId="0" applyFill="1" applyBorder="1" applyAlignment="1"/>
    <xf numFmtId="49" fontId="1" fillId="6" borderId="33" xfId="0" applyNumberFormat="1" applyFont="1" applyFill="1" applyBorder="1" applyAlignment="1">
      <alignment wrapText="1"/>
    </xf>
    <xf numFmtId="0" fontId="0" fillId="6" borderId="0" xfId="0" applyFill="1" applyBorder="1" applyAlignment="1"/>
    <xf numFmtId="0" fontId="0" fillId="6" borderId="47" xfId="0" applyFill="1" applyBorder="1" applyAlignment="1"/>
    <xf numFmtId="0" fontId="1" fillId="6" borderId="33" xfId="0" applyFont="1" applyFill="1" applyBorder="1" applyAlignment="1"/>
    <xf numFmtId="0" fontId="0" fillId="6" borderId="35" xfId="0" applyFill="1" applyBorder="1" applyAlignment="1"/>
    <xf numFmtId="0" fontId="1" fillId="6" borderId="27" xfId="0" applyFont="1" applyFill="1" applyBorder="1" applyAlignment="1">
      <alignment horizontal="center"/>
    </xf>
    <xf numFmtId="0" fontId="1" fillId="6" borderId="28" xfId="0" applyFont="1" applyFill="1" applyBorder="1" applyAlignment="1">
      <alignment horizontal="center"/>
    </xf>
    <xf numFmtId="0" fontId="0" fillId="6" borderId="28" xfId="0" applyFill="1" applyBorder="1" applyAlignment="1">
      <alignment horizontal="center"/>
    </xf>
    <xf numFmtId="49" fontId="36" fillId="3" borderId="33" xfId="5" applyNumberFormat="1" applyFont="1" applyFill="1" applyBorder="1" applyAlignment="1" applyProtection="1"/>
    <xf numFmtId="0" fontId="18" fillId="6" borderId="35" xfId="0" applyFont="1" applyFill="1" applyBorder="1" applyAlignment="1"/>
    <xf numFmtId="49" fontId="27" fillId="6" borderId="33" xfId="0" applyNumberFormat="1" applyFont="1" applyFill="1" applyBorder="1" applyAlignment="1"/>
    <xf numFmtId="49" fontId="27" fillId="6" borderId="0" xfId="0" applyNumberFormat="1" applyFont="1" applyFill="1" applyBorder="1" applyAlignment="1"/>
    <xf numFmtId="49" fontId="27" fillId="6" borderId="35" xfId="0" applyNumberFormat="1" applyFont="1" applyFill="1" applyBorder="1" applyAlignment="1"/>
    <xf numFmtId="0" fontId="0" fillId="2" borderId="0" xfId="0" applyBorder="1" applyAlignment="1">
      <alignment shrinkToFit="1"/>
    </xf>
    <xf numFmtId="0" fontId="0" fillId="6" borderId="0" xfId="0" applyFill="1" applyBorder="1"/>
    <xf numFmtId="0" fontId="4" fillId="3" borderId="0" xfId="0" applyFont="1" applyFill="1" applyBorder="1" applyAlignment="1"/>
    <xf numFmtId="0" fontId="4" fillId="2" borderId="0" xfId="0" applyFont="1" applyBorder="1" applyAlignment="1"/>
    <xf numFmtId="49" fontId="18" fillId="3" borderId="0" xfId="0" applyNumberFormat="1" applyFont="1" applyFill="1" applyBorder="1" applyAlignment="1"/>
    <xf numFmtId="0" fontId="18" fillId="2" borderId="0" xfId="0" applyFont="1" applyBorder="1" applyAlignment="1"/>
    <xf numFmtId="0" fontId="24" fillId="6" borderId="0" xfId="0" applyFont="1" applyFill="1" applyBorder="1" applyAlignment="1">
      <alignment vertical="top"/>
    </xf>
    <xf numFmtId="14" fontId="18" fillId="3" borderId="0" xfId="0" applyNumberFormat="1" applyFont="1" applyFill="1" applyBorder="1" applyAlignment="1"/>
    <xf numFmtId="14" fontId="18" fillId="2" borderId="0" xfId="0" applyNumberFormat="1"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emf"/><Relationship Id="rId4" Type="http://schemas.openxmlformats.org/officeDocument/2006/relationships/image" Target="../media/image4.jpeg"/><Relationship Id="rId9" Type="http://schemas.openxmlformats.org/officeDocument/2006/relationships/image" Target="../media/image9.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200025</xdr:rowOff>
    </xdr:from>
    <xdr:to>
      <xdr:col>6</xdr:col>
      <xdr:colOff>481263</xdr:colOff>
      <xdr:row>11</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14</xdr:row>
      <xdr:rowOff>66675</xdr:rowOff>
    </xdr:from>
    <xdr:to>
      <xdr:col>10</xdr:col>
      <xdr:colOff>76200</xdr:colOff>
      <xdr:row>19</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15</xdr:col>
      <xdr:colOff>114300</xdr:colOff>
      <xdr:row>19</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13</xdr:row>
      <xdr:rowOff>152400</xdr:rowOff>
    </xdr:from>
    <xdr:to>
      <xdr:col>5</xdr:col>
      <xdr:colOff>552450</xdr:colOff>
      <xdr:row>15</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1</xdr:row>
      <xdr:rowOff>140370</xdr:rowOff>
    </xdr:from>
    <xdr:to>
      <xdr:col>15</xdr:col>
      <xdr:colOff>70185</xdr:colOff>
      <xdr:row>7</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0</xdr:row>
      <xdr:rowOff>100263</xdr:rowOff>
    </xdr:from>
    <xdr:to>
      <xdr:col>7</xdr:col>
      <xdr:colOff>772028</xdr:colOff>
      <xdr:row>7</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9</xdr:row>
          <xdr:rowOff>0</xdr:rowOff>
        </xdr:from>
        <xdr:to>
          <xdr:col>14</xdr:col>
          <xdr:colOff>714375</xdr:colOff>
          <xdr:row>10</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59</xdr:row>
          <xdr:rowOff>152400</xdr:rowOff>
        </xdr:from>
        <xdr:to>
          <xdr:col>4</xdr:col>
          <xdr:colOff>695325</xdr:colOff>
          <xdr:row>61</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61</xdr:row>
          <xdr:rowOff>0</xdr:rowOff>
        </xdr:from>
        <xdr:to>
          <xdr:col>4</xdr:col>
          <xdr:colOff>704850</xdr:colOff>
          <xdr:row>62</xdr:row>
          <xdr:rowOff>76199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62</xdr:row>
          <xdr:rowOff>28575</xdr:rowOff>
        </xdr:from>
        <xdr:to>
          <xdr:col>4</xdr:col>
          <xdr:colOff>714375</xdr:colOff>
          <xdr:row>63</xdr:row>
          <xdr:rowOff>76201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95968</xdr:colOff>
      <xdr:row>34</xdr:row>
      <xdr:rowOff>130342</xdr:rowOff>
    </xdr:from>
    <xdr:to>
      <xdr:col>12</xdr:col>
      <xdr:colOff>651710</xdr:colOff>
      <xdr:row>37</xdr:row>
      <xdr:rowOff>150394</xdr:rowOff>
    </xdr:to>
    <xdr:pic>
      <xdr:nvPicPr>
        <xdr:cNvPr id="12" name="Image 11" descr="http://images.camp.it/Articoli/2034080.jp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79047" y="6035842"/>
          <a:ext cx="776321" cy="591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250659</xdr:colOff>
      <xdr:row>26</xdr:row>
      <xdr:rowOff>20054</xdr:rowOff>
    </xdr:from>
    <xdr:to>
      <xdr:col>13</xdr:col>
      <xdr:colOff>30080</xdr:colOff>
      <xdr:row>29</xdr:row>
      <xdr:rowOff>56298</xdr:rowOff>
    </xdr:to>
    <xdr:pic>
      <xdr:nvPicPr>
        <xdr:cNvPr id="13" name="Image 12" descr="http://images.camp.it/Articoli/203008.jp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31896" y="4401554"/>
          <a:ext cx="1503947" cy="607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176314</xdr:colOff>
      <xdr:row>47</xdr:row>
      <xdr:rowOff>80210</xdr:rowOff>
    </xdr:from>
    <xdr:to>
      <xdr:col>12</xdr:col>
      <xdr:colOff>651711</xdr:colOff>
      <xdr:row>52</xdr:row>
      <xdr:rowOff>0</xdr:rowOff>
    </xdr:to>
    <xdr:pic>
      <xdr:nvPicPr>
        <xdr:cNvPr id="15" name="Image 14" descr="http://images.camp.it/Articoli/2152.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59393" y="8141368"/>
          <a:ext cx="695976" cy="872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100260</xdr:colOff>
      <xdr:row>38</xdr:row>
      <xdr:rowOff>190499</xdr:rowOff>
    </xdr:from>
    <xdr:to>
      <xdr:col>12</xdr:col>
      <xdr:colOff>786204</xdr:colOff>
      <xdr:row>43</xdr:row>
      <xdr:rowOff>70184</xdr:rowOff>
    </xdr:to>
    <xdr:pic>
      <xdr:nvPicPr>
        <xdr:cNvPr id="16" name="Image 15" descr="http://images.camp.it/Articoli/0209-7.jpg"/>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083339" y="6857999"/>
          <a:ext cx="906523" cy="832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109547</xdr:colOff>
      <xdr:row>21</xdr:row>
      <xdr:rowOff>10026</xdr:rowOff>
    </xdr:from>
    <xdr:to>
      <xdr:col>12</xdr:col>
      <xdr:colOff>683466</xdr:colOff>
      <xdr:row>25</xdr:row>
      <xdr:rowOff>130343</xdr:rowOff>
    </xdr:to>
    <xdr:pic>
      <xdr:nvPicPr>
        <xdr:cNvPr id="17" name="Image 16" descr="http://images.camp.it/Articoli/2120-1.jpg"/>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092626" y="3529263"/>
          <a:ext cx="794498" cy="792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155989</xdr:colOff>
      <xdr:row>43</xdr:row>
      <xdr:rowOff>117124</xdr:rowOff>
    </xdr:from>
    <xdr:to>
      <xdr:col>12</xdr:col>
      <xdr:colOff>591553</xdr:colOff>
      <xdr:row>47</xdr:row>
      <xdr:rowOff>10027</xdr:rowOff>
    </xdr:to>
    <xdr:pic>
      <xdr:nvPicPr>
        <xdr:cNvPr id="18" name="Image 17" descr="http://images.camp.it/Articoli/0981.jpg"/>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139068" y="7737124"/>
          <a:ext cx="656143" cy="654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380999</xdr:colOff>
      <xdr:row>30</xdr:row>
      <xdr:rowOff>70184</xdr:rowOff>
    </xdr:from>
    <xdr:to>
      <xdr:col>12</xdr:col>
      <xdr:colOff>581527</xdr:colOff>
      <xdr:row>33</xdr:row>
      <xdr:rowOff>170447</xdr:rowOff>
    </xdr:to>
    <xdr:pic>
      <xdr:nvPicPr>
        <xdr:cNvPr id="19" name="Image 18" descr="http://images.camp.it/Articoli/2240-6001.jpg"/>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662236" y="5213684"/>
          <a:ext cx="1122949" cy="671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220578</xdr:colOff>
      <xdr:row>52</xdr:row>
      <xdr:rowOff>100263</xdr:rowOff>
    </xdr:from>
    <xdr:to>
      <xdr:col>13</xdr:col>
      <xdr:colOff>10026</xdr:colOff>
      <xdr:row>57</xdr:row>
      <xdr:rowOff>20053</xdr:rowOff>
    </xdr:to>
    <xdr:pic>
      <xdr:nvPicPr>
        <xdr:cNvPr id="20" name="Image 19"/>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83078" y="9434763"/>
          <a:ext cx="1032711" cy="872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621632</xdr:colOff>
      <xdr:row>65</xdr:row>
      <xdr:rowOff>60159</xdr:rowOff>
    </xdr:from>
    <xdr:to>
      <xdr:col>14</xdr:col>
      <xdr:colOff>687304</xdr:colOff>
      <xdr:row>73</xdr:row>
      <xdr:rowOff>180474</xdr:rowOff>
    </xdr:to>
    <xdr:pic>
      <xdr:nvPicPr>
        <xdr:cNvPr id="21" name="Image 20"/>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825290" y="11921291"/>
          <a:ext cx="1850356" cy="167439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13" Type="http://schemas.openxmlformats.org/officeDocument/2006/relationships/ctrlProp" Target="../ctrlProps/ctrlProp8.xml"/><Relationship Id="rId3" Type="http://schemas.openxmlformats.org/officeDocument/2006/relationships/hyperlink" Target="http://doc.camp.it/SchedeTecniche/SAFETY/ENG/2034060.pdf" TargetMode="External"/><Relationship Id="rId7" Type="http://schemas.openxmlformats.org/officeDocument/2006/relationships/printerSettings" Target="../printerSettings/printerSettings2.bin"/><Relationship Id="rId12" Type="http://schemas.openxmlformats.org/officeDocument/2006/relationships/ctrlProp" Target="../ctrlProps/ctrlProp7.xml"/><Relationship Id="rId2" Type="http://schemas.openxmlformats.org/officeDocument/2006/relationships/hyperlink" Target="http://doc.camp.it/SchedeTecniche/SAFETY/ENG/203002.pdf" TargetMode="External"/><Relationship Id="rId1" Type="http://schemas.openxmlformats.org/officeDocument/2006/relationships/hyperlink" Target="http://doc.camp.it/SchedeTecniche/SAFETY/ENG/2120.pdf" TargetMode="External"/><Relationship Id="rId6" Type="http://schemas.openxmlformats.org/officeDocument/2006/relationships/hyperlink" Target="http://doc.camp.it/SchedeTecniche/SAFETY/ENG/2152.pdf" TargetMode="External"/><Relationship Id="rId11" Type="http://schemas.openxmlformats.org/officeDocument/2006/relationships/ctrlProp" Target="../ctrlProps/ctrlProp6.xml"/><Relationship Id="rId5" Type="http://schemas.openxmlformats.org/officeDocument/2006/relationships/hyperlink" Target="http://www.camp.it/prodotti3.aspx?CAT=37&amp;CDV=S7&amp;B=&amp;ART=~2004" TargetMode="External"/><Relationship Id="rId10" Type="http://schemas.openxmlformats.org/officeDocument/2006/relationships/ctrlProp" Target="../ctrlProps/ctrlProp5.xml"/><Relationship Id="rId4" Type="http://schemas.openxmlformats.org/officeDocument/2006/relationships/hyperlink" Target="http://doc.camp.it/SchedeTecniche/SAFETY/ENG/0981.pdf" TargetMode="External"/><Relationship Id="rId9" Type="http://schemas.openxmlformats.org/officeDocument/2006/relationships/vmlDrawing" Target="../drawings/vmlDrawing2.vml"/><Relationship Id="rId1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48</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2"/>
  <sheetViews>
    <sheetView showGridLines="0" showRowColHeaders="0" tabSelected="1" topLeftCell="A4" zoomScale="95" workbookViewId="0">
      <selection activeCell="H12" sqref="H1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x14ac:dyDescent="0.2">
      <c r="B1" s="7"/>
      <c r="C1" s="3"/>
      <c r="D1" s="3"/>
      <c r="E1" s="3"/>
      <c r="F1" s="3"/>
      <c r="G1" s="3"/>
      <c r="H1" s="3"/>
      <c r="I1" s="3"/>
      <c r="J1" s="3"/>
      <c r="K1" s="3"/>
      <c r="L1" s="3"/>
      <c r="M1" s="3"/>
      <c r="N1" s="3"/>
      <c r="O1" s="3"/>
      <c r="P1" s="3"/>
      <c r="Q1" s="9"/>
    </row>
    <row r="2" spans="2:17" x14ac:dyDescent="0.2">
      <c r="B2" s="7"/>
      <c r="C2" s="3"/>
      <c r="D2" s="3"/>
      <c r="E2" s="3"/>
      <c r="F2" s="3"/>
      <c r="G2" s="3"/>
      <c r="H2" s="3"/>
      <c r="I2" s="3"/>
      <c r="J2" s="3"/>
      <c r="K2" s="3"/>
      <c r="L2" s="3"/>
      <c r="M2" s="3"/>
      <c r="N2" s="3"/>
      <c r="O2" s="3"/>
      <c r="P2" s="3"/>
      <c r="Q2" s="9"/>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169"/>
      <c r="O6" s="170"/>
      <c r="P6" s="3"/>
      <c r="Q6" s="9"/>
    </row>
    <row r="7" spans="2:17" x14ac:dyDescent="0.2">
      <c r="B7" s="7"/>
      <c r="C7" s="3"/>
      <c r="D7" s="3"/>
      <c r="E7" s="3"/>
      <c r="F7" s="3"/>
      <c r="G7" s="3"/>
      <c r="H7" s="3"/>
      <c r="I7" s="3"/>
      <c r="J7" s="3"/>
      <c r="K7" s="3"/>
      <c r="L7" s="3"/>
      <c r="M7" s="3"/>
      <c r="N7" s="183"/>
      <c r="O7" s="184"/>
      <c r="P7" s="3"/>
      <c r="Q7" s="9"/>
    </row>
    <row r="8" spans="2:17" ht="20.25" x14ac:dyDescent="0.3">
      <c r="B8" s="7"/>
      <c r="C8" s="3"/>
      <c r="D8" s="3"/>
      <c r="E8" s="3"/>
      <c r="F8" s="3"/>
      <c r="G8" s="3"/>
      <c r="H8" s="3"/>
      <c r="I8" s="3"/>
      <c r="J8" s="3"/>
      <c r="K8" s="8"/>
      <c r="L8" s="8"/>
      <c r="M8" s="8"/>
      <c r="N8" s="80"/>
      <c r="O8" s="80" t="s">
        <v>56</v>
      </c>
      <c r="P8" s="19"/>
      <c r="Q8" s="9"/>
    </row>
    <row r="9" spans="2:17" x14ac:dyDescent="0.2">
      <c r="B9" s="7"/>
      <c r="C9" s="3"/>
      <c r="D9" s="3"/>
      <c r="E9" s="3"/>
      <c r="F9" s="3"/>
      <c r="G9" s="3"/>
      <c r="H9" s="3"/>
      <c r="I9" s="3"/>
      <c r="J9" s="3"/>
      <c r="K9" s="3"/>
      <c r="L9" s="3"/>
      <c r="M9" s="3"/>
      <c r="N9" s="3"/>
      <c r="O9" s="3"/>
      <c r="P9" s="3"/>
      <c r="Q9" s="9"/>
    </row>
    <row r="10" spans="2:17" x14ac:dyDescent="0.2">
      <c r="B10" s="7"/>
      <c r="C10" s="3"/>
      <c r="D10" s="3"/>
      <c r="E10" s="3"/>
      <c r="F10" s="3"/>
      <c r="G10" s="3"/>
      <c r="H10" s="3"/>
      <c r="I10" s="3"/>
      <c r="J10" s="3"/>
      <c r="K10" s="3"/>
      <c r="L10" s="3"/>
      <c r="M10" s="3"/>
      <c r="N10" s="3"/>
      <c r="O10" s="3"/>
      <c r="P10" s="3"/>
      <c r="Q10" s="9"/>
    </row>
    <row r="11" spans="2:17" x14ac:dyDescent="0.2">
      <c r="B11" s="7"/>
      <c r="C11" s="3"/>
      <c r="D11" s="3"/>
      <c r="E11" s="3"/>
      <c r="F11" s="3"/>
      <c r="G11" s="3"/>
      <c r="H11" s="3"/>
      <c r="I11" s="3"/>
      <c r="J11" s="3"/>
      <c r="K11" s="3"/>
      <c r="L11" s="3"/>
      <c r="M11" s="3"/>
      <c r="N11" s="3"/>
      <c r="O11" s="3"/>
      <c r="P11" s="3"/>
      <c r="Q11" s="9"/>
    </row>
    <row r="12" spans="2:17" ht="20.100000000000001" customHeight="1" thickBot="1" x14ac:dyDescent="0.3">
      <c r="B12" s="7"/>
      <c r="C12" s="3"/>
      <c r="D12" s="3"/>
      <c r="E12" s="3"/>
      <c r="F12" s="3"/>
      <c r="G12" s="3"/>
      <c r="H12" s="3"/>
      <c r="I12" s="3"/>
      <c r="J12" s="3"/>
      <c r="K12" s="3"/>
      <c r="L12" s="3"/>
      <c r="M12" s="3"/>
      <c r="N12" s="105" t="s">
        <v>62</v>
      </c>
      <c r="O12" s="96"/>
      <c r="P12" s="3"/>
      <c r="Q12" s="9"/>
    </row>
    <row r="13" spans="2:17" ht="3" customHeight="1" thickTop="1" x14ac:dyDescent="0.3">
      <c r="B13" s="7"/>
      <c r="C13" s="3"/>
      <c r="D13" s="60"/>
      <c r="E13" s="60"/>
      <c r="F13" s="60"/>
      <c r="G13" s="60"/>
      <c r="H13" s="60"/>
      <c r="I13" s="60"/>
      <c r="J13" s="61"/>
      <c r="K13" s="61"/>
      <c r="L13" s="61"/>
      <c r="M13" s="61"/>
      <c r="N13" s="60"/>
      <c r="O13" s="61"/>
      <c r="P13" s="21"/>
      <c r="Q13" s="9"/>
    </row>
    <row r="14" spans="2:17" ht="14.1" customHeight="1" x14ac:dyDescent="0.2">
      <c r="B14" s="7"/>
      <c r="C14" s="3"/>
      <c r="D14" s="3"/>
      <c r="E14" s="3"/>
      <c r="F14" s="3"/>
      <c r="G14" s="3"/>
      <c r="H14" s="3"/>
      <c r="I14" s="3"/>
      <c r="J14" s="3"/>
      <c r="K14" s="3"/>
      <c r="L14" s="3"/>
      <c r="M14" s="3"/>
      <c r="N14" s="3"/>
      <c r="O14" s="3"/>
      <c r="P14" s="3"/>
      <c r="Q14" s="9"/>
    </row>
    <row r="15" spans="2:17" x14ac:dyDescent="0.2">
      <c r="B15" s="7"/>
      <c r="C15" s="3"/>
      <c r="D15" s="3"/>
      <c r="E15" s="3"/>
      <c r="F15" s="3"/>
      <c r="G15" s="3"/>
      <c r="H15" s="3"/>
      <c r="I15" s="3"/>
      <c r="J15" s="3"/>
      <c r="K15" s="3"/>
      <c r="L15" s="3"/>
      <c r="M15" s="3"/>
      <c r="N15" s="3"/>
      <c r="O15" s="3"/>
      <c r="P15" s="3"/>
      <c r="Q15" s="9"/>
    </row>
    <row r="16" spans="2:17" ht="18" x14ac:dyDescent="0.25">
      <c r="B16" s="7"/>
      <c r="C16" s="3"/>
      <c r="D16" s="92" t="s">
        <v>3</v>
      </c>
      <c r="E16" s="179" t="s">
        <v>70</v>
      </c>
      <c r="F16" s="180"/>
      <c r="G16" s="180"/>
      <c r="H16" s="180"/>
      <c r="I16" s="180"/>
      <c r="J16" s="180"/>
      <c r="K16" s="92"/>
      <c r="L16" s="92"/>
      <c r="M16" s="94" t="s">
        <v>18</v>
      </c>
      <c r="N16" s="172">
        <v>43293</v>
      </c>
      <c r="O16" s="173"/>
      <c r="P16" s="57"/>
      <c r="Q16" s="9"/>
    </row>
    <row r="17" spans="2:17" x14ac:dyDescent="0.2">
      <c r="B17" s="7"/>
      <c r="C17" s="3"/>
      <c r="D17" s="92" t="s">
        <v>5</v>
      </c>
      <c r="E17" s="177"/>
      <c r="F17" s="178"/>
      <c r="G17" s="178"/>
      <c r="H17" s="178"/>
      <c r="I17" s="178"/>
      <c r="J17" s="178"/>
      <c r="K17" s="92"/>
      <c r="L17" s="92"/>
      <c r="M17" s="187" t="s">
        <v>75</v>
      </c>
      <c r="N17" s="121"/>
      <c r="O17" s="99"/>
      <c r="P17" s="58"/>
      <c r="Q17" s="9"/>
    </row>
    <row r="18" spans="2:17" x14ac:dyDescent="0.2">
      <c r="B18" s="7"/>
      <c r="C18" s="3"/>
      <c r="D18" s="92" t="s">
        <v>7</v>
      </c>
      <c r="E18" s="100"/>
      <c r="F18" s="101" t="s">
        <v>8</v>
      </c>
      <c r="G18" s="176"/>
      <c r="H18" s="176"/>
      <c r="I18" s="102" t="s">
        <v>9</v>
      </c>
      <c r="J18" s="99" t="s">
        <v>54</v>
      </c>
      <c r="K18" s="92"/>
      <c r="L18" s="92"/>
      <c r="M18" s="94" t="s">
        <v>19</v>
      </c>
      <c r="N18" s="174" t="s">
        <v>88</v>
      </c>
      <c r="O18" s="175"/>
      <c r="P18" s="3"/>
      <c r="Q18" s="9"/>
    </row>
    <row r="19" spans="2:17" x14ac:dyDescent="0.2">
      <c r="B19" s="7"/>
      <c r="C19" s="3"/>
      <c r="D19" s="110" t="s">
        <v>20</v>
      </c>
      <c r="E19" s="181" t="s">
        <v>89</v>
      </c>
      <c r="F19" s="182"/>
      <c r="G19" s="182"/>
      <c r="H19" s="182"/>
      <c r="I19" s="182"/>
      <c r="J19" s="182"/>
      <c r="K19" s="92"/>
      <c r="L19" s="92"/>
      <c r="M19" s="94" t="s">
        <v>50</v>
      </c>
      <c r="N19" s="175"/>
      <c r="O19" s="175"/>
      <c r="P19" s="3"/>
      <c r="Q19" s="9"/>
    </row>
    <row r="20" spans="2:17" x14ac:dyDescent="0.2">
      <c r="B20" s="7"/>
      <c r="C20" s="3"/>
      <c r="D20" s="92"/>
      <c r="E20" s="92"/>
      <c r="F20" s="92"/>
      <c r="G20" s="92"/>
      <c r="H20" s="92"/>
      <c r="I20" s="92"/>
      <c r="J20" s="92"/>
      <c r="K20" s="92"/>
      <c r="L20" s="92"/>
      <c r="M20" s="92"/>
      <c r="N20" s="92"/>
      <c r="O20" s="92"/>
      <c r="P20" s="3"/>
      <c r="Q20" s="9"/>
    </row>
    <row r="21" spans="2:17" x14ac:dyDescent="0.2">
      <c r="B21" s="7"/>
      <c r="C21" s="3"/>
      <c r="D21" s="71" t="s">
        <v>36</v>
      </c>
      <c r="E21" s="53" t="s">
        <v>21</v>
      </c>
      <c r="F21" s="157" t="s">
        <v>22</v>
      </c>
      <c r="G21" s="158"/>
      <c r="H21" s="158"/>
      <c r="I21" s="158"/>
      <c r="J21" s="158"/>
      <c r="K21" s="158"/>
      <c r="L21" s="120"/>
      <c r="M21" s="115" t="s">
        <v>37</v>
      </c>
      <c r="N21" s="53" t="s">
        <v>23</v>
      </c>
      <c r="O21" s="54" t="s">
        <v>24</v>
      </c>
      <c r="P21" s="59"/>
      <c r="Q21" s="9"/>
    </row>
    <row r="22" spans="2:17" x14ac:dyDescent="0.2">
      <c r="B22" s="7"/>
      <c r="C22" s="3"/>
      <c r="D22" s="189"/>
      <c r="E22" s="202"/>
      <c r="F22" s="194"/>
      <c r="G22" s="195"/>
      <c r="H22" s="195"/>
      <c r="I22" s="195"/>
      <c r="J22" s="195"/>
      <c r="K22" s="199"/>
      <c r="L22" s="190"/>
      <c r="M22" s="191"/>
      <c r="N22" s="192"/>
      <c r="O22" s="193"/>
      <c r="P22" s="59"/>
      <c r="Q22" s="9"/>
    </row>
    <row r="23" spans="2:17" x14ac:dyDescent="0.2">
      <c r="B23" s="7"/>
      <c r="C23" s="3"/>
      <c r="D23" s="189"/>
      <c r="E23" s="203"/>
      <c r="F23" s="200"/>
      <c r="G23" s="196"/>
      <c r="H23" s="196"/>
      <c r="I23" s="196"/>
      <c r="J23" s="196"/>
      <c r="K23" s="201"/>
      <c r="L23" s="190"/>
      <c r="M23" s="191"/>
      <c r="N23" s="192"/>
      <c r="O23" s="193"/>
      <c r="P23" s="59"/>
      <c r="Q23" s="9"/>
    </row>
    <row r="24" spans="2:17" x14ac:dyDescent="0.2">
      <c r="B24" s="7"/>
      <c r="C24" s="3"/>
      <c r="D24" s="124">
        <v>2120</v>
      </c>
      <c r="E24" s="204">
        <v>1</v>
      </c>
      <c r="F24" s="197" t="s">
        <v>84</v>
      </c>
      <c r="G24" s="198"/>
      <c r="H24" s="198"/>
      <c r="I24" s="198"/>
      <c r="J24" s="198"/>
      <c r="K24" s="198"/>
      <c r="L24" s="116"/>
      <c r="M24" s="122"/>
      <c r="N24" s="78">
        <v>230</v>
      </c>
      <c r="O24" s="78">
        <f t="shared" ref="O24:O58" si="0">IF(E24&lt;&gt;"",E24*N24,"")</f>
        <v>230</v>
      </c>
      <c r="P24" s="59"/>
      <c r="Q24" s="9"/>
    </row>
    <row r="25" spans="2:17" ht="15" x14ac:dyDescent="0.2">
      <c r="B25" s="7"/>
      <c r="C25" s="3"/>
      <c r="D25" s="125"/>
      <c r="E25" s="81"/>
      <c r="F25" s="159" t="s">
        <v>85</v>
      </c>
      <c r="G25" s="160"/>
      <c r="H25" s="160"/>
      <c r="I25" s="160"/>
      <c r="J25" s="160"/>
      <c r="K25" s="161"/>
      <c r="L25" s="116"/>
      <c r="M25" s="82">
        <v>2</v>
      </c>
      <c r="N25" s="83"/>
      <c r="O25" s="78" t="str">
        <f t="shared" si="0"/>
        <v/>
      </c>
      <c r="P25" s="59"/>
      <c r="Q25" s="9"/>
    </row>
    <row r="26" spans="2:17" ht="15" x14ac:dyDescent="0.2">
      <c r="B26" s="7"/>
      <c r="C26" s="3"/>
      <c r="D26" s="125"/>
      <c r="E26" s="81"/>
      <c r="F26" s="205" t="s">
        <v>61</v>
      </c>
      <c r="G26" s="165"/>
      <c r="H26" s="165"/>
      <c r="I26" s="165"/>
      <c r="J26" s="165"/>
      <c r="K26" s="166"/>
      <c r="L26" s="117"/>
      <c r="M26" s="82">
        <v>2</v>
      </c>
      <c r="N26" s="83"/>
      <c r="O26" s="78" t="str">
        <f t="shared" si="0"/>
        <v/>
      </c>
      <c r="P26" s="59"/>
      <c r="Q26" s="9"/>
    </row>
    <row r="27" spans="2:17" ht="15" x14ac:dyDescent="0.2">
      <c r="B27" s="7"/>
      <c r="C27" s="3"/>
      <c r="D27" s="125"/>
      <c r="E27" s="81"/>
      <c r="F27" s="139"/>
      <c r="G27" s="140"/>
      <c r="H27" s="140"/>
      <c r="I27" s="140"/>
      <c r="J27" s="140"/>
      <c r="K27" s="141"/>
      <c r="L27" s="117"/>
      <c r="M27" s="82"/>
      <c r="N27" s="83"/>
      <c r="O27" s="78" t="str">
        <f t="shared" si="0"/>
        <v/>
      </c>
      <c r="P27" s="59"/>
      <c r="Q27" s="9"/>
    </row>
    <row r="28" spans="2:17" ht="15" x14ac:dyDescent="0.2">
      <c r="B28" s="7"/>
      <c r="C28" s="3"/>
      <c r="D28" s="125">
        <v>203008</v>
      </c>
      <c r="E28" s="81">
        <v>1</v>
      </c>
      <c r="F28" s="185" t="s">
        <v>63</v>
      </c>
      <c r="G28" s="186"/>
      <c r="H28" s="186"/>
      <c r="I28" s="140"/>
      <c r="J28" s="122"/>
      <c r="K28" s="141"/>
      <c r="L28" s="117"/>
      <c r="M28" s="82"/>
      <c r="N28" s="83">
        <v>165</v>
      </c>
      <c r="O28" s="78">
        <f t="shared" si="0"/>
        <v>165</v>
      </c>
      <c r="P28" s="59"/>
      <c r="Q28" s="9"/>
    </row>
    <row r="29" spans="2:17" ht="15" x14ac:dyDescent="0.2">
      <c r="B29" s="7"/>
      <c r="C29" s="3"/>
      <c r="D29" s="125"/>
      <c r="E29" s="81"/>
      <c r="F29" s="159" t="s">
        <v>81</v>
      </c>
      <c r="G29" s="160"/>
      <c r="H29" s="160"/>
      <c r="I29" s="160"/>
      <c r="J29" s="160"/>
      <c r="K29" s="161"/>
      <c r="L29" s="117"/>
      <c r="M29" s="82"/>
      <c r="N29" s="83"/>
      <c r="O29" s="78" t="str">
        <f t="shared" si="0"/>
        <v/>
      </c>
      <c r="P29" s="59"/>
      <c r="Q29" s="9"/>
    </row>
    <row r="30" spans="2:17" ht="15" x14ac:dyDescent="0.2">
      <c r="B30" s="7"/>
      <c r="C30" s="3"/>
      <c r="D30" s="125"/>
      <c r="E30" s="81"/>
      <c r="F30" s="139" t="s">
        <v>64</v>
      </c>
      <c r="G30" s="140"/>
      <c r="H30" s="140"/>
      <c r="I30" s="140"/>
      <c r="J30" s="140"/>
      <c r="K30" s="141"/>
      <c r="L30" s="117"/>
      <c r="M30" s="82"/>
      <c r="N30" s="83"/>
      <c r="O30" s="78" t="str">
        <f t="shared" si="0"/>
        <v/>
      </c>
      <c r="P30" s="59"/>
      <c r="Q30" s="9"/>
    </row>
    <row r="31" spans="2:17" ht="15" x14ac:dyDescent="0.2">
      <c r="B31" s="7"/>
      <c r="C31" s="3"/>
      <c r="D31" s="125"/>
      <c r="E31" s="81"/>
      <c r="F31" s="139"/>
      <c r="G31" s="140"/>
      <c r="H31" s="140"/>
      <c r="I31" s="140"/>
      <c r="J31" s="140"/>
      <c r="K31" s="141"/>
      <c r="L31" s="117"/>
      <c r="M31" s="82"/>
      <c r="N31" s="83"/>
      <c r="O31" s="78" t="str">
        <f t="shared" si="0"/>
        <v/>
      </c>
      <c r="P31" s="59"/>
      <c r="Q31" s="9"/>
    </row>
    <row r="32" spans="2:17" ht="15" x14ac:dyDescent="0.2">
      <c r="B32" s="7"/>
      <c r="C32" s="3"/>
      <c r="D32" s="125"/>
      <c r="E32" s="81"/>
      <c r="F32" s="139"/>
      <c r="G32" s="140"/>
      <c r="H32" s="140"/>
      <c r="I32" s="140"/>
      <c r="J32" s="140"/>
      <c r="K32" s="141"/>
      <c r="L32" s="117"/>
      <c r="M32" s="82"/>
      <c r="N32" s="83"/>
      <c r="O32" s="78" t="str">
        <f t="shared" si="0"/>
        <v/>
      </c>
      <c r="P32" s="59"/>
      <c r="Q32" s="9"/>
    </row>
    <row r="33" spans="2:17" ht="15" x14ac:dyDescent="0.2">
      <c r="B33" s="7"/>
      <c r="C33" s="3"/>
      <c r="D33" s="125" t="s">
        <v>66</v>
      </c>
      <c r="E33" s="81">
        <v>1</v>
      </c>
      <c r="F33" s="185" t="s">
        <v>86</v>
      </c>
      <c r="G33" s="186"/>
      <c r="H33" s="186"/>
      <c r="I33" s="140"/>
      <c r="J33" s="140"/>
      <c r="K33" s="141"/>
      <c r="L33" s="122"/>
      <c r="M33" s="82"/>
      <c r="N33" s="83">
        <v>6.5</v>
      </c>
      <c r="O33" s="78">
        <f t="shared" si="0"/>
        <v>6.5</v>
      </c>
      <c r="P33" s="59"/>
      <c r="Q33" s="9"/>
    </row>
    <row r="34" spans="2:17" ht="15" x14ac:dyDescent="0.2">
      <c r="B34" s="7"/>
      <c r="C34" s="3"/>
      <c r="D34" s="125"/>
      <c r="E34" s="81"/>
      <c r="F34" s="159" t="s">
        <v>60</v>
      </c>
      <c r="G34" s="160"/>
      <c r="H34" s="160"/>
      <c r="I34" s="160"/>
      <c r="J34" s="160"/>
      <c r="K34" s="161"/>
      <c r="L34" s="117"/>
      <c r="M34" s="82"/>
      <c r="N34" s="83"/>
      <c r="O34" s="78" t="str">
        <f t="shared" si="0"/>
        <v/>
      </c>
      <c r="P34" s="59"/>
      <c r="Q34" s="9"/>
    </row>
    <row r="35" spans="2:17" ht="15" x14ac:dyDescent="0.2">
      <c r="B35" s="7"/>
      <c r="C35" s="3"/>
      <c r="D35" s="125"/>
      <c r="E35" s="81"/>
      <c r="F35" s="123" t="s">
        <v>65</v>
      </c>
      <c r="G35" s="140"/>
      <c r="H35" s="140"/>
      <c r="I35" s="140"/>
      <c r="J35" s="140"/>
      <c r="K35" s="141"/>
      <c r="L35" s="117"/>
      <c r="M35" s="82"/>
      <c r="N35" s="83"/>
      <c r="O35" s="78" t="str">
        <f t="shared" si="0"/>
        <v/>
      </c>
      <c r="P35" s="59"/>
      <c r="Q35" s="9"/>
    </row>
    <row r="36" spans="2:17" ht="15" x14ac:dyDescent="0.2">
      <c r="B36" s="7"/>
      <c r="C36" s="3"/>
      <c r="D36" s="125"/>
      <c r="E36" s="81"/>
      <c r="F36" s="138"/>
      <c r="G36" s="133"/>
      <c r="H36" s="133"/>
      <c r="I36" s="133"/>
      <c r="J36" s="133"/>
      <c r="K36" s="134"/>
      <c r="L36" s="116"/>
      <c r="M36" s="82"/>
      <c r="N36" s="83"/>
      <c r="O36" s="78" t="str">
        <f t="shared" si="0"/>
        <v/>
      </c>
      <c r="P36" s="59"/>
      <c r="Q36" s="9"/>
    </row>
    <row r="37" spans="2:17" ht="15" x14ac:dyDescent="0.2">
      <c r="B37" s="7"/>
      <c r="C37" s="3"/>
      <c r="D37" s="125">
        <v>2034060</v>
      </c>
      <c r="E37" s="81">
        <v>1</v>
      </c>
      <c r="F37" s="207" t="s">
        <v>82</v>
      </c>
      <c r="G37" s="208"/>
      <c r="H37" s="208"/>
      <c r="I37" s="208"/>
      <c r="J37" s="208"/>
      <c r="K37" s="209"/>
      <c r="L37" s="122"/>
      <c r="M37" s="82"/>
      <c r="N37" s="83">
        <v>32</v>
      </c>
      <c r="O37" s="78">
        <f t="shared" si="0"/>
        <v>32</v>
      </c>
      <c r="P37" s="59"/>
      <c r="Q37" s="9"/>
    </row>
    <row r="38" spans="2:17" ht="15" x14ac:dyDescent="0.2">
      <c r="B38" s="7"/>
      <c r="C38" s="3"/>
      <c r="D38" s="125"/>
      <c r="E38" s="81"/>
      <c r="F38" s="159" t="s">
        <v>83</v>
      </c>
      <c r="G38" s="160"/>
      <c r="H38" s="160"/>
      <c r="I38" s="160"/>
      <c r="J38" s="160"/>
      <c r="K38" s="161"/>
      <c r="L38" s="116"/>
      <c r="M38" s="82"/>
      <c r="N38" s="83"/>
      <c r="O38" s="78" t="str">
        <f t="shared" si="0"/>
        <v/>
      </c>
      <c r="P38" s="59"/>
      <c r="Q38" s="9"/>
    </row>
    <row r="39" spans="2:17" ht="15" x14ac:dyDescent="0.2">
      <c r="B39" s="7"/>
      <c r="C39" s="3"/>
      <c r="D39" s="125"/>
      <c r="E39" s="81"/>
      <c r="F39" s="138" t="s">
        <v>67</v>
      </c>
      <c r="G39" s="133"/>
      <c r="H39" s="133"/>
      <c r="I39" s="133"/>
      <c r="J39" s="133"/>
      <c r="K39" s="134"/>
      <c r="L39" s="116"/>
      <c r="M39" s="82"/>
      <c r="N39" s="83"/>
      <c r="O39" s="78" t="str">
        <f t="shared" si="0"/>
        <v/>
      </c>
      <c r="P39" s="59"/>
      <c r="Q39" s="9"/>
    </row>
    <row r="40" spans="2:17" ht="15" x14ac:dyDescent="0.2">
      <c r="B40" s="7"/>
      <c r="C40" s="3"/>
      <c r="D40" s="125"/>
      <c r="E40" s="81"/>
      <c r="F40" s="138"/>
      <c r="G40" s="133"/>
      <c r="H40" s="133"/>
      <c r="I40" s="133"/>
      <c r="J40" s="133"/>
      <c r="K40" s="134"/>
      <c r="L40" s="116"/>
      <c r="M40" s="82"/>
      <c r="N40" s="83"/>
      <c r="O40" s="78" t="str">
        <f t="shared" si="0"/>
        <v/>
      </c>
      <c r="P40" s="59"/>
      <c r="Q40" s="9"/>
    </row>
    <row r="41" spans="2:17" ht="15" x14ac:dyDescent="0.2">
      <c r="B41" s="7"/>
      <c r="C41" s="3"/>
      <c r="D41" s="125">
        <v>209</v>
      </c>
      <c r="E41" s="81">
        <v>1</v>
      </c>
      <c r="F41" s="164" t="s">
        <v>71</v>
      </c>
      <c r="G41" s="160"/>
      <c r="H41" s="160"/>
      <c r="I41" s="160"/>
      <c r="J41" s="160"/>
      <c r="K41" s="161"/>
      <c r="L41" s="116"/>
      <c r="M41" s="122"/>
      <c r="N41" s="83">
        <v>95</v>
      </c>
      <c r="O41" s="78">
        <f t="shared" si="0"/>
        <v>95</v>
      </c>
      <c r="P41" s="59"/>
      <c r="Q41" s="9"/>
    </row>
    <row r="42" spans="2:17" ht="15" x14ac:dyDescent="0.2">
      <c r="B42" s="7"/>
      <c r="C42" s="3"/>
      <c r="D42" s="125"/>
      <c r="E42" s="81"/>
      <c r="F42" s="159" t="s">
        <v>73</v>
      </c>
      <c r="G42" s="160"/>
      <c r="H42" s="160"/>
      <c r="I42" s="160"/>
      <c r="J42" s="160"/>
      <c r="K42" s="161"/>
      <c r="L42" s="116"/>
      <c r="M42" s="206"/>
      <c r="N42" s="83"/>
      <c r="O42" s="78" t="str">
        <f t="shared" si="0"/>
        <v/>
      </c>
      <c r="P42" s="59"/>
      <c r="Q42" s="9"/>
    </row>
    <row r="43" spans="2:17" ht="15" x14ac:dyDescent="0.2">
      <c r="B43" s="7"/>
      <c r="C43" s="3"/>
      <c r="D43" s="125"/>
      <c r="E43" s="81"/>
      <c r="F43" s="144" t="s">
        <v>72</v>
      </c>
      <c r="G43" s="133"/>
      <c r="H43" s="133"/>
      <c r="I43" s="133"/>
      <c r="J43" s="133"/>
      <c r="K43" s="134"/>
      <c r="L43" s="116"/>
      <c r="M43" s="206"/>
      <c r="N43" s="83"/>
      <c r="O43" s="78" t="str">
        <f t="shared" si="0"/>
        <v/>
      </c>
      <c r="P43" s="59"/>
      <c r="Q43" s="9"/>
    </row>
    <row r="44" spans="2:17" ht="15" x14ac:dyDescent="0.2">
      <c r="B44" s="7"/>
      <c r="C44" s="3"/>
      <c r="D44" s="125"/>
      <c r="E44" s="81"/>
      <c r="F44" s="138"/>
      <c r="G44" s="133"/>
      <c r="H44" s="133"/>
      <c r="I44" s="133"/>
      <c r="J44" s="133"/>
      <c r="K44" s="134"/>
      <c r="L44" s="116"/>
      <c r="M44" s="206"/>
      <c r="N44" s="83"/>
      <c r="O44" s="78" t="str">
        <f t="shared" si="0"/>
        <v/>
      </c>
      <c r="P44" s="59"/>
      <c r="Q44" s="9"/>
    </row>
    <row r="45" spans="2:17" ht="15" x14ac:dyDescent="0.2">
      <c r="B45" s="7"/>
      <c r="C45" s="3"/>
      <c r="D45" s="125">
        <v>981</v>
      </c>
      <c r="E45" s="81">
        <v>1</v>
      </c>
      <c r="F45" s="164" t="s">
        <v>68</v>
      </c>
      <c r="G45" s="160"/>
      <c r="H45" s="160"/>
      <c r="I45" s="160"/>
      <c r="J45" s="160"/>
      <c r="K45" s="161"/>
      <c r="L45" s="116"/>
      <c r="M45" s="122"/>
      <c r="N45" s="83">
        <v>18</v>
      </c>
      <c r="O45" s="78">
        <f t="shared" si="0"/>
        <v>18</v>
      </c>
      <c r="P45" s="59"/>
      <c r="Q45" s="9"/>
    </row>
    <row r="46" spans="2:17" ht="15" x14ac:dyDescent="0.2">
      <c r="B46" s="7"/>
      <c r="C46" s="3"/>
      <c r="D46" s="125"/>
      <c r="E46" s="81"/>
      <c r="F46" s="159" t="s">
        <v>74</v>
      </c>
      <c r="G46" s="160"/>
      <c r="H46" s="160"/>
      <c r="I46" s="160"/>
      <c r="J46" s="160"/>
      <c r="K46" s="161"/>
      <c r="L46" s="116"/>
      <c r="M46" s="206"/>
      <c r="N46" s="83"/>
      <c r="O46" s="78" t="str">
        <f t="shared" si="0"/>
        <v/>
      </c>
      <c r="P46" s="59"/>
      <c r="Q46" s="9"/>
    </row>
    <row r="47" spans="2:17" ht="15" x14ac:dyDescent="0.2">
      <c r="B47" s="7"/>
      <c r="C47" s="3"/>
      <c r="D47" s="125"/>
      <c r="E47" s="81"/>
      <c r="F47" s="138" t="s">
        <v>69</v>
      </c>
      <c r="G47" s="133"/>
      <c r="H47" s="133"/>
      <c r="I47" s="133"/>
      <c r="J47" s="133"/>
      <c r="K47" s="134"/>
      <c r="L47" s="116"/>
      <c r="M47" s="206"/>
      <c r="N47" s="83"/>
      <c r="O47" s="78" t="str">
        <f t="shared" si="0"/>
        <v/>
      </c>
      <c r="P47" s="59"/>
      <c r="Q47" s="9"/>
    </row>
    <row r="48" spans="2:17" ht="15" x14ac:dyDescent="0.2">
      <c r="B48" s="7"/>
      <c r="C48" s="3"/>
      <c r="D48" s="125"/>
      <c r="E48" s="81"/>
      <c r="F48" s="144"/>
      <c r="G48" s="142"/>
      <c r="H48" s="142"/>
      <c r="I48" s="142"/>
      <c r="J48" s="142"/>
      <c r="K48" s="143"/>
      <c r="L48" s="116"/>
      <c r="M48" s="206"/>
      <c r="N48" s="83"/>
      <c r="O48" s="78" t="str">
        <f t="shared" si="0"/>
        <v/>
      </c>
      <c r="P48" s="59"/>
      <c r="Q48" s="9"/>
    </row>
    <row r="49" spans="2:17" ht="15" x14ac:dyDescent="0.2">
      <c r="B49" s="7"/>
      <c r="C49" s="3"/>
      <c r="D49" s="125">
        <v>2152</v>
      </c>
      <c r="E49" s="81">
        <v>1</v>
      </c>
      <c r="F49" s="164" t="s">
        <v>76</v>
      </c>
      <c r="G49" s="160"/>
      <c r="H49" s="160"/>
      <c r="I49" s="160"/>
      <c r="J49" s="160"/>
      <c r="K49" s="161"/>
      <c r="L49" s="116"/>
      <c r="M49" s="122"/>
      <c r="N49" s="83">
        <v>70</v>
      </c>
      <c r="O49" s="78">
        <f t="shared" si="0"/>
        <v>70</v>
      </c>
      <c r="P49" s="59"/>
      <c r="Q49" s="9"/>
    </row>
    <row r="50" spans="2:17" ht="15" x14ac:dyDescent="0.2">
      <c r="B50" s="7"/>
      <c r="C50" s="3"/>
      <c r="D50" s="125"/>
      <c r="E50" s="81"/>
      <c r="F50" s="159" t="s">
        <v>77</v>
      </c>
      <c r="G50" s="160"/>
      <c r="H50" s="160"/>
      <c r="I50" s="160"/>
      <c r="J50" s="160"/>
      <c r="K50" s="161"/>
      <c r="L50" s="116"/>
      <c r="M50" s="206"/>
      <c r="N50" s="83"/>
      <c r="O50" s="78" t="str">
        <f t="shared" si="0"/>
        <v/>
      </c>
      <c r="P50" s="59"/>
      <c r="Q50" s="9"/>
    </row>
    <row r="51" spans="2:17" ht="15" x14ac:dyDescent="0.2">
      <c r="B51" s="7"/>
      <c r="C51" s="3"/>
      <c r="D51" s="125"/>
      <c r="E51" s="81"/>
      <c r="F51" s="144" t="s">
        <v>78</v>
      </c>
      <c r="G51" s="142"/>
      <c r="H51" s="142"/>
      <c r="I51" s="142"/>
      <c r="J51" s="142"/>
      <c r="K51" s="143"/>
      <c r="L51" s="116"/>
      <c r="M51" s="82"/>
      <c r="N51" s="83"/>
      <c r="O51" s="78" t="str">
        <f t="shared" si="0"/>
        <v/>
      </c>
      <c r="P51" s="59"/>
      <c r="Q51" s="9"/>
    </row>
    <row r="52" spans="2:17" ht="15" x14ac:dyDescent="0.2">
      <c r="B52" s="7"/>
      <c r="C52" s="3"/>
      <c r="D52" s="125"/>
      <c r="E52" s="81"/>
      <c r="F52" s="144"/>
      <c r="G52" s="142"/>
      <c r="H52" s="142"/>
      <c r="I52" s="142"/>
      <c r="J52" s="142"/>
      <c r="K52" s="143"/>
      <c r="L52" s="116"/>
      <c r="M52" s="82"/>
      <c r="N52" s="83"/>
      <c r="O52" s="78" t="str">
        <f t="shared" si="0"/>
        <v/>
      </c>
      <c r="P52" s="59"/>
      <c r="Q52" s="9"/>
    </row>
    <row r="53" spans="2:17" ht="15" x14ac:dyDescent="0.2">
      <c r="B53" s="7"/>
      <c r="C53" s="3"/>
      <c r="D53" s="125" t="s">
        <v>87</v>
      </c>
      <c r="E53" s="81">
        <v>1</v>
      </c>
      <c r="F53" s="164" t="s">
        <v>79</v>
      </c>
      <c r="G53" s="160"/>
      <c r="H53" s="160"/>
      <c r="I53" s="160"/>
      <c r="J53" s="160"/>
      <c r="K53" s="161"/>
      <c r="L53" s="116"/>
      <c r="M53" s="82"/>
      <c r="N53" s="83">
        <v>95</v>
      </c>
      <c r="O53" s="78">
        <f t="shared" si="0"/>
        <v>95</v>
      </c>
      <c r="P53" s="59"/>
      <c r="Q53" s="9"/>
    </row>
    <row r="54" spans="2:17" ht="15" x14ac:dyDescent="0.2">
      <c r="B54" s="7"/>
      <c r="C54" s="3"/>
      <c r="D54" s="125"/>
      <c r="E54" s="81"/>
      <c r="F54" s="188" t="s">
        <v>80</v>
      </c>
      <c r="G54" s="133"/>
      <c r="H54" s="133"/>
      <c r="I54" s="133"/>
      <c r="J54" s="133"/>
      <c r="K54" s="134"/>
      <c r="L54" s="116"/>
      <c r="M54" s="82"/>
      <c r="N54" s="83"/>
      <c r="O54" s="78" t="str">
        <f t="shared" si="0"/>
        <v/>
      </c>
      <c r="P54" s="59"/>
      <c r="Q54" s="9"/>
    </row>
    <row r="55" spans="2:17" ht="15" x14ac:dyDescent="0.2">
      <c r="B55" s="7"/>
      <c r="C55" s="3"/>
      <c r="D55" s="125"/>
      <c r="E55" s="81"/>
      <c r="F55" s="135"/>
      <c r="G55" s="136"/>
      <c r="H55" s="136"/>
      <c r="I55" s="136"/>
      <c r="J55" s="136"/>
      <c r="K55" s="137"/>
      <c r="L55" s="116"/>
      <c r="M55" s="82"/>
      <c r="N55" s="83"/>
      <c r="O55" s="78" t="str">
        <f t="shared" si="0"/>
        <v/>
      </c>
      <c r="P55" s="59"/>
      <c r="Q55" s="9"/>
    </row>
    <row r="56" spans="2:17" ht="15" x14ac:dyDescent="0.2">
      <c r="B56" s="7"/>
      <c r="C56" s="3"/>
      <c r="D56" s="69"/>
      <c r="E56" s="55"/>
      <c r="F56" s="171" t="s">
        <v>58</v>
      </c>
      <c r="G56" s="155"/>
      <c r="H56" s="155"/>
      <c r="I56" s="155"/>
      <c r="J56" s="155"/>
      <c r="K56" s="156"/>
      <c r="L56" s="118"/>
      <c r="M56" s="82"/>
      <c r="N56" s="83"/>
      <c r="O56" s="78" t="str">
        <f t="shared" si="0"/>
        <v/>
      </c>
      <c r="P56" s="59"/>
      <c r="Q56" s="9"/>
    </row>
    <row r="57" spans="2:17" ht="15" x14ac:dyDescent="0.2">
      <c r="B57" s="7"/>
      <c r="C57" s="3"/>
      <c r="D57" s="69"/>
      <c r="E57" s="55"/>
      <c r="F57" s="152" t="s">
        <v>59</v>
      </c>
      <c r="G57" s="153"/>
      <c r="H57" s="153"/>
      <c r="I57" s="153"/>
      <c r="J57" s="153"/>
      <c r="K57" s="154"/>
      <c r="L57" s="118"/>
      <c r="M57" s="82"/>
      <c r="N57" s="83"/>
      <c r="O57" s="78" t="str">
        <f t="shared" si="0"/>
        <v/>
      </c>
      <c r="P57" s="59"/>
      <c r="Q57" s="9"/>
    </row>
    <row r="58" spans="2:17" ht="15" x14ac:dyDescent="0.2">
      <c r="B58" s="7"/>
      <c r="C58" s="3"/>
      <c r="D58" s="70"/>
      <c r="E58" s="56"/>
      <c r="F58" s="167"/>
      <c r="G58" s="168"/>
      <c r="H58" s="168"/>
      <c r="I58" s="168"/>
      <c r="J58" s="168"/>
      <c r="K58" s="168"/>
      <c r="L58" s="119"/>
      <c r="M58" s="84"/>
      <c r="N58" s="83"/>
      <c r="O58" s="78" t="str">
        <f t="shared" si="0"/>
        <v/>
      </c>
      <c r="P58" s="59"/>
      <c r="Q58" s="9"/>
    </row>
    <row r="59" spans="2:17" ht="15.75" x14ac:dyDescent="0.25">
      <c r="B59" s="7"/>
      <c r="C59" s="3"/>
      <c r="D59" s="3"/>
      <c r="E59" s="92"/>
      <c r="F59" s="92"/>
      <c r="G59" s="92"/>
      <c r="H59" s="92"/>
      <c r="I59" s="92"/>
      <c r="J59" s="85"/>
      <c r="K59" s="85"/>
      <c r="L59" s="85"/>
      <c r="M59" s="85"/>
      <c r="N59" s="126" t="s">
        <v>25</v>
      </c>
      <c r="O59" s="109">
        <f>SUM(O24:O58)</f>
        <v>711.5</v>
      </c>
      <c r="P59" s="59"/>
      <c r="Q59" s="9"/>
    </row>
    <row r="60" spans="2:17" ht="15" x14ac:dyDescent="0.2">
      <c r="B60" s="7"/>
      <c r="C60" s="3"/>
      <c r="D60" s="3"/>
      <c r="E60" s="92"/>
      <c r="F60" s="92"/>
      <c r="G60" s="92"/>
      <c r="H60" s="92"/>
      <c r="I60" s="92"/>
      <c r="J60" s="85"/>
      <c r="K60" s="85"/>
      <c r="L60" s="85"/>
      <c r="M60" s="85"/>
      <c r="N60" s="132" t="s">
        <v>49</v>
      </c>
      <c r="O60" s="127">
        <v>0.6</v>
      </c>
      <c r="P60" s="59"/>
      <c r="Q60" s="9"/>
    </row>
    <row r="61" spans="2:17" ht="15" x14ac:dyDescent="0.2">
      <c r="B61" s="7"/>
      <c r="C61" s="3"/>
      <c r="D61" s="3"/>
      <c r="E61" s="93"/>
      <c r="F61" s="94" t="s">
        <v>26</v>
      </c>
      <c r="G61" s="92"/>
      <c r="H61" s="92"/>
      <c r="I61" s="92"/>
      <c r="J61" s="87"/>
      <c r="K61" s="87"/>
      <c r="L61" s="87"/>
      <c r="M61" s="86"/>
      <c r="N61" s="128">
        <v>0.19</v>
      </c>
      <c r="O61" s="127">
        <f>O59*0.19</f>
        <v>135.185</v>
      </c>
      <c r="P61" s="59"/>
      <c r="Q61" s="9"/>
    </row>
    <row r="62" spans="2:17" ht="15.75" x14ac:dyDescent="0.25">
      <c r="B62" s="7"/>
      <c r="C62" s="3"/>
      <c r="D62" s="3"/>
      <c r="E62" s="95"/>
      <c r="F62" s="94" t="s">
        <v>27</v>
      </c>
      <c r="G62" s="98"/>
      <c r="H62" s="95"/>
      <c r="I62" s="92"/>
      <c r="J62" s="88"/>
      <c r="K62" s="85"/>
      <c r="L62" s="85"/>
      <c r="M62" s="85"/>
      <c r="N62" s="129" t="s">
        <v>29</v>
      </c>
      <c r="O62" s="109">
        <f>O59+O60+O61</f>
        <v>847.28500000000008</v>
      </c>
      <c r="P62" s="59"/>
      <c r="Q62" s="9"/>
    </row>
    <row r="63" spans="2:17" ht="15.75" x14ac:dyDescent="0.25">
      <c r="B63" s="7"/>
      <c r="C63" s="3"/>
      <c r="D63" s="3"/>
      <c r="E63" s="95">
        <v>2</v>
      </c>
      <c r="F63" s="94"/>
      <c r="G63" s="92"/>
      <c r="H63" s="96"/>
      <c r="I63" s="92"/>
      <c r="J63" s="89" t="s">
        <v>28</v>
      </c>
      <c r="K63" s="85"/>
      <c r="L63" s="85"/>
      <c r="M63" s="85"/>
      <c r="N63" s="130"/>
      <c r="O63" s="131"/>
      <c r="P63" s="59"/>
      <c r="Q63" s="9"/>
    </row>
    <row r="64" spans="2:17" ht="15" x14ac:dyDescent="0.2">
      <c r="B64" s="7"/>
      <c r="C64" s="110" t="s">
        <v>90</v>
      </c>
      <c r="D64" s="162"/>
      <c r="E64" s="163"/>
      <c r="F64" s="163"/>
      <c r="G64" s="163"/>
      <c r="H64" s="163"/>
      <c r="I64" s="163"/>
      <c r="J64" s="163"/>
      <c r="K64" s="163"/>
      <c r="L64" s="163"/>
      <c r="M64" s="85"/>
      <c r="N64" s="122"/>
      <c r="O64" s="122"/>
      <c r="P64" s="59"/>
      <c r="Q64" s="9"/>
    </row>
    <row r="65" spans="2:17" ht="17.100000000000001" customHeight="1" x14ac:dyDescent="0.2">
      <c r="B65" s="7"/>
      <c r="C65" s="3"/>
      <c r="D65" s="162"/>
      <c r="E65" s="210"/>
      <c r="F65" s="210"/>
      <c r="G65" s="210"/>
      <c r="H65" s="210"/>
      <c r="I65" s="210"/>
      <c r="J65" s="210"/>
      <c r="K65" s="210"/>
      <c r="L65" s="210"/>
      <c r="M65" s="210"/>
      <c r="N65" s="211"/>
      <c r="O65" s="211"/>
      <c r="P65" s="59"/>
      <c r="Q65" s="9"/>
    </row>
    <row r="66" spans="2:17" ht="17.100000000000001" customHeight="1" x14ac:dyDescent="0.2">
      <c r="B66" s="7"/>
      <c r="C66" s="3"/>
      <c r="D66" s="3"/>
      <c r="E66" s="97"/>
      <c r="F66" s="212"/>
      <c r="G66" s="213"/>
      <c r="H66" s="213"/>
      <c r="I66" s="213"/>
      <c r="J66" s="85"/>
      <c r="K66" s="85"/>
      <c r="L66" s="85"/>
      <c r="M66" s="85"/>
      <c r="N66" s="85"/>
      <c r="O66" s="85"/>
      <c r="P66" s="59"/>
      <c r="Q66" s="9"/>
    </row>
    <row r="67" spans="2:17" ht="15.75" x14ac:dyDescent="0.2">
      <c r="B67" s="7"/>
      <c r="C67" s="3"/>
      <c r="D67" s="3"/>
      <c r="E67" s="20"/>
      <c r="F67" s="214"/>
      <c r="G67" s="215"/>
      <c r="H67" s="215"/>
      <c r="I67" s="215"/>
      <c r="J67" s="85"/>
      <c r="K67" s="216" t="s">
        <v>57</v>
      </c>
      <c r="L67" s="216"/>
      <c r="M67" s="112"/>
      <c r="N67" s="112"/>
      <c r="O67" s="112"/>
      <c r="P67" s="59"/>
      <c r="Q67" s="9"/>
    </row>
    <row r="68" spans="2:17" ht="15" customHeight="1" x14ac:dyDescent="0.2">
      <c r="B68" s="7"/>
      <c r="C68" s="3"/>
      <c r="D68" s="3"/>
      <c r="E68" s="20"/>
      <c r="F68" s="86"/>
      <c r="G68" s="217"/>
      <c r="H68" s="218"/>
      <c r="I68" s="218"/>
      <c r="J68" s="85"/>
      <c r="K68" s="112"/>
      <c r="L68" s="112"/>
      <c r="M68" s="112"/>
      <c r="N68" s="112"/>
      <c r="O68" s="112"/>
      <c r="P68" s="59"/>
      <c r="Q68" s="9"/>
    </row>
    <row r="69" spans="2:17" ht="15" x14ac:dyDescent="0.2">
      <c r="B69" s="7"/>
      <c r="C69" s="3"/>
      <c r="D69" s="3"/>
      <c r="E69" s="3"/>
      <c r="F69" s="85"/>
      <c r="G69" s="85"/>
      <c r="H69" s="85"/>
      <c r="I69" s="85"/>
      <c r="J69" s="85"/>
      <c r="K69" s="112"/>
      <c r="L69" s="112"/>
      <c r="M69" s="112"/>
      <c r="N69" s="112"/>
      <c r="O69" s="112"/>
      <c r="P69" s="59"/>
      <c r="Q69" s="9"/>
    </row>
    <row r="70" spans="2:17" ht="15" x14ac:dyDescent="0.2">
      <c r="B70" s="7"/>
      <c r="C70" s="3"/>
      <c r="D70" s="104"/>
      <c r="E70" s="108"/>
      <c r="F70" s="85"/>
      <c r="G70" s="85"/>
      <c r="H70" s="85"/>
      <c r="I70" s="85"/>
      <c r="J70" s="85"/>
      <c r="K70" s="91"/>
      <c r="L70" s="91"/>
      <c r="M70" s="91"/>
      <c r="N70" s="91"/>
      <c r="O70" s="91"/>
      <c r="P70" s="59"/>
      <c r="Q70" s="9"/>
    </row>
    <row r="71" spans="2:17" ht="15" x14ac:dyDescent="0.2">
      <c r="B71" s="7"/>
      <c r="C71" s="3"/>
      <c r="D71" s="3"/>
      <c r="E71" s="3"/>
      <c r="F71" s="106"/>
      <c r="G71" s="107"/>
      <c r="H71" s="107"/>
      <c r="I71" s="107"/>
      <c r="J71" s="107"/>
      <c r="K71" s="107"/>
      <c r="L71" s="107"/>
      <c r="M71" s="107"/>
      <c r="N71" s="107"/>
      <c r="O71" s="85"/>
      <c r="P71" s="59"/>
      <c r="Q71" s="9"/>
    </row>
    <row r="72" spans="2:17" ht="15" x14ac:dyDescent="0.2">
      <c r="B72" s="7"/>
      <c r="C72" s="3"/>
      <c r="D72" s="3"/>
      <c r="E72" s="3"/>
      <c r="F72" s="107"/>
      <c r="G72" s="107"/>
      <c r="H72" s="107"/>
      <c r="I72" s="107"/>
      <c r="J72" s="107"/>
      <c r="K72" s="107"/>
      <c r="L72" s="107"/>
      <c r="M72" s="107"/>
      <c r="N72" s="107"/>
      <c r="O72" s="85"/>
      <c r="P72" s="59"/>
      <c r="Q72" s="9"/>
    </row>
    <row r="73" spans="2:17" ht="15" x14ac:dyDescent="0.2">
      <c r="B73" s="7"/>
      <c r="C73" s="3"/>
      <c r="D73" s="3"/>
      <c r="E73" s="92"/>
      <c r="F73" s="107"/>
      <c r="G73" s="107"/>
      <c r="H73" s="107"/>
      <c r="I73" s="107"/>
      <c r="J73" s="107"/>
      <c r="K73" s="107"/>
      <c r="L73" s="107"/>
      <c r="M73" s="107"/>
      <c r="N73" s="107"/>
      <c r="O73" s="90"/>
      <c r="P73" s="59"/>
      <c r="Q73" s="9"/>
    </row>
    <row r="74" spans="2:17" ht="15" x14ac:dyDescent="0.2">
      <c r="B74" s="7"/>
      <c r="C74" s="3"/>
      <c r="D74" s="3"/>
      <c r="E74" s="3"/>
      <c r="F74" s="107"/>
      <c r="G74" s="107"/>
      <c r="H74" s="107"/>
      <c r="I74" s="107"/>
      <c r="J74" s="107"/>
      <c r="K74" s="107"/>
      <c r="L74" s="107"/>
      <c r="M74" s="107"/>
      <c r="N74" s="107"/>
      <c r="O74" s="85"/>
      <c r="P74" s="59"/>
      <c r="Q74" s="9"/>
    </row>
    <row r="75" spans="2:17" ht="13.5" thickBot="1" x14ac:dyDescent="0.25">
      <c r="B75" s="7"/>
      <c r="C75" s="3"/>
      <c r="D75" s="3"/>
      <c r="E75" s="3"/>
      <c r="F75" s="3"/>
      <c r="G75" s="3"/>
      <c r="H75" s="3"/>
      <c r="I75" s="3"/>
      <c r="J75" s="3"/>
      <c r="K75" s="3"/>
      <c r="L75" s="3"/>
      <c r="M75" s="3"/>
      <c r="N75" s="3"/>
      <c r="O75" s="3"/>
      <c r="P75" s="59"/>
      <c r="Q75" s="9"/>
    </row>
    <row r="76" spans="2:17" ht="13.5" thickTop="1" x14ac:dyDescent="0.2">
      <c r="B76" s="7"/>
      <c r="C76" s="3"/>
      <c r="D76" s="3"/>
      <c r="E76" s="60"/>
      <c r="F76" s="60"/>
      <c r="G76" s="60"/>
      <c r="H76" s="60"/>
      <c r="I76" s="60"/>
      <c r="J76" s="60"/>
      <c r="K76" s="60"/>
      <c r="L76" s="60"/>
      <c r="M76" s="60"/>
      <c r="N76" s="60"/>
      <c r="O76" s="60"/>
      <c r="P76" s="59"/>
      <c r="Q76" s="9"/>
    </row>
    <row r="77" spans="2:17" ht="3" customHeight="1" x14ac:dyDescent="0.2">
      <c r="B77" s="7"/>
      <c r="C77" s="3"/>
      <c r="D77" s="3"/>
      <c r="E77" s="3"/>
      <c r="F77" s="111"/>
      <c r="G77" s="113"/>
      <c r="H77" s="113"/>
      <c r="I77" s="113"/>
      <c r="J77" s="113"/>
      <c r="K77" s="113"/>
      <c r="L77" s="113"/>
      <c r="M77" s="113"/>
      <c r="N77" s="113"/>
      <c r="O77" s="3"/>
      <c r="P77" s="59"/>
      <c r="Q77" s="9"/>
    </row>
    <row r="78" spans="2:17" x14ac:dyDescent="0.2">
      <c r="B78" s="7"/>
      <c r="C78" s="3"/>
      <c r="D78" s="3"/>
      <c r="E78" s="3"/>
      <c r="F78" s="114"/>
      <c r="G78" s="114"/>
      <c r="H78" s="114"/>
      <c r="I78" s="114"/>
      <c r="J78" s="114"/>
      <c r="K78" s="114"/>
      <c r="L78" s="114"/>
      <c r="M78" s="114"/>
      <c r="N78" s="114"/>
      <c r="O78" s="3"/>
      <c r="P78" s="59"/>
      <c r="Q78" s="9"/>
    </row>
    <row r="79" spans="2:17" x14ac:dyDescent="0.2">
      <c r="B79" s="7"/>
      <c r="C79" s="3"/>
      <c r="D79" s="3"/>
      <c r="E79" s="3"/>
      <c r="F79" s="114"/>
      <c r="G79" s="114"/>
      <c r="H79" s="114"/>
      <c r="I79" s="114"/>
      <c r="J79" s="114"/>
      <c r="K79" s="114"/>
      <c r="L79" s="114"/>
      <c r="M79" s="114"/>
      <c r="N79" s="114"/>
      <c r="O79" s="3"/>
      <c r="P79" s="59"/>
      <c r="Q79" s="9"/>
    </row>
    <row r="80" spans="2:17" ht="13.5" thickBot="1" x14ac:dyDescent="0.25">
      <c r="B80" s="7"/>
      <c r="C80" s="11"/>
      <c r="D80" s="11"/>
      <c r="E80" s="11"/>
      <c r="F80" s="11"/>
      <c r="G80" s="11"/>
      <c r="H80" s="11"/>
      <c r="I80" s="11"/>
      <c r="J80" s="11"/>
      <c r="K80" s="11"/>
      <c r="L80" s="11"/>
      <c r="M80" s="11"/>
      <c r="N80" s="11"/>
      <c r="O80" s="11"/>
      <c r="P80" s="11"/>
      <c r="Q80" s="12"/>
    </row>
    <row r="81" spans="2:2" ht="0.95" customHeight="1" thickTop="1" thickBot="1" x14ac:dyDescent="0.25">
      <c r="B81" s="10"/>
    </row>
    <row r="82" spans="2:2" ht="6" customHeight="1" thickTop="1" x14ac:dyDescent="0.2"/>
  </sheetData>
  <scenarios current="0">
    <scenario name="sample1" locked="1" count="10" user="Nickte" comment="Created by Nickte on 23/10/96">
      <inputCells r="E16" val="M. Antoine CIVAUX"/>
      <inputCells r="E17" val="34, route de Marseille"/>
      <inputCells r="E18" val="84000"/>
      <inputCells r="E19" val="04.90.26.45.78"/>
      <inputCells r="G18" val="Avignon"/>
      <inputCells r="J18" val="France"/>
      <inputCells r="N16" val="35343" numFmtId="14"/>
      <inputCells r="N17" val="452"/>
      <inputCells r="N18" val="T. Farot"/>
      <inputCells r="N19" val="Le Havre"/>
    </scenario>
    <scenario name="sample2" locked="1" count="10" user="Nickte" comment="Created by Nickte on 23/10/96">
      <inputCells r="D24" val="FV451"/>
      <inputCells r="E24" val="1"/>
      <inputCells r="F24" val="Bureau métal"/>
      <inputCells r="D25" val="RF458"/>
      <inputCells r="E25" val="1"/>
      <inputCells r="F25" val="Fauteuil ergonomique"/>
      <inputCells r="M24" val="2"/>
      <inputCells r="N24" val="2300" numFmtId="8"/>
      <inputCells r="M25" val="2"/>
      <inputCells r="N25" val="1300" numFmtId="8"/>
    </scenario>
  </scenarios>
  <mergeCells count="34">
    <mergeCell ref="F53:K53"/>
    <mergeCell ref="F49:K49"/>
    <mergeCell ref="F45:K45"/>
    <mergeCell ref="F46:K46"/>
    <mergeCell ref="F50:K50"/>
    <mergeCell ref="F41:K41"/>
    <mergeCell ref="F42:K42"/>
    <mergeCell ref="F29:K29"/>
    <mergeCell ref="F34:K34"/>
    <mergeCell ref="F33:H33"/>
    <mergeCell ref="N6:O6"/>
    <mergeCell ref="F56:K56"/>
    <mergeCell ref="N16:O16"/>
    <mergeCell ref="N18:O18"/>
    <mergeCell ref="N19:O19"/>
    <mergeCell ref="G18:H18"/>
    <mergeCell ref="E17:J17"/>
    <mergeCell ref="E16:J16"/>
    <mergeCell ref="E19:J19"/>
    <mergeCell ref="N7:O7"/>
    <mergeCell ref="F37:K37"/>
    <mergeCell ref="F38:K38"/>
    <mergeCell ref="G68:I68"/>
    <mergeCell ref="F57:K57"/>
    <mergeCell ref="F67:I67"/>
    <mergeCell ref="F21:K21"/>
    <mergeCell ref="F24:K24"/>
    <mergeCell ref="F25:K25"/>
    <mergeCell ref="F66:I66"/>
    <mergeCell ref="D65:M65"/>
    <mergeCell ref="F26:K26"/>
    <mergeCell ref="F58:K58"/>
    <mergeCell ref="D64:L64"/>
    <mergeCell ref="F28:H2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6:O66 K66:L6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7:N79"/>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71"/>
    <dataValidation type="textLength" errorStyle="warning" allowBlank="1" showErrorMessage="1" errorTitle="Sous-total" error="Les cellules ombrées contiennent des formules et sont calculées automatiquement par Excel. N'y tapez aucune information." promptTitle="Sous-total" sqref="O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6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62:O63">
      <formula1>0</formula1>
      <formula2>0</formula2>
    </dataValidation>
    <dataValidation allowBlank="1" showErrorMessage="1" sqref="G18:H18"/>
    <dataValidation type="textLength" errorStyle="warning" allowBlank="1" showErrorMessage="1" errorTitle="T.V.A." error="Les cellules ombrées contiennent des formules et sont calculées automatiquement par Excel. N'y tapez aucune information." promptTitle="T.V.A." sqref="N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61">
      <formula1>0</formula1>
      <formula2>0</formula2>
    </dataValidation>
    <dataValidation type="whole" errorStyle="warning" allowBlank="1" showErrorMessage="1" errorTitle="Quantité" error="Tapez un nombre dans cette cellule." promptTitle="Quantité" sqref="E24:E58">
      <formula1>0</formula1>
      <formula2>1000000000</formula2>
    </dataValidation>
    <dataValidation type="decimal" allowBlank="1" showErrorMessage="1" errorTitle="Prix unitaire" error="Tapez un nombre dans cette cellule." promptTitle="Prix unitaire" sqref="N24:N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4:O58">
      <formula1>0</formula1>
      <formula2>0</formula2>
    </dataValidation>
    <dataValidation type="list" allowBlank="1" showInputMessage="1" showErrorMessage="1" errorTitle="Code TVA" error="Tapez 1, 2, ou 3." sqref="M50:M58 M25:M40 M42:M44 M46:M48">
      <formula1>"1,2,3"</formula1>
    </dataValidation>
  </dataValidations>
  <hyperlinks>
    <hyperlink ref="F26" r:id="rId1"/>
    <hyperlink ref="F30" r:id="rId2"/>
    <hyperlink ref="F39" r:id="rId3"/>
    <hyperlink ref="F47" r:id="rId4"/>
    <hyperlink ref="F35" r:id="rId5"/>
    <hyperlink ref="F51" r:id="rId6"/>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7"/>
  <headerFooter alignWithMargins="0"/>
  <drawing r:id="rId8"/>
  <legacyDrawing r:id="rId9"/>
  <mc:AlternateContent xmlns:mc="http://schemas.openxmlformats.org/markup-compatibility/2006">
    <mc:Choice Requires="x14">
      <controls>
        <mc:AlternateContent xmlns:mc="http://schemas.openxmlformats.org/markup-compatibility/2006">
          <mc:Choice Requires="x14">
            <control shapeId="2059" r:id="rId10" name="CUST">
              <controlPr defaultSize="0" print="0" autoFill="0" autoLine="0" autoPict="0" macro="[0]!Customize">
                <anchor moveWithCells="1" sizeWithCells="1">
                  <from>
                    <xdr:col>13</xdr:col>
                    <xdr:colOff>485775</xdr:colOff>
                    <xdr:row>9</xdr:row>
                    <xdr:rowOff>0</xdr:rowOff>
                  </from>
                  <to>
                    <xdr:col>14</xdr:col>
                    <xdr:colOff>714375</xdr:colOff>
                    <xdr:row>10</xdr:row>
                    <xdr:rowOff>47625</xdr:rowOff>
                  </to>
                </anchor>
              </controlPr>
            </control>
          </mc:Choice>
        </mc:AlternateContent>
        <mc:AlternateContent xmlns:mc="http://schemas.openxmlformats.org/markup-compatibility/2006">
          <mc:Choice Requires="x14">
            <control shapeId="2061" r:id="rId11" name="pd1">
              <controlPr defaultSize="0" autoFill="0" autoLine="0" autoPict="0" macro="[0]!INV_Payments">
                <anchor moveWithCells="1">
                  <from>
                    <xdr:col>4</xdr:col>
                    <xdr:colOff>400050</xdr:colOff>
                    <xdr:row>59</xdr:row>
                    <xdr:rowOff>152400</xdr:rowOff>
                  </from>
                  <to>
                    <xdr:col>4</xdr:col>
                    <xdr:colOff>695325</xdr:colOff>
                    <xdr:row>61</xdr:row>
                    <xdr:rowOff>76200</xdr:rowOff>
                  </to>
                </anchor>
              </controlPr>
            </control>
          </mc:Choice>
        </mc:AlternateContent>
        <mc:AlternateContent xmlns:mc="http://schemas.openxmlformats.org/markup-compatibility/2006">
          <mc:Choice Requires="x14">
            <control shapeId="2062" r:id="rId12" name="pd3">
              <controlPr defaultSize="0" autoFill="0" autoLine="0" autoPict="0" macro="[0]!INV_Payments">
                <anchor moveWithCells="1">
                  <from>
                    <xdr:col>4</xdr:col>
                    <xdr:colOff>400050</xdr:colOff>
                    <xdr:row>61</xdr:row>
                    <xdr:rowOff>0</xdr:rowOff>
                  </from>
                  <to>
                    <xdr:col>4</xdr:col>
                    <xdr:colOff>704850</xdr:colOff>
                    <xdr:row>62</xdr:row>
                    <xdr:rowOff>76200</xdr:rowOff>
                  </to>
                </anchor>
              </controlPr>
            </control>
          </mc:Choice>
        </mc:AlternateContent>
        <mc:AlternateContent xmlns:mc="http://schemas.openxmlformats.org/markup-compatibility/2006">
          <mc:Choice Requires="x14">
            <control shapeId="2071" r:id="rId13" name="pd2">
              <controlPr defaultSize="0" autoFill="0" autoLine="0" autoPict="0" macro="[0]!INV_Payments">
                <anchor moveWithCells="1">
                  <from>
                    <xdr:col>4</xdr:col>
                    <xdr:colOff>409575</xdr:colOff>
                    <xdr:row>62</xdr:row>
                    <xdr:rowOff>28575</xdr:rowOff>
                  </from>
                  <to>
                    <xdr:col>4</xdr:col>
                    <xdr:colOff>714375</xdr:colOff>
                    <xdr:row>63</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Facture!$O$8</f>
        <v/>
      </c>
      <c r="C8" s="74">
        <f>Facture!$N$16</f>
        <v>43293</v>
      </c>
      <c r="D8" s="75" t="str">
        <f>Facture!$E$16</f>
        <v>ATET</v>
      </c>
      <c r="E8" s="72">
        <f>Facture!$E$17</f>
        <v>0</v>
      </c>
      <c r="F8" s="72">
        <f>Facture!$E$18</f>
        <v>0</v>
      </c>
      <c r="G8" s="75">
        <f>Facture!$G$18</f>
        <v>0</v>
      </c>
      <c r="H8" s="75" t="str">
        <f>Facture!$J$18</f>
        <v>TN</v>
      </c>
      <c r="I8" s="72" t="str">
        <f>Facture!$E$19</f>
        <v xml:space="preserve">  22045660       Fax:</v>
      </c>
      <c r="J8" s="76">
        <f>Facture!$O$62</f>
        <v>847.28500000000008</v>
      </c>
      <c r="K8" s="72" t="str">
        <f>Facture!$N$18</f>
        <v>Mr.med boulehmi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2018-07-12T10:03:28Z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ATET</vt:lpwstr>
  </property>
  <property fmtid="{D5CDD505-2E9C-101B-9397-08002B2CF9AE}" pid="11" name="Montant de la facture" linkTarget="TOT">
    <vt:r8>847.285</vt:r8>
  </property>
</Properties>
</file>