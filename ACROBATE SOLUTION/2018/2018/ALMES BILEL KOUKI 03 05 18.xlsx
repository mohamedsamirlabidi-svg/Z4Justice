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Facture!$N$76</definedName>
    <definedName name="_Tax3">Facture!#REF!</definedName>
    <definedName name="_tax4">Facture!#REF!</definedName>
    <definedName name="_xlnm.Auto_Open21">'AutoOpen Stub Data'!$A$1</definedName>
    <definedName name="boxes">Facture!$E$76:$E$77</definedName>
    <definedName name="CC">'Personnaliser votre facture'!$G$22:$G$25</definedName>
    <definedName name="CCT">Facture!$H$78</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Facture!$F$72</definedName>
    <definedName name="data46">Facture!#REF!</definedName>
    <definedName name="data47">Facture!$E$43</definedName>
    <definedName name="data48">Facture!$F$43</definedName>
    <definedName name="data49">Facture!$N$43</definedName>
    <definedName name="data5">Facture!$E$19</definedName>
    <definedName name="data50">Facture!#REF!</definedName>
    <definedName name="data51">Facture!#REF!</definedName>
    <definedName name="data52">Facture!#REF!</definedName>
    <definedName name="data53">Facture!$E$44</definedName>
    <definedName name="data54">Facture!$F$44</definedName>
    <definedName name="data55">Facture!$N$44</definedName>
    <definedName name="data56">Facture!#REF!</definedName>
    <definedName name="data57">Facture!#REF!</definedName>
    <definedName name="data58">Facture!#REF!</definedName>
    <definedName name="data59">Facture!$E$73</definedName>
    <definedName name="data6">Facture!$F$20</definedName>
    <definedName name="data60">Facture!$F$73</definedName>
    <definedName name="data61">Facture!$N$73</definedName>
    <definedName name="data62">Facture!$E$76</definedName>
    <definedName name="data63">Facture!$E$77</definedName>
    <definedName name="data64">Facture!$E$78</definedName>
    <definedName name="data65">Facture!$H$77</definedName>
    <definedName name="data66">Facture!$F$80</definedName>
    <definedName name="data67">Facture!$F$82</definedName>
    <definedName name="data68">Facture!$G$83</definedName>
    <definedName name="data69">Facture!$K$83</definedName>
    <definedName name="data7">Facture!$H$21</definedName>
    <definedName name="data70">Facture!$K$84</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Facture!$C$3:$P$94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Facture!$F$72:$K$72</definedName>
    <definedName name="qzqzqz21">Facture!$F$43:$K$43</definedName>
    <definedName name="qzqzqz22">Facture!#REF!</definedName>
    <definedName name="qzqzqz23">Facture!$F$44:$K$44</definedName>
    <definedName name="qzqzqz24">Facture!#REF!</definedName>
    <definedName name="qzqzqz25">Facture!$F$73:$K$73</definedName>
    <definedName name="qzqzqz26">Facture!$F$80:$I$80</definedName>
    <definedName name="qzqzqz27">Facture!$F$81:$I$81</definedName>
    <definedName name="qzqzqz28">Facture!$F$82:$I$82</definedName>
    <definedName name="qzqzqz29">Facture!$K$82:$O$84</definedName>
    <definedName name="qzqzqz3">Facture!$E$20:$J$20</definedName>
    <definedName name="qzqzqz30">Facture!$G$83:$I$83</definedName>
    <definedName name="qzqzqz31">Facture!$G$83:$H$83</definedName>
    <definedName name="qzqzqz32">Facture!$K$81:$O$83</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Facture!$O$77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Facture!$C$3:$P$94</definedName>
  </definedNames>
  <calcPr calcId="152511"/>
</workbook>
</file>

<file path=xl/calcChain.xml><?xml version="1.0" encoding="utf-8"?>
<calcChain xmlns="http://schemas.openxmlformats.org/spreadsheetml/2006/main">
  <c r="O26" i="3" l="1"/>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1" i="3"/>
  <c r="O72" i="3" l="1"/>
  <c r="O25" i="3" l="1"/>
  <c r="O73" i="3"/>
  <c r="F33" i="2"/>
  <c r="B8" i="8"/>
  <c r="C8" i="8"/>
  <c r="D8" i="8"/>
  <c r="E8" i="8"/>
  <c r="F8" i="8"/>
  <c r="G8" i="8"/>
  <c r="H8" i="8"/>
  <c r="I8" i="8"/>
  <c r="K8" i="8"/>
  <c r="O74" i="3" l="1"/>
  <c r="O76" i="3" s="1"/>
  <c r="O7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7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<sst xmlns="http://schemas.openxmlformats.org/spreadsheetml/2006/main" count="119" uniqueCount="92">
  <si>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</si>
  <si>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</si>
  <si>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</si>
  <si>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</si>
  <si>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</si>
  <si>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</si>
  <si>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</si>
  <si>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</si>
  <si>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</si>
  <si>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</si>
  <si>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</si>
  <si>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</si>
  <si>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</si>
  <si>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</si>
  <si>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</si>
  <si>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</si>
  <si>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</si>
  <si>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</si>
  <si>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</si>
  <si>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</si>
  <si>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</si>
  <si>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</si>
  <si>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</si>
  <si>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</si>
  <si>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</si>
  <si>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</si>
  <si>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</si>
  <si>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</si>
  <si>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</si>
  <si>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</si>
  <si>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</si>
  <si>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</si>
  <si>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</si>
  <si>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</si>
  <si>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</si>
  <si>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</si>
  <si>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</si>
  <si>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</si>
  <si>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</si>
  <si>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</si>
  <si>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</si>
  <si>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</si>
  <si>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</si>
  <si>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</si>
  <si>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</si>
  <si>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</si>
  <si>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</si>
  <si>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</si>
  <si>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</si>
  <si>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</si>
  <si>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</si>
  <si>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</si>
  <si>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</si>
  <si>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</si>
  <si>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</si>
  <si>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</si>
  <si>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</si>
  <si>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</si>
  <si>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</si>
  <si>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</si>
  <si>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Fiche Technique:</t>
  </si>
  <si>
    <t>http://doc.camp.it/SchedeTecniche/SAFETY/ENG/2120.pdf</t>
  </si>
  <si>
    <t xml:space="preserve">       Fax:</t>
  </si>
  <si>
    <t>Harnais orbitalEN361,EN358</t>
  </si>
  <si>
    <t xml:space="preserve">ALMES </t>
  </si>
  <si>
    <t xml:space="preserve">Mr Bilel Kouki </t>
  </si>
  <si>
    <t>http://doc.camp.it/SchedeTecniche/SAFETY/ENG/1883.pdf</t>
  </si>
  <si>
    <t xml:space="preserve">ANTICHUTE AVEC CABLE DE 20M </t>
  </si>
  <si>
    <t>DEVIS 201807805</t>
  </si>
  <si>
    <t xml:space="preserve">Longe double cordage </t>
  </si>
  <si>
    <t>http://doc.camp.it/SchedeTecniche/SAFETY/ENG/203002.pdf</t>
  </si>
  <si>
    <t>http://doc.camp.it/SchedeTecniche/SAFETY/ENG/2232.pdf</t>
  </si>
  <si>
    <t>http://www.camp.it/prodotti3.aspx?CAT=37&amp;CDV=S7&amp;B=&amp;ART=~2004</t>
  </si>
  <si>
    <t xml:space="preserve">CORDE </t>
  </si>
  <si>
    <t>2240-2001</t>
  </si>
  <si>
    <t>Enrouleur a cable 10m</t>
  </si>
  <si>
    <t>http://doc.camp.it/SchedeTecniche/SAFETY/ENG/2076.pdf</t>
  </si>
  <si>
    <t xml:space="preserve">Sangle </t>
  </si>
  <si>
    <t>http://doc.camp.it/SchedeTecniche/SAFETY/ENG/2034060.pdf</t>
  </si>
  <si>
    <t xml:space="preserve">Goblin </t>
  </si>
  <si>
    <t>http://doc.camp.it/SchedeTecniche/SAFETY/ENG/0999.pdf</t>
  </si>
  <si>
    <t>0670-1</t>
  </si>
  <si>
    <t xml:space="preserve">Casque </t>
  </si>
  <si>
    <t>http://doc.camp.it/SchedeTecniche/SAFETY/ENG/0670.pdf</t>
  </si>
  <si>
    <t>Gant</t>
  </si>
  <si>
    <t>http://doc.camp.it/SchedeTecniche/SAFETY/ENG/2122.pdf</t>
  </si>
  <si>
    <t>Sellette</t>
  </si>
  <si>
    <t>http://www.camp.it/prodotti3.aspx?CAT=37&amp;CDV=18&amp;B=&amp;ART=~392</t>
  </si>
  <si>
    <t>Mousquetons</t>
  </si>
  <si>
    <t>http://doc.camp.it/SchedeTecniche/SAFETY/ENG/0981.pdf</t>
  </si>
  <si>
    <t>Descendeur  DRUID</t>
  </si>
  <si>
    <t>TRIPOD EN 795-B AVEC TREUIL DE 20M</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</si>
</sst>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u/>
      <sz val="8"/>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49" fontId="35" fillId="3" borderId="33" xfId="5" applyNumberFormat="1" applyFont="1" applyFill="1" applyBorder="1" applyAlignment="1" applyProtection="1"/>
    <xf numFmtId="0" fontId="0" fillId="3" borderId="33" xfId="0" applyFill="1" applyBorder="1" applyAlignment="1">
      <alignment horizontal="center"/>
    </xf>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50" xfId="0" applyFont="1" applyFill="1" applyBorder="1" applyAlignment="1">
      <alignment horizontal="right"/>
    </xf>
    <xf numFmtId="168" fontId="17" fillId="0" borderId="50" xfId="0" applyNumberFormat="1" applyFont="1" applyFill="1" applyBorder="1"/>
    <xf numFmtId="0" fontId="30" fillId="3" borderId="41" xfId="0" applyFont="1" applyFill="1" applyBorder="1" applyAlignment="1">
      <alignment horizontal="righ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34" fillId="3" borderId="33" xfId="5" applyNumberFormat="1" applyFill="1" applyBorder="1" applyAlignment="1" applyProtection="1">
      <alignment horizontal="lef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34" fillId="3" borderId="33" xfId="5" applyNumberFormat="1" applyFill="1" applyBorder="1" applyAlignment="1" applyProtection="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0" fontId="0" fillId="2" borderId="46"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0" fontId="2" fillId="3" borderId="0" xfId="0" applyFont="1" applyFill="1" applyBorder="1" applyAlignment="1">
      <alignment shrinkToFit="1"/>
    </xf>
    <xf numFmtId="0" fontId="0" fillId="2" borderId="0" xfId="0" applyAlignment="1">
      <alignment shrinkToFit="1"/>
    </xf>
    <xf numFmtId="49" fontId="27" fillId="3" borderId="33" xfId="0" applyNumberFormat="1" applyFont="1" applyFill="1" applyBorder="1" applyAlignment="1"/>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49" fontId="1" fillId="3" borderId="33" xfId="0" applyNumberFormat="1" applyFont="1" applyFill="1" applyBorder="1" applyAlignment="1">
      <alignment wrapText="1"/>
    </xf>
    <xf numFmtId="0" fontId="0" fillId="2" borderId="0" xfId="0" applyBorder="1" applyAlignment="1"/>
    <xf numFmtId="49" fontId="35" fillId="3" borderId="33" xfId="5" applyNumberFormat="1" applyFont="1" applyFill="1" applyBorder="1" applyAlignment="1" applyProtection="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78"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74</xdr:row>
          <xdr:rowOff>152400</xdr:rowOff>
        </xdr:from>
        <xdr:to>
          <xdr:col>4</xdr:col>
          <xdr:colOff>695325</xdr:colOff>
          <xdr:row>76</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76</xdr:row>
          <xdr:rowOff>0</xdr:rowOff>
        </xdr:from>
        <xdr:to>
          <xdr:col>4</xdr:col>
          <xdr:colOff>704850</xdr:colOff>
          <xdr:row>77</xdr:row>
          <xdr:rowOff>47626</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77</xdr:row>
          <xdr:rowOff>28575</xdr:rowOff>
        </xdr:from>
        <xdr:to>
          <xdr:col>4</xdr:col>
          <xdr:colOff>714375</xdr:colOff>
          <xdr:row>78</xdr:row>
          <xdr:rowOff>47624</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hyperlink" Target="http://doc.camp.it/SchedeTecniche/SAFETY/ENG/0670.pdf" TargetMode="External"/><Relationship Id="rId13" Type="http://schemas.openxmlformats.org/officeDocument/2006/relationships/drawing" Target="../drawings/drawing2.xml"/><Relationship Id="rId18" Type="http://schemas.openxmlformats.org/officeDocument/2006/relationships/ctrlProp" Target="../ctrlProps/ctrlProp8.xml"/><Relationship Id="rId3" Type="http://schemas.openxmlformats.org/officeDocument/2006/relationships/hyperlink" Target="http://doc.camp.it/SchedeTecniche/SAFETY/ENG/203002.pdf" TargetMode="External"/><Relationship Id="rId7" Type="http://schemas.openxmlformats.org/officeDocument/2006/relationships/hyperlink" Target="http://doc.camp.it/SchedeTecniche/SAFETY/ENG/0999.pdf" TargetMode="External"/><Relationship Id="rId12" Type="http://schemas.openxmlformats.org/officeDocument/2006/relationships/printerSettings" Target="../printerSettings/printerSettings2.bin"/><Relationship Id="rId17" Type="http://schemas.openxmlformats.org/officeDocument/2006/relationships/ctrlProp" Target="../ctrlProps/ctrlProp7.xml"/><Relationship Id="rId2" Type="http://schemas.openxmlformats.org/officeDocument/2006/relationships/hyperlink" Target="http://doc.camp.it/SchedeTecniche/SAFETY/ENG/1883.pdf" TargetMode="External"/><Relationship Id="rId16" Type="http://schemas.openxmlformats.org/officeDocument/2006/relationships/ctrlProp" Target="../ctrlProps/ctrlProp6.xml"/><Relationship Id="rId1" Type="http://schemas.openxmlformats.org/officeDocument/2006/relationships/hyperlink" Target="http://doc.camp.it/SchedeTecniche/SAFETY/ENG/2120.pdf" TargetMode="External"/><Relationship Id="rId6" Type="http://schemas.openxmlformats.org/officeDocument/2006/relationships/hyperlink" Target="http://doc.camp.it/SchedeTecniche/SAFETY/ENG/2034060.pdf" TargetMode="External"/><Relationship Id="rId11" Type="http://schemas.openxmlformats.org/officeDocument/2006/relationships/hyperlink" Target="http://doc.camp.it/SchedeTecniche/SAFETY/ENG/0981.pdf" TargetMode="External"/><Relationship Id="rId5" Type="http://schemas.openxmlformats.org/officeDocument/2006/relationships/hyperlink" Target="http://doc.camp.it/SchedeTecniche/SAFETY/ENG/2076.pdf" TargetMode="External"/><Relationship Id="rId15" Type="http://schemas.openxmlformats.org/officeDocument/2006/relationships/ctrlProp" Target="../ctrlProps/ctrlProp5.xml"/><Relationship Id="rId10" Type="http://schemas.openxmlformats.org/officeDocument/2006/relationships/hyperlink" Target="http://www.camp.it/prodotti3.aspx?CAT=37&amp;CDV=18&amp;B=&amp;ART=~392" TargetMode="External"/><Relationship Id="rId19" Type="http://schemas.openxmlformats.org/officeDocument/2006/relationships/comments" Target="../comments2.xml"/><Relationship Id="rId4" Type="http://schemas.openxmlformats.org/officeDocument/2006/relationships/hyperlink" Target="http://doc.camp.it/SchedeTecniche/SAFETY/ENG/2232.pdf" TargetMode="External"/><Relationship Id="rId9" Type="http://schemas.openxmlformats.org/officeDocument/2006/relationships/hyperlink" Target="http://doc.camp.it/SchedeTecniche/SAFETY/ENG/2122.pdf" TargetMode="External"/><Relationship Id="rId1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48</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96"/>
  <sheetViews>
    <sheetView showGridLines="0" showRowColHeaders="0" tabSelected="1" topLeftCell="A49" zoomScale="95" workbookViewId="0">
      <selection activeCell="M45" sqref="M4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90"/>
      <c r="O9" s="191"/>
      <c r="P9" s="3"/>
      <c r="Q9" s="9"/>
    </row>
    <row r="10" spans="2:17" x14ac:dyDescent="0.2">
      <c r="B10" s="7"/>
      <c r="C10" s="3"/>
      <c r="D10" s="3"/>
      <c r="E10" s="3"/>
      <c r="F10" s="3"/>
      <c r="G10" s="3"/>
      <c r="H10" s="3"/>
      <c r="I10" s="3"/>
      <c r="J10" s="3"/>
      <c r="K10" s="3"/>
      <c r="L10" s="3"/>
      <c r="M10" s="3"/>
      <c r="N10" s="204"/>
      <c r="O10" s="205"/>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7" t="s">
        <v>68</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200" t="s">
        <v>64</v>
      </c>
      <c r="F19" s="201"/>
      <c r="G19" s="201"/>
      <c r="H19" s="201"/>
      <c r="I19" s="201"/>
      <c r="J19" s="201"/>
      <c r="K19" s="94"/>
      <c r="L19" s="94"/>
      <c r="M19" s="96" t="s">
        <v>18</v>
      </c>
      <c r="N19" s="193">
        <v>43223</v>
      </c>
      <c r="O19" s="194"/>
      <c r="P19" s="58"/>
      <c r="Q19" s="9"/>
    </row>
    <row r="20" spans="2:17" x14ac:dyDescent="0.2">
      <c r="B20" s="7"/>
      <c r="C20" s="3"/>
      <c r="D20" s="94" t="s">
        <v>5</v>
      </c>
      <c r="E20" s="198"/>
      <c r="F20" s="199"/>
      <c r="G20" s="199"/>
      <c r="H20" s="199"/>
      <c r="I20" s="199"/>
      <c r="J20" s="199"/>
      <c r="K20" s="94"/>
      <c r="L20" s="94"/>
      <c r="M20" s="96"/>
      <c r="N20" s="134"/>
      <c r="O20" s="101"/>
      <c r="P20" s="59"/>
      <c r="Q20" s="9"/>
    </row>
    <row r="21" spans="2:17" x14ac:dyDescent="0.2">
      <c r="B21" s="7"/>
      <c r="C21" s="3"/>
      <c r="D21" s="94" t="s">
        <v>7</v>
      </c>
      <c r="E21" s="102"/>
      <c r="F21" s="103" t="s">
        <v>8</v>
      </c>
      <c r="G21" s="197"/>
      <c r="H21" s="197"/>
      <c r="I21" s="104" t="s">
        <v>9</v>
      </c>
      <c r="J21" s="101" t="s">
        <v>54</v>
      </c>
      <c r="K21" s="94"/>
      <c r="L21" s="94"/>
      <c r="M21" s="96" t="s">
        <v>19</v>
      </c>
      <c r="N21" s="195" t="s">
        <v>65</v>
      </c>
      <c r="O21" s="196"/>
      <c r="P21" s="3"/>
      <c r="Q21" s="9"/>
    </row>
    <row r="22" spans="2:17" x14ac:dyDescent="0.2">
      <c r="B22" s="7"/>
      <c r="C22" s="3"/>
      <c r="D22" s="113" t="s">
        <v>20</v>
      </c>
      <c r="E22" s="202" t="s">
        <v>62</v>
      </c>
      <c r="F22" s="203"/>
      <c r="G22" s="203"/>
      <c r="H22" s="203"/>
      <c r="I22" s="203"/>
      <c r="J22" s="203"/>
      <c r="K22" s="94"/>
      <c r="L22" s="94"/>
      <c r="M22" s="96" t="s">
        <v>50</v>
      </c>
      <c r="N22" s="196"/>
      <c r="O22" s="196"/>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173" t="s">
        <v>22</v>
      </c>
      <c r="G24" s="174"/>
      <c r="H24" s="174"/>
      <c r="I24" s="174"/>
      <c r="J24" s="174"/>
      <c r="K24" s="174"/>
      <c r="L24" s="133"/>
      <c r="M24" s="128" t="s">
        <v>37</v>
      </c>
      <c r="N24" s="53" t="s">
        <v>23</v>
      </c>
      <c r="O24" s="54" t="s">
        <v>24</v>
      </c>
      <c r="P24" s="60"/>
      <c r="Q24" s="9"/>
    </row>
    <row r="25" spans="2:17" x14ac:dyDescent="0.2">
      <c r="B25" s="7"/>
      <c r="C25" s="3"/>
      <c r="D25" s="138">
        <v>2120</v>
      </c>
      <c r="E25" s="55">
        <v>1</v>
      </c>
      <c r="F25" s="175" t="s">
        <v>63</v>
      </c>
      <c r="G25" s="176"/>
      <c r="H25" s="176"/>
      <c r="I25" s="176"/>
      <c r="J25" s="176"/>
      <c r="K25" s="176"/>
      <c r="L25" s="129"/>
      <c r="M25" s="73"/>
      <c r="N25" s="80">
        <v>230</v>
      </c>
      <c r="O25" s="80">
        <f t="shared" ref="O25:O72" si="0">IF(E25&lt;&gt;"",E25*N25,"")</f>
        <v>230</v>
      </c>
      <c r="P25" s="60"/>
      <c r="Q25" s="9"/>
    </row>
    <row r="26" spans="2:17" ht="15" x14ac:dyDescent="0.2">
      <c r="B26" s="7"/>
      <c r="C26" s="3"/>
      <c r="D26" s="139"/>
      <c r="E26" s="83"/>
      <c r="F26" s="177" t="s">
        <v>60</v>
      </c>
      <c r="G26" s="178"/>
      <c r="H26" s="178"/>
      <c r="I26" s="178"/>
      <c r="J26" s="178"/>
      <c r="K26" s="179"/>
      <c r="L26" s="129"/>
      <c r="M26" s="84">
        <v>2</v>
      </c>
      <c r="N26" s="85"/>
      <c r="O26" s="80" t="str">
        <f t="shared" si="0"/>
        <v/>
      </c>
      <c r="P26" s="60"/>
      <c r="Q26" s="9"/>
    </row>
    <row r="27" spans="2:17" ht="15" x14ac:dyDescent="0.2">
      <c r="B27" s="7"/>
      <c r="C27" s="3"/>
      <c r="D27" s="139"/>
      <c r="E27" s="83"/>
      <c r="F27" s="185" t="s">
        <v>61</v>
      </c>
      <c r="G27" s="186"/>
      <c r="H27" s="186"/>
      <c r="I27" s="186"/>
      <c r="J27" s="186"/>
      <c r="K27" s="187"/>
      <c r="L27" s="130"/>
      <c r="M27" s="84">
        <v>2</v>
      </c>
      <c r="N27" s="85"/>
      <c r="O27" s="80" t="str">
        <f t="shared" si="0"/>
        <v/>
      </c>
      <c r="P27" s="60"/>
      <c r="Q27" s="9"/>
    </row>
    <row r="28" spans="2:17" ht="15" x14ac:dyDescent="0.2">
      <c r="B28" s="7"/>
      <c r="C28" s="3"/>
      <c r="D28" s="139"/>
      <c r="E28" s="83"/>
      <c r="F28" s="153"/>
      <c r="G28" s="154"/>
      <c r="H28" s="154"/>
      <c r="I28" s="154"/>
      <c r="J28" s="154"/>
      <c r="K28" s="155"/>
      <c r="L28" s="130"/>
      <c r="M28" s="84"/>
      <c r="N28" s="85"/>
      <c r="O28" s="80" t="str">
        <f t="shared" si="0"/>
        <v/>
      </c>
      <c r="P28" s="60"/>
      <c r="Q28" s="9"/>
    </row>
    <row r="29" spans="2:17" ht="15" x14ac:dyDescent="0.2">
      <c r="B29" s="7"/>
      <c r="C29" s="3"/>
      <c r="D29" s="139">
        <v>203008</v>
      </c>
      <c r="E29" s="83">
        <v>1</v>
      </c>
      <c r="F29" s="206" t="s">
        <v>69</v>
      </c>
      <c r="G29" s="207"/>
      <c r="H29" s="207"/>
      <c r="I29" s="154"/>
      <c r="J29" s="154"/>
      <c r="K29" s="155"/>
      <c r="L29" s="130"/>
      <c r="M29" s="84"/>
      <c r="N29" s="85">
        <v>165</v>
      </c>
      <c r="O29" s="80">
        <f t="shared" si="0"/>
        <v>165</v>
      </c>
      <c r="P29" s="60"/>
      <c r="Q29" s="9"/>
    </row>
    <row r="30" spans="2:17" ht="15" x14ac:dyDescent="0.2">
      <c r="B30" s="7"/>
      <c r="C30" s="3"/>
      <c r="D30" s="139"/>
      <c r="E30" s="83"/>
      <c r="F30" s="177" t="s">
        <v>60</v>
      </c>
      <c r="G30" s="178"/>
      <c r="H30" s="178"/>
      <c r="I30" s="178"/>
      <c r="J30" s="178"/>
      <c r="K30" s="179"/>
      <c r="L30" s="130"/>
      <c r="M30" s="84"/>
      <c r="N30" s="85"/>
      <c r="O30" s="80" t="str">
        <f t="shared" si="0"/>
        <v/>
      </c>
      <c r="P30" s="60"/>
      <c r="Q30" s="9"/>
    </row>
    <row r="31" spans="2:17" ht="15" x14ac:dyDescent="0.2">
      <c r="B31" s="7"/>
      <c r="C31" s="3"/>
      <c r="D31" s="139"/>
      <c r="E31" s="83"/>
      <c r="F31" s="153" t="s">
        <v>70</v>
      </c>
      <c r="G31" s="154"/>
      <c r="H31" s="154"/>
      <c r="I31" s="154"/>
      <c r="J31" s="154"/>
      <c r="K31" s="155"/>
      <c r="L31" s="130"/>
      <c r="M31" s="84"/>
      <c r="N31" s="85"/>
      <c r="O31" s="80" t="str">
        <f t="shared" si="0"/>
        <v/>
      </c>
      <c r="P31" s="60"/>
      <c r="Q31" s="9"/>
    </row>
    <row r="32" spans="2:17" ht="15" x14ac:dyDescent="0.2">
      <c r="B32" s="7"/>
      <c r="C32" s="3"/>
      <c r="D32" s="139"/>
      <c r="E32" s="83"/>
      <c r="F32" s="153"/>
      <c r="G32" s="154"/>
      <c r="H32" s="154"/>
      <c r="I32" s="154"/>
      <c r="J32" s="154"/>
      <c r="K32" s="155"/>
      <c r="L32" s="130"/>
      <c r="M32" s="84"/>
      <c r="N32" s="85"/>
      <c r="O32" s="80" t="str">
        <f t="shared" si="0"/>
        <v/>
      </c>
      <c r="P32" s="60"/>
      <c r="Q32" s="9"/>
    </row>
    <row r="33" spans="2:17" ht="15" x14ac:dyDescent="0.2">
      <c r="B33" s="7"/>
      <c r="C33" s="3"/>
      <c r="D33" s="139">
        <v>2232</v>
      </c>
      <c r="E33" s="83">
        <v>1</v>
      </c>
      <c r="F33" s="206" t="s">
        <v>90</v>
      </c>
      <c r="G33" s="207"/>
      <c r="H33" s="207"/>
      <c r="I33" s="154"/>
      <c r="J33" s="154"/>
      <c r="K33" s="155"/>
      <c r="L33" s="130"/>
      <c r="M33" s="84"/>
      <c r="N33" s="85">
        <v>525</v>
      </c>
      <c r="O33" s="80">
        <f t="shared" si="0"/>
        <v>525</v>
      </c>
      <c r="P33" s="60"/>
      <c r="Q33" s="9"/>
    </row>
    <row r="34" spans="2:17" ht="15" customHeight="1" x14ac:dyDescent="0.2">
      <c r="B34" s="7"/>
      <c r="C34" s="3"/>
      <c r="D34" s="139"/>
      <c r="E34" s="83"/>
      <c r="F34" s="177" t="s">
        <v>60</v>
      </c>
      <c r="G34" s="178"/>
      <c r="H34" s="178"/>
      <c r="I34" s="178"/>
      <c r="J34" s="178"/>
      <c r="K34" s="179"/>
      <c r="L34" s="130"/>
      <c r="M34" s="84"/>
      <c r="N34" s="85"/>
      <c r="O34" s="80" t="str">
        <f t="shared" si="0"/>
        <v/>
      </c>
      <c r="P34" s="60"/>
      <c r="Q34" s="9"/>
    </row>
    <row r="35" spans="2:17" ht="15" x14ac:dyDescent="0.2">
      <c r="B35" s="7"/>
      <c r="C35" s="3"/>
      <c r="D35" s="139"/>
      <c r="E35" s="83"/>
      <c r="F35" s="153" t="s">
        <v>71</v>
      </c>
      <c r="G35" s="154"/>
      <c r="H35" s="154"/>
      <c r="I35" s="154"/>
      <c r="J35" s="154"/>
      <c r="K35" s="155"/>
      <c r="L35" s="130"/>
      <c r="M35" s="84"/>
      <c r="N35" s="85"/>
      <c r="O35" s="80" t="str">
        <f t="shared" si="0"/>
        <v/>
      </c>
      <c r="P35" s="60"/>
      <c r="Q35" s="9"/>
    </row>
    <row r="36" spans="2:17" ht="15" x14ac:dyDescent="0.2">
      <c r="B36" s="7"/>
      <c r="C36" s="3"/>
      <c r="D36" s="139"/>
      <c r="E36" s="83"/>
      <c r="F36" s="153"/>
      <c r="G36" s="154"/>
      <c r="H36" s="154"/>
      <c r="I36" s="154"/>
      <c r="J36" s="154"/>
      <c r="K36" s="155"/>
      <c r="L36" s="130"/>
      <c r="M36" s="84"/>
      <c r="N36" s="85"/>
      <c r="O36" s="80" t="str">
        <f t="shared" si="0"/>
        <v/>
      </c>
      <c r="P36" s="60"/>
      <c r="Q36" s="9"/>
    </row>
    <row r="37" spans="2:17" ht="15" x14ac:dyDescent="0.2">
      <c r="B37" s="7"/>
      <c r="C37" s="3"/>
      <c r="D37" s="139" t="s">
        <v>74</v>
      </c>
      <c r="E37" s="83">
        <v>1</v>
      </c>
      <c r="F37" s="206" t="s">
        <v>73</v>
      </c>
      <c r="G37" s="207"/>
      <c r="H37" s="207"/>
      <c r="I37" s="154"/>
      <c r="J37" s="154"/>
      <c r="K37" s="155"/>
      <c r="L37" s="130"/>
      <c r="M37" s="84"/>
      <c r="N37" s="85">
        <v>5.6</v>
      </c>
      <c r="O37" s="80">
        <f t="shared" si="0"/>
        <v>5.6</v>
      </c>
      <c r="P37" s="60"/>
      <c r="Q37" s="9"/>
    </row>
    <row r="38" spans="2:17" ht="15" x14ac:dyDescent="0.2">
      <c r="B38" s="7"/>
      <c r="C38" s="3"/>
      <c r="D38" s="139"/>
      <c r="E38" s="83"/>
      <c r="F38" s="177" t="s">
        <v>60</v>
      </c>
      <c r="G38" s="178"/>
      <c r="H38" s="178"/>
      <c r="I38" s="178"/>
      <c r="J38" s="178"/>
      <c r="K38" s="179"/>
      <c r="L38" s="130"/>
      <c r="M38" s="84"/>
      <c r="N38" s="85"/>
      <c r="O38" s="80" t="str">
        <f t="shared" si="0"/>
        <v/>
      </c>
      <c r="P38" s="60"/>
      <c r="Q38" s="9"/>
    </row>
    <row r="39" spans="2:17" ht="15" x14ac:dyDescent="0.2">
      <c r="B39" s="7"/>
      <c r="C39" s="3"/>
      <c r="D39" s="139"/>
      <c r="E39" s="83"/>
      <c r="F39" s="137" t="s">
        <v>72</v>
      </c>
      <c r="G39" s="154"/>
      <c r="H39" s="154"/>
      <c r="I39" s="154"/>
      <c r="J39" s="154"/>
      <c r="K39" s="155"/>
      <c r="L39" s="130"/>
      <c r="M39" s="84"/>
      <c r="N39" s="85"/>
      <c r="O39" s="80" t="str">
        <f t="shared" si="0"/>
        <v/>
      </c>
      <c r="P39" s="60"/>
      <c r="Q39" s="9"/>
    </row>
    <row r="40" spans="2:17" ht="15" x14ac:dyDescent="0.2">
      <c r="B40" s="7"/>
      <c r="C40" s="3"/>
      <c r="D40" s="139">
        <v>2076</v>
      </c>
      <c r="E40" s="83">
        <v>1</v>
      </c>
      <c r="F40" s="206" t="s">
        <v>75</v>
      </c>
      <c r="G40" s="207"/>
      <c r="H40" s="207"/>
      <c r="I40" s="154"/>
      <c r="J40" s="154"/>
      <c r="K40" s="155"/>
      <c r="L40" s="130"/>
      <c r="M40" s="84"/>
      <c r="N40" s="85">
        <v>925</v>
      </c>
      <c r="O40" s="80">
        <f t="shared" si="0"/>
        <v>925</v>
      </c>
      <c r="P40" s="60"/>
      <c r="Q40" s="9"/>
    </row>
    <row r="41" spans="2:17" ht="15" x14ac:dyDescent="0.2">
      <c r="B41" s="7"/>
      <c r="C41" s="3"/>
      <c r="D41" s="139"/>
      <c r="E41" s="83"/>
      <c r="F41" s="177" t="s">
        <v>60</v>
      </c>
      <c r="G41" s="178"/>
      <c r="H41" s="178"/>
      <c r="I41" s="178"/>
      <c r="J41" s="178"/>
      <c r="K41" s="179"/>
      <c r="L41" s="130"/>
      <c r="M41" s="84"/>
      <c r="N41" s="85"/>
      <c r="O41" s="80" t="str">
        <f t="shared" si="0"/>
        <v/>
      </c>
      <c r="P41" s="60"/>
      <c r="Q41" s="9"/>
    </row>
    <row r="42" spans="2:17" ht="15" x14ac:dyDescent="0.2">
      <c r="B42" s="7"/>
      <c r="C42" s="3"/>
      <c r="D42" s="139"/>
      <c r="E42" s="83"/>
      <c r="F42" s="153" t="s">
        <v>76</v>
      </c>
      <c r="G42" s="154"/>
      <c r="H42" s="154"/>
      <c r="I42" s="154"/>
      <c r="J42" s="154"/>
      <c r="K42" s="155"/>
      <c r="L42" s="130"/>
      <c r="M42" s="84"/>
      <c r="N42" s="85"/>
      <c r="O42" s="80" t="str">
        <f t="shared" si="0"/>
        <v/>
      </c>
      <c r="P42" s="60"/>
      <c r="Q42" s="9"/>
    </row>
    <row r="43" spans="2:17" ht="15" x14ac:dyDescent="0.2">
      <c r="B43" s="7"/>
      <c r="C43" s="3"/>
      <c r="D43" s="139"/>
      <c r="E43" s="83"/>
      <c r="F43" s="184"/>
      <c r="G43" s="178"/>
      <c r="H43" s="178"/>
      <c r="I43" s="178"/>
      <c r="J43" s="178"/>
      <c r="K43" s="179"/>
      <c r="L43" s="129"/>
      <c r="M43" s="84"/>
      <c r="N43" s="85"/>
      <c r="O43" s="80" t="str">
        <f t="shared" si="0"/>
        <v/>
      </c>
      <c r="P43" s="60"/>
      <c r="Q43" s="9"/>
    </row>
    <row r="44" spans="2:17" ht="15" x14ac:dyDescent="0.2">
      <c r="B44" s="7"/>
      <c r="C44" s="3"/>
      <c r="D44" s="139">
        <v>1883</v>
      </c>
      <c r="E44" s="83">
        <v>1</v>
      </c>
      <c r="F44" s="184" t="s">
        <v>91</v>
      </c>
      <c r="G44" s="178"/>
      <c r="H44" s="178"/>
      <c r="I44" s="178"/>
      <c r="J44" s="178"/>
      <c r="K44" s="179"/>
      <c r="L44" s="129"/>
      <c r="M44" s="84"/>
      <c r="N44" s="85">
        <v>3867</v>
      </c>
      <c r="O44" s="80">
        <f t="shared" si="0"/>
        <v>3867</v>
      </c>
      <c r="P44" s="60"/>
      <c r="Q44" s="9"/>
    </row>
    <row r="45" spans="2:17" ht="15" x14ac:dyDescent="0.2">
      <c r="B45" s="7"/>
      <c r="C45" s="3"/>
      <c r="D45" s="139"/>
      <c r="E45" s="83"/>
      <c r="F45" s="177" t="s">
        <v>60</v>
      </c>
      <c r="G45" s="178"/>
      <c r="H45" s="178"/>
      <c r="I45" s="178"/>
      <c r="J45" s="178"/>
      <c r="K45" s="179"/>
      <c r="L45" s="129"/>
      <c r="M45" s="84"/>
      <c r="N45" s="85"/>
      <c r="O45" s="80" t="str">
        <f t="shared" si="0"/>
        <v/>
      </c>
      <c r="P45" s="60"/>
      <c r="Q45" s="9"/>
    </row>
    <row r="46" spans="2:17" ht="15" x14ac:dyDescent="0.2">
      <c r="B46" s="7"/>
      <c r="C46" s="3"/>
      <c r="D46" s="139"/>
      <c r="E46" s="83"/>
      <c r="F46" s="168" t="s">
        <v>66</v>
      </c>
      <c r="G46" s="169"/>
      <c r="H46" s="169"/>
      <c r="I46" s="169"/>
      <c r="J46" s="169"/>
      <c r="K46" s="170"/>
      <c r="L46" s="129"/>
      <c r="M46" s="84"/>
      <c r="N46" s="85"/>
      <c r="O46" s="80" t="str">
        <f t="shared" si="0"/>
        <v/>
      </c>
      <c r="P46" s="60"/>
      <c r="Q46" s="9"/>
    </row>
    <row r="47" spans="2:17" ht="15" x14ac:dyDescent="0.2">
      <c r="B47" s="7"/>
      <c r="C47" s="3"/>
      <c r="D47" s="139"/>
      <c r="E47" s="83"/>
      <c r="F47" s="152"/>
      <c r="G47" s="147"/>
      <c r="H47" s="147"/>
      <c r="I47" s="147"/>
      <c r="J47" s="147"/>
      <c r="K47" s="148"/>
      <c r="L47" s="129"/>
      <c r="M47" s="84"/>
      <c r="N47" s="85"/>
      <c r="O47" s="80" t="str">
        <f t="shared" si="0"/>
        <v/>
      </c>
      <c r="P47" s="60"/>
      <c r="Q47" s="9"/>
    </row>
    <row r="48" spans="2:17" ht="15" x14ac:dyDescent="0.2">
      <c r="B48" s="7"/>
      <c r="C48" s="3"/>
      <c r="D48" s="139">
        <v>2034060</v>
      </c>
      <c r="E48" s="83">
        <v>1</v>
      </c>
      <c r="F48" s="184" t="s">
        <v>77</v>
      </c>
      <c r="G48" s="178"/>
      <c r="H48" s="178"/>
      <c r="I48" s="178"/>
      <c r="J48" s="178"/>
      <c r="K48" s="179"/>
      <c r="L48" s="129"/>
      <c r="M48" s="84"/>
      <c r="N48" s="85">
        <v>32</v>
      </c>
      <c r="O48" s="80">
        <f t="shared" si="0"/>
        <v>32</v>
      </c>
      <c r="P48" s="60"/>
      <c r="Q48" s="9"/>
    </row>
    <row r="49" spans="2:17" ht="15" x14ac:dyDescent="0.2">
      <c r="B49" s="7"/>
      <c r="C49" s="3"/>
      <c r="D49" s="139"/>
      <c r="E49" s="83"/>
      <c r="F49" s="177" t="s">
        <v>60</v>
      </c>
      <c r="G49" s="178"/>
      <c r="H49" s="178"/>
      <c r="I49" s="178"/>
      <c r="J49" s="178"/>
      <c r="K49" s="179"/>
      <c r="L49" s="129"/>
      <c r="M49" s="84"/>
      <c r="N49" s="85"/>
      <c r="O49" s="80" t="str">
        <f t="shared" si="0"/>
        <v/>
      </c>
      <c r="P49" s="60"/>
      <c r="Q49" s="9"/>
    </row>
    <row r="50" spans="2:17" ht="15" x14ac:dyDescent="0.2">
      <c r="B50" s="7"/>
      <c r="C50" s="3"/>
      <c r="D50" s="139"/>
      <c r="E50" s="83"/>
      <c r="F50" s="152" t="s">
        <v>78</v>
      </c>
      <c r="G50" s="147"/>
      <c r="H50" s="147"/>
      <c r="I50" s="147"/>
      <c r="J50" s="147"/>
      <c r="K50" s="148"/>
      <c r="L50" s="129"/>
      <c r="M50" s="84"/>
      <c r="N50" s="85"/>
      <c r="O50" s="80" t="str">
        <f t="shared" si="0"/>
        <v/>
      </c>
      <c r="P50" s="60"/>
      <c r="Q50" s="9"/>
    </row>
    <row r="51" spans="2:17" ht="15" x14ac:dyDescent="0.2">
      <c r="B51" s="7"/>
      <c r="C51" s="3"/>
      <c r="D51" s="139">
        <v>999</v>
      </c>
      <c r="E51" s="83">
        <v>1</v>
      </c>
      <c r="F51" s="184" t="s">
        <v>79</v>
      </c>
      <c r="G51" s="178"/>
      <c r="H51" s="178"/>
      <c r="I51" s="178"/>
      <c r="J51" s="178"/>
      <c r="K51" s="179"/>
      <c r="L51" s="129"/>
      <c r="M51" s="84"/>
      <c r="N51" s="85">
        <v>274</v>
      </c>
      <c r="O51" s="80">
        <f t="shared" si="0"/>
        <v>274</v>
      </c>
      <c r="P51" s="60"/>
      <c r="Q51" s="9"/>
    </row>
    <row r="52" spans="2:17" ht="15" x14ac:dyDescent="0.2">
      <c r="B52" s="7"/>
      <c r="C52" s="3"/>
      <c r="D52" s="139"/>
      <c r="E52" s="83"/>
      <c r="F52" s="177" t="s">
        <v>60</v>
      </c>
      <c r="G52" s="178"/>
      <c r="H52" s="178"/>
      <c r="I52" s="178"/>
      <c r="J52" s="178"/>
      <c r="K52" s="179"/>
      <c r="L52" s="129"/>
      <c r="M52" s="84"/>
      <c r="N52" s="85"/>
      <c r="O52" s="80" t="str">
        <f t="shared" si="0"/>
        <v/>
      </c>
      <c r="P52" s="60"/>
      <c r="Q52" s="9"/>
    </row>
    <row r="53" spans="2:17" ht="15" x14ac:dyDescent="0.2">
      <c r="B53" s="7"/>
      <c r="C53" s="3"/>
      <c r="D53" s="139"/>
      <c r="E53" s="83"/>
      <c r="F53" s="152" t="s">
        <v>80</v>
      </c>
      <c r="G53" s="147"/>
      <c r="H53" s="147"/>
      <c r="I53" s="147"/>
      <c r="J53" s="147"/>
      <c r="K53" s="148"/>
      <c r="L53" s="129"/>
      <c r="M53" s="84"/>
      <c r="N53" s="85"/>
      <c r="O53" s="80" t="str">
        <f t="shared" si="0"/>
        <v/>
      </c>
      <c r="P53" s="60"/>
      <c r="Q53" s="9"/>
    </row>
    <row r="54" spans="2:17" ht="15" x14ac:dyDescent="0.2">
      <c r="B54" s="7"/>
      <c r="C54" s="3"/>
      <c r="D54" s="139"/>
      <c r="E54" s="83"/>
      <c r="F54" s="152"/>
      <c r="G54" s="147"/>
      <c r="H54" s="147"/>
      <c r="I54" s="147"/>
      <c r="J54" s="147"/>
      <c r="K54" s="148"/>
      <c r="L54" s="129"/>
      <c r="M54" s="84"/>
      <c r="N54" s="85"/>
      <c r="O54" s="80" t="str">
        <f t="shared" si="0"/>
        <v/>
      </c>
      <c r="P54" s="60"/>
      <c r="Q54" s="9"/>
    </row>
    <row r="55" spans="2:17" ht="15" x14ac:dyDescent="0.2">
      <c r="B55" s="7"/>
      <c r="C55" s="3"/>
      <c r="D55" s="139" t="s">
        <v>81</v>
      </c>
      <c r="E55" s="83">
        <v>1</v>
      </c>
      <c r="F55" s="184" t="s">
        <v>82</v>
      </c>
      <c r="G55" s="178"/>
      <c r="H55" s="178"/>
      <c r="I55" s="178"/>
      <c r="J55" s="178"/>
      <c r="K55" s="179"/>
      <c r="L55" s="129"/>
      <c r="M55" s="84"/>
      <c r="N55" s="85">
        <v>75</v>
      </c>
      <c r="O55" s="80">
        <f t="shared" si="0"/>
        <v>75</v>
      </c>
      <c r="P55" s="60"/>
      <c r="Q55" s="9"/>
    </row>
    <row r="56" spans="2:17" ht="15" x14ac:dyDescent="0.2">
      <c r="B56" s="7"/>
      <c r="C56" s="3"/>
      <c r="D56" s="139"/>
      <c r="E56" s="83"/>
      <c r="F56" s="177" t="s">
        <v>60</v>
      </c>
      <c r="G56" s="178"/>
      <c r="H56" s="178"/>
      <c r="I56" s="178"/>
      <c r="J56" s="178"/>
      <c r="K56" s="179"/>
      <c r="L56" s="129"/>
      <c r="M56" s="84"/>
      <c r="N56" s="85"/>
      <c r="O56" s="80" t="str">
        <f t="shared" si="0"/>
        <v/>
      </c>
      <c r="P56" s="60"/>
      <c r="Q56" s="9"/>
    </row>
    <row r="57" spans="2:17" ht="15" x14ac:dyDescent="0.2">
      <c r="B57" s="7"/>
      <c r="C57" s="3"/>
      <c r="D57" s="139"/>
      <c r="E57" s="83"/>
      <c r="F57" s="152" t="s">
        <v>83</v>
      </c>
      <c r="G57" s="147"/>
      <c r="H57" s="147"/>
      <c r="I57" s="147"/>
      <c r="J57" s="147"/>
      <c r="K57" s="148"/>
      <c r="L57" s="129"/>
      <c r="M57" s="84"/>
      <c r="N57" s="85"/>
      <c r="O57" s="80" t="str">
        <f t="shared" si="0"/>
        <v/>
      </c>
      <c r="P57" s="60"/>
      <c r="Q57" s="9"/>
    </row>
    <row r="58" spans="2:17" ht="15" x14ac:dyDescent="0.2">
      <c r="B58" s="7"/>
      <c r="C58" s="3"/>
      <c r="D58" s="139"/>
      <c r="E58" s="83"/>
      <c r="F58" s="152"/>
      <c r="G58" s="147"/>
      <c r="H58" s="147"/>
      <c r="I58" s="147"/>
      <c r="J58" s="147"/>
      <c r="K58" s="148"/>
      <c r="L58" s="129"/>
      <c r="M58" s="84"/>
      <c r="N58" s="85"/>
      <c r="O58" s="80" t="str">
        <f t="shared" si="0"/>
        <v/>
      </c>
      <c r="P58" s="60"/>
      <c r="Q58" s="9"/>
    </row>
    <row r="59" spans="2:17" ht="15" x14ac:dyDescent="0.2">
      <c r="B59" s="7"/>
      <c r="C59" s="3"/>
      <c r="D59" s="139">
        <v>2122</v>
      </c>
      <c r="E59" s="83">
        <v>1</v>
      </c>
      <c r="F59" s="184" t="s">
        <v>84</v>
      </c>
      <c r="G59" s="178"/>
      <c r="H59" s="178"/>
      <c r="I59" s="178"/>
      <c r="J59" s="178"/>
      <c r="K59" s="179"/>
      <c r="L59" s="129"/>
      <c r="M59" s="84"/>
      <c r="N59" s="85">
        <v>47</v>
      </c>
      <c r="O59" s="80">
        <f t="shared" si="0"/>
        <v>47</v>
      </c>
      <c r="P59" s="60"/>
      <c r="Q59" s="9"/>
    </row>
    <row r="60" spans="2:17" ht="15" x14ac:dyDescent="0.2">
      <c r="B60" s="7"/>
      <c r="C60" s="3"/>
      <c r="D60" s="139"/>
      <c r="E60" s="83"/>
      <c r="F60" s="177" t="s">
        <v>60</v>
      </c>
      <c r="G60" s="178"/>
      <c r="H60" s="178"/>
      <c r="I60" s="178"/>
      <c r="J60" s="178"/>
      <c r="K60" s="179"/>
      <c r="L60" s="129"/>
      <c r="M60" s="84"/>
      <c r="N60" s="85"/>
      <c r="O60" s="80" t="str">
        <f t="shared" si="0"/>
        <v/>
      </c>
      <c r="P60" s="60"/>
      <c r="Q60" s="9"/>
    </row>
    <row r="61" spans="2:17" ht="15" x14ac:dyDescent="0.2">
      <c r="B61" s="7"/>
      <c r="C61" s="3"/>
      <c r="D61" s="139"/>
      <c r="E61" s="83"/>
      <c r="F61" s="168" t="s">
        <v>85</v>
      </c>
      <c r="G61" s="169"/>
      <c r="H61" s="169"/>
      <c r="I61" s="169"/>
      <c r="J61" s="169"/>
      <c r="K61" s="170"/>
      <c r="L61" s="129"/>
      <c r="M61" s="84"/>
      <c r="N61" s="85"/>
      <c r="O61" s="80" t="str">
        <f t="shared" si="0"/>
        <v/>
      </c>
      <c r="P61" s="60"/>
      <c r="Q61" s="9"/>
    </row>
    <row r="62" spans="2:17" ht="15" x14ac:dyDescent="0.2">
      <c r="B62" s="7"/>
      <c r="C62" s="3"/>
      <c r="D62" s="139">
        <v>1963</v>
      </c>
      <c r="E62" s="83">
        <v>1</v>
      </c>
      <c r="F62" s="184" t="s">
        <v>86</v>
      </c>
      <c r="G62" s="178"/>
      <c r="H62" s="178"/>
      <c r="I62" s="178"/>
      <c r="J62" s="178"/>
      <c r="K62" s="179"/>
      <c r="L62" s="129"/>
      <c r="M62" s="84"/>
      <c r="N62" s="85">
        <v>170</v>
      </c>
      <c r="O62" s="80">
        <f t="shared" si="0"/>
        <v>170</v>
      </c>
      <c r="P62" s="60"/>
      <c r="Q62" s="9"/>
    </row>
    <row r="63" spans="2:17" ht="15" x14ac:dyDescent="0.2">
      <c r="B63" s="7"/>
      <c r="C63" s="3"/>
      <c r="D63" s="139"/>
      <c r="E63" s="83"/>
      <c r="F63" s="177" t="s">
        <v>60</v>
      </c>
      <c r="G63" s="178"/>
      <c r="H63" s="178"/>
      <c r="I63" s="178"/>
      <c r="J63" s="178"/>
      <c r="K63" s="179"/>
      <c r="L63" s="129"/>
      <c r="M63" s="84"/>
      <c r="N63" s="85"/>
      <c r="O63" s="80" t="str">
        <f t="shared" si="0"/>
        <v/>
      </c>
      <c r="P63" s="60"/>
      <c r="Q63" s="9"/>
    </row>
    <row r="64" spans="2:17" ht="15" x14ac:dyDescent="0.2">
      <c r="B64" s="7"/>
      <c r="C64" s="3"/>
      <c r="D64" s="139"/>
      <c r="E64" s="83"/>
      <c r="F64" s="208" t="s">
        <v>87</v>
      </c>
      <c r="G64" s="147"/>
      <c r="H64" s="147"/>
      <c r="I64" s="147"/>
      <c r="J64" s="147"/>
      <c r="K64" s="148"/>
      <c r="L64" s="129"/>
      <c r="M64" s="84"/>
      <c r="N64" s="85"/>
      <c r="O64" s="80" t="str">
        <f t="shared" si="0"/>
        <v/>
      </c>
      <c r="P64" s="60"/>
      <c r="Q64" s="9"/>
    </row>
    <row r="65" spans="2:17" ht="15" x14ac:dyDescent="0.2">
      <c r="B65" s="7"/>
      <c r="C65" s="3"/>
      <c r="D65" s="139">
        <v>981</v>
      </c>
      <c r="E65" s="83">
        <v>1</v>
      </c>
      <c r="F65" s="184" t="s">
        <v>88</v>
      </c>
      <c r="G65" s="178"/>
      <c r="H65" s="178"/>
      <c r="I65" s="178"/>
      <c r="J65" s="178"/>
      <c r="K65" s="179"/>
      <c r="L65" s="129"/>
      <c r="M65" s="84"/>
      <c r="N65" s="85">
        <v>18</v>
      </c>
      <c r="O65" s="80">
        <f t="shared" si="0"/>
        <v>18</v>
      </c>
      <c r="P65" s="60"/>
      <c r="Q65" s="9"/>
    </row>
    <row r="66" spans="2:17" ht="15" x14ac:dyDescent="0.2">
      <c r="B66" s="7"/>
      <c r="C66" s="3"/>
      <c r="D66" s="139"/>
      <c r="E66" s="83"/>
      <c r="F66" s="177" t="s">
        <v>60</v>
      </c>
      <c r="G66" s="178"/>
      <c r="H66" s="178"/>
      <c r="I66" s="178"/>
      <c r="J66" s="178"/>
      <c r="K66" s="179"/>
      <c r="L66" s="129"/>
      <c r="M66" s="84"/>
      <c r="N66" s="85"/>
      <c r="O66" s="80" t="str">
        <f t="shared" si="0"/>
        <v/>
      </c>
      <c r="P66" s="60"/>
      <c r="Q66" s="9"/>
    </row>
    <row r="67" spans="2:17" ht="15" x14ac:dyDescent="0.2">
      <c r="B67" s="7"/>
      <c r="C67" s="3"/>
      <c r="D67" s="139"/>
      <c r="E67" s="83"/>
      <c r="F67" s="152" t="s">
        <v>89</v>
      </c>
      <c r="G67" s="147"/>
      <c r="H67" s="147"/>
      <c r="I67" s="147"/>
      <c r="J67" s="147"/>
      <c r="K67" s="148"/>
      <c r="L67" s="129"/>
      <c r="M67" s="84"/>
      <c r="N67" s="85"/>
      <c r="O67" s="80" t="str">
        <f t="shared" si="0"/>
        <v/>
      </c>
      <c r="P67" s="60"/>
      <c r="Q67" s="9"/>
    </row>
    <row r="68" spans="2:17" ht="15" x14ac:dyDescent="0.2">
      <c r="B68" s="7"/>
      <c r="C68" s="3"/>
      <c r="D68" s="139"/>
      <c r="E68" s="83"/>
      <c r="F68" s="152"/>
      <c r="G68" s="147"/>
      <c r="H68" s="147"/>
      <c r="I68" s="147"/>
      <c r="J68" s="147"/>
      <c r="K68" s="148"/>
      <c r="L68" s="129"/>
      <c r="M68" s="84"/>
      <c r="N68" s="85"/>
      <c r="O68" s="80" t="str">
        <f t="shared" si="0"/>
        <v/>
      </c>
      <c r="P68" s="60"/>
      <c r="Q68" s="9"/>
    </row>
    <row r="69" spans="2:17" ht="15" x14ac:dyDescent="0.2">
      <c r="B69" s="7"/>
      <c r="C69" s="3"/>
      <c r="D69" s="139"/>
      <c r="E69" s="83">
        <v>1</v>
      </c>
      <c r="F69" s="184" t="s">
        <v>67</v>
      </c>
      <c r="G69" s="178"/>
      <c r="H69" s="178"/>
      <c r="I69" s="178"/>
      <c r="J69" s="178"/>
      <c r="K69" s="179"/>
      <c r="L69" s="129"/>
      <c r="M69" s="84"/>
      <c r="N69" s="85">
        <v>800</v>
      </c>
      <c r="O69" s="80">
        <f t="shared" si="0"/>
        <v>800</v>
      </c>
      <c r="P69" s="60"/>
      <c r="Q69" s="9"/>
    </row>
    <row r="70" spans="2:17" ht="15" x14ac:dyDescent="0.2">
      <c r="B70" s="7"/>
      <c r="C70" s="3"/>
      <c r="D70" s="139"/>
      <c r="E70" s="83"/>
      <c r="F70" s="149"/>
      <c r="G70" s="150"/>
      <c r="H70" s="150"/>
      <c r="I70" s="150"/>
      <c r="J70" s="150"/>
      <c r="K70" s="151"/>
      <c r="L70" s="129"/>
      <c r="M70" s="84"/>
      <c r="N70" s="85"/>
      <c r="O70" s="80"/>
      <c r="P70" s="60"/>
      <c r="Q70" s="9"/>
    </row>
    <row r="71" spans="2:17" ht="15" x14ac:dyDescent="0.2">
      <c r="B71" s="7"/>
      <c r="C71" s="3"/>
      <c r="D71" s="70"/>
      <c r="E71" s="56"/>
      <c r="F71" s="192" t="s">
        <v>58</v>
      </c>
      <c r="G71" s="169"/>
      <c r="H71" s="169"/>
      <c r="I71" s="169"/>
      <c r="J71" s="169"/>
      <c r="K71" s="170"/>
      <c r="L71" s="131"/>
      <c r="M71" s="84"/>
      <c r="N71" s="85"/>
      <c r="O71" s="80" t="str">
        <f t="shared" si="0"/>
        <v/>
      </c>
      <c r="P71" s="60"/>
      <c r="Q71" s="9"/>
    </row>
    <row r="72" spans="2:17" ht="15" x14ac:dyDescent="0.2">
      <c r="B72" s="7"/>
      <c r="C72" s="3"/>
      <c r="D72" s="70"/>
      <c r="E72" s="56"/>
      <c r="F72" s="165" t="s">
        <v>59</v>
      </c>
      <c r="G72" s="166"/>
      <c r="H72" s="166"/>
      <c r="I72" s="166"/>
      <c r="J72" s="166"/>
      <c r="K72" s="167"/>
      <c r="L72" s="131"/>
      <c r="M72" s="84"/>
      <c r="N72" s="85"/>
      <c r="O72" s="136" t="str">
        <f t="shared" si="0"/>
        <v/>
      </c>
      <c r="P72" s="60"/>
      <c r="Q72" s="9"/>
    </row>
    <row r="73" spans="2:17" ht="15" x14ac:dyDescent="0.2">
      <c r="B73" s="7"/>
      <c r="C73" s="3"/>
      <c r="D73" s="71"/>
      <c r="E73" s="57"/>
      <c r="F73" s="188"/>
      <c r="G73" s="189"/>
      <c r="H73" s="189"/>
      <c r="I73" s="189"/>
      <c r="J73" s="189"/>
      <c r="K73" s="189"/>
      <c r="L73" s="132"/>
      <c r="M73" s="86"/>
      <c r="N73" s="85"/>
      <c r="O73" s="111" t="str">
        <f>IF(E73&lt;&gt;"",E73*N73,"")</f>
        <v/>
      </c>
      <c r="P73" s="60"/>
      <c r="Q73" s="9"/>
    </row>
    <row r="74" spans="2:17" ht="15.75" x14ac:dyDescent="0.25">
      <c r="B74" s="7"/>
      <c r="C74" s="3"/>
      <c r="D74" s="3"/>
      <c r="E74" s="94"/>
      <c r="F74" s="94"/>
      <c r="G74" s="94"/>
      <c r="H74" s="94"/>
      <c r="I74" s="94"/>
      <c r="J74" s="87"/>
      <c r="K74" s="87"/>
      <c r="L74" s="87"/>
      <c r="M74" s="87"/>
      <c r="N74" s="140" t="s">
        <v>25</v>
      </c>
      <c r="O74" s="112">
        <f>SUM(O25:O73)</f>
        <v>7133.6</v>
      </c>
      <c r="P74" s="60"/>
      <c r="Q74" s="9"/>
    </row>
    <row r="75" spans="2:17" ht="15" x14ac:dyDescent="0.2">
      <c r="B75" s="7"/>
      <c r="C75" s="3"/>
      <c r="D75" s="3"/>
      <c r="E75" s="94"/>
      <c r="F75" s="94"/>
      <c r="G75" s="94"/>
      <c r="H75" s="94"/>
      <c r="I75" s="94"/>
      <c r="J75" s="87"/>
      <c r="K75" s="87"/>
      <c r="L75" s="87"/>
      <c r="M75" s="87"/>
      <c r="N75" s="146" t="s">
        <v>49</v>
      </c>
      <c r="O75" s="141">
        <v>0.6</v>
      </c>
      <c r="P75" s="60"/>
      <c r="Q75" s="9"/>
    </row>
    <row r="76" spans="2:17" ht="15" x14ac:dyDescent="0.2">
      <c r="B76" s="7"/>
      <c r="C76" s="3"/>
      <c r="D76" s="3"/>
      <c r="E76" s="95"/>
      <c r="F76" s="96" t="s">
        <v>26</v>
      </c>
      <c r="G76" s="94"/>
      <c r="H76" s="94"/>
      <c r="I76" s="94"/>
      <c r="J76" s="89"/>
      <c r="K76" s="89"/>
      <c r="L76" s="89"/>
      <c r="M76" s="88"/>
      <c r="N76" s="142">
        <v>0.19</v>
      </c>
      <c r="O76" s="141">
        <f>O74*0.19</f>
        <v>1355.384</v>
      </c>
      <c r="P76" s="60"/>
      <c r="Q76" s="9"/>
    </row>
    <row r="77" spans="2:17" ht="15.75" x14ac:dyDescent="0.25">
      <c r="B77" s="7"/>
      <c r="C77" s="3"/>
      <c r="D77" s="3"/>
      <c r="E77" s="97"/>
      <c r="F77" s="96" t="s">
        <v>27</v>
      </c>
      <c r="G77" s="100"/>
      <c r="H77" s="97"/>
      <c r="I77" s="94"/>
      <c r="J77" s="90"/>
      <c r="K77" s="87"/>
      <c r="L77" s="87"/>
      <c r="M77" s="87"/>
      <c r="N77" s="143" t="s">
        <v>29</v>
      </c>
      <c r="O77" s="112">
        <f>O74+O75+O76</f>
        <v>8489.5840000000007</v>
      </c>
      <c r="P77" s="60"/>
      <c r="Q77" s="9"/>
    </row>
    <row r="78" spans="2:17" ht="15.75" x14ac:dyDescent="0.25">
      <c r="B78" s="7"/>
      <c r="C78" s="3"/>
      <c r="D78" s="3"/>
      <c r="E78" s="97">
        <v>2</v>
      </c>
      <c r="F78" s="96"/>
      <c r="G78" s="94"/>
      <c r="H78" s="98"/>
      <c r="I78" s="94"/>
      <c r="J78" s="91" t="s">
        <v>28</v>
      </c>
      <c r="K78" s="87"/>
      <c r="L78" s="87"/>
      <c r="M78" s="87"/>
      <c r="N78" s="144"/>
      <c r="O78" s="145"/>
      <c r="P78" s="60"/>
      <c r="Q78" s="9"/>
    </row>
    <row r="79" spans="2:17" ht="17.100000000000001" customHeight="1" x14ac:dyDescent="0.2">
      <c r="B79" s="7"/>
      <c r="C79" s="3"/>
      <c r="D79" s="182"/>
      <c r="E79" s="183"/>
      <c r="F79" s="183"/>
      <c r="G79" s="183"/>
      <c r="H79" s="183"/>
      <c r="I79" s="183"/>
      <c r="J79" s="183"/>
      <c r="K79" s="183"/>
      <c r="L79" s="183"/>
      <c r="M79" s="87"/>
      <c r="N79" s="135"/>
      <c r="O79" s="135"/>
      <c r="P79" s="60"/>
      <c r="Q79" s="9"/>
    </row>
    <row r="80" spans="2:17" ht="17.100000000000001" customHeight="1" x14ac:dyDescent="0.2">
      <c r="B80" s="7"/>
      <c r="C80" s="3"/>
      <c r="D80" s="182"/>
      <c r="E80" s="183"/>
      <c r="F80" s="183"/>
      <c r="G80" s="183"/>
      <c r="H80" s="183"/>
      <c r="I80" s="183"/>
      <c r="J80" s="183"/>
      <c r="K80" s="183"/>
      <c r="L80" s="183"/>
      <c r="M80" s="183"/>
      <c r="N80" s="135"/>
      <c r="O80" s="135"/>
      <c r="P80" s="60"/>
      <c r="Q80" s="9"/>
    </row>
    <row r="81" spans="2:17" ht="15" x14ac:dyDescent="0.2">
      <c r="B81" s="7"/>
      <c r="C81" s="3"/>
      <c r="D81" s="3"/>
      <c r="E81" s="99"/>
      <c r="F81" s="180"/>
      <c r="G81" s="181"/>
      <c r="H81" s="181"/>
      <c r="I81" s="181"/>
      <c r="J81" s="89"/>
      <c r="K81" s="87"/>
      <c r="L81" s="87"/>
      <c r="M81" s="87"/>
      <c r="N81" s="87"/>
      <c r="O81" s="87"/>
      <c r="P81" s="60"/>
      <c r="Q81" s="9"/>
    </row>
    <row r="82" spans="2:17" ht="15" customHeight="1" x14ac:dyDescent="0.2">
      <c r="B82" s="7"/>
      <c r="C82" s="3"/>
      <c r="D82" s="3"/>
      <c r="E82" s="20"/>
      <c r="F82" s="171"/>
      <c r="G82" s="172"/>
      <c r="H82" s="172"/>
      <c r="I82" s="172"/>
      <c r="J82" s="89"/>
      <c r="K82" s="114" t="s">
        <v>57</v>
      </c>
      <c r="L82" s="125"/>
      <c r="M82" s="115"/>
      <c r="N82" s="115"/>
      <c r="O82" s="116"/>
      <c r="P82" s="60"/>
      <c r="Q82" s="9"/>
    </row>
    <row r="83" spans="2:17" ht="15" x14ac:dyDescent="0.2">
      <c r="B83" s="7"/>
      <c r="C83" s="3"/>
      <c r="D83" s="3"/>
      <c r="E83" s="20"/>
      <c r="F83" s="88"/>
      <c r="G83" s="163"/>
      <c r="H83" s="164"/>
      <c r="I83" s="164"/>
      <c r="J83" s="89"/>
      <c r="K83" s="117"/>
      <c r="L83" s="124"/>
      <c r="M83" s="118"/>
      <c r="N83" s="118"/>
      <c r="O83" s="119"/>
      <c r="P83" s="60"/>
      <c r="Q83" s="9"/>
    </row>
    <row r="84" spans="2:17" ht="15" x14ac:dyDescent="0.2">
      <c r="B84" s="7"/>
      <c r="C84" s="3"/>
      <c r="D84" s="3"/>
      <c r="E84" s="3"/>
      <c r="F84" s="87"/>
      <c r="G84" s="87"/>
      <c r="H84" s="87"/>
      <c r="I84" s="87"/>
      <c r="J84" s="89"/>
      <c r="K84" s="120"/>
      <c r="L84" s="121"/>
      <c r="M84" s="121"/>
      <c r="N84" s="121"/>
      <c r="O84" s="122"/>
      <c r="P84" s="60"/>
      <c r="Q84" s="9"/>
    </row>
    <row r="85" spans="2:17" ht="15" x14ac:dyDescent="0.2">
      <c r="B85" s="7"/>
      <c r="C85" s="3"/>
      <c r="D85" s="106"/>
      <c r="E85" s="110"/>
      <c r="F85" s="87"/>
      <c r="G85" s="87"/>
      <c r="H85" s="87"/>
      <c r="I85" s="87"/>
      <c r="J85" s="89"/>
      <c r="K85" s="93"/>
      <c r="L85" s="93"/>
      <c r="M85" s="93"/>
      <c r="N85" s="93"/>
      <c r="O85" s="93"/>
      <c r="P85" s="60"/>
      <c r="Q85" s="9"/>
    </row>
    <row r="86" spans="2:17" ht="15" x14ac:dyDescent="0.2">
      <c r="B86" s="7"/>
      <c r="C86" s="3"/>
      <c r="D86" s="3"/>
      <c r="E86" s="3"/>
      <c r="F86" s="108"/>
      <c r="G86" s="109"/>
      <c r="H86" s="109"/>
      <c r="I86" s="109"/>
      <c r="J86" s="109"/>
      <c r="K86" s="109"/>
      <c r="L86" s="109"/>
      <c r="M86" s="109"/>
      <c r="N86" s="109"/>
      <c r="O86" s="87"/>
      <c r="P86" s="60"/>
      <c r="Q86" s="9"/>
    </row>
    <row r="87" spans="2:17" ht="15" x14ac:dyDescent="0.2">
      <c r="B87" s="7"/>
      <c r="C87" s="3"/>
      <c r="D87" s="3"/>
      <c r="E87" s="3"/>
      <c r="F87" s="109"/>
      <c r="G87" s="109"/>
      <c r="H87" s="109"/>
      <c r="I87" s="109"/>
      <c r="J87" s="109"/>
      <c r="K87" s="109"/>
      <c r="L87" s="109"/>
      <c r="M87" s="109"/>
      <c r="N87" s="109"/>
      <c r="O87" s="87"/>
      <c r="P87" s="60"/>
      <c r="Q87" s="9"/>
    </row>
    <row r="88" spans="2:17" ht="15" x14ac:dyDescent="0.2">
      <c r="B88" s="7"/>
      <c r="C88" s="3"/>
      <c r="D88" s="3"/>
      <c r="E88" s="94"/>
      <c r="F88" s="109"/>
      <c r="G88" s="109"/>
      <c r="H88" s="109"/>
      <c r="I88" s="109"/>
      <c r="J88" s="109"/>
      <c r="K88" s="109"/>
      <c r="L88" s="109"/>
      <c r="M88" s="109"/>
      <c r="N88" s="109"/>
      <c r="O88" s="92"/>
      <c r="P88" s="60"/>
      <c r="Q88" s="9"/>
    </row>
    <row r="89" spans="2:17" ht="15" x14ac:dyDescent="0.2">
      <c r="B89" s="7"/>
      <c r="C89" s="3"/>
      <c r="D89" s="3"/>
      <c r="E89" s="3"/>
      <c r="F89" s="109"/>
      <c r="G89" s="109"/>
      <c r="H89" s="109"/>
      <c r="I89" s="109"/>
      <c r="J89" s="109"/>
      <c r="K89" s="109"/>
      <c r="L89" s="109"/>
      <c r="M89" s="109"/>
      <c r="N89" s="109"/>
      <c r="O89" s="87"/>
      <c r="P89" s="60"/>
      <c r="Q89" s="9"/>
    </row>
    <row r="90" spans="2:17" ht="13.5" thickBot="1" x14ac:dyDescent="0.25">
      <c r="B90" s="7"/>
      <c r="C90" s="3"/>
      <c r="D90" s="3"/>
      <c r="E90" s="3"/>
      <c r="F90" s="3"/>
      <c r="G90" s="3"/>
      <c r="H90" s="3"/>
      <c r="I90" s="3"/>
      <c r="J90" s="3"/>
      <c r="K90" s="3"/>
      <c r="L90" s="3"/>
      <c r="M90" s="3"/>
      <c r="N90" s="3"/>
      <c r="O90" s="3"/>
      <c r="P90" s="60"/>
      <c r="Q90" s="9"/>
    </row>
    <row r="91" spans="2:17" ht="3" customHeight="1" thickTop="1" x14ac:dyDescent="0.2">
      <c r="B91" s="7"/>
      <c r="C91" s="3"/>
      <c r="D91" s="3"/>
      <c r="E91" s="61"/>
      <c r="F91" s="61"/>
      <c r="G91" s="61"/>
      <c r="H91" s="61"/>
      <c r="I91" s="61"/>
      <c r="J91" s="61"/>
      <c r="K91" s="61"/>
      <c r="L91" s="61"/>
      <c r="M91" s="61"/>
      <c r="N91" s="61"/>
      <c r="O91" s="61"/>
      <c r="P91" s="60"/>
      <c r="Q91" s="9"/>
    </row>
    <row r="92" spans="2:17" x14ac:dyDescent="0.2">
      <c r="B92" s="7"/>
      <c r="C92" s="3"/>
      <c r="D92" s="3"/>
      <c r="E92" s="3"/>
      <c r="F92" s="123"/>
      <c r="G92" s="126"/>
      <c r="H92" s="126"/>
      <c r="I92" s="126"/>
      <c r="J92" s="126"/>
      <c r="K92" s="126"/>
      <c r="L92" s="126"/>
      <c r="M92" s="126"/>
      <c r="N92" s="126"/>
      <c r="O92" s="3"/>
      <c r="P92" s="60"/>
      <c r="Q92" s="9"/>
    </row>
    <row r="93" spans="2:17" x14ac:dyDescent="0.2">
      <c r="B93" s="7"/>
      <c r="C93" s="3"/>
      <c r="D93" s="3"/>
      <c r="E93" s="3"/>
      <c r="F93" s="127"/>
      <c r="G93" s="127"/>
      <c r="H93" s="127"/>
      <c r="I93" s="127"/>
      <c r="J93" s="127"/>
      <c r="K93" s="127"/>
      <c r="L93" s="127"/>
      <c r="M93" s="127"/>
      <c r="N93" s="127"/>
      <c r="O93" s="3"/>
      <c r="P93" s="60"/>
      <c r="Q93" s="9"/>
    </row>
    <row r="94" spans="2:17" x14ac:dyDescent="0.2">
      <c r="B94" s="7"/>
      <c r="C94" s="3"/>
      <c r="D94" s="3"/>
      <c r="E94" s="3"/>
      <c r="F94" s="127"/>
      <c r="G94" s="127"/>
      <c r="H94" s="127"/>
      <c r="I94" s="127"/>
      <c r="J94" s="127"/>
      <c r="K94" s="127"/>
      <c r="L94" s="127"/>
      <c r="M94" s="127"/>
      <c r="N94" s="127"/>
      <c r="O94" s="3"/>
      <c r="P94" s="60"/>
      <c r="Q94" s="9"/>
    </row>
    <row r="95" spans="2:17" ht="0.95" customHeight="1" thickBot="1" x14ac:dyDescent="0.25">
      <c r="B95" s="10"/>
      <c r="C95" s="11"/>
      <c r="D95" s="11"/>
      <c r="E95" s="11"/>
      <c r="F95" s="11"/>
      <c r="G95" s="11"/>
      <c r="H95" s="11"/>
      <c r="I95" s="11"/>
      <c r="J95" s="11"/>
      <c r="K95" s="11"/>
      <c r="L95" s="11"/>
      <c r="M95" s="11"/>
      <c r="N95" s="11"/>
      <c r="O95" s="11"/>
      <c r="P95" s="11"/>
      <c r="Q95" s="12"/>
    </row>
    <row r="96"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47">
    <mergeCell ref="F60:K60"/>
    <mergeCell ref="F62:K62"/>
    <mergeCell ref="F63:K63"/>
    <mergeCell ref="F65:K65"/>
    <mergeCell ref="F66:K66"/>
    <mergeCell ref="F51:K51"/>
    <mergeCell ref="F52:K52"/>
    <mergeCell ref="F55:K55"/>
    <mergeCell ref="F56:K56"/>
    <mergeCell ref="F59:K59"/>
    <mergeCell ref="F40:H40"/>
    <mergeCell ref="F41:K41"/>
    <mergeCell ref="F48:K48"/>
    <mergeCell ref="F49:K49"/>
    <mergeCell ref="F29:H29"/>
    <mergeCell ref="F30:K30"/>
    <mergeCell ref="F33:H33"/>
    <mergeCell ref="F34:K34"/>
    <mergeCell ref="F38:K38"/>
    <mergeCell ref="F37:H37"/>
    <mergeCell ref="D79:L79"/>
    <mergeCell ref="N9:O9"/>
    <mergeCell ref="F71:K71"/>
    <mergeCell ref="F61:K61"/>
    <mergeCell ref="N19:O19"/>
    <mergeCell ref="N21:O21"/>
    <mergeCell ref="N22:O22"/>
    <mergeCell ref="G21:H21"/>
    <mergeCell ref="E20:J20"/>
    <mergeCell ref="E19:J19"/>
    <mergeCell ref="E22:J22"/>
    <mergeCell ref="N10:O10"/>
    <mergeCell ref="F69:K69"/>
    <mergeCell ref="G83:I83"/>
    <mergeCell ref="F72:K72"/>
    <mergeCell ref="F46:K46"/>
    <mergeCell ref="F82:I82"/>
    <mergeCell ref="F24:K24"/>
    <mergeCell ref="F25:K25"/>
    <mergeCell ref="F26:K26"/>
    <mergeCell ref="F81:I81"/>
    <mergeCell ref="F45:K45"/>
    <mergeCell ref="D80:M80"/>
    <mergeCell ref="F43:K43"/>
    <mergeCell ref="F44:K44"/>
    <mergeCell ref="F27:K27"/>
    <mergeCell ref="F73:K73"/>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81:O81 K81:L83"/>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92:N94"/>
    <dataValidation errorStyle="warning" allowBlank="1" showInputMessage="1" errorTitle="Numéro de carte de crédit" promptTitle="Numéro de carte de crédit" prompt="Tapez ici le numéro de carte de crédit du client" sqref="F8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86"/>
    <dataValidation type="textLength" errorStyle="warning" allowBlank="1" showErrorMessage="1" errorTitle="Sous-total" error="Les cellules ombrées contiennent des formules et sont calculées automatiquement par Excel. N'y tapez aucune information." promptTitle="Sous-total" sqref="O7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7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77:O78">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7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76">
      <formula1>0</formula1>
      <formula2>0</formula2>
    </dataValidation>
    <dataValidation type="whole" errorStyle="warning" allowBlank="1" showErrorMessage="1" errorTitle="Quantité" error="Tapez un nombre dans cette cellule." promptTitle="Quantité" sqref="E25:E73">
      <formula1>0</formula1>
      <formula2>1000000000</formula2>
    </dataValidation>
    <dataValidation type="decimal" allowBlank="1" showErrorMessage="1" errorTitle="Prix unitaire" error="Tapez un nombre dans cette cellule." promptTitle="Prix unitaire" sqref="N25:N7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73">
      <formula1>0</formula1>
      <formula2>0</formula2>
    </dataValidation>
    <dataValidation type="list" allowBlank="1" showInputMessage="1" showErrorMessage="1" errorTitle="Code TVA" error="Tapez 1, 2, ou 3." sqref="M25:M73">
      <formula1>"1,2,3"</formula1>
    </dataValidation>
  </dataValidations>
  <hyperlinks>
    <hyperlink ref="F27" r:id="rId1"/>
    <hyperlink ref="F46" r:id="rId2"/>
    <hyperlink ref="F31" r:id="rId3"/>
    <hyperlink ref="F35" r:id="rId4"/>
    <hyperlink ref="F42" r:id="rId5"/>
    <hyperlink ref="F50" r:id="rId6"/>
    <hyperlink ref="F53" r:id="rId7"/>
    <hyperlink ref="F57" r:id="rId8"/>
    <hyperlink ref="F61" r:id="rId9"/>
    <hyperlink ref="F64" r:id="rId10"/>
    <hyperlink ref="F67" r:id="rId11"/>
  </hyperlinks>
  <printOptions horizontalCentered="1"/>
  <pageMargins left="0.51181102362204722" right="0.51181102362204722" top="0.51181102362204722" bottom="0.51181102362204722" header="0.51181102362204722" footer="0.51181102362204722"/>
  <pageSetup paperSize="9" scale="76" orientation="portrait" horizontalDpi="300" verticalDpi="3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2059" r:id="rId15"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16" name="pd1">
              <controlPr defaultSize="0" autoFill="0" autoLine="0" autoPict="0" macro="[0]!INV_Payments">
                <anchor moveWithCells="1">
                  <from>
                    <xdr:col>4</xdr:col>
                    <xdr:colOff>400050</xdr:colOff>
                    <xdr:row>74</xdr:row>
                    <xdr:rowOff>152400</xdr:rowOff>
                  </from>
                  <to>
                    <xdr:col>4</xdr:col>
                    <xdr:colOff>695325</xdr:colOff>
                    <xdr:row>76</xdr:row>
                    <xdr:rowOff>76200</xdr:rowOff>
                  </to>
                </anchor>
              </controlPr>
            </control>
          </mc:Choice>
        </mc:AlternateContent>
        <mc:AlternateContent xmlns:mc="http://schemas.openxmlformats.org/markup-compatibility/2006">
          <mc:Choice Requires="x14">
            <control shapeId="2062" r:id="rId17" name="pd3">
              <controlPr defaultSize="0" autoFill="0" autoLine="0" autoPict="0" macro="[0]!INV_Payments">
                <anchor moveWithCells="1">
                  <from>
                    <xdr:col>4</xdr:col>
                    <xdr:colOff>400050</xdr:colOff>
                    <xdr:row>76</xdr:row>
                    <xdr:rowOff>0</xdr:rowOff>
                  </from>
                  <to>
                    <xdr:col>4</xdr:col>
                    <xdr:colOff>704850</xdr:colOff>
                    <xdr:row>77</xdr:row>
                    <xdr:rowOff>76200</xdr:rowOff>
                  </to>
                </anchor>
              </controlPr>
            </control>
          </mc:Choice>
        </mc:AlternateContent>
        <mc:AlternateContent xmlns:mc="http://schemas.openxmlformats.org/markup-compatibility/2006">
          <mc:Choice Requires="x14">
            <control shapeId="2071" r:id="rId18" name="pd2">
              <controlPr defaultSize="0" autoFill="0" autoLine="0" autoPict="0" macro="[0]!INV_Payments">
                <anchor moveWithCells="1">
                  <from>
                    <xdr:col>4</xdr:col>
                    <xdr:colOff>409575</xdr:colOff>
                    <xdr:row>77</xdr:row>
                    <xdr:rowOff>28575</xdr:rowOff>
                  </from>
                  <to>
                    <xdr:col>4</xdr:col>
                    <xdr:colOff>714375</xdr:colOff>
                    <xdr:row>78</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43223</v>
      </c>
      <c r="D8" s="77" t="str">
        <f>Facture!$E$19</f>
        <v xml:space="preserve">ALMES </v>
      </c>
      <c r="E8" s="74">
        <f>Facture!$E$20</f>
        <v>0</v>
      </c>
      <c r="F8" s="74">
        <f>Facture!$E$21</f>
        <v>0</v>
      </c>
      <c r="G8" s="77">
        <f>Facture!$G$21</f>
        <v>0</v>
      </c>
      <c r="H8" s="77" t="str">
        <f>Facture!$J$21</f>
        <v>TN</v>
      </c>
      <c r="I8" s="74" t="str">
        <f>Facture!$E$22</f>
        <v xml:space="preserve">       Fax:</v>
      </c>
      <c r="J8" s="78">
        <f>Facture!$O$77</f>
        <v>8489.5840000000007</v>
      </c>
      <c r="K8" s="74" t="str">
        <f>Facture!$N$21</f>
        <v xml:space="preserve">Mr Bilel Kouki </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91</vt:i4>
      </vt:variant>
    </vt:vector>
  </HeadingPairs>
  <TitlesOfParts>
    <vt:vector size="9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2017-02-01T09:49:05Z</cp:lastPrinted>
  <dcterms:created xsi:type="dcterms:W3CDTF">1995-05-29T15:50:39Z</dcterms:created>
  <dcterms:modified xsi:type="dcterms:W3CDTF">2018-05-03T15:34:31Z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8489.584</vt:r8>
  </property>
</Properties>
</file>