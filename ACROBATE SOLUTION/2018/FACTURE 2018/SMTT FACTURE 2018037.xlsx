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Facture!$E$46:$E$49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1" i="3" l="1"/>
  <c r="M50" i="3"/>
  <c r="M48" i="3"/>
  <c r="M47" i="3"/>
  <c r="M35" i="3" l="1"/>
  <c r="M36" i="3"/>
  <c r="M37" i="3"/>
  <c r="M38" i="3"/>
  <c r="M34" i="3"/>
  <c r="M31" i="3" l="1"/>
  <c r="M33" i="3"/>
  <c r="M28" i="3"/>
  <c r="M30" i="3"/>
  <c r="M32" i="3"/>
  <c r="M39" i="3"/>
  <c r="M40" i="3"/>
  <c r="M41" i="3" l="1"/>
  <c r="M42" i="3"/>
  <c r="M43" i="3"/>
  <c r="M44" i="3"/>
  <c r="M45" i="3"/>
  <c r="M46"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<sst xmlns="http://schemas.openxmlformats.org/spreadsheetml/2006/main" count="90" uniqueCount="80">
  <si>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</si>
  <si>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</si>
  <si>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</si>
  <si>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</si>
  <si>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</si>
  <si>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</si>
  <si>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</si>
  <si>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</si>
  <si>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</si>
  <si>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</si>
  <si>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</si>
  <si>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</si>
  <si>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</si>
  <si>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</si>
  <si>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</si>
  <si>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</si>
  <si>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</si>
  <si>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</si>
  <si>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</si>
  <si>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</si>
  <si>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</si>
  <si>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</si>
  <si>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</si>
  <si>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</si>
  <si>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</si>
  <si>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</si>
  <si>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</si>
  <si>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</si>
  <si>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</si>
  <si>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</si>
  <si>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</si>
  <si>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</si>
  <si>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</si>
  <si>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</si>
  <si>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</si>
  <si>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</si>
  <si>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</si>
  <si>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</si>
  <si>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</si>
  <si>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</si>
  <si>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</si>
  <si>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</si>
  <si>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</si>
  <si>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</si>
  <si>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</si>
  <si>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</si>
  <si>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</si>
  <si>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</si>
  <si>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</si>
  <si>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</si>
  <si>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</si>
  <si>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</si>
  <si>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</si>
  <si>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</si>
  <si>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</si>
  <si>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</si>
  <si>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</si>
  <si>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</si>
  <si>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</si>
  <si>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</si>
  <si>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</si>
  <si>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</si>
  <si>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</si>
  <si>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</si>
  <si>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</si>
  <si>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CSS3</t>
  </si>
  <si>
    <t xml:space="preserve">Chaussure de securite </t>
  </si>
  <si>
    <t>EN 20345</t>
  </si>
  <si>
    <t>SMTT</t>
  </si>
  <si>
    <t xml:space="preserve">39 AV DU JAPON IMMEUBLE SAFSAF A2-2 </t>
  </si>
  <si>
    <t>MONPLAISIR</t>
  </si>
  <si>
    <t>71 906 788         Fax: 71 906 849</t>
  </si>
  <si>
    <t>MF:1004295G/A/M/000</t>
  </si>
  <si>
    <r>
      <t xml:space="preserve">Responsable: </t>
    </r>
    <r>
      <rPr>
        <b/>
        <sz val="20"/>
        <rFont val="Arial"/>
        <family val="2"/>
      </rPr>
      <t xml:space="preserve">MR REJEB BOUABIDI </t>
    </r>
  </si>
  <si>
    <t>Remise 10%</t>
  </si>
  <si>
    <t xml:space="preserve">Total apres remise </t>
  </si>
  <si>
    <t xml:space="preserve">ARRETE LA PRESENTE DEVIS  A LA SOMME DE: TROIS MILLE TROIS CENT CINQUANTE HUIT DINARS ET 185 MILLIMES </t>
  </si>
  <si>
    <t>Date : 23/07/2018</t>
  </si>
  <si>
    <t>FACTURE 2018037</t>
  </si>
  <si>
    <t>N°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</si>
</sst>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27" fillId="0" borderId="29"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F38" sqref="F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3" t="s">
        <v>78</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6" t="s">
        <v>53</v>
      </c>
      <c r="E22" s="178" t="s">
        <v>68</v>
      </c>
      <c r="F22" s="178"/>
      <c r="G22" s="178"/>
      <c r="H22" s="178"/>
      <c r="I22" s="178"/>
      <c r="J22" s="178"/>
      <c r="K22" s="97"/>
      <c r="L22" s="176" t="s">
        <v>77</v>
      </c>
      <c r="M22" s="176"/>
      <c r="N22" s="52"/>
      <c r="O22" s="9"/>
    </row>
    <row r="23" spans="2:15" ht="33.75" x14ac:dyDescent="0.5">
      <c r="B23" s="7"/>
      <c r="C23" s="3"/>
      <c r="D23" s="96" t="s">
        <v>54</v>
      </c>
      <c r="E23" s="166" t="s">
        <v>69</v>
      </c>
      <c r="F23" s="166"/>
      <c r="G23" s="166"/>
      <c r="H23" s="166"/>
      <c r="I23" s="166"/>
      <c r="J23" s="166"/>
      <c r="K23" s="166"/>
      <c r="L23" s="98" t="s">
        <v>79</v>
      </c>
      <c r="M23" s="98"/>
      <c r="N23" s="53"/>
      <c r="O23" s="9"/>
    </row>
    <row r="24" spans="2:15" ht="33.75" x14ac:dyDescent="0.5">
      <c r="B24" s="7"/>
      <c r="C24" s="3"/>
      <c r="D24" s="96" t="s">
        <v>55</v>
      </c>
      <c r="E24" s="109">
        <v>1073</v>
      </c>
      <c r="F24" s="99" t="s">
        <v>8</v>
      </c>
      <c r="G24" s="167" t="s">
        <v>70</v>
      </c>
      <c r="H24" s="167"/>
      <c r="I24" s="100" t="s">
        <v>9</v>
      </c>
      <c r="J24" s="101" t="s">
        <v>59</v>
      </c>
      <c r="K24" s="97"/>
      <c r="L24" s="177" t="s">
        <v>73</v>
      </c>
      <c r="M24" s="177"/>
      <c r="N24" s="3"/>
      <c r="O24" s="9"/>
    </row>
    <row r="25" spans="2:15" ht="33.75" x14ac:dyDescent="0.5">
      <c r="B25" s="7"/>
      <c r="C25" s="3"/>
      <c r="D25" s="96" t="s">
        <v>56</v>
      </c>
      <c r="E25" s="179" t="s">
        <v>71</v>
      </c>
      <c r="F25" s="179"/>
      <c r="G25" s="179"/>
      <c r="H25" s="179"/>
      <c r="I25" s="179"/>
      <c r="J25" s="179"/>
      <c r="K25" s="97"/>
      <c r="L25" s="177" t="s">
        <v>72</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47" t="s">
        <v>65</v>
      </c>
      <c r="E28" s="149">
        <v>33</v>
      </c>
      <c r="F28" s="116" t="s">
        <v>66</v>
      </c>
      <c r="G28" s="141"/>
      <c r="H28" s="141"/>
      <c r="I28" s="143"/>
      <c r="J28" s="143"/>
      <c r="K28" s="144"/>
      <c r="L28" s="104">
        <v>95</v>
      </c>
      <c r="M28" s="110">
        <f t="shared" ref="M28:M38" si="0">IF(E28&lt;&gt;"",E28*L28,"")</f>
        <v>3135</v>
      </c>
      <c r="N28" s="87"/>
      <c r="O28" s="9"/>
    </row>
    <row r="29" spans="2:15" ht="30" x14ac:dyDescent="0.4">
      <c r="B29" s="7"/>
      <c r="C29" s="3"/>
      <c r="D29" s="147"/>
      <c r="E29" s="149"/>
      <c r="F29" s="155" t="s">
        <v>67</v>
      </c>
      <c r="G29" s="141"/>
      <c r="H29" s="141"/>
      <c r="I29" s="143"/>
      <c r="J29" s="143"/>
      <c r="K29" s="144"/>
      <c r="L29" s="104"/>
      <c r="M29" s="110"/>
      <c r="N29" s="87"/>
      <c r="O29" s="9"/>
    </row>
    <row r="30" spans="2:15" ht="30" x14ac:dyDescent="0.4">
      <c r="B30" s="7"/>
      <c r="C30" s="3"/>
      <c r="D30" s="147"/>
      <c r="E30" s="149"/>
      <c r="F30" s="116"/>
      <c r="G30" s="141"/>
      <c r="H30" s="141"/>
      <c r="I30" s="143"/>
      <c r="J30" s="143"/>
      <c r="K30" s="144"/>
      <c r="L30" s="104"/>
      <c r="M30" s="110" t="str">
        <f t="shared" si="0"/>
        <v/>
      </c>
      <c r="N30" s="87"/>
      <c r="O30" s="9"/>
    </row>
    <row r="31" spans="2:15" ht="30" x14ac:dyDescent="0.4">
      <c r="B31" s="7"/>
      <c r="C31" s="3"/>
      <c r="D31" s="147"/>
      <c r="E31" s="149"/>
      <c r="F31" s="140"/>
      <c r="G31" s="141"/>
      <c r="H31" s="141"/>
      <c r="I31" s="143"/>
      <c r="J31" s="143"/>
      <c r="K31" s="144"/>
      <c r="L31" s="104"/>
      <c r="M31" s="110" t="str">
        <f t="shared" si="0"/>
        <v/>
      </c>
      <c r="N31" s="87"/>
      <c r="O31" s="9"/>
    </row>
    <row r="32" spans="2:15" ht="30" x14ac:dyDescent="0.4">
      <c r="B32" s="7"/>
      <c r="C32" s="3"/>
      <c r="D32" s="147"/>
      <c r="E32" s="149"/>
      <c r="F32" s="116"/>
      <c r="G32" s="141"/>
      <c r="H32" s="143"/>
      <c r="I32" s="143"/>
      <c r="J32" s="143"/>
      <c r="K32" s="144"/>
      <c r="L32" s="104"/>
      <c r="M32" s="110" t="str">
        <f t="shared" si="0"/>
        <v/>
      </c>
      <c r="N32" s="87"/>
      <c r="O32" s="9"/>
    </row>
    <row r="33" spans="2:15" ht="30" x14ac:dyDescent="0.4">
      <c r="B33" s="7"/>
      <c r="C33" s="3"/>
      <c r="D33" s="147"/>
      <c r="E33" s="149"/>
      <c r="F33" s="116"/>
      <c r="G33" s="141"/>
      <c r="H33" s="143"/>
      <c r="I33" s="143"/>
      <c r="J33" s="143"/>
      <c r="K33" s="144"/>
      <c r="L33" s="104"/>
      <c r="M33" s="110" t="str">
        <f t="shared" si="0"/>
        <v/>
      </c>
      <c r="N33" s="87"/>
      <c r="O33" s="9"/>
    </row>
    <row r="34" spans="2:15" ht="30" x14ac:dyDescent="0.4">
      <c r="B34" s="7"/>
      <c r="C34" s="3"/>
      <c r="D34" s="147"/>
      <c r="E34" s="149"/>
      <c r="F34" s="116"/>
      <c r="G34" s="141"/>
      <c r="H34" s="143"/>
      <c r="I34" s="143"/>
      <c r="J34" s="143"/>
      <c r="K34" s="144"/>
      <c r="L34" s="104"/>
      <c r="M34" s="110" t="str">
        <f t="shared" si="0"/>
        <v/>
      </c>
      <c r="N34" s="87"/>
      <c r="O34" s="9"/>
    </row>
    <row r="35" spans="2:15" ht="30" x14ac:dyDescent="0.4">
      <c r="B35" s="7"/>
      <c r="C35" s="3"/>
      <c r="D35" s="148"/>
      <c r="E35" s="149"/>
      <c r="F35" s="116"/>
      <c r="G35" s="141"/>
      <c r="H35" s="141"/>
      <c r="I35" s="141"/>
      <c r="J35" s="141"/>
      <c r="K35" s="142"/>
      <c r="L35" s="105"/>
      <c r="M35" s="110" t="str">
        <f t="shared" si="0"/>
        <v/>
      </c>
      <c r="N35" s="54"/>
      <c r="O35" s="9"/>
    </row>
    <row r="36" spans="2:15" ht="30" x14ac:dyDescent="0.4">
      <c r="B36" s="7"/>
      <c r="C36" s="3"/>
      <c r="D36" s="148"/>
      <c r="E36" s="103"/>
      <c r="F36" s="116"/>
      <c r="G36" s="141"/>
      <c r="H36" s="141"/>
      <c r="I36" s="141"/>
      <c r="J36" s="141"/>
      <c r="K36" s="142"/>
      <c r="L36" s="105"/>
      <c r="M36" s="110" t="str">
        <f t="shared" si="0"/>
        <v/>
      </c>
      <c r="N36" s="90"/>
      <c r="O36" s="9"/>
    </row>
    <row r="37" spans="2:15" ht="30" x14ac:dyDescent="0.4">
      <c r="B37" s="7"/>
      <c r="C37" s="3"/>
      <c r="D37" s="148"/>
      <c r="E37" s="103"/>
      <c r="F37" s="116"/>
      <c r="G37" s="141"/>
      <c r="H37" s="141"/>
      <c r="I37" s="141"/>
      <c r="J37" s="141"/>
      <c r="K37" s="142"/>
      <c r="L37" s="105"/>
      <c r="M37" s="110" t="str">
        <f t="shared" si="0"/>
        <v/>
      </c>
      <c r="N37" s="54"/>
      <c r="O37" s="9"/>
    </row>
    <row r="38" spans="2:15" ht="30" x14ac:dyDescent="0.4">
      <c r="B38" s="7"/>
      <c r="C38" s="3"/>
      <c r="D38" s="118"/>
      <c r="E38" s="103"/>
      <c r="F38" s="116"/>
      <c r="G38" s="141"/>
      <c r="H38" s="141"/>
      <c r="I38" s="141"/>
      <c r="J38" s="141"/>
      <c r="K38" s="142"/>
      <c r="L38" s="105"/>
      <c r="M38" s="110" t="str">
        <f t="shared" si="0"/>
        <v/>
      </c>
      <c r="N38" s="54"/>
      <c r="O38" s="9"/>
    </row>
    <row r="39" spans="2:15" ht="30" x14ac:dyDescent="0.4">
      <c r="B39" s="7"/>
      <c r="C39" s="3"/>
      <c r="D39" s="118"/>
      <c r="E39" s="103"/>
      <c r="F39" s="116"/>
      <c r="G39" s="141"/>
      <c r="H39" s="141"/>
      <c r="I39" s="141"/>
      <c r="J39" s="141"/>
      <c r="K39" s="142"/>
      <c r="L39" s="105"/>
      <c r="M39" s="110" t="str">
        <f t="shared" ref="M39:M40" si="1">IF(E39&lt;&gt;"",E39*L39,"")</f>
        <v/>
      </c>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ref="M41:M45" si="2">IF(E41&lt;&gt;"",E41*L41,"")</f>
        <v/>
      </c>
      <c r="N41" s="54"/>
      <c r="O41" s="9"/>
    </row>
    <row r="42" spans="2:15" ht="30" x14ac:dyDescent="0.4">
      <c r="B42" s="7"/>
      <c r="C42" s="3"/>
      <c r="D42" s="118"/>
      <c r="E42" s="103"/>
      <c r="F42" s="116"/>
      <c r="G42" s="141"/>
      <c r="H42" s="141"/>
      <c r="I42" s="141"/>
      <c r="J42" s="141"/>
      <c r="K42" s="142"/>
      <c r="L42" s="105"/>
      <c r="M42" s="110" t="str">
        <f t="shared" si="2"/>
        <v/>
      </c>
      <c r="N42" s="54"/>
      <c r="O42" s="9"/>
    </row>
    <row r="43" spans="2:15" ht="30" x14ac:dyDescent="0.4">
      <c r="B43" s="7"/>
      <c r="C43" s="3"/>
      <c r="D43" s="118"/>
      <c r="E43" s="103"/>
      <c r="F43" s="140"/>
      <c r="G43" s="141"/>
      <c r="H43" s="141"/>
      <c r="I43" s="141"/>
      <c r="J43" s="141"/>
      <c r="K43" s="142"/>
      <c r="L43" s="105"/>
      <c r="M43" s="110" t="str">
        <f t="shared" si="2"/>
        <v/>
      </c>
      <c r="N43" s="54"/>
      <c r="O43" s="9"/>
    </row>
    <row r="44" spans="2:15" ht="30" x14ac:dyDescent="0.4">
      <c r="B44" s="7"/>
      <c r="C44" s="3"/>
      <c r="D44" s="118"/>
      <c r="E44" s="103"/>
      <c r="F44" s="140"/>
      <c r="G44" s="141"/>
      <c r="H44" s="141"/>
      <c r="I44" s="141"/>
      <c r="J44" s="141"/>
      <c r="K44" s="142"/>
      <c r="L44" s="105"/>
      <c r="M44" s="110" t="str">
        <f t="shared" si="2"/>
        <v/>
      </c>
      <c r="N44" s="54"/>
      <c r="O44" s="9"/>
    </row>
    <row r="45" spans="2:15" ht="30" customHeight="1" x14ac:dyDescent="0.35">
      <c r="B45" s="7"/>
      <c r="C45" s="3"/>
      <c r="D45" s="137"/>
      <c r="E45" s="126"/>
      <c r="F45" s="145" t="s">
        <v>64</v>
      </c>
      <c r="G45" s="146"/>
      <c r="H45" s="146"/>
      <c r="I45" s="138"/>
      <c r="J45" s="138"/>
      <c r="K45" s="139"/>
      <c r="L45" s="150"/>
      <c r="M45" s="110" t="str">
        <f t="shared" si="2"/>
        <v/>
      </c>
      <c r="N45" s="54"/>
      <c r="O45" s="9"/>
    </row>
    <row r="46" spans="2:15" ht="35.25" x14ac:dyDescent="0.5">
      <c r="B46" s="7"/>
      <c r="C46" s="3"/>
      <c r="D46" s="81"/>
      <c r="E46" s="91"/>
      <c r="F46" s="122"/>
      <c r="G46" s="119"/>
      <c r="H46" s="119"/>
      <c r="I46" s="119"/>
      <c r="J46" s="120"/>
      <c r="K46" s="121"/>
      <c r="L46" s="151" t="s">
        <v>26</v>
      </c>
      <c r="M46" s="102">
        <f>SUM(M28:M45)</f>
        <v>3135</v>
      </c>
      <c r="N46" s="54"/>
      <c r="O46" s="9"/>
    </row>
    <row r="47" spans="2:15" ht="35.25" x14ac:dyDescent="0.5">
      <c r="B47" s="7"/>
      <c r="C47" s="3"/>
      <c r="D47" s="81"/>
      <c r="E47" s="91"/>
      <c r="F47" s="122"/>
      <c r="G47" s="119"/>
      <c r="H47" s="119"/>
      <c r="I47" s="119"/>
      <c r="J47" s="120"/>
      <c r="K47" s="121"/>
      <c r="L47" s="156" t="s">
        <v>74</v>
      </c>
      <c r="M47" s="102">
        <f>+M46*10%</f>
        <v>313.5</v>
      </c>
      <c r="N47" s="54"/>
      <c r="O47" s="9"/>
    </row>
    <row r="48" spans="2:15" ht="35.25" x14ac:dyDescent="0.5">
      <c r="B48" s="7"/>
      <c r="C48" s="3"/>
      <c r="D48" s="81"/>
      <c r="E48" s="91"/>
      <c r="F48" s="122"/>
      <c r="G48" s="119"/>
      <c r="H48" s="119"/>
      <c r="I48" s="119"/>
      <c r="J48" s="120"/>
      <c r="K48" s="121"/>
      <c r="L48" s="156" t="s">
        <v>75</v>
      </c>
      <c r="M48" s="102">
        <f>+M46-M47</f>
        <v>2821.5</v>
      </c>
      <c r="N48" s="54"/>
      <c r="O48" s="9"/>
    </row>
    <row r="49" spans="1:16" ht="35.25" x14ac:dyDescent="0.5">
      <c r="B49" s="7"/>
      <c r="C49" s="3"/>
      <c r="D49" s="95"/>
      <c r="E49" s="92" t="s">
        <v>57</v>
      </c>
      <c r="F49" s="77"/>
      <c r="G49" s="77"/>
      <c r="H49" s="77"/>
      <c r="I49" s="77"/>
      <c r="J49" s="78"/>
      <c r="K49" s="88"/>
      <c r="L49" s="152" t="s">
        <v>47</v>
      </c>
      <c r="M49" s="102">
        <v>0.6</v>
      </c>
      <c r="N49" s="54"/>
      <c r="O49" s="9"/>
    </row>
    <row r="50" spans="1:16" ht="35.25" x14ac:dyDescent="0.5">
      <c r="B50" s="7"/>
      <c r="C50" s="3"/>
      <c r="D50" s="93"/>
      <c r="E50" s="92" t="s">
        <v>58</v>
      </c>
      <c r="F50" s="77"/>
      <c r="G50" s="77"/>
      <c r="H50" s="77"/>
      <c r="I50" s="77"/>
      <c r="J50" s="79"/>
      <c r="K50" s="89"/>
      <c r="L50" s="153">
        <v>0.19</v>
      </c>
      <c r="M50" s="102">
        <f>+M48*19%</f>
        <v>536.08500000000004</v>
      </c>
      <c r="N50" s="54"/>
      <c r="O50" s="9"/>
    </row>
    <row r="51" spans="1:16" ht="35.25" x14ac:dyDescent="0.5">
      <c r="B51" s="7"/>
      <c r="C51" s="3"/>
      <c r="D51" s="76"/>
      <c r="E51" s="82"/>
      <c r="F51" s="94"/>
      <c r="G51" s="77"/>
      <c r="H51" s="64"/>
      <c r="I51" s="77"/>
      <c r="J51" s="80" t="s">
        <v>27</v>
      </c>
      <c r="K51" s="78"/>
      <c r="L51" s="154" t="s">
        <v>28</v>
      </c>
      <c r="M51" s="102">
        <f>+M48+M49+M50</f>
        <v>3358.1849999999999</v>
      </c>
      <c r="N51" s="54"/>
      <c r="O51" s="9"/>
    </row>
    <row r="52" spans="1:16" ht="15.75" x14ac:dyDescent="0.25">
      <c r="B52" s="7"/>
      <c r="C52" s="3"/>
      <c r="D52" s="171" t="s">
        <v>76</v>
      </c>
      <c r="E52" s="172"/>
      <c r="F52" s="172"/>
      <c r="G52" s="172"/>
      <c r="H52" s="172"/>
      <c r="I52" s="172"/>
      <c r="J52" s="172"/>
      <c r="K52" s="172"/>
      <c r="L52" s="172"/>
      <c r="M52" s="117"/>
      <c r="N52" s="54"/>
      <c r="O52" s="9"/>
    </row>
    <row r="53" spans="1:16" ht="26.25" x14ac:dyDescent="0.4">
      <c r="B53" s="7"/>
      <c r="C53" s="3"/>
      <c r="D53" s="172"/>
      <c r="E53" s="172"/>
      <c r="F53" s="172"/>
      <c r="G53" s="172"/>
      <c r="H53" s="172"/>
      <c r="I53" s="172"/>
      <c r="J53" s="172"/>
      <c r="K53" s="172"/>
      <c r="L53" s="172"/>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65"/>
      <c r="H55" s="165"/>
      <c r="I55" s="165"/>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64" t="s">
        <v>52</v>
      </c>
      <c r="E58" s="164"/>
      <c r="F58" s="164"/>
      <c r="G58" s="164"/>
      <c r="H58" s="164"/>
      <c r="I58" s="164"/>
      <c r="J58" s="164"/>
      <c r="K58" s="164"/>
      <c r="L58" s="164"/>
      <c r="M58" s="83"/>
      <c r="N58" s="87"/>
      <c r="O58" s="9"/>
    </row>
    <row r="59" spans="1:16" ht="15" customHeight="1" x14ac:dyDescent="0.2">
      <c r="B59" s="7"/>
      <c r="C59" s="3"/>
      <c r="D59" s="164"/>
      <c r="E59" s="164"/>
      <c r="F59" s="164"/>
      <c r="G59" s="164"/>
      <c r="H59" s="164"/>
      <c r="I59" s="164"/>
      <c r="J59" s="164"/>
      <c r="K59" s="164"/>
      <c r="L59" s="164"/>
      <c r="M59" s="84"/>
      <c r="N59" s="54"/>
      <c r="O59" s="9"/>
    </row>
    <row r="60" spans="1:16" ht="20.100000000000001" customHeight="1" x14ac:dyDescent="0.2">
      <c r="B60" s="7"/>
      <c r="C60" s="3"/>
      <c r="D60" s="164"/>
      <c r="E60" s="164"/>
      <c r="F60" s="164"/>
      <c r="G60" s="164"/>
      <c r="H60" s="164"/>
      <c r="I60" s="164"/>
      <c r="J60" s="164"/>
      <c r="K60" s="164"/>
      <c r="L60" s="164"/>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23/07/2018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Facture!$M$51</f>
        <v>3358.1849999999999</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2018-07-23T13:05:04Z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3358.185</vt:r8>
  </property>
</Properties>
</file>