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2018\"/>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Facture!$N$52</definedName>
    <definedName name="_Tax3">Facture!#REF!</definedName>
    <definedName name="_tax4">Facture!#REF!</definedName>
    <definedName name="_xlnm.Auto_Open21">'AutoOpen Stub Data'!$A$1</definedName>
    <definedName name="boxes">Facture!$E$52:$E$53</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Facture!$E$27</definedName>
    <definedName name="data15">Facture!$F$27</definedName>
    <definedName name="data16">Facture!$N$27</definedName>
    <definedName name="data17">Facture!#REF!</definedName>
    <definedName name="data18">Facture!#REF!</definedName>
    <definedName name="data19">Facture!#REF!</definedName>
    <definedName name="data2">Facture!$O$20</definedName>
    <definedName name="data20">Facture!$E$28</definedName>
    <definedName name="data21">Facture!$F$28</definedName>
    <definedName name="data22">Facture!$N$28</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Facture!$F$48</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Facture!$E$49</definedName>
    <definedName name="data6">Facture!$F$20</definedName>
    <definedName name="data60">Facture!$F$49</definedName>
    <definedName name="data61">Facture!$N$49</definedName>
    <definedName name="data62">Facture!$E$52</definedName>
    <definedName name="data63">Facture!$E$53</definedName>
    <definedName name="data64">Facture!$E$54</definedName>
    <definedName name="data65">Facture!$H$53</definedName>
    <definedName name="data66">Facture!$F$56</definedName>
    <definedName name="data67">Facture!$F$58</definedName>
    <definedName name="data68">Facture!$G$59</definedName>
    <definedName name="data69">Facture!$K$59</definedName>
    <definedName name="data7">Facture!$H$21</definedName>
    <definedName name="data70">Facture!$K$60</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Facture!$F$27:$K$27</definedName>
    <definedName name="qzqzqz11">Facture!#REF!</definedName>
    <definedName name="qzqzqz12">Facture!$F$28:$K$28</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Facture!$F$48:$K$48</definedName>
    <definedName name="qzqzqz21">Facture!#REF!</definedName>
    <definedName name="qzqzqz22">Facture!#REF!</definedName>
    <definedName name="qzqzqz23">Facture!#REF!</definedName>
    <definedName name="qzqzqz24">Facture!#REF!</definedName>
    <definedName name="qzqzqz25">Facture!$F$49:$K$49</definedName>
    <definedName name="qzqzqz26">Facture!$F$56:$I$56</definedName>
    <definedName name="qzqzqz27">Facture!$F$57:$I$57</definedName>
    <definedName name="qzqzqz28">Facture!$F$58:$I$58</definedName>
    <definedName name="qzqzqz29">Facture!$K$58:$O$60</definedName>
    <definedName name="qzqzqz3">Facture!$E$20:$J$20</definedName>
    <definedName name="qzqzqz30">Facture!$G$59:$I$59</definedName>
    <definedName name="qzqzqz31">Facture!$G$59:$H$59</definedName>
    <definedName name="qzqzqz32">Facture!$K$57:$O$59</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Facture!$C$3:$P$70</definedName>
  </definedNames>
  <calcPr calcId="152511"/>
</workbook>
</file>

<file path=xl/calcChain.xml><?xml version="1.0" encoding="utf-8"?>
<calcChain xmlns="http://schemas.openxmlformats.org/spreadsheetml/2006/main">
  <c r="O27" i="3" l="1"/>
  <c r="O28" i="3"/>
  <c r="O29" i="3"/>
  <c r="O32" i="3"/>
  <c r="O34" i="3"/>
  <c r="O35" i="3"/>
  <c r="O36" i="3"/>
  <c r="O39" i="3"/>
  <c r="O41" i="3"/>
  <c r="O42" i="3"/>
  <c r="O43" i="3"/>
  <c r="O44" i="3"/>
  <c r="O45" i="3"/>
  <c r="O47" i="3"/>
  <c r="O48" i="3" l="1"/>
  <c r="O25" i="3" l="1"/>
  <c r="O49" i="3"/>
  <c r="F33" i="2"/>
  <c r="B8" i="8"/>
  <c r="C8" i="8"/>
  <c r="D8" i="8"/>
  <c r="E8" i="8"/>
  <c r="F8" i="8"/>
  <c r="G8" i="8"/>
  <c r="H8" i="8"/>
  <c r="I8" i="8"/>
  <c r="K8" i="8"/>
  <c r="O50" i="3" l="1"/>
  <c r="O5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<sst xmlns="http://schemas.openxmlformats.org/spreadsheetml/2006/main" count="97" uniqueCount="81">
  <si>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</si>
  <si>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</si>
  <si>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</si>
  <si>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</si>
  <si>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</si>
  <si>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</si>
  <si>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</si>
  <si>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</si>
  <si>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</si>
  <si>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</si>
  <si>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</si>
  <si>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</si>
  <si>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</si>
  <si>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</si>
  <si>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</si>
  <si>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</si>
  <si>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</si>
  <si>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</si>
  <si>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</si>
  <si>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</si>
  <si>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</si>
  <si>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</si>
  <si>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</si>
  <si>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</si>
  <si>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</si>
  <si>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</si>
  <si>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</si>
  <si>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</si>
  <si>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</si>
  <si>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</si>
  <si>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</si>
  <si>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</si>
  <si>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</si>
  <si>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</si>
  <si>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</si>
  <si>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</si>
  <si>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</si>
  <si>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</si>
  <si>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</si>
  <si>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</si>
  <si>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</si>
  <si>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</si>
  <si>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</si>
  <si>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</si>
  <si>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</si>
  <si>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</si>
  <si>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</si>
  <si>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</si>
  <si>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</si>
  <si>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</si>
  <si>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</si>
  <si>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</si>
  <si>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</si>
  <si>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</si>
  <si>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</si>
  <si>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</si>
  <si>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</si>
  <si>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</si>
  <si>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</si>
  <si>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MARQUE CAMP SAFETY</t>
  </si>
  <si>
    <t xml:space="preserve">Longe double cordage </t>
  </si>
  <si>
    <t>Harnais orbital</t>
  </si>
  <si>
    <t>EN361,EN358</t>
  </si>
  <si>
    <t>EN 355</t>
  </si>
  <si>
    <t xml:space="preserve">Mr hedi ben chaabane </t>
  </si>
  <si>
    <t xml:space="preserve">SNA borj cedria </t>
  </si>
  <si>
    <t>Commande N°: OA955345</t>
  </si>
  <si>
    <t>2992K/A/M/000</t>
  </si>
  <si>
    <t xml:space="preserve">GP1 KM1 12 EZZAHRA </t>
  </si>
  <si>
    <t xml:space="preserve">   70 020 520     Fax:71 452 189</t>
  </si>
  <si>
    <t>ID:1115/T0585</t>
  </si>
  <si>
    <t>ID:1115/T0335</t>
  </si>
  <si>
    <t>ID:1115/T0602</t>
  </si>
  <si>
    <t>ID:1115/T0650</t>
  </si>
  <si>
    <t>ID:1115/T0724</t>
  </si>
  <si>
    <t>ID:0117/0134</t>
  </si>
  <si>
    <t>ID:0117/0140</t>
  </si>
  <si>
    <t>ID:0117/0131</t>
  </si>
  <si>
    <t>ID:0117/0135</t>
  </si>
  <si>
    <t>ID:0117/0137</t>
  </si>
  <si>
    <t>FACTURE 2018039</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</si>
</sst>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1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8" xfId="0" applyNumberFormat="1" applyFont="1" applyFill="1" applyBorder="1"/>
    <xf numFmtId="168" fontId="29" fillId="0" borderId="41" xfId="0" applyNumberFormat="1" applyFont="1" applyFill="1" applyBorder="1"/>
    <xf numFmtId="0" fontId="2" fillId="3" borderId="0" xfId="0" applyFont="1" applyFill="1" applyBorder="1"/>
    <xf numFmtId="0" fontId="24" fillId="6" borderId="45" xfId="0" applyFont="1" applyFill="1" applyBorder="1" applyAlignment="1">
      <alignment vertical="top"/>
    </xf>
    <xf numFmtId="0" fontId="18" fillId="6" borderId="46" xfId="0" applyFont="1" applyFill="1" applyBorder="1" applyAlignment="1">
      <alignment vertical="top"/>
    </xf>
    <xf numFmtId="0" fontId="18" fillId="6" borderId="47"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8" xfId="0" applyFont="1" applyFill="1" applyBorder="1" applyAlignment="1">
      <alignment horizontal="center" vertical="center"/>
    </xf>
    <xf numFmtId="0" fontId="18" fillId="6" borderId="0" xfId="0" applyFont="1" applyFill="1" applyBorder="1" applyAlignment="1">
      <alignment vertical="top"/>
    </xf>
    <xf numFmtId="0" fontId="24" fillId="6" borderId="46" xfId="0" applyFont="1" applyFill="1" applyBorder="1" applyAlignment="1">
      <alignment vertical="top"/>
    </xf>
    <xf numFmtId="0" fontId="5" fillId="6" borderId="48" xfId="0" applyFont="1" applyFill="1" applyBorder="1" applyAlignment="1">
      <alignment horizontal="center" vertical="center"/>
    </xf>
    <xf numFmtId="0" fontId="5" fillId="6" borderId="0" xfId="0" applyFont="1" applyFill="1" applyAlignment="1">
      <alignment horizontal="center" vertical="center"/>
    </xf>
    <xf numFmtId="0" fontId="7" fillId="3" borderId="49"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0" fontId="0" fillId="6" borderId="0" xfId="0" applyFill="1"/>
    <xf numFmtId="168" fontId="0" fillId="0" borderId="28" xfId="0" applyNumberFormat="1" applyFill="1" applyBorder="1"/>
    <xf numFmtId="0" fontId="0" fillId="3" borderId="33" xfId="0" applyFill="1" applyBorder="1" applyAlignment="1">
      <alignment horizontal="center"/>
    </xf>
    <xf numFmtId="0" fontId="32" fillId="3" borderId="33" xfId="0" applyFont="1" applyFill="1" applyBorder="1" applyAlignment="1">
      <alignment horizontal="center" shrinkToFit="1"/>
    </xf>
    <xf numFmtId="0" fontId="18" fillId="3" borderId="41" xfId="0" quotePrefix="1" applyFont="1" applyFill="1" applyBorder="1" applyAlignment="1">
      <alignment horizontal="right"/>
    </xf>
    <xf numFmtId="168" fontId="17" fillId="0" borderId="41" xfId="0" applyNumberFormat="1" applyFont="1" applyFill="1" applyBorder="1"/>
    <xf numFmtId="10" fontId="18" fillId="0" borderId="41" xfId="0" quotePrefix="1" applyNumberFormat="1" applyFont="1" applyFill="1" applyBorder="1" applyAlignment="1">
      <alignment horizontal="center"/>
    </xf>
    <xf numFmtId="0" fontId="19" fillId="3" borderId="41" xfId="0" applyFont="1" applyFill="1" applyBorder="1" applyAlignment="1">
      <alignment horizontal="right"/>
    </xf>
    <xf numFmtId="0" fontId="19" fillId="3" borderId="50" xfId="0" applyFont="1" applyFill="1" applyBorder="1" applyAlignment="1">
      <alignment horizontal="right"/>
    </xf>
    <xf numFmtId="168" fontId="17" fillId="0" borderId="50" xfId="0" applyNumberFormat="1" applyFont="1" applyFill="1" applyBorder="1"/>
    <xf numFmtId="0" fontId="30" fillId="3" borderId="41" xfId="0" applyFont="1" applyFill="1" applyBorder="1" applyAlignment="1">
      <alignment horizontal="righ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34" fillId="3" borderId="33" xfId="5" applyNumberFormat="1" applyFill="1" applyBorder="1" applyAlignment="1" applyProtection="1">
      <alignment horizontal="left"/>
    </xf>
    <xf numFmtId="49" fontId="34" fillId="3" borderId="33" xfId="5" applyNumberFormat="1" applyFill="1" applyBorder="1" applyAlignment="1" applyProtection="1"/>
    <xf numFmtId="49" fontId="28" fillId="3" borderId="0" xfId="0" applyNumberFormat="1" applyFont="1" applyFill="1" applyBorder="1" applyAlignment="1"/>
    <xf numFmtId="49" fontId="28" fillId="3" borderId="35"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27" fillId="3" borderId="33" xfId="0" applyNumberFormat="1" applyFont="1" applyFill="1" applyBorder="1" applyAlignment="1"/>
    <xf numFmtId="49" fontId="28" fillId="3" borderId="0" xfId="0" applyNumberFormat="1" applyFont="1" applyFill="1" applyBorder="1" applyAlignment="1"/>
    <xf numFmtId="49" fontId="28" fillId="3" borderId="35" xfId="0" applyNumberFormat="1" applyFont="1" applyFill="1" applyBorder="1" applyAlignment="1"/>
    <xf numFmtId="49" fontId="34" fillId="3" borderId="33" xfId="5" applyNumberFormat="1" applyFill="1" applyBorder="1" applyAlignment="1" applyProtection="1"/>
    <xf numFmtId="49" fontId="28" fillId="3" borderId="0" xfId="0" applyNumberFormat="1" applyFont="1" applyFill="1" applyBorder="1" applyAlignment="1"/>
    <xf numFmtId="49" fontId="28" fillId="3" borderId="35" xfId="0" applyNumberFormat="1" applyFont="1" applyFill="1" applyBorder="1" applyAlignment="1"/>
    <xf numFmtId="49" fontId="1" fillId="6" borderId="33" xfId="0" applyNumberFormat="1" applyFont="1" applyFill="1" applyBorder="1" applyAlignment="1">
      <alignment wrapText="1"/>
    </xf>
    <xf numFmtId="0" fontId="0" fillId="6" borderId="0" xfId="0" applyFill="1" applyBorder="1" applyAlignment="1"/>
    <xf numFmtId="49" fontId="28" fillId="6" borderId="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7" fillId="3" borderId="33" xfId="0" applyNumberFormat="1" applyFont="1" applyFill="1" applyBorder="1" applyAlignment="1">
      <alignment wrapText="1"/>
    </xf>
    <xf numFmtId="49" fontId="27" fillId="3" borderId="0" xfId="0" applyNumberFormat="1" applyFont="1" applyFill="1" applyBorder="1" applyAlignment="1"/>
    <xf numFmtId="49" fontId="27" fillId="3" borderId="35" xfId="0" applyNumberFormat="1" applyFont="1" applyFill="1" applyBorder="1" applyAlignment="1"/>
    <xf numFmtId="49" fontId="27" fillId="3" borderId="33" xfId="0" applyNumberFormat="1" applyFont="1" applyFill="1" applyBorder="1" applyAlignment="1"/>
    <xf numFmtId="49" fontId="34" fillId="3" borderId="33" xfId="5" applyNumberFormat="1" applyFill="1" applyBorder="1" applyAlignment="1" applyProtection="1"/>
    <xf numFmtId="49" fontId="28" fillId="3" borderId="0" xfId="0" applyNumberFormat="1" applyFont="1" applyFill="1" applyBorder="1" applyAlignment="1"/>
    <xf numFmtId="49" fontId="28" fillId="3" borderId="35" xfId="0" applyNumberFormat="1" applyFont="1" applyFill="1" applyBorder="1" applyAlignment="1"/>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30" fillId="3" borderId="40" xfId="0" applyFont="1" applyFill="1" applyBorder="1" applyAlignment="1"/>
    <xf numFmtId="0" fontId="30"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49" fontId="1" fillId="3" borderId="45" xfId="0" applyNumberFormat="1" applyFont="1" applyFill="1" applyBorder="1" applyAlignment="1">
      <alignment wrapText="1"/>
    </xf>
    <xf numFmtId="0" fontId="0" fillId="2" borderId="46" xfId="0" applyBorder="1" applyAlignment="1"/>
    <xf numFmtId="0" fontId="4" fillId="3" borderId="36" xfId="0" applyFont="1" applyFill="1" applyBorder="1" applyAlignment="1"/>
    <xf numFmtId="0" fontId="4" fillId="2" borderId="36" xfId="0" applyFont="1" applyBorder="1" applyAlignment="1"/>
    <xf numFmtId="0" fontId="2" fillId="3" borderId="0" xfId="0" applyFont="1" applyFill="1" applyBorder="1" applyAlignment="1">
      <alignment shrinkToFit="1"/>
    </xf>
    <xf numFmtId="0" fontId="0" fillId="2" borderId="0" xfId="0" applyAlignment="1">
      <alignment shrinkToFit="1"/>
    </xf>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1" fillId="3" borderId="33" xfId="0" applyNumberFormat="1" applyFont="1" applyFill="1" applyBorder="1" applyAlignment="1">
      <alignment wrapText="1"/>
    </xf>
    <xf numFmtId="0" fontId="0" fillId="2" borderId="0" xfId="0" applyBorder="1" applyAlignment="1"/>
    <xf numFmtId="0" fontId="2" fillId="3" borderId="0" xfId="0" applyFont="1" applyFill="1" applyBorder="1" applyAlignment="1">
      <alignment horizontal="left"/>
    </xf>
    <xf numFmtId="0" fontId="2" fillId="3" borderId="4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4"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50</xdr:row>
          <xdr:rowOff>152400</xdr:rowOff>
        </xdr:from>
        <xdr:to>
          <xdr:col>4</xdr:col>
          <xdr:colOff>695325</xdr:colOff>
          <xdr:row>52</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52</xdr:row>
          <xdr:rowOff>0</xdr:rowOff>
        </xdr:from>
        <xdr:to>
          <xdr:col>4</xdr:col>
          <xdr:colOff>704850</xdr:colOff>
          <xdr:row>53</xdr:row>
          <xdr:rowOff>76200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53</xdr:row>
          <xdr:rowOff>28575</xdr:rowOff>
        </xdr:from>
        <xdr:to>
          <xdr:col>4</xdr:col>
          <xdr:colOff>714375</xdr:colOff>
          <xdr:row>54</xdr:row>
          <xdr:rowOff>76200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47</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8" t="s">
        <v>4</v>
      </c>
      <c r="G12" s="17"/>
      <c r="H12" s="27"/>
      <c r="I12" s="3"/>
      <c r="J12" s="9"/>
    </row>
    <row r="13" spans="2:10" ht="13.5" thickBot="1" x14ac:dyDescent="0.25">
      <c r="B13" s="7"/>
      <c r="C13" s="3"/>
      <c r="D13" s="34" t="s">
        <v>5</v>
      </c>
      <c r="E13" s="14" t="s">
        <v>51</v>
      </c>
      <c r="F13" s="68"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0" t="s">
        <v>48</v>
      </c>
      <c r="E19" s="16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9">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81">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1" t="str">
        <f>LOWER(TemplateInformation!B3)</f>
        <v>c:\program files\microsoft office\office\macrolib\factbd.xls</v>
      </c>
      <c r="G33" s="17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5"/>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72"/>
  <sheetViews>
    <sheetView showGridLines="0" showRowColHeaders="0" tabSelected="1" zoomScale="95" workbookViewId="0">
      <selection activeCell="N42" sqref="N42"/>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80"/>
      <c r="O9" s="181"/>
      <c r="P9" s="3"/>
      <c r="Q9" s="9"/>
    </row>
    <row r="10" spans="2:17" x14ac:dyDescent="0.2">
      <c r="B10" s="7"/>
      <c r="C10" s="3"/>
      <c r="D10" s="3"/>
      <c r="E10" s="3"/>
      <c r="F10" s="3"/>
      <c r="G10" s="3"/>
      <c r="H10" s="3"/>
      <c r="I10" s="3"/>
      <c r="J10" s="3"/>
      <c r="K10" s="3"/>
      <c r="L10" s="3"/>
      <c r="M10" s="3"/>
      <c r="N10" s="196"/>
      <c r="O10" s="197"/>
      <c r="P10" s="3"/>
      <c r="Q10" s="9"/>
    </row>
    <row r="11" spans="2:17" ht="20.25" x14ac:dyDescent="0.3">
      <c r="B11" s="7"/>
      <c r="C11" s="3"/>
      <c r="D11" s="3"/>
      <c r="E11" s="3"/>
      <c r="F11" s="3"/>
      <c r="G11" s="3"/>
      <c r="H11" s="3"/>
      <c r="I11" s="3"/>
      <c r="J11" s="3"/>
      <c r="K11" s="8"/>
      <c r="L11" s="8"/>
      <c r="M11" s="8"/>
      <c r="N11" s="82"/>
      <c r="O11" s="82"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7" t="s">
        <v>80</v>
      </c>
      <c r="O15" s="98"/>
      <c r="P15" s="3"/>
      <c r="Q15" s="9"/>
    </row>
    <row r="16" spans="2:17" ht="3" customHeight="1" thickTop="1" x14ac:dyDescent="0.3">
      <c r="B16" s="7"/>
      <c r="C16" s="3"/>
      <c r="D16" s="61"/>
      <c r="E16" s="61"/>
      <c r="F16" s="61"/>
      <c r="G16" s="61"/>
      <c r="H16" s="61"/>
      <c r="I16" s="61"/>
      <c r="J16" s="62"/>
      <c r="K16" s="62"/>
      <c r="L16" s="62"/>
      <c r="M16" s="62"/>
      <c r="N16" s="61"/>
      <c r="O16" s="62"/>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4" t="s">
        <v>3</v>
      </c>
      <c r="E19" s="192" t="s">
        <v>65</v>
      </c>
      <c r="F19" s="193"/>
      <c r="G19" s="193"/>
      <c r="H19" s="193"/>
      <c r="I19" s="193"/>
      <c r="J19" s="193"/>
      <c r="K19" s="94"/>
      <c r="L19" s="94"/>
      <c r="M19" s="96" t="s">
        <v>18</v>
      </c>
      <c r="N19" s="185">
        <v>43348</v>
      </c>
      <c r="O19" s="186"/>
      <c r="P19" s="58"/>
      <c r="Q19" s="9"/>
    </row>
    <row r="20" spans="2:17" x14ac:dyDescent="0.2">
      <c r="B20" s="7"/>
      <c r="C20" s="3"/>
      <c r="D20" s="94" t="s">
        <v>5</v>
      </c>
      <c r="E20" s="190" t="s">
        <v>68</v>
      </c>
      <c r="F20" s="191"/>
      <c r="G20" s="191"/>
      <c r="H20" s="191"/>
      <c r="I20" s="191"/>
      <c r="J20" s="191"/>
      <c r="K20" s="94"/>
      <c r="L20" s="94"/>
      <c r="M20" s="217" t="s">
        <v>66</v>
      </c>
      <c r="N20" s="134"/>
      <c r="O20" s="101"/>
      <c r="P20" s="59"/>
      <c r="Q20" s="9"/>
    </row>
    <row r="21" spans="2:17" x14ac:dyDescent="0.2">
      <c r="B21" s="7"/>
      <c r="C21" s="3"/>
      <c r="D21" s="94" t="s">
        <v>7</v>
      </c>
      <c r="E21" s="102"/>
      <c r="F21" s="103" t="s">
        <v>8</v>
      </c>
      <c r="G21" s="189"/>
      <c r="H21" s="189"/>
      <c r="I21" s="104" t="s">
        <v>9</v>
      </c>
      <c r="J21" s="101" t="s">
        <v>54</v>
      </c>
      <c r="K21" s="94"/>
      <c r="L21" s="94"/>
      <c r="M21" s="96" t="s">
        <v>19</v>
      </c>
      <c r="N21" s="187" t="s">
        <v>64</v>
      </c>
      <c r="O21" s="188"/>
      <c r="P21" s="3"/>
      <c r="Q21" s="9"/>
    </row>
    <row r="22" spans="2:17" x14ac:dyDescent="0.2">
      <c r="B22" s="7"/>
      <c r="C22" s="3"/>
      <c r="D22" s="113" t="s">
        <v>20</v>
      </c>
      <c r="E22" s="194" t="s">
        <v>69</v>
      </c>
      <c r="F22" s="195"/>
      <c r="G22" s="195"/>
      <c r="H22" s="195"/>
      <c r="I22" s="195"/>
      <c r="J22" s="195"/>
      <c r="K22" s="94"/>
      <c r="L22" s="94"/>
      <c r="M22" s="96" t="s">
        <v>50</v>
      </c>
      <c r="N22" s="218" t="s">
        <v>67</v>
      </c>
      <c r="O22" s="188"/>
      <c r="P22" s="3"/>
      <c r="Q22" s="9"/>
    </row>
    <row r="23" spans="2:17" x14ac:dyDescent="0.2">
      <c r="B23" s="7"/>
      <c r="C23" s="3"/>
      <c r="D23" s="94"/>
      <c r="E23" s="94"/>
      <c r="F23" s="94"/>
      <c r="G23" s="94"/>
      <c r="H23" s="94"/>
      <c r="I23" s="94"/>
      <c r="J23" s="94"/>
      <c r="K23" s="94"/>
      <c r="L23" s="94"/>
      <c r="M23" s="94"/>
      <c r="N23" s="94"/>
      <c r="O23" s="94"/>
      <c r="P23" s="3"/>
      <c r="Q23" s="9"/>
    </row>
    <row r="24" spans="2:17" x14ac:dyDescent="0.2">
      <c r="B24" s="7"/>
      <c r="C24" s="3"/>
      <c r="D24" s="72" t="s">
        <v>36</v>
      </c>
      <c r="E24" s="53" t="s">
        <v>21</v>
      </c>
      <c r="F24" s="205" t="s">
        <v>22</v>
      </c>
      <c r="G24" s="206"/>
      <c r="H24" s="206"/>
      <c r="I24" s="206"/>
      <c r="J24" s="206"/>
      <c r="K24" s="206"/>
      <c r="L24" s="133"/>
      <c r="M24" s="128" t="s">
        <v>37</v>
      </c>
      <c r="N24" s="53" t="s">
        <v>23</v>
      </c>
      <c r="O24" s="54" t="s">
        <v>24</v>
      </c>
      <c r="P24" s="60"/>
      <c r="Q24" s="9"/>
    </row>
    <row r="25" spans="2:17" x14ac:dyDescent="0.2">
      <c r="B25" s="7"/>
      <c r="C25" s="3"/>
      <c r="D25" s="137">
        <v>2120</v>
      </c>
      <c r="E25" s="55">
        <v>5</v>
      </c>
      <c r="F25" s="207" t="s">
        <v>61</v>
      </c>
      <c r="G25" s="208"/>
      <c r="H25" s="208"/>
      <c r="I25" s="208"/>
      <c r="J25" s="208"/>
      <c r="K25" s="208"/>
      <c r="L25" s="129"/>
      <c r="M25" s="73"/>
      <c r="N25" s="80">
        <v>207</v>
      </c>
      <c r="O25" s="80">
        <f t="shared" ref="O25:O48" si="0">IF(E25&lt;&gt;"",E25*N25,"")</f>
        <v>1035</v>
      </c>
      <c r="P25" s="60"/>
      <c r="Q25" s="9"/>
    </row>
    <row r="26" spans="2:17" x14ac:dyDescent="0.2">
      <c r="B26" s="7"/>
      <c r="C26" s="3"/>
      <c r="D26" s="137"/>
      <c r="E26" s="56"/>
      <c r="F26" s="157" t="s">
        <v>62</v>
      </c>
      <c r="G26" s="164"/>
      <c r="H26" s="164"/>
      <c r="I26" s="164"/>
      <c r="J26" s="164"/>
      <c r="K26" s="164"/>
      <c r="L26" s="129"/>
      <c r="M26" s="73"/>
      <c r="N26" s="80"/>
      <c r="O26" s="80"/>
      <c r="P26" s="60"/>
      <c r="Q26" s="9"/>
    </row>
    <row r="27" spans="2:17" ht="15" x14ac:dyDescent="0.2">
      <c r="B27" s="7"/>
      <c r="C27" s="3"/>
      <c r="D27" s="138"/>
      <c r="E27" s="83"/>
      <c r="F27" s="173" t="s">
        <v>70</v>
      </c>
      <c r="G27" s="174"/>
      <c r="H27" s="174"/>
      <c r="I27" s="174"/>
      <c r="J27" s="174"/>
      <c r="K27" s="175"/>
      <c r="L27" s="129"/>
      <c r="M27" s="84">
        <v>2</v>
      </c>
      <c r="N27" s="85"/>
      <c r="O27" s="80" t="str">
        <f t="shared" si="0"/>
        <v/>
      </c>
      <c r="P27" s="60"/>
      <c r="Q27" s="9"/>
    </row>
    <row r="28" spans="2:17" ht="15" x14ac:dyDescent="0.2">
      <c r="B28" s="7"/>
      <c r="C28" s="3"/>
      <c r="D28" s="138"/>
      <c r="E28" s="83"/>
      <c r="F28" s="173" t="s">
        <v>71</v>
      </c>
      <c r="G28" s="174"/>
      <c r="H28" s="174"/>
      <c r="I28" s="174"/>
      <c r="J28" s="174"/>
      <c r="K28" s="175"/>
      <c r="L28" s="130"/>
      <c r="M28" s="84">
        <v>2</v>
      </c>
      <c r="N28" s="85"/>
      <c r="O28" s="80" t="str">
        <f t="shared" si="0"/>
        <v/>
      </c>
      <c r="P28" s="60"/>
      <c r="Q28" s="9"/>
    </row>
    <row r="29" spans="2:17" ht="15" x14ac:dyDescent="0.2">
      <c r="B29" s="7"/>
      <c r="C29" s="3"/>
      <c r="D29" s="138"/>
      <c r="E29" s="83"/>
      <c r="F29" s="173" t="s">
        <v>72</v>
      </c>
      <c r="G29" s="174"/>
      <c r="H29" s="174"/>
      <c r="I29" s="174"/>
      <c r="J29" s="174"/>
      <c r="K29" s="175"/>
      <c r="L29" s="130"/>
      <c r="M29" s="84"/>
      <c r="N29" s="85"/>
      <c r="O29" s="80" t="str">
        <f t="shared" si="0"/>
        <v/>
      </c>
      <c r="P29" s="60"/>
      <c r="Q29" s="9"/>
    </row>
    <row r="30" spans="2:17" ht="15" x14ac:dyDescent="0.2">
      <c r="B30" s="7"/>
      <c r="C30" s="3"/>
      <c r="D30" s="138"/>
      <c r="E30" s="83"/>
      <c r="F30" s="173" t="s">
        <v>73</v>
      </c>
      <c r="G30" s="174"/>
      <c r="H30" s="174"/>
      <c r="I30" s="174"/>
      <c r="J30" s="174"/>
      <c r="K30" s="175"/>
      <c r="L30" s="130"/>
      <c r="M30" s="84"/>
      <c r="N30" s="85"/>
      <c r="O30" s="80"/>
      <c r="P30" s="60"/>
      <c r="Q30" s="9"/>
    </row>
    <row r="31" spans="2:17" ht="15" x14ac:dyDescent="0.2">
      <c r="B31" s="7"/>
      <c r="C31" s="3"/>
      <c r="D31" s="138"/>
      <c r="E31" s="83"/>
      <c r="F31" s="173" t="s">
        <v>74</v>
      </c>
      <c r="G31" s="174"/>
      <c r="H31" s="174"/>
      <c r="I31" s="174"/>
      <c r="J31" s="174"/>
      <c r="K31" s="175"/>
      <c r="L31" s="130"/>
      <c r="M31" s="84"/>
      <c r="N31" s="85"/>
      <c r="O31" s="80"/>
      <c r="P31" s="60"/>
      <c r="Q31" s="9"/>
    </row>
    <row r="32" spans="2:17" ht="15" x14ac:dyDescent="0.2">
      <c r="B32" s="7"/>
      <c r="C32" s="3"/>
      <c r="D32" s="138">
        <v>203008</v>
      </c>
      <c r="E32" s="83">
        <v>5</v>
      </c>
      <c r="F32" s="215" t="s">
        <v>60</v>
      </c>
      <c r="G32" s="216"/>
      <c r="H32" s="216"/>
      <c r="I32" s="153"/>
      <c r="J32" s="153"/>
      <c r="K32" s="154"/>
      <c r="L32" s="130"/>
      <c r="M32" s="84"/>
      <c r="N32" s="85">
        <v>148.5</v>
      </c>
      <c r="O32" s="80">
        <f t="shared" si="0"/>
        <v>742.5</v>
      </c>
      <c r="P32" s="60"/>
      <c r="Q32" s="9"/>
    </row>
    <row r="33" spans="2:17" ht="15" x14ac:dyDescent="0.2">
      <c r="B33" s="7"/>
      <c r="C33" s="3"/>
      <c r="D33" s="138"/>
      <c r="E33" s="83"/>
      <c r="F33" s="163" t="s">
        <v>63</v>
      </c>
      <c r="G33" s="164"/>
      <c r="H33" s="164"/>
      <c r="I33" s="165"/>
      <c r="J33" s="158"/>
      <c r="K33" s="159"/>
      <c r="L33" s="130"/>
      <c r="M33" s="84"/>
      <c r="N33" s="85"/>
      <c r="O33" s="80"/>
      <c r="P33" s="60"/>
      <c r="Q33" s="9"/>
    </row>
    <row r="34" spans="2:17" ht="15" x14ac:dyDescent="0.2">
      <c r="B34" s="7"/>
      <c r="C34" s="3"/>
      <c r="D34" s="138"/>
      <c r="E34" s="83"/>
      <c r="F34" s="173" t="s">
        <v>75</v>
      </c>
      <c r="G34" s="174"/>
      <c r="H34" s="174"/>
      <c r="I34" s="174"/>
      <c r="J34" s="174"/>
      <c r="K34" s="175"/>
      <c r="L34" s="130"/>
      <c r="M34" s="84"/>
      <c r="N34" s="85"/>
      <c r="O34" s="80" t="str">
        <f t="shared" si="0"/>
        <v/>
      </c>
      <c r="P34" s="60"/>
      <c r="Q34" s="9"/>
    </row>
    <row r="35" spans="2:17" ht="15" x14ac:dyDescent="0.2">
      <c r="B35" s="7"/>
      <c r="C35" s="3"/>
      <c r="D35" s="138"/>
      <c r="E35" s="83"/>
      <c r="F35" s="177" t="s">
        <v>76</v>
      </c>
      <c r="G35" s="178"/>
      <c r="H35" s="178"/>
      <c r="I35" s="178"/>
      <c r="J35" s="178"/>
      <c r="K35" s="179"/>
      <c r="L35" s="130"/>
      <c r="M35" s="84"/>
      <c r="N35" s="85"/>
      <c r="O35" s="80" t="str">
        <f t="shared" si="0"/>
        <v/>
      </c>
      <c r="P35" s="60"/>
      <c r="Q35" s="9"/>
    </row>
    <row r="36" spans="2:17" ht="15" x14ac:dyDescent="0.2">
      <c r="B36" s="7"/>
      <c r="C36" s="3"/>
      <c r="D36" s="138"/>
      <c r="E36" s="83"/>
      <c r="F36" s="152" t="s">
        <v>77</v>
      </c>
      <c r="G36" s="153"/>
      <c r="H36" s="153"/>
      <c r="I36" s="153"/>
      <c r="J36" s="153"/>
      <c r="K36" s="154"/>
      <c r="L36" s="130"/>
      <c r="M36" s="84"/>
      <c r="N36" s="85"/>
      <c r="O36" s="80" t="str">
        <f t="shared" si="0"/>
        <v/>
      </c>
      <c r="P36" s="60"/>
      <c r="Q36" s="9"/>
    </row>
    <row r="37" spans="2:17" ht="15" x14ac:dyDescent="0.2">
      <c r="B37" s="7"/>
      <c r="C37" s="3"/>
      <c r="D37" s="138"/>
      <c r="E37" s="83"/>
      <c r="F37" s="160" t="s">
        <v>78</v>
      </c>
      <c r="G37" s="161"/>
      <c r="H37" s="161"/>
      <c r="I37" s="161"/>
      <c r="J37" s="161"/>
      <c r="K37" s="162"/>
      <c r="L37" s="130"/>
      <c r="M37" s="84"/>
      <c r="N37" s="85"/>
      <c r="O37" s="80"/>
      <c r="P37" s="60"/>
      <c r="Q37" s="9"/>
    </row>
    <row r="38" spans="2:17" ht="15" x14ac:dyDescent="0.2">
      <c r="B38" s="7"/>
      <c r="C38" s="3"/>
      <c r="D38" s="138"/>
      <c r="E38" s="83"/>
      <c r="F38" s="160" t="s">
        <v>79</v>
      </c>
      <c r="G38" s="161"/>
      <c r="H38" s="161"/>
      <c r="I38" s="161"/>
      <c r="J38" s="161"/>
      <c r="K38" s="162"/>
      <c r="L38" s="130"/>
      <c r="M38" s="84"/>
      <c r="N38" s="85"/>
      <c r="O38" s="80"/>
      <c r="P38" s="60"/>
      <c r="Q38" s="9"/>
    </row>
    <row r="39" spans="2:17" ht="15" x14ac:dyDescent="0.2">
      <c r="B39" s="7"/>
      <c r="C39" s="3"/>
      <c r="D39" s="138"/>
      <c r="E39" s="83"/>
      <c r="F39" s="176"/>
      <c r="G39" s="174"/>
      <c r="H39" s="174"/>
      <c r="I39" s="174"/>
      <c r="J39" s="174"/>
      <c r="K39" s="175"/>
      <c r="L39" s="129"/>
      <c r="M39" s="84"/>
      <c r="N39" s="85"/>
      <c r="O39" s="80" t="str">
        <f t="shared" si="0"/>
        <v/>
      </c>
      <c r="P39" s="60"/>
      <c r="Q39" s="9"/>
    </row>
    <row r="40" spans="2:17" ht="15" x14ac:dyDescent="0.2">
      <c r="B40" s="7"/>
      <c r="C40" s="3"/>
      <c r="D40" s="138"/>
      <c r="E40" s="83"/>
      <c r="F40" s="157"/>
      <c r="G40" s="155"/>
      <c r="H40" s="155"/>
      <c r="I40" s="155"/>
      <c r="J40" s="155"/>
      <c r="K40" s="156"/>
      <c r="L40" s="129"/>
      <c r="M40" s="84"/>
      <c r="N40" s="85"/>
      <c r="O40" s="80"/>
      <c r="P40" s="60"/>
      <c r="Q40" s="9"/>
    </row>
    <row r="41" spans="2:17" ht="15" x14ac:dyDescent="0.2">
      <c r="B41" s="7"/>
      <c r="C41" s="3"/>
      <c r="D41" s="138"/>
      <c r="E41" s="83"/>
      <c r="F41" s="176"/>
      <c r="G41" s="174"/>
      <c r="H41" s="174"/>
      <c r="I41" s="174"/>
      <c r="J41" s="174"/>
      <c r="K41" s="175"/>
      <c r="L41" s="129"/>
      <c r="M41" s="84"/>
      <c r="N41" s="85"/>
      <c r="O41" s="80" t="str">
        <f t="shared" si="0"/>
        <v/>
      </c>
      <c r="P41" s="60"/>
      <c r="Q41" s="9"/>
    </row>
    <row r="42" spans="2:17" ht="15" x14ac:dyDescent="0.2">
      <c r="B42" s="7"/>
      <c r="C42" s="3"/>
      <c r="D42" s="138"/>
      <c r="E42" s="83"/>
      <c r="F42" s="173"/>
      <c r="G42" s="174"/>
      <c r="H42" s="174"/>
      <c r="I42" s="174"/>
      <c r="J42" s="174"/>
      <c r="K42" s="175"/>
      <c r="L42" s="129"/>
      <c r="M42" s="84"/>
      <c r="N42" s="85"/>
      <c r="O42" s="80" t="str">
        <f t="shared" si="0"/>
        <v/>
      </c>
      <c r="P42" s="60"/>
      <c r="Q42" s="9"/>
    </row>
    <row r="43" spans="2:17" ht="15" x14ac:dyDescent="0.2">
      <c r="B43" s="7"/>
      <c r="C43" s="3"/>
      <c r="D43" s="138"/>
      <c r="E43" s="83"/>
      <c r="F43" s="151"/>
      <c r="G43" s="146"/>
      <c r="H43" s="146"/>
      <c r="I43" s="146"/>
      <c r="J43" s="146"/>
      <c r="K43" s="147"/>
      <c r="L43" s="129"/>
      <c r="M43" s="84"/>
      <c r="N43" s="85"/>
      <c r="O43" s="80" t="str">
        <f t="shared" si="0"/>
        <v/>
      </c>
      <c r="P43" s="60"/>
      <c r="Q43" s="9"/>
    </row>
    <row r="44" spans="2:17" ht="15" x14ac:dyDescent="0.2">
      <c r="B44" s="7"/>
      <c r="C44" s="3"/>
      <c r="D44" s="138"/>
      <c r="E44" s="83"/>
      <c r="F44" s="151"/>
      <c r="G44" s="146"/>
      <c r="H44" s="146"/>
      <c r="I44" s="146"/>
      <c r="J44" s="146"/>
      <c r="K44" s="147"/>
      <c r="L44" s="129"/>
      <c r="M44" s="84"/>
      <c r="N44" s="85"/>
      <c r="O44" s="80" t="str">
        <f t="shared" si="0"/>
        <v/>
      </c>
      <c r="P44" s="60"/>
      <c r="Q44" s="9"/>
    </row>
    <row r="45" spans="2:17" ht="15" x14ac:dyDescent="0.2">
      <c r="B45" s="7"/>
      <c r="C45" s="3"/>
      <c r="D45" s="138"/>
      <c r="E45" s="83"/>
      <c r="F45" s="176"/>
      <c r="G45" s="174"/>
      <c r="H45" s="174"/>
      <c r="I45" s="174"/>
      <c r="J45" s="174"/>
      <c r="K45" s="175"/>
      <c r="L45" s="129"/>
      <c r="M45" s="84"/>
      <c r="N45" s="85"/>
      <c r="O45" s="80" t="str">
        <f t="shared" si="0"/>
        <v/>
      </c>
      <c r="P45" s="60"/>
      <c r="Q45" s="9"/>
    </row>
    <row r="46" spans="2:17" ht="15" x14ac:dyDescent="0.2">
      <c r="B46" s="7"/>
      <c r="C46" s="3"/>
      <c r="D46" s="138"/>
      <c r="E46" s="83"/>
      <c r="F46" s="148"/>
      <c r="G46" s="149"/>
      <c r="H46" s="149"/>
      <c r="I46" s="149"/>
      <c r="J46" s="149"/>
      <c r="K46" s="150"/>
      <c r="L46" s="129"/>
      <c r="M46" s="84"/>
      <c r="N46" s="85"/>
      <c r="O46" s="80"/>
      <c r="P46" s="60"/>
      <c r="Q46" s="9"/>
    </row>
    <row r="47" spans="2:17" ht="15" x14ac:dyDescent="0.2">
      <c r="B47" s="7"/>
      <c r="C47" s="3"/>
      <c r="D47" s="70"/>
      <c r="E47" s="56"/>
      <c r="F47" s="182" t="s">
        <v>58</v>
      </c>
      <c r="G47" s="183"/>
      <c r="H47" s="183"/>
      <c r="I47" s="183"/>
      <c r="J47" s="183"/>
      <c r="K47" s="184"/>
      <c r="L47" s="131"/>
      <c r="M47" s="84"/>
      <c r="N47" s="85"/>
      <c r="O47" s="80" t="str">
        <f t="shared" si="0"/>
        <v/>
      </c>
      <c r="P47" s="60"/>
      <c r="Q47" s="9"/>
    </row>
    <row r="48" spans="2:17" ht="15" x14ac:dyDescent="0.2">
      <c r="B48" s="7"/>
      <c r="C48" s="3"/>
      <c r="D48" s="70"/>
      <c r="E48" s="56"/>
      <c r="F48" s="200" t="s">
        <v>59</v>
      </c>
      <c r="G48" s="201"/>
      <c r="H48" s="201"/>
      <c r="I48" s="201"/>
      <c r="J48" s="201"/>
      <c r="K48" s="202"/>
      <c r="L48" s="131"/>
      <c r="M48" s="84"/>
      <c r="N48" s="85"/>
      <c r="O48" s="136" t="str">
        <f t="shared" si="0"/>
        <v/>
      </c>
      <c r="P48" s="60"/>
      <c r="Q48" s="9"/>
    </row>
    <row r="49" spans="2:17" ht="15" x14ac:dyDescent="0.2">
      <c r="B49" s="7"/>
      <c r="C49" s="3"/>
      <c r="D49" s="71"/>
      <c r="E49" s="57"/>
      <c r="F49" s="213"/>
      <c r="G49" s="214"/>
      <c r="H49" s="214"/>
      <c r="I49" s="214"/>
      <c r="J49" s="214"/>
      <c r="K49" s="214"/>
      <c r="L49" s="132"/>
      <c r="M49" s="86"/>
      <c r="N49" s="85"/>
      <c r="O49" s="111" t="str">
        <f>IF(E49&lt;&gt;"",E49*N49,"")</f>
        <v/>
      </c>
      <c r="P49" s="60"/>
      <c r="Q49" s="9"/>
    </row>
    <row r="50" spans="2:17" ht="15.75" x14ac:dyDescent="0.25">
      <c r="B50" s="7"/>
      <c r="C50" s="3"/>
      <c r="D50" s="3"/>
      <c r="E50" s="94"/>
      <c r="F50" s="94"/>
      <c r="G50" s="94"/>
      <c r="H50" s="94"/>
      <c r="I50" s="94"/>
      <c r="J50" s="87"/>
      <c r="K50" s="87"/>
      <c r="L50" s="87"/>
      <c r="M50" s="87"/>
      <c r="N50" s="139" t="s">
        <v>25</v>
      </c>
      <c r="O50" s="112">
        <f>SUM(O25:O49)</f>
        <v>1777.5</v>
      </c>
      <c r="P50" s="60"/>
      <c r="Q50" s="9"/>
    </row>
    <row r="51" spans="2:17" ht="15" x14ac:dyDescent="0.2">
      <c r="B51" s="7"/>
      <c r="C51" s="3"/>
      <c r="D51" s="3"/>
      <c r="E51" s="94"/>
      <c r="F51" s="94"/>
      <c r="G51" s="94"/>
      <c r="H51" s="94"/>
      <c r="I51" s="94"/>
      <c r="J51" s="87"/>
      <c r="K51" s="87"/>
      <c r="L51" s="87"/>
      <c r="M51" s="87"/>
      <c r="N51" s="145" t="s">
        <v>49</v>
      </c>
      <c r="O51" s="140"/>
      <c r="P51" s="60"/>
      <c r="Q51" s="9"/>
    </row>
    <row r="52" spans="2:17" ht="15" x14ac:dyDescent="0.2">
      <c r="B52" s="7"/>
      <c r="C52" s="3"/>
      <c r="D52" s="3"/>
      <c r="E52" s="95"/>
      <c r="F52" s="96" t="s">
        <v>26</v>
      </c>
      <c r="G52" s="94"/>
      <c r="H52" s="94"/>
      <c r="I52" s="94"/>
      <c r="J52" s="89"/>
      <c r="K52" s="89"/>
      <c r="L52" s="89"/>
      <c r="M52" s="88"/>
      <c r="N52" s="141">
        <v>0.19</v>
      </c>
      <c r="O52" s="140"/>
      <c r="P52" s="60"/>
      <c r="Q52" s="9"/>
    </row>
    <row r="53" spans="2:17" ht="15.75" x14ac:dyDescent="0.25">
      <c r="B53" s="7"/>
      <c r="C53" s="3"/>
      <c r="D53" s="3"/>
      <c r="E53" s="97"/>
      <c r="F53" s="96" t="s">
        <v>27</v>
      </c>
      <c r="G53" s="100"/>
      <c r="H53" s="97"/>
      <c r="I53" s="94"/>
      <c r="J53" s="90"/>
      <c r="K53" s="87"/>
      <c r="L53" s="87"/>
      <c r="M53" s="87"/>
      <c r="N53" s="142" t="s">
        <v>29</v>
      </c>
      <c r="O53" s="112">
        <f>O50+O51+O52</f>
        <v>1777.5</v>
      </c>
      <c r="P53" s="60"/>
      <c r="Q53" s="9"/>
    </row>
    <row r="54" spans="2:17" ht="15.75" x14ac:dyDescent="0.25">
      <c r="B54" s="7"/>
      <c r="C54" s="3"/>
      <c r="D54" s="3"/>
      <c r="E54" s="97">
        <v>2</v>
      </c>
      <c r="F54" s="96"/>
      <c r="G54" s="94"/>
      <c r="H54" s="98"/>
      <c r="I54" s="94"/>
      <c r="J54" s="91" t="s">
        <v>28</v>
      </c>
      <c r="K54" s="87"/>
      <c r="L54" s="87"/>
      <c r="M54" s="87"/>
      <c r="N54" s="143"/>
      <c r="O54" s="144"/>
      <c r="P54" s="60"/>
      <c r="Q54" s="9"/>
    </row>
    <row r="55" spans="2:17" ht="17.100000000000001" customHeight="1" x14ac:dyDescent="0.2">
      <c r="B55" s="7"/>
      <c r="C55" s="3"/>
      <c r="D55" s="211"/>
      <c r="E55" s="212"/>
      <c r="F55" s="212"/>
      <c r="G55" s="212"/>
      <c r="H55" s="212"/>
      <c r="I55" s="212"/>
      <c r="J55" s="212"/>
      <c r="K55" s="212"/>
      <c r="L55" s="212"/>
      <c r="M55" s="87"/>
      <c r="N55" s="135"/>
      <c r="O55" s="135"/>
      <c r="P55" s="60"/>
      <c r="Q55" s="9"/>
    </row>
    <row r="56" spans="2:17" ht="17.100000000000001" customHeight="1" x14ac:dyDescent="0.2">
      <c r="B56" s="7"/>
      <c r="C56" s="3"/>
      <c r="D56" s="211"/>
      <c r="E56" s="212"/>
      <c r="F56" s="212"/>
      <c r="G56" s="212"/>
      <c r="H56" s="212"/>
      <c r="I56" s="212"/>
      <c r="J56" s="212"/>
      <c r="K56" s="212"/>
      <c r="L56" s="212"/>
      <c r="M56" s="212"/>
      <c r="N56" s="135"/>
      <c r="O56" s="135"/>
      <c r="P56" s="60"/>
      <c r="Q56" s="9"/>
    </row>
    <row r="57" spans="2:17" ht="15" x14ac:dyDescent="0.2">
      <c r="B57" s="7"/>
      <c r="C57" s="3"/>
      <c r="D57" s="3"/>
      <c r="E57" s="99"/>
      <c r="F57" s="209"/>
      <c r="G57" s="210"/>
      <c r="H57" s="210"/>
      <c r="I57" s="210"/>
      <c r="J57" s="89"/>
      <c r="K57" s="87"/>
      <c r="L57" s="87"/>
      <c r="M57" s="87"/>
      <c r="N57" s="87"/>
      <c r="O57" s="87"/>
      <c r="P57" s="60"/>
      <c r="Q57" s="9"/>
    </row>
    <row r="58" spans="2:17" ht="15" customHeight="1" x14ac:dyDescent="0.2">
      <c r="B58" s="7"/>
      <c r="C58" s="3"/>
      <c r="D58" s="3"/>
      <c r="E58" s="20"/>
      <c r="F58" s="203"/>
      <c r="G58" s="204"/>
      <c r="H58" s="204"/>
      <c r="I58" s="204"/>
      <c r="J58" s="89"/>
      <c r="K58" s="114" t="s">
        <v>57</v>
      </c>
      <c r="L58" s="125"/>
      <c r="M58" s="115"/>
      <c r="N58" s="115"/>
      <c r="O58" s="116"/>
      <c r="P58" s="60"/>
      <c r="Q58" s="9"/>
    </row>
    <row r="59" spans="2:17" ht="15" x14ac:dyDescent="0.2">
      <c r="B59" s="7"/>
      <c r="C59" s="3"/>
      <c r="D59" s="3"/>
      <c r="E59" s="20"/>
      <c r="F59" s="88"/>
      <c r="G59" s="198"/>
      <c r="H59" s="199"/>
      <c r="I59" s="199"/>
      <c r="J59" s="89"/>
      <c r="K59" s="117"/>
      <c r="L59" s="124"/>
      <c r="M59" s="118"/>
      <c r="N59" s="118"/>
      <c r="O59" s="119"/>
      <c r="P59" s="60"/>
      <c r="Q59" s="9"/>
    </row>
    <row r="60" spans="2:17" ht="15" x14ac:dyDescent="0.2">
      <c r="B60" s="7"/>
      <c r="C60" s="3"/>
      <c r="D60" s="3"/>
      <c r="E60" s="3"/>
      <c r="F60" s="87"/>
      <c r="G60" s="87"/>
      <c r="H60" s="87"/>
      <c r="I60" s="87"/>
      <c r="J60" s="89"/>
      <c r="K60" s="120"/>
      <c r="L60" s="121"/>
      <c r="M60" s="121"/>
      <c r="N60" s="121"/>
      <c r="O60" s="122"/>
      <c r="P60" s="60"/>
      <c r="Q60" s="9"/>
    </row>
    <row r="61" spans="2:17" ht="15" x14ac:dyDescent="0.2">
      <c r="B61" s="7"/>
      <c r="C61" s="3"/>
      <c r="D61" s="106"/>
      <c r="E61" s="110"/>
      <c r="F61" s="87"/>
      <c r="G61" s="87"/>
      <c r="H61" s="87"/>
      <c r="I61" s="87"/>
      <c r="J61" s="89"/>
      <c r="K61" s="93"/>
      <c r="L61" s="93"/>
      <c r="M61" s="93"/>
      <c r="N61" s="93"/>
      <c r="O61" s="93"/>
      <c r="P61" s="60"/>
      <c r="Q61" s="9"/>
    </row>
    <row r="62" spans="2:17" ht="15" x14ac:dyDescent="0.2">
      <c r="B62" s="7"/>
      <c r="C62" s="3"/>
      <c r="D62" s="3"/>
      <c r="E62" s="3"/>
      <c r="F62" s="108"/>
      <c r="G62" s="109"/>
      <c r="H62" s="109"/>
      <c r="I62" s="109"/>
      <c r="J62" s="109"/>
      <c r="K62" s="109"/>
      <c r="L62" s="109"/>
      <c r="M62" s="109"/>
      <c r="N62" s="109"/>
      <c r="O62" s="87"/>
      <c r="P62" s="60"/>
      <c r="Q62" s="9"/>
    </row>
    <row r="63" spans="2:17" ht="15" x14ac:dyDescent="0.2">
      <c r="B63" s="7"/>
      <c r="C63" s="3"/>
      <c r="D63" s="3"/>
      <c r="E63" s="3"/>
      <c r="F63" s="109"/>
      <c r="G63" s="109"/>
      <c r="H63" s="109"/>
      <c r="I63" s="109"/>
      <c r="J63" s="109"/>
      <c r="K63" s="109"/>
      <c r="L63" s="109"/>
      <c r="M63" s="109"/>
      <c r="N63" s="109"/>
      <c r="O63" s="87"/>
      <c r="P63" s="60"/>
      <c r="Q63" s="9"/>
    </row>
    <row r="64" spans="2:17" ht="15" x14ac:dyDescent="0.2">
      <c r="B64" s="7"/>
      <c r="C64" s="3"/>
      <c r="D64" s="3"/>
      <c r="E64" s="94"/>
      <c r="F64" s="109"/>
      <c r="G64" s="109"/>
      <c r="H64" s="109"/>
      <c r="I64" s="109"/>
      <c r="J64" s="109"/>
      <c r="K64" s="109"/>
      <c r="L64" s="109"/>
      <c r="M64" s="109"/>
      <c r="N64" s="109"/>
      <c r="O64" s="92"/>
      <c r="P64" s="60"/>
      <c r="Q64" s="9"/>
    </row>
    <row r="65" spans="2:17" ht="15" x14ac:dyDescent="0.2">
      <c r="B65" s="7"/>
      <c r="C65" s="3"/>
      <c r="D65" s="3"/>
      <c r="E65" s="3"/>
      <c r="F65" s="109"/>
      <c r="G65" s="109"/>
      <c r="H65" s="109"/>
      <c r="I65" s="109"/>
      <c r="J65" s="109"/>
      <c r="K65" s="109"/>
      <c r="L65" s="109"/>
      <c r="M65" s="109"/>
      <c r="N65" s="109"/>
      <c r="O65" s="87"/>
      <c r="P65" s="60"/>
      <c r="Q65" s="9"/>
    </row>
    <row r="66" spans="2:17" ht="13.5" thickBot="1" x14ac:dyDescent="0.25">
      <c r="B66" s="7"/>
      <c r="C66" s="3"/>
      <c r="D66" s="3"/>
      <c r="E66" s="3"/>
      <c r="F66" s="3"/>
      <c r="G66" s="3"/>
      <c r="H66" s="3"/>
      <c r="I66" s="3"/>
      <c r="J66" s="3"/>
      <c r="K66" s="3"/>
      <c r="L66" s="3"/>
      <c r="M66" s="3"/>
      <c r="N66" s="3"/>
      <c r="O66" s="3"/>
      <c r="P66" s="60"/>
      <c r="Q66" s="9"/>
    </row>
    <row r="67" spans="2:17" ht="3" customHeight="1" thickTop="1" x14ac:dyDescent="0.2">
      <c r="B67" s="7"/>
      <c r="C67" s="3"/>
      <c r="D67" s="3"/>
      <c r="E67" s="61"/>
      <c r="F67" s="61"/>
      <c r="G67" s="61"/>
      <c r="H67" s="61"/>
      <c r="I67" s="61"/>
      <c r="J67" s="61"/>
      <c r="K67" s="61"/>
      <c r="L67" s="61"/>
      <c r="M67" s="61"/>
      <c r="N67" s="61"/>
      <c r="O67" s="61"/>
      <c r="P67" s="60"/>
      <c r="Q67" s="9"/>
    </row>
    <row r="68" spans="2:17" x14ac:dyDescent="0.2">
      <c r="B68" s="7"/>
      <c r="C68" s="3"/>
      <c r="D68" s="3"/>
      <c r="E68" s="3"/>
      <c r="F68" s="123"/>
      <c r="G68" s="126"/>
      <c r="H68" s="126"/>
      <c r="I68" s="126"/>
      <c r="J68" s="126"/>
      <c r="K68" s="126"/>
      <c r="L68" s="126"/>
      <c r="M68" s="126"/>
      <c r="N68" s="126"/>
      <c r="O68" s="3"/>
      <c r="P68" s="60"/>
      <c r="Q68" s="9"/>
    </row>
    <row r="69" spans="2:17" x14ac:dyDescent="0.2">
      <c r="B69" s="7"/>
      <c r="C69" s="3"/>
      <c r="D69" s="3"/>
      <c r="E69" s="3"/>
      <c r="F69" s="127"/>
      <c r="G69" s="127"/>
      <c r="H69" s="127"/>
      <c r="I69" s="127"/>
      <c r="J69" s="127"/>
      <c r="K69" s="127"/>
      <c r="L69" s="127"/>
      <c r="M69" s="127"/>
      <c r="N69" s="127"/>
      <c r="O69" s="3"/>
      <c r="P69" s="60"/>
      <c r="Q69" s="9"/>
    </row>
    <row r="70" spans="2:17" x14ac:dyDescent="0.2">
      <c r="B70" s="7"/>
      <c r="C70" s="3"/>
      <c r="D70" s="3"/>
      <c r="E70" s="3"/>
      <c r="F70" s="127"/>
      <c r="G70" s="127"/>
      <c r="H70" s="127"/>
      <c r="I70" s="127"/>
      <c r="J70" s="127"/>
      <c r="K70" s="127"/>
      <c r="L70" s="127"/>
      <c r="M70" s="127"/>
      <c r="N70" s="127"/>
      <c r="O70" s="3"/>
      <c r="P70" s="60"/>
      <c r="Q70" s="9"/>
    </row>
    <row r="71" spans="2:17" ht="0.95" customHeight="1" thickBot="1" x14ac:dyDescent="0.25">
      <c r="B71" s="10"/>
      <c r="C71" s="11"/>
      <c r="D71" s="11"/>
      <c r="E71" s="11"/>
      <c r="F71" s="11"/>
      <c r="G71" s="11"/>
      <c r="H71" s="11"/>
      <c r="I71" s="11"/>
      <c r="J71" s="11"/>
      <c r="K71" s="11"/>
      <c r="L71" s="11"/>
      <c r="M71" s="11"/>
      <c r="N71" s="11"/>
      <c r="O71" s="11"/>
      <c r="P71" s="11"/>
      <c r="Q71" s="12"/>
    </row>
    <row r="72" spans="2:17"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7" val="RF458"/>
      <inputCells r="E27" val="1"/>
      <inputCells r="F27" val="Fauteuil ergonomique"/>
      <inputCells r="M25" val="2"/>
      <inputCells r="N25" val="2300" numFmtId="8"/>
      <inputCells r="M27" val="2"/>
      <inputCells r="N27" val="1300" numFmtId="8"/>
    </scenario>
  </scenarios>
  <mergeCells count="31">
    <mergeCell ref="G59:I59"/>
    <mergeCell ref="F48:K48"/>
    <mergeCell ref="F58:I58"/>
    <mergeCell ref="F24:K24"/>
    <mergeCell ref="F25:K25"/>
    <mergeCell ref="F27:K27"/>
    <mergeCell ref="F57:I57"/>
    <mergeCell ref="D56:M56"/>
    <mergeCell ref="F28:K28"/>
    <mergeCell ref="F49:K49"/>
    <mergeCell ref="D55:L55"/>
    <mergeCell ref="F32:H32"/>
    <mergeCell ref="F29:K29"/>
    <mergeCell ref="F30:K30"/>
    <mergeCell ref="F31:K31"/>
    <mergeCell ref="F35:K35"/>
    <mergeCell ref="F34:K34"/>
    <mergeCell ref="N9:O9"/>
    <mergeCell ref="F47:K47"/>
    <mergeCell ref="N19:O19"/>
    <mergeCell ref="N21:O21"/>
    <mergeCell ref="N22:O22"/>
    <mergeCell ref="G21:H21"/>
    <mergeCell ref="E20:J20"/>
    <mergeCell ref="E19:J19"/>
    <mergeCell ref="E22:J22"/>
    <mergeCell ref="N10:O10"/>
    <mergeCell ref="F45:K45"/>
    <mergeCell ref="F41:K41"/>
    <mergeCell ref="F42:K42"/>
    <mergeCell ref="F39:K39"/>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7:O57 K57:L59"/>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8:N70"/>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62"/>
    <dataValidation type="textLength" errorStyle="warning" allowBlank="1" showErrorMessage="1" errorTitle="Sous-total" error="Les cellules ombrées contiennent des formules et sont calculées automatiquement par Excel. N'y tapez aucune information." promptTitle="Sous-total" sqref="O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53:O54">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52">
      <formula1>0</formula1>
      <formula2>0</formula2>
    </dataValidation>
    <dataValidation type="whole" errorStyle="warning" allowBlank="1" showErrorMessage="1" errorTitle="Quantité" error="Tapez un nombre dans cette cellule." promptTitle="Quantité" sqref="E25:E49">
      <formula1>0</formula1>
      <formula2>1000000000</formula2>
    </dataValidation>
    <dataValidation type="decimal" allowBlank="1" showErrorMessage="1" errorTitle="Prix unitaire" error="Tapez un nombre dans cette cellule." promptTitle="Prix unitaire" sqref="N25:N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9">
      <formula1>0</formula1>
      <formula2>0</formula2>
    </dataValidation>
    <dataValidation type="list" allowBlank="1" showInputMessage="1" showErrorMessage="1" errorTitle="Code TVA" error="Tapez 1, 2, ou 3." sqref="M25:M49">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50</xdr:row>
                    <xdr:rowOff>152400</xdr:rowOff>
                  </from>
                  <to>
                    <xdr:col>4</xdr:col>
                    <xdr:colOff>695325</xdr:colOff>
                    <xdr:row>52</xdr:row>
                    <xdr:rowOff>76200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52</xdr:row>
                    <xdr:rowOff>0</xdr:rowOff>
                  </from>
                  <to>
                    <xdr:col>4</xdr:col>
                    <xdr:colOff>704850</xdr:colOff>
                    <xdr:row>53</xdr:row>
                    <xdr:rowOff>76200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53</xdr:row>
                    <xdr:rowOff>28575</xdr:rowOff>
                  </from>
                  <to>
                    <xdr:col>4</xdr:col>
                    <xdr:colOff>714375</xdr:colOff>
                    <xdr:row>54</xdr:row>
                    <xdr:rowOff>76200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4"/>
  </cols>
  <sheetData>
    <row r="1" spans="1:11" x14ac:dyDescent="0.2">
      <c r="A1" s="74" t="s">
        <v>30</v>
      </c>
    </row>
    <row r="2" spans="1:11" x14ac:dyDescent="0.2">
      <c r="A2" s="74" t="s">
        <v>38</v>
      </c>
      <c r="B2" s="74" t="s">
        <v>31</v>
      </c>
    </row>
    <row r="3" spans="1:11" x14ac:dyDescent="0.2">
      <c r="A3" s="74" t="s">
        <v>39</v>
      </c>
      <c r="B3" s="74" t="s">
        <v>46</v>
      </c>
    </row>
    <row r="4" spans="1:11" x14ac:dyDescent="0.2">
      <c r="A4" s="74" t="s">
        <v>32</v>
      </c>
    </row>
    <row r="5" spans="1:11" x14ac:dyDescent="0.2">
      <c r="A5" s="74" t="s">
        <v>40</v>
      </c>
      <c r="B5" s="74">
        <v>1</v>
      </c>
    </row>
    <row r="6" spans="1:11" x14ac:dyDescent="0.2">
      <c r="A6" s="74">
        <v>1</v>
      </c>
      <c r="B6" s="74" t="s">
        <v>41</v>
      </c>
      <c r="C6" s="74" t="s">
        <v>45</v>
      </c>
      <c r="D6" s="74" t="s">
        <v>42</v>
      </c>
      <c r="E6" s="74">
        <v>10</v>
      </c>
      <c r="G6" s="74">
        <v>-1383939328</v>
      </c>
    </row>
    <row r="7" spans="1:11" x14ac:dyDescent="0.2">
      <c r="A7" s="74" t="s">
        <v>43</v>
      </c>
      <c r="B7" s="74" t="s">
        <v>33</v>
      </c>
      <c r="C7" s="74" t="s">
        <v>18</v>
      </c>
      <c r="D7" s="74" t="s">
        <v>3</v>
      </c>
      <c r="E7" s="74" t="s">
        <v>5</v>
      </c>
      <c r="F7" s="74" t="s">
        <v>7</v>
      </c>
      <c r="G7" s="74" t="s">
        <v>8</v>
      </c>
      <c r="H7" s="74" t="s">
        <v>9</v>
      </c>
      <c r="I7" s="74" t="s">
        <v>20</v>
      </c>
      <c r="J7" s="74" t="s">
        <v>34</v>
      </c>
      <c r="K7" s="74" t="s">
        <v>19</v>
      </c>
    </row>
    <row r="8" spans="1:11" x14ac:dyDescent="0.2">
      <c r="A8" s="74" t="s">
        <v>44</v>
      </c>
      <c r="B8" s="75" t="str">
        <f>Facture!$O$11</f>
        <v/>
      </c>
      <c r="C8" s="76">
        <f>Facture!$N$19</f>
        <v>43348</v>
      </c>
      <c r="D8" s="77" t="str">
        <f>Facture!$E$19</f>
        <v xml:space="preserve">SNA borj cedria </v>
      </c>
      <c r="E8" s="74" t="str">
        <f>Facture!$E$20</f>
        <v xml:space="preserve">GP1 KM1 12 EZZAHRA </v>
      </c>
      <c r="F8" s="74">
        <f>Facture!$E$21</f>
        <v>0</v>
      </c>
      <c r="G8" s="77">
        <f>Facture!$G$21</f>
        <v>0</v>
      </c>
      <c r="H8" s="77" t="str">
        <f>Facture!$J$21</f>
        <v>TN</v>
      </c>
      <c r="I8" s="74" t="str">
        <f>Facture!$E$22</f>
        <v xml:space="preserve">   70 020 520     Fax:71 452 189</v>
      </c>
      <c r="J8" s="78">
        <f>Facture!$O$53</f>
        <v>1777.5</v>
      </c>
      <c r="K8" s="74" t="str">
        <f>Facture!$N$21</f>
        <v xml:space="preserve">Mr hedi ben chaabane </v>
      </c>
    </row>
    <row r="9" spans="1:11" x14ac:dyDescent="0.2">
      <c r="A9" s="74" t="s">
        <v>32</v>
      </c>
    </row>
    <row r="10" spans="1:11" x14ac:dyDescent="0.2">
      <c r="G10" s="74">
        <v>-1261995520</v>
      </c>
    </row>
    <row r="14" spans="1:11" x14ac:dyDescent="0.2">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83</vt:i4>
      </vt:variant>
    </vt:vector>
  </HeadingPairs>
  <TitlesOfParts>
    <vt:vector size="87"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2018-09-05T15:34:27Z</cp:lastPrinted>
  <dcterms:created xsi:type="dcterms:W3CDTF">1995-05-29T15:50:39Z</dcterms:created>
  <dcterms:modified xsi:type="dcterms:W3CDTF">2018-09-05T15:35:07Z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SNA borj cedria </vt:lpwstr>
  </property>
  <property fmtid="{D5CDD505-2E9C-101B-9397-08002B2CF9AE}" pid="11" name="Montant de la facture" linkTarget="TOT">
    <vt:r8>1777.5</vt:r8>
  </property>
</Properties>
</file>