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Facture!$L$57:$M$58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2" i="3" l="1"/>
  <c r="M43" i="3"/>
  <c r="M44" i="3"/>
  <c r="M45" i="3"/>
  <c r="M46" i="3"/>
  <c r="M47" i="3"/>
  <c r="M36" i="3"/>
  <c r="M35" i="3" l="1"/>
  <c r="M28" i="3"/>
  <c r="M48" i="3"/>
  <c r="M49" i="3"/>
  <c r="M50" i="3" l="1"/>
  <c r="M51" i="3"/>
  <c r="M52" i="3" l="1"/>
  <c r="M54" i="3" l="1"/>
  <c r="M5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<sst xmlns="http://schemas.openxmlformats.org/spreadsheetml/2006/main" count="109" uniqueCount="99">
  <si>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</si>
  <si>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</si>
  <si>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</si>
  <si>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</si>
  <si>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</si>
  <si>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</si>
  <si>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</si>
  <si>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</si>
  <si>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</si>
  <si>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</si>
  <si>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</si>
  <si>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</si>
  <si>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</si>
  <si>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</si>
  <si>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</si>
  <si>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</si>
  <si>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</si>
  <si>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</si>
  <si>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</si>
  <si>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</si>
  <si>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</si>
  <si>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</si>
  <si>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</si>
  <si>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</si>
  <si>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</si>
  <si>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</si>
  <si>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</si>
  <si>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</si>
  <si>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</si>
  <si>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</si>
  <si>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</si>
  <si>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</si>
  <si>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</si>
  <si>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</si>
  <si>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</si>
  <si>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</si>
  <si>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</si>
  <si>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</si>
  <si>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</si>
  <si>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</si>
  <si>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</si>
  <si>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</si>
  <si>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</si>
  <si>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</si>
  <si>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</si>
  <si>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</si>
  <si>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</si>
  <si>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</si>
  <si>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</si>
  <si>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</si>
  <si>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</si>
  <si>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</si>
  <si>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</si>
  <si>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</si>
  <si>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</si>
  <si>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</si>
  <si>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</si>
  <si>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</si>
  <si>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</si>
  <si>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</si>
  <si>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</si>
  <si>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</si>
  <si>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</si>
  <si>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</si>
  <si>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</si>
  <si>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</si>
  <si>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</si>
  <si>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</si>
  <si>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</si>
  <si>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r>
      <t xml:space="preserve">Responsable: </t>
    </r>
    <r>
      <rPr>
        <b/>
        <sz val="20"/>
        <rFont val="Arial"/>
        <family val="2"/>
      </rPr>
      <t>MR Derouiche Med Ali</t>
    </r>
  </si>
  <si>
    <t>0670-1</t>
  </si>
  <si>
    <t>GS00A</t>
  </si>
  <si>
    <t>Sangle</t>
  </si>
  <si>
    <t xml:space="preserve">Mousqueton </t>
  </si>
  <si>
    <t>Gilet model homologué</t>
  </si>
  <si>
    <t>Casque ARMOUR WORK PYLONIER</t>
  </si>
  <si>
    <t xml:space="preserve"> EN 397+ EN 12492</t>
  </si>
  <si>
    <t>Date : 26/06/2018</t>
  </si>
  <si>
    <r>
      <t>N° Commande:</t>
    </r>
    <r>
      <rPr>
        <b/>
        <sz val="20"/>
        <rFont val="Arial"/>
        <family val="2"/>
      </rPr>
      <t xml:space="preserve">lettre de confirmation  </t>
    </r>
  </si>
  <si>
    <t>30,15,12,14,16,29,26,18,20</t>
  </si>
  <si>
    <t>ID:AA 0726-18,13,05,</t>
  </si>
  <si>
    <t>ID:AA 0796-37,25,38,34,40,35,23,27,11,22,21,24,</t>
  </si>
  <si>
    <t>ID:AA 01747-03</t>
  </si>
  <si>
    <t>ID:AA 0794-48,15,31</t>
  </si>
  <si>
    <t>EN 362</t>
  </si>
  <si>
    <t>ID: 2116/086-60,45,86,19,73,47,69,02,05,18</t>
  </si>
  <si>
    <t>30,46,54,32,44,48,26,97,42,76,53,65,89,56,07</t>
  </si>
  <si>
    <t>ID: 2116/087-26,18,13,</t>
  </si>
  <si>
    <t>13,15,14,88,06,10,59</t>
  </si>
  <si>
    <t>EN 354+ EN 795/B</t>
  </si>
  <si>
    <t>ID:0617/00-65,38,83,11,106,172,164,188,182,66</t>
  </si>
  <si>
    <t>173,105,21,181,118,184,96,12,160,179,79,175,</t>
  </si>
  <si>
    <t>111,170,102,97,100,103</t>
  </si>
  <si>
    <t xml:space="preserve">Chaussure de securite </t>
  </si>
  <si>
    <t>EN 20345</t>
  </si>
  <si>
    <t>CSS3</t>
  </si>
  <si>
    <t>FACTURE 2018031</t>
  </si>
  <si>
    <t>41(1)-41(8)-42(13)-43(1)-44(5)</t>
  </si>
  <si>
    <t>ARRETE LA PRESENTE FACTURE  A LA SOMME DE :HUIT MILLE CINQ CENT QUARENTE SEPT DINARS ET 180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</si>
</sst>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2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68" fontId="28" fillId="0" borderId="32"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4"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40" fillId="6" borderId="48" xfId="0" applyFont="1" applyFill="1" applyBorder="1" applyAlignment="1">
      <alignment vertical="top"/>
    </xf>
    <xf numFmtId="0" fontId="40" fillId="6" borderId="49" xfId="0" applyFont="1" applyFill="1" applyBorder="1" applyAlignment="1">
      <alignment vertical="top"/>
    </xf>
    <xf numFmtId="0" fontId="18" fillId="6" borderId="49"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49" fontId="39" fillId="0" borderId="46" xfId="5" applyNumberFormat="1" applyFill="1" applyBorder="1" applyAlignment="1"/>
    <xf numFmtId="49" fontId="39" fillId="0" borderId="47" xfId="5" applyNumberFormat="1" applyFill="1" applyBorder="1" applyAlignment="1"/>
    <xf numFmtId="49" fontId="39" fillId="0" borderId="0" xfId="5" applyNumberFormat="1" applyFill="1" applyBorder="1" applyAlignment="1"/>
    <xf numFmtId="49" fontId="39" fillId="0" borderId="38" xfId="5" applyNumberFormat="1" applyFill="1" applyBorder="1" applyAlignment="1"/>
    <xf numFmtId="0" fontId="21" fillId="3" borderId="0" xfId="0" applyFont="1" applyFill="1" applyBorder="1" applyAlignment="1"/>
    <xf numFmtId="0" fontId="21" fillId="3" borderId="38" xfId="0" applyFont="1" applyFill="1" applyBorder="1" applyAlignment="1"/>
    <xf numFmtId="49" fontId="41" fillId="0" borderId="51" xfId="5" applyNumberFormat="1" applyFont="1" applyFill="1" applyBorder="1" applyAlignment="1"/>
    <xf numFmtId="49" fontId="41" fillId="0" borderId="46"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49" fontId="37" fillId="0" borderId="28" xfId="0" applyNumberFormat="1" applyFont="1" applyFill="1" applyBorder="1" applyAlignment="1"/>
    <xf numFmtId="0" fontId="43" fillId="0" borderId="32" xfId="0" quotePrefix="1" applyFont="1" applyFill="1" applyBorder="1" applyAlignment="1">
      <alignment horizontal="right"/>
    </xf>
    <xf numFmtId="0" fontId="43" fillId="0" borderId="32" xfId="0" applyFont="1" applyFill="1" applyBorder="1" applyAlignment="1">
      <alignment horizontal="right"/>
    </xf>
    <xf numFmtId="10" fontId="43" fillId="0" borderId="3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0" fontId="35"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9</xdr:col>
      <xdr:colOff>15874</xdr:colOff>
      <xdr:row>5</xdr:row>
      <xdr:rowOff>115055</xdr:rowOff>
    </xdr:from>
    <xdr:to>
      <xdr:col>13</xdr:col>
      <xdr:colOff>63499</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35749" y="781805"/>
          <a:ext cx="6842125" cy="161531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9" zoomScale="60" zoomScaleNormal="60" workbookViewId="0">
      <selection activeCell="M61" sqref="M6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96</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6" t="s">
        <v>53</v>
      </c>
      <c r="E22" s="175" t="s">
        <v>65</v>
      </c>
      <c r="F22" s="175"/>
      <c r="G22" s="175"/>
      <c r="H22" s="175"/>
      <c r="I22" s="175"/>
      <c r="J22" s="175"/>
      <c r="K22" s="97"/>
      <c r="L22" s="173" t="s">
        <v>77</v>
      </c>
      <c r="M22" s="173"/>
      <c r="N22" s="52"/>
      <c r="O22" s="9"/>
    </row>
    <row r="23" spans="2:15" ht="33.75" x14ac:dyDescent="0.5">
      <c r="B23" s="7"/>
      <c r="C23" s="3"/>
      <c r="D23" s="96" t="s">
        <v>54</v>
      </c>
      <c r="E23" s="163" t="s">
        <v>66</v>
      </c>
      <c r="F23" s="163"/>
      <c r="G23" s="163"/>
      <c r="H23" s="163"/>
      <c r="I23" s="163"/>
      <c r="J23" s="163"/>
      <c r="K23" s="163"/>
      <c r="L23" s="98" t="s">
        <v>78</v>
      </c>
      <c r="M23" s="98"/>
      <c r="N23" s="53"/>
      <c r="O23" s="9"/>
    </row>
    <row r="24" spans="2:15" ht="33.75" x14ac:dyDescent="0.5">
      <c r="B24" s="7"/>
      <c r="C24" s="3"/>
      <c r="D24" s="96" t="s">
        <v>55</v>
      </c>
      <c r="E24" s="109">
        <v>1080</v>
      </c>
      <c r="F24" s="99" t="s">
        <v>8</v>
      </c>
      <c r="G24" s="164"/>
      <c r="H24" s="164"/>
      <c r="I24" s="100" t="s">
        <v>9</v>
      </c>
      <c r="J24" s="101" t="s">
        <v>59</v>
      </c>
      <c r="K24" s="97"/>
      <c r="L24" s="174" t="s">
        <v>69</v>
      </c>
      <c r="M24" s="174"/>
      <c r="N24" s="3"/>
      <c r="O24" s="9"/>
    </row>
    <row r="25" spans="2:15" ht="33.75" x14ac:dyDescent="0.5">
      <c r="B25" s="7"/>
      <c r="C25" s="3"/>
      <c r="D25" s="96" t="s">
        <v>56</v>
      </c>
      <c r="E25" s="176" t="s">
        <v>67</v>
      </c>
      <c r="F25" s="176"/>
      <c r="G25" s="176"/>
      <c r="H25" s="176"/>
      <c r="I25" s="176"/>
      <c r="J25" s="176"/>
      <c r="K25" s="97"/>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7" t="s">
        <v>70</v>
      </c>
      <c r="E28" s="148">
        <v>28</v>
      </c>
      <c r="F28" s="115" t="s">
        <v>75</v>
      </c>
      <c r="G28" s="139"/>
      <c r="H28" s="139"/>
      <c r="I28" s="141"/>
      <c r="J28" s="141"/>
      <c r="K28" s="142"/>
      <c r="L28" s="104">
        <v>95</v>
      </c>
      <c r="M28" s="110">
        <f t="shared" ref="M28:M47" si="0">IF(E28&lt;&gt;"",E28*L28,"")</f>
        <v>2660</v>
      </c>
      <c r="N28" s="87"/>
      <c r="O28" s="9"/>
    </row>
    <row r="29" spans="2:15" ht="30" x14ac:dyDescent="0.4">
      <c r="B29" s="7"/>
      <c r="C29" s="3"/>
      <c r="D29" s="146"/>
      <c r="E29" s="148"/>
      <c r="F29" s="150" t="s">
        <v>76</v>
      </c>
      <c r="G29" s="139"/>
      <c r="H29" s="139"/>
      <c r="I29" s="141"/>
      <c r="J29" s="141"/>
      <c r="K29" s="142"/>
      <c r="L29" s="104"/>
      <c r="M29" s="110"/>
      <c r="N29" s="87"/>
      <c r="O29" s="9"/>
    </row>
    <row r="30" spans="2:15" ht="30" x14ac:dyDescent="0.4">
      <c r="B30" s="7"/>
      <c r="C30" s="3"/>
      <c r="D30" s="146"/>
      <c r="E30" s="148"/>
      <c r="F30" s="150" t="s">
        <v>80</v>
      </c>
      <c r="G30" s="139"/>
      <c r="H30" s="139"/>
      <c r="I30" s="141"/>
      <c r="J30" s="141"/>
      <c r="K30" s="142"/>
      <c r="L30" s="104"/>
      <c r="M30" s="110"/>
      <c r="N30" s="87"/>
      <c r="O30" s="9"/>
    </row>
    <row r="31" spans="2:15" ht="30" x14ac:dyDescent="0.4">
      <c r="B31" s="7"/>
      <c r="C31" s="3"/>
      <c r="D31" s="146"/>
      <c r="E31" s="148"/>
      <c r="F31" s="150" t="s">
        <v>81</v>
      </c>
      <c r="G31" s="139"/>
      <c r="H31" s="139"/>
      <c r="I31" s="141"/>
      <c r="J31" s="141"/>
      <c r="K31" s="142"/>
      <c r="L31" s="104"/>
      <c r="M31" s="110"/>
      <c r="N31" s="87"/>
      <c r="O31" s="9"/>
    </row>
    <row r="32" spans="2:15" ht="30" x14ac:dyDescent="0.4">
      <c r="B32" s="7"/>
      <c r="C32" s="3"/>
      <c r="D32" s="146"/>
      <c r="E32" s="148"/>
      <c r="F32" s="150" t="s">
        <v>79</v>
      </c>
      <c r="G32" s="139"/>
      <c r="H32" s="139"/>
      <c r="I32" s="141"/>
      <c r="J32" s="141"/>
      <c r="K32" s="142"/>
      <c r="L32" s="104"/>
      <c r="M32" s="110"/>
      <c r="N32" s="87"/>
      <c r="O32" s="9"/>
    </row>
    <row r="33" spans="2:15" ht="30" x14ac:dyDescent="0.4">
      <c r="B33" s="7"/>
      <c r="C33" s="3"/>
      <c r="D33" s="146"/>
      <c r="E33" s="148"/>
      <c r="F33" s="150" t="s">
        <v>82</v>
      </c>
      <c r="G33" s="139"/>
      <c r="H33" s="139"/>
      <c r="I33" s="141"/>
      <c r="J33" s="141"/>
      <c r="K33" s="142"/>
      <c r="L33" s="104"/>
      <c r="M33" s="110"/>
      <c r="N33" s="87"/>
      <c r="O33" s="9"/>
    </row>
    <row r="34" spans="2:15" ht="30" x14ac:dyDescent="0.4">
      <c r="B34" s="7"/>
      <c r="C34" s="3"/>
      <c r="D34" s="146"/>
      <c r="E34" s="148"/>
      <c r="F34" s="150" t="s">
        <v>83</v>
      </c>
      <c r="G34" s="139"/>
      <c r="H34" s="139"/>
      <c r="I34" s="141"/>
      <c r="J34" s="141"/>
      <c r="K34" s="142"/>
      <c r="L34" s="104"/>
      <c r="M34" s="110"/>
      <c r="N34" s="87"/>
      <c r="O34" s="9"/>
    </row>
    <row r="35" spans="2:15" ht="30" x14ac:dyDescent="0.4">
      <c r="B35" s="7"/>
      <c r="C35" s="3"/>
      <c r="D35" s="147" t="s">
        <v>71</v>
      </c>
      <c r="E35" s="148">
        <v>28</v>
      </c>
      <c r="F35" s="115" t="s">
        <v>74</v>
      </c>
      <c r="G35" s="139"/>
      <c r="H35" s="141"/>
      <c r="I35" s="141"/>
      <c r="J35" s="141"/>
      <c r="K35" s="142"/>
      <c r="L35" s="104">
        <v>14</v>
      </c>
      <c r="M35" s="110">
        <f t="shared" si="0"/>
        <v>392</v>
      </c>
      <c r="N35" s="87"/>
      <c r="O35" s="9"/>
    </row>
    <row r="36" spans="2:15" ht="30" x14ac:dyDescent="0.4">
      <c r="B36" s="7"/>
      <c r="C36" s="3"/>
      <c r="D36" s="147">
        <v>981</v>
      </c>
      <c r="E36" s="148">
        <v>35</v>
      </c>
      <c r="F36" s="115" t="s">
        <v>73</v>
      </c>
      <c r="G36" s="139"/>
      <c r="H36" s="139"/>
      <c r="I36" s="139"/>
      <c r="J36" s="139"/>
      <c r="K36" s="140"/>
      <c r="L36" s="104">
        <v>18</v>
      </c>
      <c r="M36" s="110">
        <f t="shared" si="0"/>
        <v>630</v>
      </c>
      <c r="N36" s="54"/>
      <c r="O36" s="9"/>
    </row>
    <row r="37" spans="2:15" ht="30" x14ac:dyDescent="0.4">
      <c r="B37" s="7"/>
      <c r="C37" s="3"/>
      <c r="D37" s="147"/>
      <c r="E37" s="148"/>
      <c r="F37" s="150" t="s">
        <v>84</v>
      </c>
      <c r="G37" s="139"/>
      <c r="H37" s="139"/>
      <c r="I37" s="139"/>
      <c r="J37" s="139"/>
      <c r="K37" s="140"/>
      <c r="L37" s="104"/>
      <c r="M37" s="110"/>
      <c r="N37" s="54"/>
      <c r="O37" s="9"/>
    </row>
    <row r="38" spans="2:15" ht="30" x14ac:dyDescent="0.4">
      <c r="B38" s="7"/>
      <c r="C38" s="3"/>
      <c r="D38" s="147"/>
      <c r="E38" s="148"/>
      <c r="F38" s="150" t="s">
        <v>85</v>
      </c>
      <c r="G38" s="139"/>
      <c r="H38" s="139"/>
      <c r="I38" s="139"/>
      <c r="J38" s="139"/>
      <c r="K38" s="140"/>
      <c r="L38" s="104"/>
      <c r="M38" s="110"/>
      <c r="N38" s="54"/>
      <c r="O38" s="9"/>
    </row>
    <row r="39" spans="2:15" ht="30" x14ac:dyDescent="0.4">
      <c r="B39" s="7"/>
      <c r="C39" s="3"/>
      <c r="D39" s="147"/>
      <c r="E39" s="148"/>
      <c r="F39" s="150" t="s">
        <v>86</v>
      </c>
      <c r="G39" s="139"/>
      <c r="H39" s="139"/>
      <c r="I39" s="139"/>
      <c r="J39" s="139"/>
      <c r="K39" s="140"/>
      <c r="L39" s="104"/>
      <c r="M39" s="110"/>
      <c r="N39" s="54"/>
      <c r="O39" s="9"/>
    </row>
    <row r="40" spans="2:15" ht="30" x14ac:dyDescent="0.4">
      <c r="B40" s="7"/>
      <c r="C40" s="3"/>
      <c r="D40" s="147"/>
      <c r="E40" s="148"/>
      <c r="F40" s="150" t="s">
        <v>88</v>
      </c>
      <c r="G40" s="139"/>
      <c r="H40" s="139"/>
      <c r="I40" s="139"/>
      <c r="J40" s="139"/>
      <c r="K40" s="140"/>
      <c r="L40" s="104"/>
      <c r="M40" s="110"/>
      <c r="N40" s="54"/>
      <c r="O40" s="9"/>
    </row>
    <row r="41" spans="2:15" ht="30" x14ac:dyDescent="0.4">
      <c r="B41" s="7"/>
      <c r="C41" s="3"/>
      <c r="D41" s="147"/>
      <c r="E41" s="148"/>
      <c r="F41" s="150" t="s">
        <v>87</v>
      </c>
      <c r="G41" s="139"/>
      <c r="H41" s="139"/>
      <c r="I41" s="139"/>
      <c r="J41" s="139"/>
      <c r="K41" s="140"/>
      <c r="L41" s="104"/>
      <c r="M41" s="110"/>
      <c r="N41" s="54"/>
      <c r="O41" s="9"/>
    </row>
    <row r="42" spans="2:15" ht="30" x14ac:dyDescent="0.4">
      <c r="B42" s="7"/>
      <c r="C42" s="3"/>
      <c r="D42" s="147"/>
      <c r="E42" s="148"/>
      <c r="F42" s="145"/>
      <c r="G42" s="139"/>
      <c r="H42" s="139"/>
      <c r="I42" s="139"/>
      <c r="J42" s="139"/>
      <c r="K42" s="140"/>
      <c r="L42" s="105"/>
      <c r="M42" s="110" t="str">
        <f t="shared" si="0"/>
        <v/>
      </c>
      <c r="N42" s="54"/>
      <c r="O42" s="9"/>
    </row>
    <row r="43" spans="2:15" ht="30" x14ac:dyDescent="0.4">
      <c r="B43" s="7"/>
      <c r="C43" s="3"/>
      <c r="D43" s="147">
        <v>2034060</v>
      </c>
      <c r="E43" s="148">
        <v>28</v>
      </c>
      <c r="F43" s="115" t="s">
        <v>72</v>
      </c>
      <c r="G43" s="139"/>
      <c r="H43" s="139"/>
      <c r="I43" s="139"/>
      <c r="J43" s="139"/>
      <c r="K43" s="140"/>
      <c r="L43" s="105">
        <v>30</v>
      </c>
      <c r="M43" s="110">
        <f t="shared" si="0"/>
        <v>840</v>
      </c>
      <c r="N43" s="54"/>
      <c r="O43" s="9"/>
    </row>
    <row r="44" spans="2:15" ht="30" x14ac:dyDescent="0.4">
      <c r="B44" s="7"/>
      <c r="C44" s="3"/>
      <c r="D44" s="147"/>
      <c r="E44" s="148"/>
      <c r="F44" s="150" t="s">
        <v>89</v>
      </c>
      <c r="G44" s="139"/>
      <c r="H44" s="139"/>
      <c r="I44" s="139"/>
      <c r="J44" s="139"/>
      <c r="K44" s="140"/>
      <c r="L44" s="105"/>
      <c r="M44" s="110" t="str">
        <f t="shared" si="0"/>
        <v/>
      </c>
      <c r="N44" s="54"/>
      <c r="O44" s="9"/>
    </row>
    <row r="45" spans="2:15" ht="30" x14ac:dyDescent="0.4">
      <c r="B45" s="7"/>
      <c r="C45" s="3"/>
      <c r="D45" s="147"/>
      <c r="E45" s="103"/>
      <c r="F45" s="150" t="s">
        <v>90</v>
      </c>
      <c r="G45" s="139"/>
      <c r="H45" s="139"/>
      <c r="I45" s="139"/>
      <c r="J45" s="139"/>
      <c r="K45" s="140"/>
      <c r="L45" s="105"/>
      <c r="M45" s="110" t="str">
        <f t="shared" si="0"/>
        <v/>
      </c>
      <c r="N45" s="90"/>
      <c r="O45" s="9"/>
    </row>
    <row r="46" spans="2:15" ht="30" x14ac:dyDescent="0.4">
      <c r="B46" s="7"/>
      <c r="C46" s="3"/>
      <c r="D46" s="147"/>
      <c r="E46" s="103"/>
      <c r="F46" s="150" t="s">
        <v>91</v>
      </c>
      <c r="G46" s="139"/>
      <c r="H46" s="139"/>
      <c r="I46" s="139"/>
      <c r="J46" s="139"/>
      <c r="K46" s="140"/>
      <c r="L46" s="105"/>
      <c r="M46" s="110" t="str">
        <f t="shared" si="0"/>
        <v/>
      </c>
      <c r="N46" s="54"/>
      <c r="O46" s="9"/>
    </row>
    <row r="47" spans="2:15" ht="30" x14ac:dyDescent="0.4">
      <c r="B47" s="7"/>
      <c r="C47" s="3"/>
      <c r="D47" s="117"/>
      <c r="E47" s="103"/>
      <c r="F47" s="150" t="s">
        <v>92</v>
      </c>
      <c r="G47" s="139"/>
      <c r="H47" s="139"/>
      <c r="I47" s="139"/>
      <c r="J47" s="139"/>
      <c r="K47" s="140"/>
      <c r="L47" s="105"/>
      <c r="M47" s="110" t="str">
        <f t="shared" si="0"/>
        <v/>
      </c>
      <c r="N47" s="54"/>
      <c r="O47" s="9"/>
    </row>
    <row r="48" spans="2:15" ht="30" x14ac:dyDescent="0.4">
      <c r="B48" s="7"/>
      <c r="C48" s="3"/>
      <c r="D48" s="147" t="s">
        <v>95</v>
      </c>
      <c r="E48" s="148">
        <v>28</v>
      </c>
      <c r="F48" s="115" t="s">
        <v>93</v>
      </c>
      <c r="G48" s="139"/>
      <c r="H48" s="139"/>
      <c r="I48" s="139"/>
      <c r="J48" s="139"/>
      <c r="K48" s="140"/>
      <c r="L48" s="105">
        <v>95</v>
      </c>
      <c r="M48" s="110">
        <f t="shared" ref="M48:M49" si="1">IF(E48&lt;&gt;"",E48*L48,"")</f>
        <v>2660</v>
      </c>
      <c r="N48" s="54"/>
      <c r="O48" s="9"/>
    </row>
    <row r="49" spans="2:16" ht="30" x14ac:dyDescent="0.4">
      <c r="B49" s="7"/>
      <c r="C49" s="3"/>
      <c r="D49" s="117"/>
      <c r="E49" s="103"/>
      <c r="F49" s="150" t="s">
        <v>94</v>
      </c>
      <c r="G49" s="139"/>
      <c r="H49" s="139"/>
      <c r="I49" s="139"/>
      <c r="J49" s="139"/>
      <c r="K49" s="140"/>
      <c r="L49" s="105"/>
      <c r="M49" s="110" t="str">
        <f t="shared" si="1"/>
        <v/>
      </c>
      <c r="N49" s="54"/>
      <c r="O49" s="9"/>
    </row>
    <row r="50" spans="2:16" ht="30" x14ac:dyDescent="0.4">
      <c r="B50" s="7"/>
      <c r="C50" s="3"/>
      <c r="D50" s="117"/>
      <c r="E50" s="103"/>
      <c r="F50" s="115" t="s">
        <v>97</v>
      </c>
      <c r="G50" s="139"/>
      <c r="H50" s="139"/>
      <c r="I50" s="139"/>
      <c r="J50" s="139"/>
      <c r="K50" s="140"/>
      <c r="L50" s="105"/>
      <c r="M50" s="110" t="str">
        <f t="shared" ref="M50:M51" si="2">IF(E50&lt;&gt;"",E50*L50,"")</f>
        <v/>
      </c>
      <c r="N50" s="54"/>
      <c r="O50" s="9"/>
    </row>
    <row r="51" spans="2:16" ht="30" customHeight="1" x14ac:dyDescent="0.35">
      <c r="B51" s="7"/>
      <c r="C51" s="3"/>
      <c r="D51" s="136"/>
      <c r="E51" s="125"/>
      <c r="F51" s="143" t="s">
        <v>64</v>
      </c>
      <c r="G51" s="144"/>
      <c r="H51" s="144"/>
      <c r="I51" s="137"/>
      <c r="J51" s="137"/>
      <c r="K51" s="138"/>
      <c r="L51" s="149"/>
      <c r="M51" s="110" t="str">
        <f t="shared" si="2"/>
        <v/>
      </c>
      <c r="N51" s="54"/>
      <c r="O51" s="9"/>
    </row>
    <row r="52" spans="2:16" ht="35.25" x14ac:dyDescent="0.5">
      <c r="B52" s="7"/>
      <c r="C52" s="3"/>
      <c r="D52" s="81"/>
      <c r="E52" s="91"/>
      <c r="F52" s="121"/>
      <c r="G52" s="118"/>
      <c r="H52" s="118"/>
      <c r="I52" s="118"/>
      <c r="J52" s="119"/>
      <c r="K52" s="120"/>
      <c r="L52" s="151" t="s">
        <v>26</v>
      </c>
      <c r="M52" s="102">
        <f>SUM(M28:M51)</f>
        <v>7182</v>
      </c>
      <c r="N52" s="54"/>
      <c r="O52" s="9"/>
    </row>
    <row r="53" spans="2:16" ht="35.25" x14ac:dyDescent="0.5">
      <c r="B53" s="7"/>
      <c r="C53" s="3"/>
      <c r="D53" s="95"/>
      <c r="E53" s="92" t="s">
        <v>57</v>
      </c>
      <c r="F53" s="77"/>
      <c r="G53" s="77"/>
      <c r="H53" s="77"/>
      <c r="I53" s="77"/>
      <c r="J53" s="78"/>
      <c r="K53" s="88"/>
      <c r="L53" s="152" t="s">
        <v>47</v>
      </c>
      <c r="M53" s="102">
        <v>0.6</v>
      </c>
      <c r="N53" s="54"/>
      <c r="O53" s="9"/>
    </row>
    <row r="54" spans="2:16" ht="35.25" x14ac:dyDescent="0.5">
      <c r="B54" s="7"/>
      <c r="C54" s="3"/>
      <c r="D54" s="93"/>
      <c r="E54" s="92" t="s">
        <v>58</v>
      </c>
      <c r="F54" s="77"/>
      <c r="G54" s="77"/>
      <c r="H54" s="77"/>
      <c r="I54" s="77"/>
      <c r="J54" s="79"/>
      <c r="K54" s="89"/>
      <c r="L54" s="153">
        <v>0.19</v>
      </c>
      <c r="M54" s="102">
        <f>+M52*19%</f>
        <v>1364.58</v>
      </c>
      <c r="N54" s="54"/>
      <c r="O54" s="9"/>
    </row>
    <row r="55" spans="2:16" ht="35.25" x14ac:dyDescent="0.5">
      <c r="B55" s="7"/>
      <c r="C55" s="3"/>
      <c r="D55" s="76"/>
      <c r="E55" s="82"/>
      <c r="F55" s="94"/>
      <c r="G55" s="77"/>
      <c r="H55" s="64"/>
      <c r="I55" s="77"/>
      <c r="J55" s="80" t="s">
        <v>27</v>
      </c>
      <c r="K55" s="78"/>
      <c r="L55" s="152" t="s">
        <v>28</v>
      </c>
      <c r="M55" s="102">
        <f>+M52+M53+M54</f>
        <v>8547.18</v>
      </c>
      <c r="N55" s="54"/>
      <c r="O55" s="9"/>
    </row>
    <row r="56" spans="2:16" ht="15.75" x14ac:dyDescent="0.25">
      <c r="B56" s="7"/>
      <c r="C56" s="3"/>
      <c r="D56" s="168" t="s">
        <v>98</v>
      </c>
      <c r="E56" s="169"/>
      <c r="F56" s="169"/>
      <c r="G56" s="169"/>
      <c r="H56" s="169"/>
      <c r="I56" s="169"/>
      <c r="J56" s="169"/>
      <c r="K56" s="169"/>
      <c r="L56" s="169"/>
      <c r="M56" s="116"/>
      <c r="N56" s="54"/>
      <c r="O56" s="9"/>
    </row>
    <row r="57" spans="2:16" ht="26.25" x14ac:dyDescent="0.4">
      <c r="B57" s="7"/>
      <c r="C57" s="3"/>
      <c r="D57" s="76"/>
      <c r="E57" s="76"/>
      <c r="F57" s="124"/>
      <c r="G57" s="134"/>
      <c r="H57" s="134"/>
      <c r="I57" s="134"/>
      <c r="J57" s="79"/>
      <c r="K57" s="114"/>
      <c r="L57" s="126" t="s">
        <v>63</v>
      </c>
      <c r="M57" s="127"/>
      <c r="N57" s="128"/>
      <c r="O57" s="9"/>
    </row>
    <row r="58" spans="2:16" ht="23.25" x14ac:dyDescent="0.25">
      <c r="B58" s="7"/>
      <c r="C58" s="3"/>
      <c r="D58" s="76"/>
      <c r="E58" s="76"/>
      <c r="F58" s="135"/>
      <c r="G58" s="162"/>
      <c r="H58" s="162"/>
      <c r="I58" s="162"/>
      <c r="J58" s="79"/>
      <c r="K58" s="114"/>
      <c r="L58" s="129"/>
      <c r="M58" s="107"/>
      <c r="N58" s="130"/>
      <c r="O58" s="9"/>
    </row>
    <row r="59" spans="2:16" ht="20.25" x14ac:dyDescent="0.3">
      <c r="B59" s="7"/>
      <c r="C59" s="3"/>
      <c r="D59" s="111" t="s">
        <v>60</v>
      </c>
      <c r="E59" s="112"/>
      <c r="F59" s="78"/>
      <c r="G59" s="78"/>
      <c r="H59" s="78"/>
      <c r="I59" s="78"/>
      <c r="J59" s="79"/>
      <c r="K59" s="83"/>
      <c r="L59" s="83"/>
      <c r="M59" s="84"/>
      <c r="N59" s="54"/>
      <c r="O59" s="130"/>
      <c r="P59" s="131"/>
    </row>
    <row r="60" spans="2:16" ht="20.25" x14ac:dyDescent="0.3">
      <c r="B60" s="7"/>
      <c r="C60" s="3"/>
      <c r="D60" s="113" t="s">
        <v>61</v>
      </c>
      <c r="E60" s="113"/>
      <c r="F60" s="78"/>
      <c r="G60" s="78"/>
      <c r="H60" s="78"/>
      <c r="I60" s="78"/>
      <c r="J60" s="79"/>
      <c r="K60" s="83"/>
      <c r="L60" s="83"/>
      <c r="M60" s="83"/>
      <c r="N60" s="87"/>
      <c r="O60" s="132"/>
      <c r="P60" s="133"/>
    </row>
    <row r="61" spans="2:16" ht="18" customHeight="1" x14ac:dyDescent="0.25">
      <c r="B61" s="7"/>
      <c r="C61" s="3"/>
      <c r="D61" s="161" t="s">
        <v>52</v>
      </c>
      <c r="E61" s="161"/>
      <c r="F61" s="161"/>
      <c r="G61" s="161"/>
      <c r="H61" s="161"/>
      <c r="I61" s="161"/>
      <c r="J61" s="161"/>
      <c r="K61" s="161"/>
      <c r="L61" s="161"/>
      <c r="M61" s="83"/>
      <c r="N61" s="87"/>
      <c r="O61" s="9"/>
    </row>
    <row r="62" spans="2:16" ht="15" customHeight="1" x14ac:dyDescent="0.2">
      <c r="B62" s="7"/>
      <c r="C62" s="3"/>
      <c r="D62" s="161"/>
      <c r="E62" s="161"/>
      <c r="F62" s="161"/>
      <c r="G62" s="161"/>
      <c r="H62" s="161"/>
      <c r="I62" s="161"/>
      <c r="J62" s="161"/>
      <c r="K62" s="161"/>
      <c r="L62" s="161"/>
      <c r="M62" s="84"/>
      <c r="N62" s="54"/>
      <c r="O62" s="9"/>
    </row>
    <row r="63" spans="2:16" ht="20.100000000000001" customHeight="1" x14ac:dyDescent="0.2">
      <c r="B63" s="7"/>
      <c r="C63" s="3"/>
      <c r="D63" s="161"/>
      <c r="E63" s="161"/>
      <c r="F63" s="161"/>
      <c r="G63" s="161"/>
      <c r="H63" s="161"/>
      <c r="I63" s="161"/>
      <c r="J63" s="161"/>
      <c r="K63" s="161"/>
      <c r="L63" s="161"/>
      <c r="M63" s="84"/>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2"/>
      <c r="B66" s="122"/>
      <c r="C66" s="122"/>
      <c r="D66" s="122"/>
      <c r="E66" s="122"/>
      <c r="F66" s="122"/>
      <c r="G66" s="122"/>
      <c r="H66" s="122"/>
      <c r="I66" s="122"/>
      <c r="J66" s="122"/>
      <c r="K66" s="122"/>
      <c r="L66" s="122"/>
      <c r="M66" s="12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61:L63"/>
    <mergeCell ref="G58:I58"/>
    <mergeCell ref="E23:K23"/>
    <mergeCell ref="G24:H24"/>
    <mergeCell ref="F27:K27"/>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36:L51">
      <formula1>0</formula1>
      <formula2>1000000000</formula2>
    </dataValidation>
    <dataValidation type="whole" errorStyle="warning" allowBlank="1" showErrorMessage="1" errorTitle="Quantité" error="Tapez un nombre dans cette cellule." promptTitle="Quantité" sqref="E28: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26/06/2018</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Facture!$M$55</f>
        <v>8547.18</v>
      </c>
      <c r="K8" s="64" t="str">
        <f>Facture!$L$24</f>
        <v>Responsable: MR Derouiche Med Ali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2018-06-27T07:58:12Z</cp:lastPrinted>
  <dcterms:created xsi:type="dcterms:W3CDTF">1995-05-29T15:50:39Z</dcterms:created>
  <dcterms:modified xsi:type="dcterms:W3CDTF">2018-06-27T07:59:47Z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8547.18</vt:r8>
  </property>
</Properties>
</file>