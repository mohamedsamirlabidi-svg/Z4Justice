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drawings/drawing3.xml" ContentType="application/vnd.openxmlformats-officedocument.drawing+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BON DE LIVRAISON\2018\"/>
    </mc:Choice>
  </mc:AlternateContent>
  <bookViews>
    <workbookView xWindow="0" yWindow="0" windowWidth="19200" windowHeight="10035" tabRatio="758" firstSheet="2" activeTab="2"/>
  </bookViews>
  <sheets>
    <sheet name="AutoOpen Stub Data" sheetId="1" state="veryHidden" r:id="rId1"/>
    <sheet name="Personnaliser votre facture" sheetId="2" state="hidden" r:id="rId2"/>
    <sheet name="Facture" sheetId="3" r:id="rId3"/>
    <sheet name="Feuil1" sheetId="21" r:id="rId4"/>
    <sheet name="Patientez un instant..." sheetId="20" state="hidden" r:id="rId5"/>
    <sheet name="TemplateInformation" sheetId="8" state="hidden" r:id="rId6"/>
    <sheet name="Macros" sheetId="4" state="veryHidden" r:id="rId7"/>
    <sheet name="ATW" sheetId="5" state="veryHidden" r:id="rId8"/>
    <sheet name="Verrouiller" sheetId="6" state="veryHidden" r:id="rId9"/>
  </sheets>
  <externalReferences>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Facture!$M$49</definedName>
    <definedName name="_Tax3">Facture!$M$51</definedName>
    <definedName name="_tax4">Facture!$M$51</definedName>
    <definedName name="_xlnm.Auto_Open21">'AutoOpen Stub Data'!$A$1</definedName>
    <definedName name="boxes">Facture!$E$49:$E$50</definedName>
    <definedName name="CC">'Personnaliser votre facture'!$G$22:$G$25</definedName>
    <definedName name="CCT">Facture!$H$51</definedName>
    <definedName name="CDB">'Personnaliser votre facture'!$E$50</definedName>
    <definedName name="Country">33</definedName>
    <definedName name="CS">'Personnaliser votre facture'!$E$51</definedName>
    <definedName name="data1">Facture!$M$19</definedName>
    <definedName name="data10">Facture!$F$22</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Facture!$M$20</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Facture!$N$21</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Facture!$N$22</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Facture!$E$25</definedName>
    <definedName name="data48">Facture!$F$25</definedName>
    <definedName name="data49">Facture!$M$25</definedName>
    <definedName name="data5">Facture!$E$19</definedName>
    <definedName name="data50">Facture!#REF!</definedName>
    <definedName name="data51">Facture!#REF!</definedName>
    <definedName name="data52">Facture!#REF!</definedName>
    <definedName name="data53">Facture!$E$27</definedName>
    <definedName name="data54">Facture!$F$27</definedName>
    <definedName name="data55">Facture!$M$27</definedName>
    <definedName name="data56">Facture!#REF!</definedName>
    <definedName name="data57">Facture!#REF!</definedName>
    <definedName name="data58">Facture!#REF!</definedName>
    <definedName name="data59">Facture!$E$46</definedName>
    <definedName name="data6">Facture!$F$20</definedName>
    <definedName name="data60">Facture!$F$46</definedName>
    <definedName name="data61">Facture!$M$46</definedName>
    <definedName name="data62">Facture!$E$49</definedName>
    <definedName name="data63">Facture!$E$50</definedName>
    <definedName name="data64">Facture!$E$51</definedName>
    <definedName name="data65">Facture!$H$50</definedName>
    <definedName name="data66">Facture!$F$53</definedName>
    <definedName name="data67">Facture!$F$55</definedName>
    <definedName name="data68">Facture!$G$56</definedName>
    <definedName name="data69">Facture!$K$56</definedName>
    <definedName name="data7">Facture!$H$21</definedName>
    <definedName name="data70">Facture!$K$57</definedName>
    <definedName name="data8">Facture!$J$21</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Facture!$C$3:$O$67</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Facture!$N$11</definedName>
    <definedName name="NS">'Personnaliser votre facture'!$E$49</definedName>
    <definedName name="qzqzqz1">Facture!$E$19:$J$19</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Facture!$M$19:$N$19</definedName>
    <definedName name="qzqzqz20">Facture!#REF!</definedName>
    <definedName name="qzqzqz21">Facture!$F$25:$K$25</definedName>
    <definedName name="qzqzqz22">Facture!#REF!</definedName>
    <definedName name="qzqzqz23">Facture!$F$27:$K$27</definedName>
    <definedName name="qzqzqz24">Facture!#REF!</definedName>
    <definedName name="qzqzqz25">Facture!$F$46:$K$46</definedName>
    <definedName name="qzqzqz26">Facture!$F$53:$I$53</definedName>
    <definedName name="qzqzqz27">Facture!$F$54:$I$54</definedName>
    <definedName name="qzqzqz28">Facture!$F$55:$I$55</definedName>
    <definedName name="qzqzqz29">Facture!$K$55:$N$57</definedName>
    <definedName name="qzqzqz3">Facture!$E$20:$J$20</definedName>
    <definedName name="qzqzqz30">Facture!$G$56:$I$56</definedName>
    <definedName name="qzqzqz31">Facture!$G$56:$H$56</definedName>
    <definedName name="qzqzqz32">Facture!$K$54:$N$56</definedName>
    <definedName name="qzqzqz4">Facture!$G$21:$H$21</definedName>
    <definedName name="qzqzqz5">Facture!$M$21:$N$21</definedName>
    <definedName name="qzqzqz6">Facture!$E$22:$J$22</definedName>
    <definedName name="qzqzqz7">Facture!$M$22:$N$22</definedName>
    <definedName name="qzqzqz8">Facture!$F$24:$K$24</definedName>
    <definedName name="qzqzqz9">Facture!#REF!</definedName>
    <definedName name="SS">'Personnaliser votre facture'!$E$48</definedName>
    <definedName name="TOT">Facture!$N$52</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Facture!$C$3:$O$67</definedName>
  </definedNames>
  <calcPr calcId="152511"/>
</workbook>
</file>

<file path=xl/calcChain.xml><?xml version="1.0" encoding="utf-8"?>
<calcChain xmlns="http://schemas.openxmlformats.org/spreadsheetml/2006/main">
  <c r="N46" i="3" l="1"/>
  <c r="N25" i="3"/>
  <c r="M49" i="3" l="1"/>
  <c r="N29" i="3"/>
  <c r="N27" i="3"/>
  <c r="N32" i="3" l="1"/>
  <c r="F33" i="2" l="1"/>
  <c r="B8" i="8"/>
  <c r="C8" i="8"/>
  <c r="D8" i="8"/>
  <c r="E8" i="8"/>
  <c r="F8" i="8"/>
  <c r="G8" i="8"/>
  <c r="H8" i="8"/>
  <c r="I8" i="8"/>
  <c r="K8" i="8"/>
  <c r="N47" i="3" l="1"/>
  <c r="N50" i="3" l="1"/>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 ref="M11" authorId="0" shape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N11" authorId="0" shape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M12" authorId="0" shapeId="0">
      <text>
        <r>
          <rPr>
            <sz val="8"/>
            <color indexed="81"/>
            <rFont val="Tahoma"/>
            <family val="2"/>
          </rPr>
          <t>Cliquez sur ce bouton pour retourner à la feuille Personnaliser vos frais et modifier vos informations personnelles.</t>
        </r>
      </text>
    </comment>
    <comment ref="L22"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G48"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<sst xmlns="http://schemas.openxmlformats.org/spreadsheetml/2006/main" count="92" uniqueCount="74">
  <si>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</si>
  <si>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</si>
  <si>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</si>
  <si>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</si>
  <si>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</si>
  <si>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</si>
  <si>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</si>
  <si>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</si>
  <si>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</si>
  <si>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</si>
  <si>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</si>
  <si>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</si>
  <si>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</si>
  <si>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</si>
  <si>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</si>
  <si>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</si>
  <si>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</si>
  <si>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</si>
  <si>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</si>
  <si>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</si>
  <si>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</si>
  <si>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</si>
  <si>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</si>
  <si>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Montant</t>
  </si>
  <si>
    <t>Total H.T.</t>
  </si>
  <si>
    <t>Comptant</t>
  </si>
  <si>
    <t>Chèque</t>
  </si>
  <si>
    <t xml:space="preserve"> </t>
  </si>
  <si>
    <t>Total T.T.C.</t>
  </si>
  <si>
    <t>AutoTemplateWizardDONTMESSWITHIT</t>
  </si>
  <si>
    <t>Excel 5.0</t>
  </si>
  <si>
    <t>Reserved</t>
  </si>
  <si>
    <t>Facture N°</t>
  </si>
  <si>
    <t>TOTAL</t>
  </si>
  <si>
    <t>Taux de TVA à appliquer</t>
  </si>
  <si>
    <t>Référence</t>
  </si>
  <si>
    <t>Code T.V.A.</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</si>
  <si>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</si>
  <si>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</si>
  <si>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</si>
  <si>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</si>
  <si>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</si>
  <si>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</si>
  <si>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</si>
  <si>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</si>
  <si>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</si>
  <si>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</si>
  <si>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</si>
  <si>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</si>
  <si>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</si>
  <si>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</si>
  <si>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</si>
  <si>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</si>
  <si>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</si>
  <si>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</si>
  <si>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
  </si>
  <si>
    <t>P.U</t>
  </si>
  <si>
    <t>TUNISIE</t>
  </si>
  <si>
    <t>http://www.camp.it</t>
  </si>
  <si>
    <t>TUNIS</t>
  </si>
  <si>
    <t>URS</t>
  </si>
  <si>
    <t>LAC FORUM BUSINESS LES BERGES DE LAC II</t>
  </si>
  <si>
    <t xml:space="preserve">           70020498             fax:</t>
  </si>
  <si>
    <t>scellette de travail</t>
  </si>
  <si>
    <t>bloqueur de movement lors manutention des charges</t>
  </si>
  <si>
    <t>9AGAL</t>
  </si>
  <si>
    <t>Jomaa DAREJ</t>
  </si>
  <si>
    <t>P3118T0001-TUNIS-18041</t>
  </si>
  <si>
    <t>N° BC :</t>
  </si>
  <si>
    <t>1465946H/A/M/000</t>
  </si>
  <si>
    <t>Tenus e de travail</t>
  </si>
  <si>
    <t xml:space="preserve">Chaussure de securite </t>
  </si>
  <si>
    <t>SIGNATURE ET CACHET  :</t>
  </si>
  <si>
    <t>BON DE LIVRAISON  N° 11122018</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</si>
</sst>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164" formatCode="_(&quot;$&quot;* #,##0_);_(&quot;$&quot;* \(#,##0\);_(&quot;$&quot;* &quot;-&quot;_);_(@_)"/>
    <numFmt numFmtId="165" formatCode="_(&quot;$&quot;* #,##0.00_);_(&quot;$&quot;* \(#,##0.00\);_(&quot;$&quot;* &quot;-&quot;??_);_(@_)"/>
    <numFmt numFmtId="166" formatCode="#,##0.00\ &quot;F&quot;;[Red]\-#,##0.00\ &quot;F&quot;"/>
    <numFmt numFmtId="167" formatCode=";;;"/>
    <numFmt numFmtId="168" formatCode="#&quot; &quot;##0.000\ &quot;DT&quot;;[Red]\-#&quot; &quot;##0.\200\ &quot;DT&quot;"/>
  </numFmts>
  <fonts count="32"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color indexed="8"/>
      <name val="Arial"/>
      <family val="2"/>
    </font>
    <font>
      <sz val="12"/>
      <name val="Arial"/>
      <family val="2"/>
    </font>
    <font>
      <b/>
      <sz val="12"/>
      <name val="Arial"/>
      <family val="2"/>
    </font>
    <font>
      <i/>
      <sz val="12"/>
      <name val="Arial"/>
      <family val="2"/>
    </font>
    <font>
      <i/>
      <sz val="10"/>
      <color indexed="63"/>
      <name val="Times New Roman CE"/>
      <family val="1"/>
      <charset val="238"/>
    </font>
    <font>
      <b/>
      <sz val="11"/>
      <name val="Arial"/>
      <family val="2"/>
    </font>
    <font>
      <b/>
      <sz val="14"/>
      <name val="Arial"/>
      <family val="2"/>
    </font>
    <font>
      <b/>
      <sz val="9"/>
      <name val="Arial"/>
      <family val="2"/>
    </font>
    <font>
      <b/>
      <sz val="12"/>
      <color indexed="8"/>
      <name val="Arial"/>
      <family val="2"/>
    </font>
    <font>
      <sz val="9"/>
      <name val="Arial"/>
      <family val="2"/>
    </font>
    <font>
      <sz val="10"/>
      <color rgb="FF000000"/>
      <name val="Arial"/>
      <family val="2"/>
    </font>
    <font>
      <b/>
      <sz val="10"/>
      <name val="Britannic Bold"/>
      <family val="2"/>
    </font>
    <font>
      <u/>
      <sz val="9.5"/>
      <color theme="10"/>
      <name val="Arial"/>
      <family val="2"/>
    </font>
    <font>
      <sz val="12"/>
      <name val="Times New Roman"/>
      <family val="1"/>
    </font>
    <font>
      <b/>
      <u/>
      <sz val="12"/>
      <name val="Andalus"/>
      <family val="1"/>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46">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style="hair">
        <color indexed="64"/>
      </right>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top style="thin">
        <color indexed="32"/>
      </top>
      <bottom/>
      <diagonal/>
    </border>
    <border>
      <left/>
      <right style="hair">
        <color indexed="64"/>
      </right>
      <top style="hair">
        <color indexed="64"/>
      </top>
      <bottom style="hair">
        <color indexed="64"/>
      </bottom>
      <diagonal/>
    </border>
    <border>
      <left/>
      <right style="thin">
        <color indexed="64"/>
      </right>
      <top/>
      <bottom style="thin">
        <color indexed="64"/>
      </bottom>
      <diagonal/>
    </border>
  </borders>
  <cellStyleXfs count="6">
    <xf numFmtId="0" fontId="0" fillId="2" borderId="0"/>
    <xf numFmtId="9" fontId="2" fillId="0" borderId="0" applyFont="0" applyFill="0" applyBorder="0" applyAlignment="0" applyProtection="0"/>
    <xf numFmtId="0" fontId="2" fillId="2" borderId="0"/>
    <xf numFmtId="164" fontId="2" fillId="0" borderId="0" applyFont="0" applyFill="0" applyBorder="0" applyAlignment="0" applyProtection="0"/>
    <xf numFmtId="165" fontId="2" fillId="0" borderId="0" applyFont="0" applyFill="0" applyBorder="0" applyAlignment="0" applyProtection="0"/>
    <xf numFmtId="0" fontId="29" fillId="0" borderId="0" applyNumberFormat="0" applyFill="0" applyBorder="0" applyAlignment="0" applyProtection="0">
      <alignment vertical="top"/>
      <protection locked="0"/>
    </xf>
  </cellStyleXfs>
  <cellXfs count="183">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9" xfId="0" applyFill="1" applyBorder="1"/>
    <xf numFmtId="0" fontId="3" fillId="3" borderId="29" xfId="0" applyFont="1" applyFill="1" applyBorder="1"/>
    <xf numFmtId="0" fontId="9" fillId="3" borderId="0" xfId="0" applyFont="1" applyFill="1" applyBorder="1" applyAlignment="1"/>
    <xf numFmtId="0" fontId="0" fillId="3" borderId="30" xfId="0" applyNumberFormat="1" applyFill="1" applyBorder="1" applyAlignment="1">
      <alignment horizontal="left"/>
    </xf>
    <xf numFmtId="10" fontId="0" fillId="3" borderId="31"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7" fillId="3" borderId="25" xfId="0" applyFont="1" applyFill="1" applyBorder="1" applyAlignment="1">
      <alignment horizontal="center"/>
    </xf>
    <xf numFmtId="0" fontId="7" fillId="3" borderId="3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6" fontId="4" fillId="0" borderId="0" xfId="0" applyNumberFormat="1" applyFont="1" applyFill="1"/>
    <xf numFmtId="10" fontId="0" fillId="3" borderId="14" xfId="1" applyNumberFormat="1" applyFont="1" applyFill="1" applyBorder="1" applyAlignment="1">
      <alignment horizontal="left"/>
    </xf>
    <xf numFmtId="168" fontId="0" fillId="3" borderId="30" xfId="0" applyNumberFormat="1" applyFill="1" applyBorder="1" applyAlignment="1">
      <alignment horizontal="left"/>
    </xf>
    <xf numFmtId="0" fontId="16" fillId="3" borderId="0" xfId="0" applyFont="1" applyFill="1" applyBorder="1" applyAlignment="1">
      <alignment horizontal="right"/>
    </xf>
    <xf numFmtId="0" fontId="18" fillId="3" borderId="27" xfId="0" applyFont="1" applyFill="1" applyBorder="1" applyAlignment="1">
      <alignment horizontal="center"/>
    </xf>
    <xf numFmtId="0" fontId="18" fillId="3" borderId="34" xfId="0" applyFont="1" applyFill="1" applyBorder="1" applyAlignment="1"/>
    <xf numFmtId="0" fontId="18" fillId="3" borderId="36" xfId="0" applyFont="1" applyFill="1" applyBorder="1" applyAlignment="1"/>
    <xf numFmtId="0" fontId="18" fillId="3" borderId="0" xfId="0" applyFont="1" applyFill="1" applyBorder="1"/>
    <xf numFmtId="0" fontId="18" fillId="3" borderId="0" xfId="0" quotePrefix="1" applyFont="1" applyFill="1" applyBorder="1" applyAlignment="1">
      <alignment horizontal="right"/>
    </xf>
    <xf numFmtId="0" fontId="18" fillId="3" borderId="0" xfId="0" applyFont="1" applyFill="1"/>
    <xf numFmtId="9" fontId="19" fillId="3" borderId="0" xfId="0" applyNumberFormat="1" applyFont="1" applyFill="1" applyBorder="1"/>
    <xf numFmtId="0" fontId="18" fillId="3" borderId="0" xfId="0" quotePrefix="1" applyFont="1" applyFill="1" applyBorder="1"/>
    <xf numFmtId="0" fontId="19" fillId="3" borderId="0" xfId="0" applyFont="1" applyFill="1" applyBorder="1" applyAlignment="1">
      <alignment horizontal="right"/>
    </xf>
    <xf numFmtId="0" fontId="18" fillId="3" borderId="0" xfId="0" applyFont="1" applyFill="1" applyBorder="1" applyAlignment="1"/>
    <xf numFmtId="0" fontId="18" fillId="3" borderId="0" xfId="0" applyFont="1" applyFill="1" applyBorder="1" applyAlignment="1">
      <alignment vertical="top"/>
    </xf>
    <xf numFmtId="0" fontId="4" fillId="3" borderId="0" xfId="0" applyFont="1" applyFill="1" applyBorder="1"/>
    <xf numFmtId="0" fontId="4" fillId="3" borderId="0" xfId="0" applyFont="1" applyFill="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49" fontId="4" fillId="3" borderId="38" xfId="0" applyNumberFormat="1" applyFont="1" applyFill="1" applyBorder="1" applyAlignment="1">
      <alignment horizontal="left"/>
    </xf>
    <xf numFmtId="0" fontId="4" fillId="3" borderId="39"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21" fillId="4" borderId="0" xfId="0" applyFont="1" applyFill="1" applyBorder="1" applyAlignment="1"/>
    <xf numFmtId="0" fontId="0" fillId="3" borderId="0" xfId="0" applyFill="1" applyBorder="1" applyAlignment="1">
      <alignment horizontal="left" vertical="top" wrapText="1"/>
    </xf>
    <xf numFmtId="0" fontId="22" fillId="3" borderId="0" xfId="0" applyFont="1" applyFill="1" applyBorder="1" applyAlignment="1">
      <alignment vertical="center" wrapText="1"/>
    </xf>
    <xf numFmtId="0" fontId="20" fillId="3" borderId="0" xfId="0" applyFont="1" applyFill="1" applyBorder="1" applyAlignment="1">
      <alignment vertical="center" wrapText="1"/>
    </xf>
    <xf numFmtId="0" fontId="7" fillId="3" borderId="0" xfId="0" applyFont="1" applyFill="1" applyBorder="1"/>
    <xf numFmtId="0" fontId="26" fillId="3" borderId="32" xfId="0" applyFont="1" applyFill="1" applyBorder="1" applyAlignment="1">
      <alignment horizontal="left"/>
    </xf>
    <xf numFmtId="0" fontId="26" fillId="3" borderId="33" xfId="0" applyFont="1" applyFill="1" applyBorder="1" applyAlignment="1">
      <alignment horizontal="left"/>
    </xf>
    <xf numFmtId="0" fontId="0" fillId="6" borderId="0" xfId="0" applyFill="1" applyAlignment="1">
      <alignment horizontal="left"/>
    </xf>
    <xf numFmtId="0" fontId="0" fillId="6" borderId="34" xfId="0" applyFill="1" applyBorder="1" applyAlignment="1">
      <alignment horizontal="left"/>
    </xf>
    <xf numFmtId="168" fontId="18" fillId="0" borderId="27" xfId="0" applyNumberFormat="1" applyFont="1" applyFill="1" applyBorder="1"/>
    <xf numFmtId="168" fontId="18" fillId="0" borderId="28" xfId="0" applyNumberFormat="1" applyFont="1" applyFill="1" applyBorder="1"/>
    <xf numFmtId="168" fontId="18" fillId="3" borderId="27" xfId="0" applyNumberFormat="1" applyFont="1" applyFill="1" applyBorder="1" applyAlignment="1"/>
    <xf numFmtId="168" fontId="18" fillId="3" borderId="28" xfId="0" applyNumberFormat="1" applyFont="1" applyFill="1" applyBorder="1" applyAlignment="1"/>
    <xf numFmtId="49" fontId="30" fillId="0" borderId="32" xfId="0" applyNumberFormat="1" applyFont="1" applyFill="1" applyBorder="1" applyAlignment="1">
      <alignment horizontal="left"/>
    </xf>
    <xf numFmtId="0" fontId="2" fillId="0" borderId="0" xfId="0" applyFont="1" applyFill="1" applyAlignment="1">
      <alignment horizontal="left"/>
    </xf>
    <xf numFmtId="0" fontId="2" fillId="0" borderId="34" xfId="0" applyFont="1" applyFill="1" applyBorder="1" applyAlignment="1">
      <alignment horizontal="left"/>
    </xf>
    <xf numFmtId="0" fontId="2" fillId="0" borderId="0" xfId="0" applyFont="1" applyFill="1" applyAlignment="1">
      <alignment horizontal="left"/>
    </xf>
    <xf numFmtId="0" fontId="2" fillId="0" borderId="34" xfId="0" applyFont="1" applyFill="1" applyBorder="1" applyAlignment="1">
      <alignment horizontal="left"/>
    </xf>
    <xf numFmtId="49" fontId="30" fillId="0" borderId="32" xfId="0" applyNumberFormat="1" applyFont="1" applyFill="1" applyBorder="1" applyAlignment="1">
      <alignment horizontal="left"/>
    </xf>
    <xf numFmtId="49" fontId="30" fillId="3" borderId="32" xfId="0" applyNumberFormat="1" applyFont="1" applyFill="1" applyBorder="1" applyAlignment="1">
      <alignment horizontal="left"/>
    </xf>
    <xf numFmtId="49" fontId="29" fillId="0" borderId="32" xfId="5" applyNumberFormat="1" applyFill="1" applyBorder="1" applyAlignment="1" applyProtection="1">
      <alignment horizontal="left"/>
    </xf>
    <xf numFmtId="168" fontId="25" fillId="0" borderId="44" xfId="0" applyNumberFormat="1" applyFont="1" applyFill="1" applyBorder="1"/>
    <xf numFmtId="168" fontId="17" fillId="0" borderId="44" xfId="0" applyNumberFormat="1" applyFont="1" applyFill="1" applyBorder="1"/>
    <xf numFmtId="168" fontId="17" fillId="0" borderId="45" xfId="0" applyNumberFormat="1" applyFont="1" applyFill="1" applyBorder="1"/>
    <xf numFmtId="0" fontId="18" fillId="3" borderId="26" xfId="0" quotePrefix="1" applyFont="1" applyFill="1" applyBorder="1" applyAlignment="1">
      <alignment horizontal="right"/>
    </xf>
    <xf numFmtId="10" fontId="18" fillId="0" borderId="26" xfId="0" quotePrefix="1" applyNumberFormat="1" applyFont="1" applyFill="1" applyBorder="1" applyAlignment="1">
      <alignment horizontal="center"/>
    </xf>
    <xf numFmtId="0" fontId="19" fillId="3" borderId="26" xfId="0" applyFont="1" applyFill="1" applyBorder="1" applyAlignment="1">
      <alignment horizontal="right"/>
    </xf>
    <xf numFmtId="0" fontId="26" fillId="3" borderId="26" xfId="0" applyFont="1" applyFill="1" applyBorder="1" applyAlignment="1">
      <alignment horizontal="right"/>
    </xf>
    <xf numFmtId="49" fontId="29" fillId="6" borderId="32" xfId="5" applyNumberFormat="1" applyFill="1" applyBorder="1" applyAlignment="1" applyProtection="1"/>
    <xf numFmtId="49" fontId="30" fillId="6" borderId="0" xfId="0" applyNumberFormat="1" applyFont="1" applyFill="1" applyBorder="1" applyAlignment="1"/>
    <xf numFmtId="49" fontId="30" fillId="6" borderId="34" xfId="0" applyNumberFormat="1" applyFont="1" applyFill="1" applyBorder="1" applyAlignment="1"/>
    <xf numFmtId="0" fontId="2" fillId="3" borderId="0" xfId="0" applyFont="1" applyFill="1" applyBorder="1" applyAlignment="1">
      <alignment horizontal="left"/>
    </xf>
    <xf numFmtId="0" fontId="13" fillId="3" borderId="40" xfId="0" applyFont="1" applyFill="1" applyBorder="1" applyAlignment="1"/>
    <xf numFmtId="0" fontId="0" fillId="2" borderId="40"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1" xfId="0" applyNumberFormat="1" applyFill="1" applyBorder="1" applyAlignment="1"/>
    <xf numFmtId="0" fontId="0" fillId="2" borderId="42" xfId="0" applyBorder="1" applyAlignment="1"/>
    <xf numFmtId="0" fontId="29" fillId="3" borderId="0" xfId="5" applyFill="1" applyBorder="1" applyAlignment="1" applyProtection="1">
      <alignment horizontal="center"/>
    </xf>
    <xf numFmtId="0" fontId="0" fillId="3" borderId="0" xfId="0" applyFill="1" applyBorder="1" applyAlignment="1">
      <alignment horizontal="center"/>
    </xf>
    <xf numFmtId="0" fontId="28" fillId="3" borderId="0" xfId="0" applyFont="1" applyFill="1" applyBorder="1" applyAlignment="1">
      <alignment horizontal="center" vertical="center"/>
    </xf>
    <xf numFmtId="0" fontId="1" fillId="3" borderId="0" xfId="0" applyFont="1" applyFill="1" applyBorder="1" applyAlignment="1">
      <alignment horizontal="center" vertical="center"/>
    </xf>
    <xf numFmtId="14" fontId="18" fillId="3" borderId="0" xfId="0" applyNumberFormat="1" applyFont="1" applyFill="1" applyBorder="1" applyAlignment="1"/>
    <xf numFmtId="14" fontId="18" fillId="2" borderId="0" xfId="0" applyNumberFormat="1" applyFont="1" applyBorder="1" applyAlignment="1"/>
    <xf numFmtId="49" fontId="18" fillId="3" borderId="0" xfId="0" applyNumberFormat="1" applyFont="1" applyFill="1" applyBorder="1" applyAlignment="1"/>
    <xf numFmtId="0" fontId="18" fillId="2" borderId="0" xfId="0" applyFont="1" applyBorder="1" applyAlignment="1"/>
    <xf numFmtId="49" fontId="30" fillId="6" borderId="32" xfId="0" applyNumberFormat="1" applyFont="1" applyFill="1" applyBorder="1" applyAlignment="1"/>
    <xf numFmtId="49" fontId="30" fillId="6" borderId="0" xfId="0" applyNumberFormat="1" applyFont="1" applyFill="1" applyBorder="1" applyAlignment="1"/>
    <xf numFmtId="49" fontId="30" fillId="6" borderId="34" xfId="0" applyNumberFormat="1" applyFont="1" applyFill="1" applyBorder="1" applyAlignment="1"/>
    <xf numFmtId="49" fontId="24" fillId="3" borderId="33" xfId="0" applyNumberFormat="1" applyFont="1" applyFill="1" applyBorder="1" applyAlignment="1">
      <alignment horizontal="center"/>
    </xf>
    <xf numFmtId="49" fontId="24" fillId="3" borderId="37" xfId="0" applyNumberFormat="1" applyFont="1" applyFill="1" applyBorder="1" applyAlignment="1">
      <alignment horizontal="center"/>
    </xf>
    <xf numFmtId="49" fontId="24" fillId="3" borderId="36" xfId="0" applyNumberFormat="1" applyFont="1" applyFill="1" applyBorder="1" applyAlignment="1">
      <alignment horizontal="center"/>
    </xf>
    <xf numFmtId="14" fontId="18" fillId="3" borderId="38" xfId="0" applyNumberFormat="1" applyFont="1" applyFill="1" applyBorder="1" applyAlignment="1">
      <alignment horizontal="left"/>
    </xf>
    <xf numFmtId="14" fontId="18" fillId="3" borderId="38" xfId="0" quotePrefix="1" applyNumberFormat="1" applyFont="1" applyFill="1" applyBorder="1" applyAlignment="1">
      <alignment horizontal="left"/>
    </xf>
    <xf numFmtId="0" fontId="1" fillId="3" borderId="39" xfId="0" applyFont="1" applyFill="1" applyBorder="1" applyAlignment="1">
      <alignment horizontal="left"/>
    </xf>
    <xf numFmtId="0" fontId="4" fillId="3" borderId="39" xfId="0" applyFont="1" applyFill="1" applyBorder="1" applyAlignment="1">
      <alignment horizontal="left"/>
    </xf>
    <xf numFmtId="0" fontId="2" fillId="3" borderId="39" xfId="0" applyFont="1" applyFill="1" applyBorder="1" applyAlignment="1">
      <alignment horizontal="left"/>
    </xf>
    <xf numFmtId="49" fontId="11" fillId="3" borderId="39" xfId="0" applyNumberFormat="1" applyFont="1" applyFill="1" applyBorder="1" applyAlignment="1">
      <alignment horizontal="left"/>
    </xf>
    <xf numFmtId="49" fontId="4" fillId="3" borderId="39" xfId="0" applyNumberFormat="1" applyFont="1" applyFill="1" applyBorder="1" applyAlignment="1">
      <alignment horizontal="left"/>
    </xf>
    <xf numFmtId="0" fontId="5" fillId="3" borderId="43" xfId="0" applyFont="1" applyFill="1" applyBorder="1" applyAlignment="1">
      <alignment horizontal="center" vertical="center"/>
    </xf>
    <xf numFmtId="0" fontId="5" fillId="3" borderId="0" xfId="0" applyFont="1" applyFill="1" applyBorder="1" applyAlignment="1">
      <alignment horizontal="center" vertical="center"/>
    </xf>
    <xf numFmtId="0" fontId="4" fillId="3" borderId="0" xfId="0" applyFont="1" applyFill="1" applyBorder="1" applyAlignment="1"/>
    <xf numFmtId="0" fontId="4" fillId="2" borderId="0" xfId="0" applyFont="1" applyBorder="1" applyAlignment="1"/>
    <xf numFmtId="0" fontId="2" fillId="3" borderId="0" xfId="0" applyFont="1" applyFill="1" applyBorder="1" applyAlignment="1">
      <alignment shrinkToFit="1"/>
    </xf>
    <xf numFmtId="49" fontId="30" fillId="0" borderId="32" xfId="0" applyNumberFormat="1" applyFont="1" applyFill="1" applyBorder="1" applyAlignment="1"/>
    <xf numFmtId="49" fontId="30" fillId="0" borderId="0" xfId="0" applyNumberFormat="1" applyFont="1" applyFill="1" applyBorder="1" applyAlignment="1"/>
    <xf numFmtId="49" fontId="30" fillId="0" borderId="34" xfId="0" applyNumberFormat="1" applyFont="1" applyFill="1" applyBorder="1" applyAlignment="1"/>
    <xf numFmtId="49" fontId="2" fillId="3" borderId="39" xfId="0" applyNumberFormat="1" applyFont="1" applyFill="1" applyBorder="1" applyAlignment="1">
      <alignment horizontal="left"/>
    </xf>
    <xf numFmtId="0" fontId="26" fillId="3" borderId="39" xfId="0" applyFont="1" applyFill="1" applyBorder="1" applyAlignment="1"/>
    <xf numFmtId="0" fontId="26" fillId="2" borderId="39" xfId="0" applyFont="1" applyBorder="1" applyAlignment="1"/>
    <xf numFmtId="49" fontId="23" fillId="3" borderId="38" xfId="0" applyNumberFormat="1" applyFont="1" applyFill="1" applyBorder="1" applyAlignment="1"/>
    <xf numFmtId="0" fontId="23" fillId="2" borderId="38" xfId="0" applyFont="1" applyBorder="1" applyAlignment="1"/>
    <xf numFmtId="3" fontId="2" fillId="3" borderId="38" xfId="0" applyNumberFormat="1" applyFont="1" applyFill="1" applyBorder="1" applyAlignment="1"/>
    <xf numFmtId="0" fontId="4" fillId="2" borderId="38" xfId="0" applyFont="1" applyBorder="1" applyAlignment="1"/>
    <xf numFmtId="0" fontId="1" fillId="3" borderId="25" xfId="0" applyFont="1" applyFill="1" applyBorder="1" applyAlignment="1"/>
    <xf numFmtId="0" fontId="0" fillId="2" borderId="35" xfId="0" applyBorder="1" applyAlignment="1"/>
    <xf numFmtId="0" fontId="0" fillId="2" borderId="44" xfId="0" applyBorder="1" applyAlignment="1"/>
    <xf numFmtId="0" fontId="31" fillId="6" borderId="0" xfId="0" applyFont="1" applyFill="1" applyBorder="1" applyAlignment="1">
      <alignment vertical="top"/>
    </xf>
    <xf numFmtId="0" fontId="19" fillId="3" borderId="0" xfId="0" applyFont="1" applyFill="1" applyBorder="1" applyAlignment="1">
      <alignment horizontal="center"/>
    </xf>
    <xf numFmtId="0" fontId="19" fillId="3" borderId="7" xfId="0" applyFont="1" applyFill="1" applyBorder="1" applyAlignment="1">
      <alignment horizontal="center"/>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dialogsheet" Target="dialogsheets/sheet2.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firstButton="1" fmlaLink="E51" lockText="1"/>
</file>

<file path=xl/ctrlProps/ctrlProp7.xml><?xml version="1.0" encoding="utf-8"?>
<formControlPr xmlns="http://schemas.microsoft.com/office/spreadsheetml/2009/9/main" objectType="Radio" checked="Checked" lockText="1"/>
</file>

<file path=xl/ctrlProps/ctrlProp8.xml><?xml version="1.0" encoding="utf-8"?>
<formControlPr xmlns="http://schemas.microsoft.com/office/spreadsheetml/2009/9/main" objectType="Radio" lockText="1"/>
</file>

<file path=xl/ctrlProps/ctrlProp9.xml><?xml version="1.0" encoding="utf-8"?>
<formControlPr xmlns="http://schemas.microsoft.com/office/spreadsheetml/2009/9/main" objectType="Radio" firstButton="1" fmlaLink="#REF!" lockText="1"/>
</file>

<file path=xl/ctrlProps/ctrlProp10.xml><?xml version="1.0" encoding="utf-8"?>
<formControlPr xmlns="http://schemas.microsoft.com/office/spreadsheetml/2009/9/main" objectType="Radio" checked="Checked" lockText="1"/>
</file>

<file path=xl/ctrlProps/ctrlProp11.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5.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jpeg"/></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5.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a:extLst>
            <a:ext uri="{FF2B5EF4-FFF2-40B4-BE49-F238E27FC236}">
              <a16:creationId xmlns:a16="http://schemas.microsoft.com/office/drawing/2014/main" xmlns="" id="{00000000-0008-0000-0100-000002040000}"/>
            </a:ext>
          </a:extLst>
        </xdr:cNvPr>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a:extLst>
            <a:ext uri="{FF2B5EF4-FFF2-40B4-BE49-F238E27FC236}">
              <a16:creationId xmlns:a16="http://schemas.microsoft.com/office/drawing/2014/main" xmlns="" id="{00000000-0008-0000-0100-000008040000}"/>
            </a:ext>
          </a:extLst>
        </xdr:cNvPr>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 uri="{FF2B5EF4-FFF2-40B4-BE49-F238E27FC236}">
                  <a16:creationId xmlns:a16="http://schemas.microsoft.com/office/drawing/2014/main" xmlns="" id="{00000000-0008-0000-0100-000001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 uri="{FF2B5EF4-FFF2-40B4-BE49-F238E27FC236}">
                  <a16:creationId xmlns:a16="http://schemas.microsoft.com/office/drawing/2014/main" xmlns="" id="{00000000-0008-0000-0100-000003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 uri="{FF2B5EF4-FFF2-40B4-BE49-F238E27FC236}">
                  <a16:creationId xmlns:a16="http://schemas.microsoft.com/office/drawing/2014/main" xmlns="" id="{00000000-0008-0000-0100-000004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 uri="{FF2B5EF4-FFF2-40B4-BE49-F238E27FC236}">
                  <a16:creationId xmlns:a16="http://schemas.microsoft.com/office/drawing/2014/main" xmlns="" id="{00000000-0008-0000-0100-00000704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0</xdr:colOff>
      <xdr:row>10</xdr:row>
      <xdr:rowOff>200025</xdr:rowOff>
    </xdr:from>
    <xdr:to>
      <xdr:col>6</xdr:col>
      <xdr:colOff>481263</xdr:colOff>
      <xdr:row>14</xdr:row>
      <xdr:rowOff>171450</xdr:rowOff>
    </xdr:to>
    <xdr:sp macro="[0]!Nada" textlink="">
      <xdr:nvSpPr>
        <xdr:cNvPr id="2052" name="LT">
          <a:extLst>
            <a:ext uri="{FF2B5EF4-FFF2-40B4-BE49-F238E27FC236}">
              <a16:creationId xmlns:a16="http://schemas.microsoft.com/office/drawing/2014/main" xmlns="" id="{00000000-0008-0000-0200-000004080000}"/>
            </a:ext>
          </a:extLst>
        </xdr:cNvPr>
        <xdr:cNvSpPr txBox="1">
          <a:spLocks noChangeArrowheads="1"/>
        </xdr:cNvSpPr>
      </xdr:nvSpPr>
      <xdr:spPr bwMode="auto">
        <a:xfrm>
          <a:off x="370974" y="1573630"/>
          <a:ext cx="2486526" cy="71337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r>
            <a:rPr lang="fr-FR" sz="1000" b="1" i="1" u="none" strike="noStrike" baseline="0">
              <a:solidFill>
                <a:srgbClr val="424242"/>
              </a:solidFill>
              <a:latin typeface="Times New Roman CE"/>
              <a:cs typeface="Times New Roman CE"/>
            </a:rPr>
            <a:t>RC:B161701999  MF:645 267 KMA 000</a:t>
          </a:r>
        </a:p>
      </xdr:txBody>
    </xdr:sp>
    <xdr:clientData/>
  </xdr:twoCellAnchor>
  <xdr:twoCellAnchor>
    <xdr:from>
      <xdr:col>2</xdr:col>
      <xdr:colOff>161925</xdr:colOff>
      <xdr:row>17</xdr:row>
      <xdr:rowOff>66675</xdr:rowOff>
    </xdr:from>
    <xdr:to>
      <xdr:col>10</xdr:col>
      <xdr:colOff>76200</xdr:colOff>
      <xdr:row>22</xdr:row>
      <xdr:rowOff>57150</xdr:rowOff>
    </xdr:to>
    <xdr:sp macro="" textlink="">
      <xdr:nvSpPr>
        <xdr:cNvPr id="2114" name="INVB1">
          <a:extLst>
            <a:ext uri="{FF2B5EF4-FFF2-40B4-BE49-F238E27FC236}">
              <a16:creationId xmlns:a16="http://schemas.microsoft.com/office/drawing/2014/main" xmlns="" id="{00000000-0008-0000-0200-000042080000}"/>
            </a:ext>
          </a:extLst>
        </xdr:cNvPr>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10</xdr:col>
      <xdr:colOff>180975</xdr:colOff>
      <xdr:row>17</xdr:row>
      <xdr:rowOff>66675</xdr:rowOff>
    </xdr:from>
    <xdr:to>
      <xdr:col>14</xdr:col>
      <xdr:colOff>114300</xdr:colOff>
      <xdr:row>22</xdr:row>
      <xdr:rowOff>57150</xdr:rowOff>
    </xdr:to>
    <xdr:sp macro="" textlink="">
      <xdr:nvSpPr>
        <xdr:cNvPr id="2115" name="INVB2">
          <a:extLst>
            <a:ext uri="{FF2B5EF4-FFF2-40B4-BE49-F238E27FC236}">
              <a16:creationId xmlns:a16="http://schemas.microsoft.com/office/drawing/2014/main" xmlns="" id="{00000000-0008-0000-0200-000043080000}"/>
            </a:ext>
          </a:extLst>
        </xdr:cNvPr>
        <xdr:cNvSpPr>
          <a:spLocks noChangeArrowheads="1"/>
        </xdr:cNvSpPr>
      </xdr:nvSpPr>
      <xdr:spPr bwMode="auto">
        <a:xfrm>
          <a:off x="4943475" y="2647950"/>
          <a:ext cx="2981325" cy="866775"/>
        </a:xfrm>
        <a:prstGeom prst="roundRect">
          <a:avLst>
            <a:gd name="adj" fmla="val 16667"/>
          </a:avLst>
        </a:prstGeom>
        <a:noFill/>
        <a:ln w="9525">
          <a:solidFill>
            <a:srgbClr val="000080"/>
          </a:solidFill>
          <a:round/>
          <a:headEnd/>
          <a:tailEnd/>
        </a:ln>
      </xdr:spPr>
    </xdr:sp>
    <xdr:clientData/>
  </xdr:twoCellAnchor>
  <xdr:twoCellAnchor>
    <xdr:from>
      <xdr:col>4</xdr:col>
      <xdr:colOff>85725</xdr:colOff>
      <xdr:row>16</xdr:row>
      <xdr:rowOff>152400</xdr:rowOff>
    </xdr:from>
    <xdr:to>
      <xdr:col>5</xdr:col>
      <xdr:colOff>552450</xdr:colOff>
      <xdr:row>18</xdr:row>
      <xdr:rowOff>0</xdr:rowOff>
    </xdr:to>
    <xdr:sp macro="[0]!Nada" textlink="">
      <xdr:nvSpPr>
        <xdr:cNvPr id="2058" name="INV1">
          <a:extLst>
            <a:ext uri="{FF2B5EF4-FFF2-40B4-BE49-F238E27FC236}">
              <a16:creationId xmlns:a16="http://schemas.microsoft.com/office/drawing/2014/main" xmlns="" id="{00000000-0008-0000-0200-00000A080000}"/>
            </a:ext>
          </a:extLst>
        </xdr:cNvPr>
        <xdr:cNvSpPr txBox="1">
          <a:spLocks noChangeArrowheads="1"/>
        </xdr:cNvSpPr>
      </xdr:nvSpPr>
      <xdr:spPr bwMode="auto">
        <a:xfrm>
          <a:off x="1162050" y="2562225"/>
          <a:ext cx="1209675" cy="180975"/>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xdr:twoCellAnchor editAs="oneCell">
    <xdr:from>
      <xdr:col>12</xdr:col>
      <xdr:colOff>671763</xdr:colOff>
      <xdr:row>3</xdr:row>
      <xdr:rowOff>50132</xdr:rowOff>
    </xdr:from>
    <xdr:to>
      <xdr:col>13</xdr:col>
      <xdr:colOff>338044</xdr:colOff>
      <xdr:row>7</xdr:row>
      <xdr:rowOff>124065</xdr:rowOff>
    </xdr:to>
    <xdr:pic>
      <xdr:nvPicPr>
        <xdr:cNvPr id="7" name="Image 6">
          <a:extLst>
            <a:ext uri="{FF2B5EF4-FFF2-40B4-BE49-F238E27FC236}">
              <a16:creationId xmlns:a16="http://schemas.microsoft.com/office/drawing/2014/main" xmlns="" id="{00000000-0008-0000-0200-000007000000}"/>
            </a:ext>
          </a:extLst>
        </xdr:cNvPr>
        <xdr:cNvPicPr/>
      </xdr:nvPicPr>
      <xdr:blipFill>
        <a:blip xmlns:r="http://schemas.openxmlformats.org/officeDocument/2006/relationships" r:embed="rId1" cstate="print"/>
        <a:srcRect/>
        <a:stretch>
          <a:fillRect/>
        </a:stretch>
      </xdr:blipFill>
      <xdr:spPr bwMode="auto">
        <a:xfrm>
          <a:off x="6456947" y="300790"/>
          <a:ext cx="648860" cy="715617"/>
        </a:xfrm>
        <a:prstGeom prst="rect">
          <a:avLst/>
        </a:prstGeom>
        <a:noFill/>
        <a:ln w="9525">
          <a:noFill/>
          <a:miter lim="800000"/>
          <a:headEnd/>
          <a:tailEnd/>
        </a:ln>
      </xdr:spPr>
    </xdr:pic>
    <xdr:clientData/>
  </xdr:twoCellAnchor>
  <mc:AlternateContent xmlns:mc="http://schemas.openxmlformats.org/markup-compatibility/2006">
    <mc:Choice xmlns:a14="http://schemas.microsoft.com/office/drawing/2010/main" Requires="a14">
      <xdr:twoCellAnchor>
        <xdr:from>
          <xdr:col>12</xdr:col>
          <xdr:colOff>485775</xdr:colOff>
          <xdr:row>12</xdr:row>
          <xdr:rowOff>0</xdr:rowOff>
        </xdr:from>
        <xdr:to>
          <xdr:col>13</xdr:col>
          <xdr:colOff>714375</xdr:colOff>
          <xdr:row>13</xdr:row>
          <xdr:rowOff>47625</xdr:rowOff>
        </xdr:to>
        <xdr:sp macro="" textlink="">
          <xdr:nvSpPr>
            <xdr:cNvPr id="2059" name="CUST" hidden="1">
              <a:extLst>
                <a:ext uri="{63B3BB69-23CF-44E3-9099-C40C66FF867C}">
                  <a14:compatExt spid="_x0000_s2059"/>
                </a:ext>
                <a:ext uri="{FF2B5EF4-FFF2-40B4-BE49-F238E27FC236}">
                  <a16:creationId xmlns:a16="http://schemas.microsoft.com/office/drawing/2014/main" xmlns="" id="{00000000-0008-0000-0200-00000B0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47</xdr:row>
          <xdr:rowOff>152400</xdr:rowOff>
        </xdr:from>
        <xdr:to>
          <xdr:col>4</xdr:col>
          <xdr:colOff>695325</xdr:colOff>
          <xdr:row>48</xdr:row>
          <xdr:rowOff>171450</xdr:rowOff>
        </xdr:to>
        <xdr:sp macro="" textlink="">
          <xdr:nvSpPr>
            <xdr:cNvPr id="2061" name="pd1" hidden="1">
              <a:extLst>
                <a:ext uri="{63B3BB69-23CF-44E3-9099-C40C66FF867C}">
                  <a14:compatExt spid="_x0000_s2061"/>
                </a:ext>
                <a:ext uri="{FF2B5EF4-FFF2-40B4-BE49-F238E27FC236}">
                  <a16:creationId xmlns:a16="http://schemas.microsoft.com/office/drawing/2014/main" xmlns="" id="{00000000-0008-0000-0200-00000D08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49</xdr:row>
          <xdr:rowOff>0</xdr:rowOff>
        </xdr:from>
        <xdr:to>
          <xdr:col>4</xdr:col>
          <xdr:colOff>704850</xdr:colOff>
          <xdr:row>50</xdr:row>
          <xdr:rowOff>19049</xdr:rowOff>
        </xdr:to>
        <xdr:sp macro="" textlink="">
          <xdr:nvSpPr>
            <xdr:cNvPr id="2062" name="pd3" hidden="1">
              <a:extLst>
                <a:ext uri="{63B3BB69-23CF-44E3-9099-C40C66FF867C}">
                  <a14:compatExt spid="_x0000_s2062"/>
                </a:ext>
                <a:ext uri="{FF2B5EF4-FFF2-40B4-BE49-F238E27FC236}">
                  <a16:creationId xmlns:a16="http://schemas.microsoft.com/office/drawing/2014/main" xmlns="" id="{00000000-0008-0000-0200-00000E08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409575</xdr:colOff>
          <xdr:row>50</xdr:row>
          <xdr:rowOff>28575</xdr:rowOff>
        </xdr:from>
        <xdr:to>
          <xdr:col>4</xdr:col>
          <xdr:colOff>714375</xdr:colOff>
          <xdr:row>51</xdr:row>
          <xdr:rowOff>47625</xdr:rowOff>
        </xdr:to>
        <xdr:sp macro="" textlink="">
          <xdr:nvSpPr>
            <xdr:cNvPr id="2071" name="pd2" hidden="1">
              <a:extLst>
                <a:ext uri="{63B3BB69-23CF-44E3-9099-C40C66FF867C}">
                  <a14:compatExt spid="_x0000_s2071"/>
                </a:ext>
                <a:ext uri="{FF2B5EF4-FFF2-40B4-BE49-F238E27FC236}">
                  <a16:creationId xmlns:a16="http://schemas.microsoft.com/office/drawing/2014/main" xmlns="" id="{00000000-0008-0000-0200-00001708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110289</xdr:colOff>
      <xdr:row>2</xdr:row>
      <xdr:rowOff>130342</xdr:rowOff>
    </xdr:from>
    <xdr:to>
      <xdr:col>7</xdr:col>
      <xdr:colOff>772026</xdr:colOff>
      <xdr:row>10</xdr:row>
      <xdr:rowOff>40106</xdr:rowOff>
    </xdr:to>
    <xdr:pic>
      <xdr:nvPicPr>
        <xdr:cNvPr id="13" name="Image 12" descr="C:\Users\User\Desktop\sigle acrobat.png">
          <a:extLst>
            <a:ext uri="{FF2B5EF4-FFF2-40B4-BE49-F238E27FC236}">
              <a16:creationId xmlns:a16="http://schemas.microsoft.com/office/drawing/2014/main" xmlns="" id="{00000000-0008-0000-0200-00000D000000}"/>
            </a:ext>
          </a:extLst>
        </xdr:cNvPr>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30605" y="220579"/>
          <a:ext cx="3529263" cy="1193132"/>
        </a:xfrm>
        <a:prstGeom prst="rect">
          <a:avLst/>
        </a:prstGeom>
        <a:noFill/>
        <a:ln>
          <a:noFill/>
        </a:ln>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10</xdr:col>
      <xdr:colOff>671763</xdr:colOff>
      <xdr:row>0</xdr:row>
      <xdr:rowOff>0</xdr:rowOff>
    </xdr:from>
    <xdr:to>
      <xdr:col>11</xdr:col>
      <xdr:colOff>557119</xdr:colOff>
      <xdr:row>4</xdr:row>
      <xdr:rowOff>73933</xdr:rowOff>
    </xdr:to>
    <xdr:pic>
      <xdr:nvPicPr>
        <xdr:cNvPr id="6" name="Image 5">
          <a:extLst>
            <a:ext uri="{FF2B5EF4-FFF2-40B4-BE49-F238E27FC236}">
              <a16:creationId xmlns:a16="http://schemas.microsoft.com/office/drawing/2014/main" xmlns="" id="{00000000-0008-0000-0200-000007000000}"/>
            </a:ext>
          </a:extLst>
        </xdr:cNvPr>
        <xdr:cNvPicPr/>
      </xdr:nvPicPr>
      <xdr:blipFill>
        <a:blip xmlns:r="http://schemas.openxmlformats.org/officeDocument/2006/relationships" r:embed="rId1" cstate="print"/>
        <a:srcRect/>
        <a:stretch>
          <a:fillRect/>
        </a:stretch>
      </xdr:blipFill>
      <xdr:spPr bwMode="auto">
        <a:xfrm>
          <a:off x="6453438" y="297782"/>
          <a:ext cx="647356" cy="721633"/>
        </a:xfrm>
        <a:prstGeom prst="rect">
          <a:avLst/>
        </a:prstGeom>
        <a:noFill/>
        <a:ln w="9525">
          <a:noFill/>
          <a:miter lim="800000"/>
          <a:headEnd/>
          <a:tailEnd/>
        </a:ln>
      </xdr:spPr>
    </xdr:pic>
    <xdr:clientData/>
  </xdr:twoCellAnchor>
  <mc:AlternateContent xmlns:mc="http://schemas.openxmlformats.org/markup-compatibility/2006">
    <mc:Choice xmlns:a14="http://schemas.microsoft.com/office/drawing/2010/main" Requires="a14">
      <xdr:twoCellAnchor editAs="oneCell">
        <xdr:from>
          <xdr:col>2</xdr:col>
          <xdr:colOff>400050</xdr:colOff>
          <xdr:row>0</xdr:row>
          <xdr:rowOff>0</xdr:rowOff>
        </xdr:from>
        <xdr:to>
          <xdr:col>2</xdr:col>
          <xdr:colOff>695325</xdr:colOff>
          <xdr:row>1</xdr:row>
          <xdr:rowOff>47625</xdr:rowOff>
        </xdr:to>
        <xdr:sp macro="" textlink="">
          <xdr:nvSpPr>
            <xdr:cNvPr id="9218" name="pd1" hidden="1">
              <a:extLst>
                <a:ext uri="{63B3BB69-23CF-44E3-9099-C40C66FF867C}">
                  <a14:compatExt spid="_x0000_s9218"/>
                </a:ext>
                <a:ext uri="{FF2B5EF4-FFF2-40B4-BE49-F238E27FC236}">
                  <a16:creationId xmlns:a16="http://schemas.microsoft.com/office/drawing/2014/main" xmlns="" id="{00000000-0008-0000-0200-00000D08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400050</xdr:colOff>
          <xdr:row>0</xdr:row>
          <xdr:rowOff>0</xdr:rowOff>
        </xdr:from>
        <xdr:to>
          <xdr:col>2</xdr:col>
          <xdr:colOff>704850</xdr:colOff>
          <xdr:row>1</xdr:row>
          <xdr:rowOff>57150</xdr:rowOff>
        </xdr:to>
        <xdr:sp macro="" textlink="">
          <xdr:nvSpPr>
            <xdr:cNvPr id="9219" name="pd3" hidden="1">
              <a:extLst>
                <a:ext uri="{63B3BB69-23CF-44E3-9099-C40C66FF867C}">
                  <a14:compatExt spid="_x0000_s9219"/>
                </a:ext>
                <a:ext uri="{FF2B5EF4-FFF2-40B4-BE49-F238E27FC236}">
                  <a16:creationId xmlns:a16="http://schemas.microsoft.com/office/drawing/2014/main" xmlns="" id="{00000000-0008-0000-0200-00000E08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409575</xdr:colOff>
          <xdr:row>0</xdr:row>
          <xdr:rowOff>0</xdr:rowOff>
        </xdr:from>
        <xdr:to>
          <xdr:col>2</xdr:col>
          <xdr:colOff>714375</xdr:colOff>
          <xdr:row>1</xdr:row>
          <xdr:rowOff>57150</xdr:rowOff>
        </xdr:to>
        <xdr:sp macro="" textlink="">
          <xdr:nvSpPr>
            <xdr:cNvPr id="9220" name="pd2" hidden="1">
              <a:extLst>
                <a:ext uri="{63B3BB69-23CF-44E3-9099-C40C66FF867C}">
                  <a14:compatExt spid="_x0000_s9220"/>
                </a:ext>
                <a:ext uri="{FF2B5EF4-FFF2-40B4-BE49-F238E27FC236}">
                  <a16:creationId xmlns:a16="http://schemas.microsoft.com/office/drawing/2014/main" xmlns="" id="{00000000-0008-0000-0200-00001708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0</xdr:col>
      <xdr:colOff>110289</xdr:colOff>
      <xdr:row>0</xdr:row>
      <xdr:rowOff>0</xdr:rowOff>
    </xdr:from>
    <xdr:to>
      <xdr:col>4</xdr:col>
      <xdr:colOff>591051</xdr:colOff>
      <xdr:row>7</xdr:row>
      <xdr:rowOff>71689</xdr:rowOff>
    </xdr:to>
    <xdr:pic>
      <xdr:nvPicPr>
        <xdr:cNvPr id="11" name="Image 10" descr="C:\Users\User\Desktop\sigle acrobat.png">
          <a:extLst>
            <a:ext uri="{FF2B5EF4-FFF2-40B4-BE49-F238E27FC236}">
              <a16:creationId xmlns:a16="http://schemas.microsoft.com/office/drawing/2014/main" xmlns="" id="{00000000-0008-0000-0200-00000D000000}"/>
            </a:ext>
          </a:extLst>
        </xdr:cNvPr>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24589" y="216067"/>
          <a:ext cx="3528762" cy="1205164"/>
        </a:xfrm>
        <a:prstGeom prst="rect">
          <a:avLst/>
        </a:prstGeom>
        <a:noFill/>
        <a:ln>
          <a:noFill/>
        </a:ln>
      </xdr:spPr>
    </xdr:pic>
    <xdr:clientData/>
  </xdr:twoCellAnchor>
  <xdr:twoCellAnchor editAs="oneCell">
    <xdr:from>
      <xdr:col>10</xdr:col>
      <xdr:colOff>220579</xdr:colOff>
      <xdr:row>0</xdr:row>
      <xdr:rowOff>0</xdr:rowOff>
    </xdr:from>
    <xdr:to>
      <xdr:col>12</xdr:col>
      <xdr:colOff>114299</xdr:colOff>
      <xdr:row>8</xdr:row>
      <xdr:rowOff>147890</xdr:rowOff>
    </xdr:to>
    <xdr:pic>
      <xdr:nvPicPr>
        <xdr:cNvPr id="12" name="Image 1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6002254" y="16725898"/>
          <a:ext cx="1417720" cy="1243265"/>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trlProp" Target="../ctrlProps/ctrlProp8.xml"/><Relationship Id="rId3" Type="http://schemas.openxmlformats.org/officeDocument/2006/relationships/drawing" Target="../drawings/drawing2.xml"/><Relationship Id="rId7" Type="http://schemas.openxmlformats.org/officeDocument/2006/relationships/ctrlProp" Target="../ctrlProps/ctrlProp7.xml"/><Relationship Id="rId2" Type="http://schemas.openxmlformats.org/officeDocument/2006/relationships/printerSettings" Target="../printerSettings/printerSettings2.bin"/><Relationship Id="rId1" Type="http://schemas.openxmlformats.org/officeDocument/2006/relationships/hyperlink" Target="http://www.camp.it/" TargetMode="External"/><Relationship Id="rId6" Type="http://schemas.openxmlformats.org/officeDocument/2006/relationships/ctrlProp" Target="../ctrlProps/ctrlProp6.xml"/><Relationship Id="rId5" Type="http://schemas.openxmlformats.org/officeDocument/2006/relationships/ctrlProp" Target="../ctrlProps/ctrlProp5.xml"/><Relationship Id="rId4" Type="http://schemas.openxmlformats.org/officeDocument/2006/relationships/vmlDrawing" Target="../drawings/vmlDrawing2.vml"/><Relationship Id="rId9" Type="http://schemas.openxmlformats.org/officeDocument/2006/relationships/comments" Target="../comments2.xml"/></Relationships>
</file>

<file path=xl/worksheets/_rels/sheet4.xml.rels><?xml version="1.0" encoding="UTF-8" standalone="yes"?>
<Relationships xmlns="http://schemas.openxmlformats.org/package/2006/relationships"><Relationship Id="rId3" Type="http://schemas.openxmlformats.org/officeDocument/2006/relationships/ctrlProp" Target="../ctrlProps/ctrlProp9.xml"/><Relationship Id="rId2" Type="http://schemas.openxmlformats.org/officeDocument/2006/relationships/vmlDrawing" Target="../drawings/vmlDrawing3.vml"/><Relationship Id="rId1" Type="http://schemas.openxmlformats.org/officeDocument/2006/relationships/drawing" Target="../drawings/drawing3.xml"/><Relationship Id="rId5" Type="http://schemas.openxmlformats.org/officeDocument/2006/relationships/ctrlProp" Target="../ctrlProps/ctrlProp11.xml"/><Relationship Id="rId4" Type="http://schemas.openxmlformats.org/officeDocument/2006/relationships/ctrlProp" Target="../ctrlProps/ctrlProp1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34" t="s">
        <v>0</v>
      </c>
      <c r="E4" s="135"/>
      <c r="F4" s="135"/>
      <c r="G4" s="3"/>
      <c r="H4" s="3"/>
      <c r="I4" s="3"/>
      <c r="J4" s="9"/>
    </row>
    <row r="5" spans="2:10" ht="3" customHeight="1" thickTop="1" x14ac:dyDescent="0.2">
      <c r="B5" s="2"/>
      <c r="C5" s="60"/>
      <c r="D5" s="60"/>
      <c r="E5" s="60"/>
      <c r="F5" s="60"/>
      <c r="G5" s="60"/>
      <c r="H5" s="60"/>
      <c r="I5" s="60"/>
      <c r="J5" s="1"/>
    </row>
    <row r="6" spans="2:10" ht="12.75" customHeight="1" x14ac:dyDescent="0.3">
      <c r="B6" s="7"/>
      <c r="C6" s="3"/>
      <c r="D6" s="21"/>
      <c r="E6" s="3"/>
      <c r="F6" s="3"/>
      <c r="G6" s="3"/>
      <c r="H6" s="3"/>
      <c r="I6" s="3"/>
      <c r="J6" s="9"/>
    </row>
    <row r="7" spans="2:10" x14ac:dyDescent="0.2">
      <c r="B7" s="7"/>
      <c r="C7" s="3"/>
      <c r="D7" s="3"/>
      <c r="E7" s="3"/>
      <c r="F7" s="3"/>
      <c r="G7" s="66" t="s">
        <v>46</v>
      </c>
      <c r="H7" s="3"/>
      <c r="I7" s="3"/>
      <c r="J7" s="9"/>
    </row>
    <row r="8" spans="2:10" x14ac:dyDescent="0.2">
      <c r="B8" s="7"/>
      <c r="C8" s="3"/>
      <c r="D8" s="3"/>
      <c r="E8" s="3"/>
      <c r="F8" s="3"/>
      <c r="G8" s="66" t="s">
        <v>1</v>
      </c>
      <c r="H8" s="3"/>
      <c r="I8" s="3"/>
      <c r="J8" s="9"/>
    </row>
    <row r="9" spans="2:10" x14ac:dyDescent="0.2">
      <c r="B9" s="7"/>
      <c r="C9" s="3"/>
      <c r="D9" s="22"/>
      <c r="E9" s="3"/>
      <c r="F9" s="3"/>
      <c r="G9" s="44"/>
      <c r="H9" s="3"/>
      <c r="I9" s="3"/>
      <c r="J9" s="9"/>
    </row>
    <row r="10" spans="2:10" ht="13.5" thickBot="1" x14ac:dyDescent="0.25">
      <c r="B10" s="7"/>
      <c r="C10" s="3"/>
      <c r="D10" s="136" t="s">
        <v>2</v>
      </c>
      <c r="E10" s="137"/>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54</v>
      </c>
      <c r="F12" s="67" t="s">
        <v>4</v>
      </c>
      <c r="G12" s="17"/>
      <c r="H12" s="27"/>
      <c r="I12" s="3"/>
      <c r="J12" s="9"/>
    </row>
    <row r="13" spans="2:10" ht="13.5" thickBot="1" x14ac:dyDescent="0.25">
      <c r="B13" s="7"/>
      <c r="C13" s="3"/>
      <c r="D13" s="34" t="s">
        <v>5</v>
      </c>
      <c r="E13" s="14" t="s">
        <v>50</v>
      </c>
      <c r="F13" s="67" t="s">
        <v>6</v>
      </c>
      <c r="G13" s="18"/>
      <c r="H13" s="27"/>
      <c r="I13" s="3"/>
      <c r="J13" s="9"/>
    </row>
    <row r="14" spans="2:10" x14ac:dyDescent="0.2">
      <c r="B14" s="7"/>
      <c r="C14" s="3"/>
      <c r="D14" s="34" t="s">
        <v>7</v>
      </c>
      <c r="E14" s="15" t="s">
        <v>51</v>
      </c>
      <c r="F14" s="28"/>
      <c r="G14" s="29"/>
      <c r="H14" s="27"/>
      <c r="I14" s="3"/>
      <c r="J14" s="9"/>
    </row>
    <row r="15" spans="2:10" x14ac:dyDescent="0.2">
      <c r="B15" s="7"/>
      <c r="C15" s="3"/>
      <c r="D15" s="34" t="s">
        <v>8</v>
      </c>
      <c r="E15" s="14" t="s">
        <v>52</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38" t="s">
        <v>47</v>
      </c>
      <c r="E19" s="137"/>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34</v>
      </c>
      <c r="F21" s="35"/>
      <c r="G21" s="43" t="s">
        <v>10</v>
      </c>
      <c r="H21" s="27"/>
      <c r="I21" s="3"/>
      <c r="J21" s="9"/>
    </row>
    <row r="22" spans="2:10" x14ac:dyDescent="0.2">
      <c r="B22" s="7"/>
      <c r="C22" s="3"/>
      <c r="D22" s="34">
        <v>1</v>
      </c>
      <c r="E22" s="76">
        <v>0.1</v>
      </c>
      <c r="F22" s="35"/>
      <c r="G22" s="38"/>
      <c r="H22" s="27"/>
      <c r="I22" s="3"/>
      <c r="J22" s="9"/>
    </row>
    <row r="23" spans="2:10" x14ac:dyDescent="0.2">
      <c r="B23" s="7"/>
      <c r="C23" s="3"/>
      <c r="D23" s="36">
        <v>2</v>
      </c>
      <c r="E23" s="68">
        <v>0.18</v>
      </c>
      <c r="F23" s="35"/>
      <c r="G23" s="39"/>
      <c r="H23" s="27"/>
      <c r="I23" s="3"/>
      <c r="J23" s="9"/>
    </row>
    <row r="24" spans="2:10" ht="13.5" thickBot="1" x14ac:dyDescent="0.25">
      <c r="B24" s="7"/>
      <c r="C24" s="3"/>
      <c r="D24" s="36">
        <v>3</v>
      </c>
      <c r="E24" s="64">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48</v>
      </c>
      <c r="G27" s="77">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3"/>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39" t="str">
        <f>LOWER(TemplateInformation!B3)</f>
        <v>c:\program files\microsoft office\office\macrolib\factbd.xls</v>
      </c>
      <c r="G33" s="140"/>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36" t="s">
        <v>16</v>
      </c>
      <c r="E36" s="137"/>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102"/>
      <c r="G38" s="47"/>
      <c r="H38" s="48"/>
      <c r="I38" s="62"/>
      <c r="J38" s="23"/>
    </row>
    <row r="39" spans="2:10" ht="14.25" x14ac:dyDescent="0.2">
      <c r="B39" s="7"/>
      <c r="C39" s="3"/>
      <c r="D39" s="46"/>
      <c r="E39" s="47"/>
      <c r="F39" s="49"/>
      <c r="G39" s="47"/>
      <c r="H39" s="48"/>
      <c r="I39" s="62"/>
      <c r="J39" s="23"/>
    </row>
    <row r="40" spans="2:10" ht="14.25" x14ac:dyDescent="0.2">
      <c r="B40" s="7"/>
      <c r="C40" s="3"/>
      <c r="D40" s="46"/>
      <c r="E40" s="47"/>
      <c r="F40" s="47"/>
      <c r="G40" s="47"/>
      <c r="H40" s="48"/>
      <c r="I40" s="62"/>
      <c r="J40" s="23"/>
    </row>
    <row r="41" spans="2:10" ht="14.25" x14ac:dyDescent="0.2">
      <c r="B41" s="7"/>
      <c r="C41" s="3"/>
      <c r="D41" s="46"/>
      <c r="E41" s="47"/>
      <c r="F41" s="47"/>
      <c r="G41" s="47"/>
      <c r="H41" s="48"/>
      <c r="I41" s="62"/>
      <c r="J41" s="23"/>
    </row>
    <row r="42" spans="2:10" ht="20.100000000000001" customHeight="1" x14ac:dyDescent="0.2">
      <c r="B42" s="7"/>
      <c r="C42" s="3"/>
      <c r="D42" s="46"/>
      <c r="E42" s="47"/>
      <c r="F42" s="47"/>
      <c r="G42" s="47"/>
      <c r="H42" s="48"/>
      <c r="I42" s="62"/>
      <c r="J42" s="23"/>
    </row>
    <row r="43" spans="2:10" ht="14.25" x14ac:dyDescent="0.2">
      <c r="B43" s="7"/>
      <c r="C43" s="3"/>
      <c r="D43" s="46"/>
      <c r="E43" s="47"/>
      <c r="F43" s="47"/>
      <c r="G43" s="47"/>
      <c r="H43" s="48"/>
      <c r="I43" s="62"/>
      <c r="J43" s="23"/>
    </row>
    <row r="44" spans="2:10" ht="26.25" customHeight="1" thickBot="1" x14ac:dyDescent="0.25">
      <c r="B44" s="7"/>
      <c r="C44" s="3"/>
      <c r="D44" s="50"/>
      <c r="E44" s="51"/>
      <c r="F44" s="51"/>
      <c r="G44" s="51"/>
      <c r="H44" s="52"/>
      <c r="I44" s="62"/>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5">
        <v>0</v>
      </c>
    </row>
    <row r="49" spans="5:5" x14ac:dyDescent="0.2">
      <c r="E49" s="65" t="b">
        <v>0</v>
      </c>
    </row>
    <row r="50" spans="5:5" x14ac:dyDescent="0.2">
      <c r="E50" s="65" t="b">
        <v>0</v>
      </c>
    </row>
    <row r="51" spans="5:5" x14ac:dyDescent="0.2">
      <c r="E51" s="65" t="s">
        <v>17</v>
      </c>
    </row>
    <row r="52" spans="5:5" x14ac:dyDescent="0.2">
      <c r="E52" s="65"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B1:P69"/>
  <sheetViews>
    <sheetView showGridLines="0" showRowColHeaders="0" tabSelected="1" topLeftCell="A4" zoomScale="95" workbookViewId="0">
      <selection activeCell="J28" sqref="J28"/>
    </sheetView>
  </sheetViews>
  <sheetFormatPr baseColWidth="10" defaultColWidth="9.140625" defaultRowHeight="12.75" x14ac:dyDescent="0.2"/>
  <cols>
    <col min="1" max="1" width="1.28515625" customWidth="1"/>
    <col min="2" max="2" width="0.42578125" customWidth="1"/>
    <col min="3" max="3" width="3.7109375" customWidth="1"/>
    <col min="4" max="4" width="10.7109375" customWidth="1"/>
    <col min="5" max="5" width="11.7109375" customWidth="1"/>
    <col min="6" max="6" width="7.7109375" customWidth="1"/>
    <col min="7" max="7" width="9.140625" customWidth="1"/>
    <col min="8" max="8" width="13.7109375" customWidth="1"/>
    <col min="9" max="9" width="5.7109375" customWidth="1"/>
    <col min="10" max="10" width="7.28515625" customWidth="1"/>
    <col min="11" max="11" width="3.28515625" customWidth="1"/>
    <col min="12" max="12" width="12" customWidth="1"/>
    <col min="13" max="13" width="14.7109375" customWidth="1"/>
    <col min="14" max="14" width="15.7109375" customWidth="1"/>
    <col min="15" max="15" width="3.7109375" customWidth="1"/>
    <col min="16" max="16" width="0.42578125" customWidth="1"/>
    <col min="17" max="17" width="1.7109375" customWidth="1"/>
  </cols>
  <sheetData>
    <row r="1" spans="2:16" ht="6" customHeight="1" thickBot="1" x14ac:dyDescent="0.25"/>
    <row r="2" spans="2:16" ht="0.95" customHeight="1" thickTop="1" x14ac:dyDescent="0.2">
      <c r="B2" s="4"/>
      <c r="C2" s="5"/>
      <c r="D2" s="5"/>
      <c r="E2" s="5"/>
      <c r="F2" s="5"/>
      <c r="G2" s="5"/>
      <c r="H2" s="5"/>
      <c r="I2" s="5"/>
      <c r="J2" s="5"/>
      <c r="K2" s="5"/>
      <c r="L2" s="5"/>
      <c r="M2" s="5"/>
      <c r="N2" s="5"/>
      <c r="O2" s="5"/>
      <c r="P2" s="6"/>
    </row>
    <row r="3" spans="2:16" x14ac:dyDescent="0.2">
      <c r="B3" s="7"/>
      <c r="C3" s="3"/>
      <c r="D3" s="3"/>
      <c r="E3" s="3"/>
      <c r="F3" s="3"/>
      <c r="G3" s="3"/>
      <c r="H3" s="3"/>
      <c r="I3" s="3"/>
      <c r="J3" s="3"/>
      <c r="K3" s="3"/>
      <c r="L3" s="3"/>
      <c r="M3" s="3"/>
      <c r="N3" s="3"/>
      <c r="O3" s="3"/>
      <c r="P3" s="9"/>
    </row>
    <row r="4" spans="2:16" x14ac:dyDescent="0.2">
      <c r="B4" s="7"/>
      <c r="C4" s="3"/>
      <c r="D4" s="3"/>
      <c r="E4" s="3"/>
      <c r="F4" s="3"/>
      <c r="G4" s="3"/>
      <c r="H4" s="3"/>
      <c r="I4" s="3"/>
      <c r="J4" s="3"/>
      <c r="K4" s="3"/>
      <c r="L4" s="3"/>
      <c r="M4" s="3"/>
      <c r="N4" s="3"/>
      <c r="O4" s="3"/>
      <c r="P4" s="9"/>
    </row>
    <row r="5" spans="2:16" x14ac:dyDescent="0.2">
      <c r="B5" s="7"/>
      <c r="C5" s="3"/>
      <c r="D5" s="3"/>
      <c r="E5" s="3"/>
      <c r="F5" s="3"/>
      <c r="G5" s="3"/>
      <c r="H5" s="3"/>
      <c r="I5" s="3"/>
      <c r="J5" s="3"/>
      <c r="K5" s="3"/>
      <c r="L5" s="3"/>
      <c r="M5" s="3"/>
      <c r="N5" s="3"/>
      <c r="O5" s="3"/>
      <c r="P5" s="9"/>
    </row>
    <row r="6" spans="2:16" x14ac:dyDescent="0.2">
      <c r="B6" s="7"/>
      <c r="C6" s="3"/>
      <c r="D6" s="3"/>
      <c r="E6" s="3"/>
      <c r="F6" s="3"/>
      <c r="G6" s="3"/>
      <c r="H6" s="3"/>
      <c r="I6" s="3"/>
      <c r="J6" s="3"/>
      <c r="K6" s="3"/>
      <c r="L6" s="3"/>
      <c r="M6" s="3"/>
      <c r="N6" s="3"/>
      <c r="O6" s="3"/>
      <c r="P6" s="9"/>
    </row>
    <row r="7" spans="2:16" x14ac:dyDescent="0.2">
      <c r="B7" s="7"/>
      <c r="C7" s="3"/>
      <c r="D7" s="3"/>
      <c r="E7" s="3"/>
      <c r="F7" s="3"/>
      <c r="G7" s="3"/>
      <c r="H7" s="3"/>
      <c r="I7" s="3"/>
      <c r="J7" s="3"/>
      <c r="K7" s="3"/>
      <c r="L7" s="3"/>
      <c r="M7" s="3"/>
      <c r="N7" s="3"/>
      <c r="O7" s="3"/>
      <c r="P7" s="9"/>
    </row>
    <row r="8" spans="2:16" x14ac:dyDescent="0.2">
      <c r="B8" s="7"/>
      <c r="C8" s="3"/>
      <c r="D8" s="3"/>
      <c r="E8" s="3"/>
      <c r="F8" s="3"/>
      <c r="G8" s="3"/>
      <c r="H8" s="3"/>
      <c r="I8" s="3"/>
      <c r="J8" s="3"/>
      <c r="K8" s="3"/>
      <c r="L8" s="3"/>
      <c r="M8" s="3"/>
      <c r="N8" s="3"/>
      <c r="O8" s="3"/>
      <c r="P8" s="9"/>
    </row>
    <row r="9" spans="2:16" x14ac:dyDescent="0.2">
      <c r="B9" s="7"/>
      <c r="C9" s="3"/>
      <c r="D9" s="3"/>
      <c r="E9" s="3"/>
      <c r="F9" s="3"/>
      <c r="G9" s="3"/>
      <c r="H9" s="3"/>
      <c r="I9" s="3"/>
      <c r="J9" s="3"/>
      <c r="K9" s="3"/>
      <c r="L9" s="3"/>
      <c r="M9" s="143" t="s">
        <v>57</v>
      </c>
      <c r="N9" s="144"/>
      <c r="O9" s="3"/>
      <c r="P9" s="9"/>
    </row>
    <row r="10" spans="2:16" x14ac:dyDescent="0.2">
      <c r="B10" s="7"/>
      <c r="C10" s="3"/>
      <c r="D10" s="3"/>
      <c r="E10" s="3"/>
      <c r="F10" s="3"/>
      <c r="G10" s="3"/>
      <c r="H10" s="3"/>
      <c r="I10" s="3"/>
      <c r="J10" s="3"/>
      <c r="K10" s="3"/>
      <c r="L10" s="3"/>
      <c r="M10" s="141" t="s">
        <v>58</v>
      </c>
      <c r="N10" s="142"/>
      <c r="O10" s="3"/>
      <c r="P10" s="9"/>
    </row>
    <row r="11" spans="2:16" ht="20.25" x14ac:dyDescent="0.3">
      <c r="B11" s="7"/>
      <c r="C11" s="3"/>
      <c r="D11" s="3"/>
      <c r="E11" s="3"/>
      <c r="F11" s="3"/>
      <c r="G11" s="3"/>
      <c r="H11" s="3"/>
      <c r="I11" s="3"/>
      <c r="J11" s="3"/>
      <c r="K11" s="8"/>
      <c r="L11" s="8"/>
      <c r="M11" s="78"/>
      <c r="N11" s="78" t="s">
        <v>55</v>
      </c>
      <c r="O11" s="19"/>
      <c r="P11" s="9"/>
    </row>
    <row r="12" spans="2:16" x14ac:dyDescent="0.2">
      <c r="B12" s="7"/>
      <c r="C12" s="3"/>
      <c r="D12" s="3"/>
      <c r="E12" s="3"/>
      <c r="F12" s="3"/>
      <c r="G12" s="3"/>
      <c r="H12" s="3"/>
      <c r="I12" s="3"/>
      <c r="J12" s="3"/>
      <c r="K12" s="3"/>
      <c r="L12" s="3"/>
      <c r="M12" s="3"/>
      <c r="N12" s="3"/>
      <c r="O12" s="3"/>
      <c r="P12" s="9"/>
    </row>
    <row r="13" spans="2:16" x14ac:dyDescent="0.2">
      <c r="B13" s="7"/>
      <c r="C13" s="3"/>
      <c r="D13" s="3"/>
      <c r="E13" s="3"/>
      <c r="F13" s="3"/>
      <c r="G13" s="3"/>
      <c r="H13" s="3"/>
      <c r="I13" s="3"/>
      <c r="J13" s="3"/>
      <c r="K13" s="3"/>
      <c r="L13" s="3"/>
      <c r="M13" s="3"/>
      <c r="N13" s="3"/>
      <c r="O13" s="3"/>
      <c r="P13" s="9"/>
    </row>
    <row r="14" spans="2:16" x14ac:dyDescent="0.2">
      <c r="B14" s="7"/>
      <c r="C14" s="3"/>
      <c r="D14" s="3"/>
      <c r="E14" s="3"/>
      <c r="F14" s="3"/>
      <c r="G14" s="3"/>
      <c r="H14" s="3"/>
      <c r="I14" s="3"/>
      <c r="J14" s="3"/>
      <c r="K14" s="3"/>
      <c r="L14" s="3"/>
      <c r="M14" s="3"/>
      <c r="N14" s="3"/>
      <c r="O14" s="3"/>
      <c r="P14" s="9"/>
    </row>
    <row r="15" spans="2:16" ht="20.100000000000001" customHeight="1" thickBot="1" x14ac:dyDescent="0.3">
      <c r="B15" s="7"/>
      <c r="C15" s="3"/>
      <c r="D15" s="3"/>
      <c r="E15" s="3"/>
      <c r="F15" s="3"/>
      <c r="G15" s="3"/>
      <c r="H15" s="3"/>
      <c r="I15" s="3"/>
      <c r="J15" s="3"/>
      <c r="K15" s="3"/>
      <c r="L15" s="181" t="s">
        <v>73</v>
      </c>
      <c r="M15" s="181"/>
      <c r="N15" s="181"/>
      <c r="O15" s="181"/>
      <c r="P15" s="182"/>
    </row>
    <row r="16" spans="2:16" ht="3" customHeight="1" thickTop="1" x14ac:dyDescent="0.3">
      <c r="B16" s="7"/>
      <c r="C16" s="3"/>
      <c r="D16" s="60"/>
      <c r="E16" s="60"/>
      <c r="F16" s="60"/>
      <c r="G16" s="60"/>
      <c r="H16" s="60"/>
      <c r="I16" s="60"/>
      <c r="J16" s="61"/>
      <c r="K16" s="61"/>
      <c r="L16" s="61"/>
      <c r="M16" s="60"/>
      <c r="N16" s="61"/>
      <c r="O16" s="21"/>
      <c r="P16" s="9"/>
    </row>
    <row r="17" spans="2:16" ht="14.1" customHeight="1" x14ac:dyDescent="0.2">
      <c r="B17" s="7"/>
      <c r="C17" s="3"/>
      <c r="D17" s="3"/>
      <c r="E17" s="3"/>
      <c r="F17" s="3"/>
      <c r="G17" s="3"/>
      <c r="H17" s="3"/>
      <c r="I17" s="3"/>
      <c r="J17" s="3"/>
      <c r="K17" s="3"/>
      <c r="L17" s="3"/>
      <c r="M17" s="3"/>
      <c r="N17" s="3"/>
      <c r="O17" s="3"/>
      <c r="P17" s="9"/>
    </row>
    <row r="18" spans="2:16" x14ac:dyDescent="0.2">
      <c r="B18" s="7"/>
      <c r="C18" s="3"/>
      <c r="D18" s="3"/>
      <c r="E18" s="3"/>
      <c r="F18" s="3"/>
      <c r="G18" s="3"/>
      <c r="H18" s="3"/>
      <c r="I18" s="3"/>
      <c r="J18" s="3"/>
      <c r="K18" s="3"/>
      <c r="L18" s="3"/>
      <c r="M18" s="3"/>
      <c r="N18" s="3"/>
      <c r="O18" s="3"/>
      <c r="P18" s="9"/>
    </row>
    <row r="19" spans="2:16" ht="18" x14ac:dyDescent="0.25">
      <c r="B19" s="7"/>
      <c r="C19" s="3"/>
      <c r="D19" s="90" t="s">
        <v>3</v>
      </c>
      <c r="E19" s="173" t="s">
        <v>60</v>
      </c>
      <c r="F19" s="174"/>
      <c r="G19" s="174"/>
      <c r="H19" s="174"/>
      <c r="I19" s="174"/>
      <c r="J19" s="174"/>
      <c r="K19" s="90"/>
      <c r="L19" s="93" t="s">
        <v>18</v>
      </c>
      <c r="M19" s="155">
        <v>43445</v>
      </c>
      <c r="N19" s="156"/>
      <c r="O19" s="57"/>
      <c r="P19" s="9"/>
    </row>
    <row r="20" spans="2:16" x14ac:dyDescent="0.2">
      <c r="B20" s="7"/>
      <c r="C20" s="3"/>
      <c r="D20" s="90" t="s">
        <v>5</v>
      </c>
      <c r="E20" s="171" t="s">
        <v>61</v>
      </c>
      <c r="F20" s="172"/>
      <c r="G20" s="172"/>
      <c r="H20" s="172"/>
      <c r="I20" s="172"/>
      <c r="J20" s="172"/>
      <c r="K20" s="90"/>
      <c r="L20" s="133" t="s">
        <v>68</v>
      </c>
      <c r="M20" s="170" t="s">
        <v>67</v>
      </c>
      <c r="N20" s="170"/>
      <c r="O20" s="58"/>
      <c r="P20" s="9"/>
    </row>
    <row r="21" spans="2:16" x14ac:dyDescent="0.2">
      <c r="B21" s="7"/>
      <c r="C21" s="3"/>
      <c r="D21" s="90" t="s">
        <v>7</v>
      </c>
      <c r="E21" s="99"/>
      <c r="F21" s="100" t="s">
        <v>8</v>
      </c>
      <c r="G21" s="160" t="s">
        <v>59</v>
      </c>
      <c r="H21" s="161"/>
      <c r="I21" s="101" t="s">
        <v>9</v>
      </c>
      <c r="J21" s="98" t="s">
        <v>53</v>
      </c>
      <c r="K21" s="90"/>
      <c r="L21" s="93" t="s">
        <v>19</v>
      </c>
      <c r="M21" s="157" t="s">
        <v>66</v>
      </c>
      <c r="N21" s="158"/>
      <c r="O21" s="3"/>
      <c r="P21" s="9"/>
    </row>
    <row r="22" spans="2:16" x14ac:dyDescent="0.2">
      <c r="B22" s="7"/>
      <c r="C22" s="3"/>
      <c r="D22" s="90" t="s">
        <v>20</v>
      </c>
      <c r="E22" s="175" t="s">
        <v>62</v>
      </c>
      <c r="F22" s="176"/>
      <c r="G22" s="176"/>
      <c r="H22" s="176"/>
      <c r="I22" s="176"/>
      <c r="J22" s="176"/>
      <c r="K22" s="90"/>
      <c r="L22" s="93" t="s">
        <v>49</v>
      </c>
      <c r="M22" s="159" t="s">
        <v>69</v>
      </c>
      <c r="N22" s="158"/>
      <c r="O22" s="3"/>
      <c r="P22" s="9"/>
    </row>
    <row r="23" spans="2:16" x14ac:dyDescent="0.2">
      <c r="B23" s="7"/>
      <c r="C23" s="3"/>
      <c r="D23" s="90"/>
      <c r="E23" s="90"/>
      <c r="F23" s="90"/>
      <c r="G23" s="90"/>
      <c r="H23" s="90"/>
      <c r="I23" s="90"/>
      <c r="J23" s="90"/>
      <c r="K23" s="90"/>
      <c r="L23" s="90"/>
      <c r="M23" s="90"/>
      <c r="N23" s="90"/>
      <c r="O23" s="3"/>
      <c r="P23" s="9"/>
    </row>
    <row r="24" spans="2:16" x14ac:dyDescent="0.2">
      <c r="B24" s="7"/>
      <c r="C24" s="3"/>
      <c r="D24" s="69" t="s">
        <v>35</v>
      </c>
      <c r="E24" s="53" t="s">
        <v>21</v>
      </c>
      <c r="F24" s="177" t="s">
        <v>22</v>
      </c>
      <c r="G24" s="178"/>
      <c r="H24" s="178"/>
      <c r="I24" s="178"/>
      <c r="J24" s="178"/>
      <c r="K24" s="179"/>
      <c r="L24" s="70" t="s">
        <v>36</v>
      </c>
      <c r="M24" s="53" t="s">
        <v>56</v>
      </c>
      <c r="N24" s="54" t="s">
        <v>23</v>
      </c>
      <c r="O24" s="59"/>
      <c r="P24" s="9"/>
    </row>
    <row r="25" spans="2:16" ht="15.75" x14ac:dyDescent="0.25">
      <c r="B25" s="7"/>
      <c r="C25" s="3"/>
      <c r="D25" s="107" t="s">
        <v>65</v>
      </c>
      <c r="E25" s="79">
        <v>10</v>
      </c>
      <c r="F25" s="167" t="s">
        <v>71</v>
      </c>
      <c r="G25" s="168"/>
      <c r="H25" s="168"/>
      <c r="I25" s="168"/>
      <c r="J25" s="168"/>
      <c r="K25" s="169"/>
      <c r="L25" s="80">
        <v>2</v>
      </c>
      <c r="M25" s="113"/>
      <c r="N25" s="111">
        <f t="shared" ref="N25:N46" si="0">IF(E25&lt;&gt;"",E25*M25,"")</f>
        <v>0</v>
      </c>
      <c r="O25" s="59"/>
      <c r="P25" s="9"/>
    </row>
    <row r="26" spans="2:16" ht="15.75" x14ac:dyDescent="0.25">
      <c r="B26" s="7"/>
      <c r="C26" s="3"/>
      <c r="D26" s="107"/>
      <c r="E26" s="79"/>
      <c r="F26" s="130"/>
      <c r="G26" s="131"/>
      <c r="H26" s="131"/>
      <c r="I26" s="131"/>
      <c r="J26" s="131"/>
      <c r="K26" s="132"/>
      <c r="L26" s="80"/>
      <c r="M26" s="113"/>
      <c r="N26" s="111"/>
      <c r="O26" s="59"/>
      <c r="P26" s="9"/>
    </row>
    <row r="27" spans="2:16" ht="15.75" x14ac:dyDescent="0.25">
      <c r="B27" s="7"/>
      <c r="C27" s="3"/>
      <c r="D27" s="107"/>
      <c r="E27" s="79">
        <v>10</v>
      </c>
      <c r="F27" s="149" t="s">
        <v>70</v>
      </c>
      <c r="G27" s="150"/>
      <c r="H27" s="150"/>
      <c r="I27" s="150"/>
      <c r="J27" s="150"/>
      <c r="K27" s="151"/>
      <c r="L27" s="80">
        <v>2</v>
      </c>
      <c r="M27" s="113"/>
      <c r="N27" s="111">
        <f t="shared" si="0"/>
        <v>0</v>
      </c>
      <c r="O27" s="59"/>
      <c r="P27" s="9"/>
    </row>
    <row r="28" spans="2:16" ht="15.75" x14ac:dyDescent="0.25">
      <c r="B28" s="7"/>
      <c r="C28" s="3"/>
      <c r="D28" s="107"/>
      <c r="E28" s="79"/>
      <c r="F28" s="130"/>
      <c r="G28" s="131"/>
      <c r="H28" s="131"/>
      <c r="I28" s="131"/>
      <c r="J28" s="131"/>
      <c r="K28" s="132"/>
      <c r="L28" s="80"/>
      <c r="M28" s="113"/>
      <c r="N28" s="111"/>
      <c r="O28" s="59"/>
      <c r="P28" s="9"/>
    </row>
    <row r="29" spans="2:16" ht="15.75" x14ac:dyDescent="0.25">
      <c r="B29" s="7"/>
      <c r="C29" s="3"/>
      <c r="D29" s="107"/>
      <c r="E29" s="55">
        <v>5</v>
      </c>
      <c r="F29" s="115" t="s">
        <v>64</v>
      </c>
      <c r="G29" s="116"/>
      <c r="H29" s="116"/>
      <c r="I29" s="116"/>
      <c r="J29" s="116"/>
      <c r="K29" s="117"/>
      <c r="L29" s="80">
        <v>2</v>
      </c>
      <c r="M29" s="113"/>
      <c r="N29" s="111">
        <f t="shared" si="0"/>
        <v>0</v>
      </c>
      <c r="O29" s="59"/>
      <c r="P29" s="9"/>
    </row>
    <row r="30" spans="2:16" ht="15" x14ac:dyDescent="0.2">
      <c r="B30" s="7"/>
      <c r="C30" s="3"/>
      <c r="D30" s="107"/>
      <c r="E30" s="55"/>
      <c r="F30" s="122"/>
      <c r="G30" s="118"/>
      <c r="H30" s="118"/>
      <c r="I30" s="118"/>
      <c r="J30" s="118"/>
      <c r="K30" s="119"/>
      <c r="L30" s="80"/>
      <c r="M30" s="113"/>
      <c r="N30" s="111"/>
      <c r="O30" s="59"/>
      <c r="P30" s="9"/>
    </row>
    <row r="31" spans="2:16" ht="15.75" x14ac:dyDescent="0.25">
      <c r="B31" s="7"/>
      <c r="C31" s="3"/>
      <c r="D31" s="107"/>
      <c r="E31" s="55"/>
      <c r="F31" s="120"/>
      <c r="G31" s="118"/>
      <c r="H31" s="118"/>
      <c r="I31" s="118"/>
      <c r="J31" s="118"/>
      <c r="K31" s="119"/>
      <c r="L31" s="80"/>
      <c r="M31" s="113"/>
      <c r="N31" s="111"/>
      <c r="O31" s="59"/>
      <c r="P31" s="9"/>
    </row>
    <row r="32" spans="2:16" ht="15.75" x14ac:dyDescent="0.25">
      <c r="B32" s="7"/>
      <c r="C32" s="3"/>
      <c r="D32" s="107"/>
      <c r="E32" s="55">
        <v>10</v>
      </c>
      <c r="F32" s="121" t="s">
        <v>63</v>
      </c>
      <c r="G32" s="109"/>
      <c r="H32" s="109"/>
      <c r="I32" s="109"/>
      <c r="J32" s="109"/>
      <c r="K32" s="110"/>
      <c r="L32" s="80">
        <v>2</v>
      </c>
      <c r="M32" s="113"/>
      <c r="N32" s="111">
        <f t="shared" si="0"/>
        <v>0</v>
      </c>
      <c r="O32" s="59"/>
      <c r="P32" s="9"/>
    </row>
    <row r="33" spans="2:16" ht="15.75" x14ac:dyDescent="0.25">
      <c r="B33" s="7"/>
      <c r="C33" s="3"/>
      <c r="D33" s="107"/>
      <c r="E33" s="55"/>
      <c r="F33" s="121"/>
      <c r="G33" s="109"/>
      <c r="H33" s="109"/>
      <c r="I33" s="109"/>
      <c r="J33" s="109"/>
      <c r="K33" s="110"/>
      <c r="L33" s="80"/>
      <c r="M33" s="113"/>
      <c r="N33" s="111"/>
      <c r="O33" s="59"/>
      <c r="P33" s="9"/>
    </row>
    <row r="34" spans="2:16" ht="15.75" x14ac:dyDescent="0.25">
      <c r="B34" s="7"/>
      <c r="C34" s="3"/>
      <c r="D34" s="107"/>
      <c r="E34" s="55"/>
      <c r="F34" s="121"/>
      <c r="G34" s="109"/>
      <c r="H34" s="109"/>
      <c r="I34" s="109"/>
      <c r="J34" s="109"/>
      <c r="K34" s="110"/>
      <c r="L34" s="80"/>
      <c r="M34" s="113"/>
      <c r="N34" s="111"/>
      <c r="O34" s="59"/>
      <c r="P34" s="9"/>
    </row>
    <row r="35" spans="2:16" ht="15.75" x14ac:dyDescent="0.25">
      <c r="B35" s="7"/>
      <c r="C35" s="3"/>
      <c r="D35" s="107"/>
      <c r="E35" s="55"/>
      <c r="F35" s="121"/>
      <c r="G35" s="109"/>
      <c r="H35" s="109"/>
      <c r="I35" s="109"/>
      <c r="J35" s="109"/>
      <c r="K35" s="110"/>
      <c r="L35" s="80"/>
      <c r="M35" s="113"/>
      <c r="N35" s="111"/>
      <c r="O35" s="59"/>
      <c r="P35" s="9"/>
    </row>
    <row r="36" spans="2:16" ht="15.75" x14ac:dyDescent="0.25">
      <c r="B36" s="7"/>
      <c r="C36" s="3"/>
      <c r="D36" s="107"/>
      <c r="E36" s="55"/>
      <c r="F36" s="121"/>
      <c r="G36" s="109"/>
      <c r="H36" s="109"/>
      <c r="I36" s="109"/>
      <c r="J36" s="109"/>
      <c r="K36" s="110"/>
      <c r="L36" s="80"/>
      <c r="M36" s="113"/>
      <c r="N36" s="111"/>
      <c r="O36" s="59"/>
      <c r="P36" s="9"/>
    </row>
    <row r="37" spans="2:16" ht="15.75" x14ac:dyDescent="0.25">
      <c r="B37" s="7"/>
      <c r="C37" s="3"/>
      <c r="D37" s="107"/>
      <c r="E37" s="55"/>
      <c r="F37" s="121"/>
      <c r="G37" s="109"/>
      <c r="H37" s="109"/>
      <c r="I37" s="109"/>
      <c r="J37" s="109"/>
      <c r="K37" s="110"/>
      <c r="L37" s="80"/>
      <c r="M37" s="113"/>
      <c r="N37" s="111"/>
      <c r="O37" s="59"/>
      <c r="P37" s="9"/>
    </row>
    <row r="38" spans="2:16" ht="15.75" x14ac:dyDescent="0.25">
      <c r="B38" s="7"/>
      <c r="C38" s="3"/>
      <c r="D38" s="107"/>
      <c r="E38" s="55"/>
      <c r="F38" s="121"/>
      <c r="G38" s="109"/>
      <c r="H38" s="109"/>
      <c r="I38" s="109"/>
      <c r="J38" s="109"/>
      <c r="K38" s="110"/>
      <c r="L38" s="80"/>
      <c r="M38" s="113"/>
      <c r="N38" s="111"/>
      <c r="O38" s="59"/>
      <c r="P38" s="9"/>
    </row>
    <row r="39" spans="2:16" ht="15.75" x14ac:dyDescent="0.25">
      <c r="B39" s="7"/>
      <c r="C39" s="3"/>
      <c r="D39" s="107"/>
      <c r="E39" s="55"/>
      <c r="F39" s="121"/>
      <c r="G39" s="109"/>
      <c r="H39" s="109"/>
      <c r="I39" s="109"/>
      <c r="J39" s="109"/>
      <c r="K39" s="110"/>
      <c r="L39" s="80"/>
      <c r="M39" s="113"/>
      <c r="N39" s="111"/>
      <c r="O39" s="59"/>
      <c r="P39" s="9"/>
    </row>
    <row r="40" spans="2:16" ht="15.75" x14ac:dyDescent="0.25">
      <c r="B40" s="7"/>
      <c r="C40" s="3"/>
      <c r="D40" s="107"/>
      <c r="E40" s="55"/>
      <c r="F40" s="121"/>
      <c r="G40" s="109"/>
      <c r="H40" s="109"/>
      <c r="I40" s="109"/>
      <c r="J40" s="109"/>
      <c r="K40" s="110"/>
      <c r="L40" s="80"/>
      <c r="M40" s="113"/>
      <c r="N40" s="111"/>
      <c r="O40" s="59"/>
      <c r="P40" s="9"/>
    </row>
    <row r="41" spans="2:16" ht="15.75" x14ac:dyDescent="0.25">
      <c r="B41" s="7"/>
      <c r="C41" s="3"/>
      <c r="D41" s="107"/>
      <c r="E41" s="55"/>
      <c r="F41" s="121"/>
      <c r="G41" s="109"/>
      <c r="H41" s="109"/>
      <c r="I41" s="109"/>
      <c r="J41" s="109"/>
      <c r="K41" s="110"/>
      <c r="L41" s="80"/>
      <c r="M41" s="113"/>
      <c r="N41" s="111"/>
      <c r="O41" s="59"/>
      <c r="P41" s="9"/>
    </row>
    <row r="42" spans="2:16" ht="15.75" x14ac:dyDescent="0.25">
      <c r="B42" s="7"/>
      <c r="C42" s="3"/>
      <c r="D42" s="107"/>
      <c r="E42" s="55"/>
      <c r="F42" s="121"/>
      <c r="G42" s="109"/>
      <c r="H42" s="109"/>
      <c r="I42" s="109"/>
      <c r="J42" s="109"/>
      <c r="K42" s="110"/>
      <c r="L42" s="80"/>
      <c r="M42" s="113"/>
      <c r="N42" s="111"/>
      <c r="O42" s="59"/>
      <c r="P42" s="9"/>
    </row>
    <row r="43" spans="2:16" ht="15.75" x14ac:dyDescent="0.25">
      <c r="B43" s="7"/>
      <c r="C43" s="3"/>
      <c r="D43" s="107"/>
      <c r="E43" s="55"/>
      <c r="F43" s="121"/>
      <c r="G43" s="109"/>
      <c r="H43" s="109"/>
      <c r="I43" s="109"/>
      <c r="J43" s="109"/>
      <c r="K43" s="110"/>
      <c r="L43" s="80"/>
      <c r="M43" s="113"/>
      <c r="N43" s="111"/>
      <c r="O43" s="59"/>
      <c r="P43" s="9"/>
    </row>
    <row r="44" spans="2:16" ht="15.75" x14ac:dyDescent="0.25">
      <c r="B44" s="7"/>
      <c r="C44" s="3"/>
      <c r="D44" s="107"/>
      <c r="E44" s="55"/>
      <c r="F44" s="121"/>
      <c r="G44" s="109"/>
      <c r="H44" s="109"/>
      <c r="I44" s="109"/>
      <c r="J44" s="109"/>
      <c r="K44" s="110"/>
      <c r="L44" s="80"/>
      <c r="M44" s="113"/>
      <c r="N44" s="111"/>
      <c r="O44" s="59"/>
      <c r="P44" s="9"/>
    </row>
    <row r="45" spans="2:16" ht="15.75" x14ac:dyDescent="0.25">
      <c r="B45" s="7"/>
      <c r="C45" s="3"/>
      <c r="D45" s="107"/>
      <c r="E45" s="55"/>
      <c r="F45" s="121"/>
      <c r="G45" s="109"/>
      <c r="H45" s="109"/>
      <c r="I45" s="109"/>
      <c r="J45" s="109"/>
      <c r="K45" s="110"/>
      <c r="L45" s="80"/>
      <c r="M45" s="113"/>
      <c r="N45" s="111"/>
      <c r="O45" s="59"/>
      <c r="P45" s="9"/>
    </row>
    <row r="46" spans="2:16" ht="15" x14ac:dyDescent="0.2">
      <c r="B46" s="7"/>
      <c r="C46" s="3"/>
      <c r="D46" s="108"/>
      <c r="E46" s="56"/>
      <c r="F46" s="152"/>
      <c r="G46" s="153"/>
      <c r="H46" s="153"/>
      <c r="I46" s="153"/>
      <c r="J46" s="153"/>
      <c r="K46" s="154"/>
      <c r="L46" s="81"/>
      <c r="M46" s="114"/>
      <c r="N46" s="112" t="str">
        <f t="shared" si="0"/>
        <v/>
      </c>
      <c r="O46" s="59"/>
      <c r="P46" s="9"/>
    </row>
    <row r="47" spans="2:16" ht="15.75" x14ac:dyDescent="0.25">
      <c r="B47" s="7"/>
      <c r="C47" s="3"/>
      <c r="D47" s="3"/>
      <c r="E47" s="90"/>
      <c r="F47" s="90"/>
      <c r="G47" s="90"/>
      <c r="H47" s="90"/>
      <c r="I47" s="90"/>
      <c r="J47" s="82"/>
      <c r="K47" s="82"/>
      <c r="L47" s="82"/>
      <c r="M47" s="126" t="s">
        <v>24</v>
      </c>
      <c r="N47" s="123">
        <f>SUM(N25:N46)</f>
        <v>0</v>
      </c>
      <c r="O47" s="59"/>
      <c r="P47" s="9"/>
    </row>
    <row r="48" spans="2:16" ht="15" x14ac:dyDescent="0.2">
      <c r="B48" s="7"/>
      <c r="C48" s="3"/>
      <c r="D48" s="3"/>
      <c r="E48" s="90"/>
      <c r="F48" s="90"/>
      <c r="G48" s="90"/>
      <c r="H48" s="90"/>
      <c r="I48" s="90"/>
      <c r="J48" s="82"/>
      <c r="K48" s="82"/>
      <c r="L48" s="82"/>
      <c r="M48" s="129" t="s">
        <v>48</v>
      </c>
      <c r="N48" s="124"/>
      <c r="O48" s="59"/>
      <c r="P48" s="9"/>
    </row>
    <row r="49" spans="2:16" ht="15" x14ac:dyDescent="0.2">
      <c r="B49" s="7"/>
      <c r="C49" s="3"/>
      <c r="D49" s="3"/>
      <c r="E49" s="92"/>
      <c r="F49" s="93" t="s">
        <v>25</v>
      </c>
      <c r="G49" s="90"/>
      <c r="H49" s="90"/>
      <c r="I49" s="90"/>
      <c r="J49" s="84"/>
      <c r="K49" s="84"/>
      <c r="L49" s="83"/>
      <c r="M49" s="127">
        <f>19%</f>
        <v>0.19</v>
      </c>
      <c r="N49" s="124"/>
      <c r="O49" s="59"/>
      <c r="P49" s="9"/>
    </row>
    <row r="50" spans="2:16" ht="15.75" x14ac:dyDescent="0.25">
      <c r="B50" s="7"/>
      <c r="C50" s="3"/>
      <c r="D50" s="3"/>
      <c r="E50" s="94"/>
      <c r="F50" s="93" t="s">
        <v>26</v>
      </c>
      <c r="G50" s="97"/>
      <c r="H50" s="94"/>
      <c r="I50" s="90"/>
      <c r="J50" s="85"/>
      <c r="K50" s="82"/>
      <c r="L50" s="82"/>
      <c r="M50" s="128" t="s">
        <v>28</v>
      </c>
      <c r="N50" s="125">
        <f>+N47+N48+N49</f>
        <v>0</v>
      </c>
      <c r="O50" s="59"/>
      <c r="P50" s="9"/>
    </row>
    <row r="51" spans="2:16" ht="15.75" x14ac:dyDescent="0.25">
      <c r="B51" s="7"/>
      <c r="C51" s="3"/>
      <c r="D51" s="3"/>
      <c r="E51" s="94">
        <v>2</v>
      </c>
      <c r="F51" s="93"/>
      <c r="G51" s="90"/>
      <c r="H51" s="95"/>
      <c r="I51" s="90"/>
      <c r="J51" s="86" t="s">
        <v>27</v>
      </c>
      <c r="K51" s="82"/>
      <c r="L51" s="82"/>
      <c r="M51" s="87"/>
      <c r="N51" s="87"/>
      <c r="O51" s="59"/>
      <c r="P51" s="9"/>
    </row>
    <row r="52" spans="2:16" ht="17.100000000000001" customHeight="1" x14ac:dyDescent="0.25">
      <c r="B52" s="7"/>
      <c r="C52" s="3"/>
      <c r="D52" s="3"/>
      <c r="E52" s="91"/>
      <c r="F52" s="91"/>
      <c r="G52" s="90"/>
      <c r="H52" s="91"/>
      <c r="I52" s="90"/>
      <c r="J52" s="86" t="s">
        <v>27</v>
      </c>
      <c r="K52" s="82"/>
      <c r="L52" s="82"/>
      <c r="M52" s="87"/>
      <c r="N52" s="87" t="s">
        <v>55</v>
      </c>
      <c r="O52" s="59"/>
      <c r="P52" s="9"/>
    </row>
    <row r="53" spans="2:16" ht="17.100000000000001" customHeight="1" x14ac:dyDescent="0.25">
      <c r="B53" s="7"/>
      <c r="C53" s="3"/>
      <c r="D53" s="166"/>
      <c r="E53" s="166"/>
      <c r="F53" s="166"/>
      <c r="G53" s="166"/>
      <c r="H53" s="166"/>
      <c r="I53" s="166"/>
      <c r="J53" s="166"/>
      <c r="K53" s="166"/>
      <c r="L53" s="166"/>
      <c r="M53" s="87"/>
      <c r="N53" s="87"/>
      <c r="O53" s="59"/>
      <c r="P53" s="9"/>
    </row>
    <row r="54" spans="2:16" ht="15" x14ac:dyDescent="0.2">
      <c r="B54" s="7"/>
      <c r="C54" s="3"/>
      <c r="D54" s="3"/>
      <c r="E54" s="96"/>
      <c r="F54" s="164"/>
      <c r="G54" s="165"/>
      <c r="H54" s="165"/>
      <c r="I54" s="165"/>
      <c r="J54" s="84"/>
      <c r="K54" s="82"/>
      <c r="L54" s="82"/>
      <c r="M54" s="82"/>
      <c r="N54" s="82"/>
      <c r="O54" s="59"/>
      <c r="P54" s="9"/>
    </row>
    <row r="55" spans="2:16" ht="15" customHeight="1" x14ac:dyDescent="0.2">
      <c r="B55" s="7"/>
      <c r="C55" s="3"/>
      <c r="D55" s="3"/>
      <c r="E55" s="20"/>
      <c r="F55" s="147"/>
      <c r="G55" s="148"/>
      <c r="H55" s="148"/>
      <c r="I55" s="148"/>
      <c r="J55" s="84"/>
      <c r="K55" s="180" t="s">
        <v>72</v>
      </c>
      <c r="L55" s="180"/>
      <c r="M55" s="180"/>
      <c r="N55" s="180"/>
      <c r="O55" s="59"/>
      <c r="P55" s="9"/>
    </row>
    <row r="56" spans="2:16" ht="15" customHeight="1" x14ac:dyDescent="0.2">
      <c r="B56" s="7"/>
      <c r="C56" s="3"/>
      <c r="D56" s="3"/>
      <c r="E56" s="20"/>
      <c r="F56" s="83"/>
      <c r="G56" s="145"/>
      <c r="H56" s="146"/>
      <c r="I56" s="146"/>
      <c r="J56" s="84"/>
      <c r="K56" s="180"/>
      <c r="L56" s="180"/>
      <c r="M56" s="180"/>
      <c r="N56" s="180"/>
      <c r="O56" s="59"/>
      <c r="P56" s="9"/>
    </row>
    <row r="57" spans="2:16" ht="15" customHeight="1" x14ac:dyDescent="0.2">
      <c r="B57" s="7"/>
      <c r="C57" s="3"/>
      <c r="D57" s="3"/>
      <c r="E57" s="3"/>
      <c r="F57" s="82"/>
      <c r="G57" s="82"/>
      <c r="H57" s="82"/>
      <c r="I57" s="82"/>
      <c r="J57" s="84"/>
      <c r="K57" s="180"/>
      <c r="L57" s="180"/>
      <c r="M57" s="180"/>
      <c r="N57" s="180"/>
      <c r="O57" s="59"/>
      <c r="P57" s="9"/>
    </row>
    <row r="58" spans="2:16" ht="15" x14ac:dyDescent="0.2">
      <c r="B58" s="7"/>
      <c r="C58" s="3"/>
      <c r="D58" s="103"/>
      <c r="E58" s="106"/>
      <c r="F58" s="82"/>
      <c r="G58" s="82"/>
      <c r="H58" s="82"/>
      <c r="I58" s="82"/>
      <c r="J58" s="84"/>
      <c r="K58" s="89"/>
      <c r="L58" s="89"/>
      <c r="M58" s="89"/>
      <c r="N58" s="89"/>
      <c r="O58" s="59"/>
      <c r="P58" s="9"/>
    </row>
    <row r="59" spans="2:16" ht="15" x14ac:dyDescent="0.2">
      <c r="B59" s="7"/>
      <c r="C59" s="3"/>
      <c r="D59" s="3"/>
      <c r="E59" s="3"/>
      <c r="F59" s="104"/>
      <c r="G59" s="105"/>
      <c r="H59" s="105"/>
      <c r="I59" s="105"/>
      <c r="J59" s="105"/>
      <c r="K59" s="105"/>
      <c r="L59" s="105"/>
      <c r="M59" s="105"/>
      <c r="N59" s="82"/>
      <c r="O59" s="59"/>
      <c r="P59" s="9"/>
    </row>
    <row r="60" spans="2:16" ht="15" x14ac:dyDescent="0.2">
      <c r="B60" s="7"/>
      <c r="C60" s="3"/>
      <c r="D60" s="3"/>
      <c r="E60" s="3"/>
      <c r="F60" s="105"/>
      <c r="G60" s="105"/>
      <c r="H60" s="105"/>
      <c r="I60" s="105"/>
      <c r="J60" s="105"/>
      <c r="K60" s="105"/>
      <c r="L60" s="105"/>
      <c r="M60" s="105"/>
      <c r="N60" s="82"/>
      <c r="O60" s="59"/>
      <c r="P60" s="9"/>
    </row>
    <row r="61" spans="2:16" ht="15" x14ac:dyDescent="0.2">
      <c r="B61" s="7"/>
      <c r="C61" s="3"/>
      <c r="D61" s="3"/>
      <c r="E61" s="90"/>
      <c r="F61" s="105"/>
      <c r="G61" s="105"/>
      <c r="H61" s="105"/>
      <c r="I61" s="105"/>
      <c r="J61" s="105"/>
      <c r="K61" s="105"/>
      <c r="L61" s="105"/>
      <c r="M61" s="105"/>
      <c r="N61" s="88"/>
      <c r="O61" s="59"/>
      <c r="P61" s="9"/>
    </row>
    <row r="62" spans="2:16" ht="15" x14ac:dyDescent="0.2">
      <c r="B62" s="7"/>
      <c r="C62" s="3"/>
      <c r="D62" s="3"/>
      <c r="E62" s="3"/>
      <c r="F62" s="105"/>
      <c r="G62" s="105"/>
      <c r="H62" s="105"/>
      <c r="I62" s="105"/>
      <c r="J62" s="105"/>
      <c r="K62" s="105"/>
      <c r="L62" s="105"/>
      <c r="M62" s="105"/>
      <c r="N62" s="82"/>
      <c r="O62" s="59"/>
      <c r="P62" s="9"/>
    </row>
    <row r="63" spans="2:16" ht="13.5" thickBot="1" x14ac:dyDescent="0.25">
      <c r="B63" s="7"/>
      <c r="C63" s="3"/>
      <c r="D63" s="3"/>
      <c r="E63" s="3"/>
      <c r="F63" s="3"/>
      <c r="G63" s="3"/>
      <c r="H63" s="3"/>
      <c r="I63" s="3"/>
      <c r="J63" s="3"/>
      <c r="K63" s="3"/>
      <c r="L63" s="3"/>
      <c r="M63" s="3"/>
      <c r="N63" s="3"/>
      <c r="O63" s="59"/>
      <c r="P63" s="9"/>
    </row>
    <row r="64" spans="2:16" ht="3" customHeight="1" thickTop="1" x14ac:dyDescent="0.2">
      <c r="B64" s="7"/>
      <c r="C64" s="3"/>
      <c r="D64" s="3"/>
      <c r="E64" s="60"/>
      <c r="F64" s="60"/>
      <c r="G64" s="60"/>
      <c r="H64" s="60"/>
      <c r="I64" s="60"/>
      <c r="J64" s="60"/>
      <c r="K64" s="60"/>
      <c r="L64" s="60"/>
      <c r="M64" s="60"/>
      <c r="N64" s="60"/>
      <c r="O64" s="59"/>
      <c r="P64" s="9"/>
    </row>
    <row r="65" spans="2:16" x14ac:dyDescent="0.2">
      <c r="B65" s="7"/>
      <c r="C65" s="3"/>
      <c r="D65" s="3"/>
      <c r="E65" s="3"/>
      <c r="F65" s="162"/>
      <c r="G65" s="162"/>
      <c r="H65" s="162"/>
      <c r="I65" s="162"/>
      <c r="J65" s="162"/>
      <c r="K65" s="162"/>
      <c r="L65" s="162"/>
      <c r="M65" s="162"/>
      <c r="N65" s="3"/>
      <c r="O65" s="59"/>
      <c r="P65" s="9"/>
    </row>
    <row r="66" spans="2:16" x14ac:dyDescent="0.2">
      <c r="B66" s="7"/>
      <c r="C66" s="3"/>
      <c r="D66" s="3"/>
      <c r="E66" s="3"/>
      <c r="F66" s="163"/>
      <c r="G66" s="163"/>
      <c r="H66" s="163"/>
      <c r="I66" s="163"/>
      <c r="J66" s="163"/>
      <c r="K66" s="163"/>
      <c r="L66" s="163"/>
      <c r="M66" s="163"/>
      <c r="N66" s="3"/>
      <c r="O66" s="59"/>
      <c r="P66" s="9"/>
    </row>
    <row r="67" spans="2:16" x14ac:dyDescent="0.2">
      <c r="B67" s="7"/>
      <c r="C67" s="3"/>
      <c r="D67" s="3"/>
      <c r="E67" s="3"/>
      <c r="F67" s="163"/>
      <c r="G67" s="163"/>
      <c r="H67" s="163"/>
      <c r="I67" s="163"/>
      <c r="J67" s="163"/>
      <c r="K67" s="163"/>
      <c r="L67" s="163"/>
      <c r="M67" s="163"/>
      <c r="N67" s="3"/>
      <c r="O67" s="59"/>
      <c r="P67" s="9"/>
    </row>
    <row r="68" spans="2:16" ht="0.95" customHeight="1" thickBot="1" x14ac:dyDescent="0.25">
      <c r="B68" s="10"/>
      <c r="C68" s="11"/>
      <c r="D68" s="11"/>
      <c r="E68" s="11"/>
      <c r="F68" s="11"/>
      <c r="G68" s="11"/>
      <c r="H68" s="11"/>
      <c r="I68" s="11"/>
      <c r="J68" s="11"/>
      <c r="K68" s="11"/>
      <c r="L68" s="11"/>
      <c r="M68" s="11"/>
      <c r="N68" s="11"/>
      <c r="O68" s="11"/>
      <c r="P68" s="12"/>
    </row>
    <row r="69" spans="2:16" ht="6" customHeight="1" thickTop="1" x14ac:dyDescent="0.2"/>
  </sheetData>
  <scenarios current="0">
    <scenario name="sample1" locked="1" count="9" user="Nickte" comment="Created by Nickte on 23/10/96">
      <inputCells r="E19" val="M. Antoine CIVAUX"/>
      <inputCells r="E20" val="34, route de Marseille"/>
      <inputCells r="E21" val="84000"/>
      <inputCells r="E22" val="04.90.26.45.78"/>
      <inputCells r="G21" val="Avignon"/>
      <inputCells r="J21" val="France"/>
      <inputCells r="M19" val="35343" numFmtId="14"/>
      <inputCells r="M21" val="T. Farot"/>
      <inputCells r="M22" val="Le Havre"/>
    </scenario>
  </scenarios>
  <mergeCells count="21">
    <mergeCell ref="E19:J19"/>
    <mergeCell ref="E22:J22"/>
    <mergeCell ref="F24:K24"/>
    <mergeCell ref="L15:P15"/>
    <mergeCell ref="F25:K25"/>
    <mergeCell ref="M20:N20"/>
    <mergeCell ref="E20:J20"/>
    <mergeCell ref="F65:M67"/>
    <mergeCell ref="F54:I54"/>
    <mergeCell ref="D53:L53"/>
    <mergeCell ref="M10:N10"/>
    <mergeCell ref="M9:N9"/>
    <mergeCell ref="G56:I56"/>
    <mergeCell ref="K55:N57"/>
    <mergeCell ref="F55:I55"/>
    <mergeCell ref="F27:K27"/>
    <mergeCell ref="F46:K46"/>
    <mergeCell ref="M19:N19"/>
    <mergeCell ref="M21:N21"/>
    <mergeCell ref="M22:N22"/>
    <mergeCell ref="G21:H21"/>
  </mergeCells>
  <phoneticPr fontId="0" type="noConversion"/>
  <dataValidations xWindow="574" yWindow="401" count="14">
    <dataValidation type="textLength" errorStyle="warning" allowBlank="1" showErrorMessage="1" errorTitle="Sous-total" error="Les cellules ombrées contiennent des formules et sont calculées automatiquement par Excel. N'y tapez aucune information." promptTitle="Sous-total" sqref="N47">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N48">
      <formula1>0</formula1>
      <formula2>0</formula2>
    </dataValidation>
    <dataValidation errorStyle="warning" allowBlank="1" showInputMessage="1" errorTitle="Numéro de carte de crédit" promptTitle="Numéro de carte de crédit" prompt="Tapez ici le numéro de carte de crédit du client" sqref="F55"/>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F59"/>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4:K55 L54:N54"/>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F65:M67"/>
    <dataValidation allowBlank="1" showErrorMessage="1" sqref="G21:H21"/>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N51 N49">
      <formula1>0</formula1>
      <formula2>0</formula2>
    </dataValidation>
    <dataValidation type="textLength" errorStyle="warning" allowBlank="1" showErrorMessage="1" errorTitle="T.V.A." error="Les cellules ombrées contiennent des formules et sont calculées automatiquement par Excel. N'y tapez aucune information." promptTitle="T.V.A." sqref="M51 M49">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N52 N50">
      <formula1>0</formula1>
      <formula2>0</formula2>
    </dataValidation>
    <dataValidation type="textLength" allowBlank="1" showErrorMessage="1" errorTitle="Cellules ombrées" error="Les cellules ombrées contiennent des formules et sont calculées automatiquement par Excel. N'y tapez aucune information." promptTitle="Cellules ombrées" sqref="N25:N46">
      <formula1>0</formula1>
      <formula2>0</formula2>
    </dataValidation>
    <dataValidation type="decimal" allowBlank="1" showErrorMessage="1" errorTitle="Prix unitaire" error="Tapez un nombre dans cette cellule." promptTitle="Prix unitaire" sqref="M25:M46">
      <formula1>0</formula1>
      <formula2>1000000000</formula2>
    </dataValidation>
    <dataValidation type="whole" errorStyle="warning" allowBlank="1" showErrorMessage="1" errorTitle="Quantité" error="Tapez un nombre dans cette cellule." promptTitle="Quantité" sqref="E25:E46">
      <formula1>0</formula1>
      <formula2>1000000000</formula2>
    </dataValidation>
    <dataValidation type="list" allowBlank="1" showInputMessage="1" showErrorMessage="1" errorTitle="Code TVA" error="Tapez 1, 2, ou 3." sqref="L25:L46">
      <formula1>"1,2,3"</formula1>
    </dataValidation>
  </dataValidations>
  <hyperlinks>
    <hyperlink ref="M10" r:id="rId1"/>
  </hyperlinks>
  <printOptions horizontalCentered="1"/>
  <pageMargins left="0.51181102362204722" right="0.51181102362204722" top="0.51181102362204722" bottom="0.51181102362204722" header="0.51181102362204722" footer="0.51181102362204722"/>
  <pageSetup paperSize="9" scale="79" orientation="portrait" r:id="rId2"/>
  <headerFooter alignWithMargins="0"/>
  <drawing r:id="rId3"/>
  <legacyDrawing r:id="rId4"/>
  <mc:AlternateContent xmlns:mc="http://schemas.openxmlformats.org/markup-compatibility/2006">
    <mc:Choice Requires="x14">
      <controls>
        <mc:AlternateContent xmlns:mc="http://schemas.openxmlformats.org/markup-compatibility/2006">
          <mc:Choice Requires="x14">
            <control shapeId="2059" r:id="rId5" name="CUST">
              <controlPr defaultSize="0" print="0" autoFill="0" autoLine="0" autoPict="0" macro="[0]!Customize">
                <anchor moveWithCells="1" sizeWithCells="1">
                  <from>
                    <xdr:col>12</xdr:col>
                    <xdr:colOff>485775</xdr:colOff>
                    <xdr:row>12</xdr:row>
                    <xdr:rowOff>0</xdr:rowOff>
                  </from>
                  <to>
                    <xdr:col>13</xdr:col>
                    <xdr:colOff>714375</xdr:colOff>
                    <xdr:row>13</xdr:row>
                    <xdr:rowOff>47625</xdr:rowOff>
                  </to>
                </anchor>
              </controlPr>
            </control>
          </mc:Choice>
        </mc:AlternateContent>
        <mc:AlternateContent xmlns:mc="http://schemas.openxmlformats.org/markup-compatibility/2006">
          <mc:Choice Requires="x14">
            <control shapeId="2061" r:id="rId6" name="pd1">
              <controlPr defaultSize="0" autoFill="0" autoLine="0" autoPict="0" macro="[0]!INV_Payments">
                <anchor moveWithCells="1">
                  <from>
                    <xdr:col>4</xdr:col>
                    <xdr:colOff>400050</xdr:colOff>
                    <xdr:row>47</xdr:row>
                    <xdr:rowOff>152400</xdr:rowOff>
                  </from>
                  <to>
                    <xdr:col>4</xdr:col>
                    <xdr:colOff>695325</xdr:colOff>
                    <xdr:row>48</xdr:row>
                    <xdr:rowOff>171450</xdr:rowOff>
                  </to>
                </anchor>
              </controlPr>
            </control>
          </mc:Choice>
        </mc:AlternateContent>
        <mc:AlternateContent xmlns:mc="http://schemas.openxmlformats.org/markup-compatibility/2006">
          <mc:Choice Requires="x14">
            <control shapeId="2062" r:id="rId7" name="pd3">
              <controlPr defaultSize="0" autoFill="0" autoLine="0" autoPict="0" macro="[0]!INV_Payments">
                <anchor moveWithCells="1">
                  <from>
                    <xdr:col>4</xdr:col>
                    <xdr:colOff>400050</xdr:colOff>
                    <xdr:row>49</xdr:row>
                    <xdr:rowOff>0</xdr:rowOff>
                  </from>
                  <to>
                    <xdr:col>4</xdr:col>
                    <xdr:colOff>704850</xdr:colOff>
                    <xdr:row>50</xdr:row>
                    <xdr:rowOff>19050</xdr:rowOff>
                  </to>
                </anchor>
              </controlPr>
            </control>
          </mc:Choice>
        </mc:AlternateContent>
        <mc:AlternateContent xmlns:mc="http://schemas.openxmlformats.org/markup-compatibility/2006">
          <mc:Choice Requires="x14">
            <control shapeId="2071" r:id="rId8" name="pd2">
              <controlPr defaultSize="0" autoFill="0" autoLine="0" autoPict="0" macro="[0]!INV_Payments">
                <anchor moveWithCells="1">
                  <from>
                    <xdr:col>4</xdr:col>
                    <xdr:colOff>409575</xdr:colOff>
                    <xdr:row>50</xdr:row>
                    <xdr:rowOff>28575</xdr:rowOff>
                  </from>
                  <to>
                    <xdr:col>4</xdr:col>
                    <xdr:colOff>714375</xdr:colOff>
                    <xdr:row>51</xdr:row>
                    <xdr:rowOff>47625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
  <sheetViews>
    <sheetView topLeftCell="A82" workbookViewId="0">
      <selection activeCell="F113" sqref="F113"/>
    </sheetView>
  </sheetViews>
  <sheetFormatPr baseColWidth="10" defaultRowHeight="12.75" x14ac:dyDescent="0.2"/>
  <sheetData/>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9218" r:id="rId3" name="pd1">
              <controlPr defaultSize="0" autoFill="0" autoLine="0" autoPict="0" macro="[0]!INV_Payments">
                <anchor moveWithCells="1">
                  <from>
                    <xdr:col>2</xdr:col>
                    <xdr:colOff>400050</xdr:colOff>
                    <xdr:row>0</xdr:row>
                    <xdr:rowOff>0</xdr:rowOff>
                  </from>
                  <to>
                    <xdr:col>2</xdr:col>
                    <xdr:colOff>695325</xdr:colOff>
                    <xdr:row>1</xdr:row>
                    <xdr:rowOff>47625</xdr:rowOff>
                  </to>
                </anchor>
              </controlPr>
            </control>
          </mc:Choice>
        </mc:AlternateContent>
        <mc:AlternateContent xmlns:mc="http://schemas.openxmlformats.org/markup-compatibility/2006">
          <mc:Choice Requires="x14">
            <control shapeId="9219" r:id="rId4" name="pd3">
              <controlPr defaultSize="0" autoFill="0" autoLine="0" autoPict="0" macro="[0]!INV_Payments">
                <anchor moveWithCells="1">
                  <from>
                    <xdr:col>2</xdr:col>
                    <xdr:colOff>400050</xdr:colOff>
                    <xdr:row>0</xdr:row>
                    <xdr:rowOff>0</xdr:rowOff>
                  </from>
                  <to>
                    <xdr:col>2</xdr:col>
                    <xdr:colOff>704850</xdr:colOff>
                    <xdr:row>1</xdr:row>
                    <xdr:rowOff>57150</xdr:rowOff>
                  </to>
                </anchor>
              </controlPr>
            </control>
          </mc:Choice>
        </mc:AlternateContent>
        <mc:AlternateContent xmlns:mc="http://schemas.openxmlformats.org/markup-compatibility/2006">
          <mc:Choice Requires="x14">
            <control shapeId="9220" r:id="rId5" name="pd2">
              <controlPr defaultSize="0" autoFill="0" autoLine="0" autoPict="0" macro="[0]!INV_Payments">
                <anchor moveWithCells="1">
                  <from>
                    <xdr:col>2</xdr:col>
                    <xdr:colOff>409575</xdr:colOff>
                    <xdr:row>0</xdr:row>
                    <xdr:rowOff>0</xdr:rowOff>
                  </from>
                  <to>
                    <xdr:col>2</xdr:col>
                    <xdr:colOff>714375</xdr:colOff>
                    <xdr:row>1</xdr:row>
                    <xdr:rowOff>57150</xdr:rowOff>
                  </to>
                </anchor>
              </controlPr>
            </control>
          </mc:Choice>
        </mc:AlternateContent>
      </controls>
    </mc:Choice>
  </mc:AlternateConten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71"/>
  </cols>
  <sheetData>
    <row r="1" spans="1:11" x14ac:dyDescent="0.2">
      <c r="A1" s="71" t="s">
        <v>29</v>
      </c>
    </row>
    <row r="2" spans="1:11" x14ac:dyDescent="0.2">
      <c r="A2" s="71" t="s">
        <v>37</v>
      </c>
      <c r="B2" s="71" t="s">
        <v>30</v>
      </c>
    </row>
    <row r="3" spans="1:11" x14ac:dyDescent="0.2">
      <c r="A3" s="71" t="s">
        <v>38</v>
      </c>
      <c r="B3" s="71" t="s">
        <v>45</v>
      </c>
    </row>
    <row r="4" spans="1:11" x14ac:dyDescent="0.2">
      <c r="A4" s="71" t="s">
        <v>31</v>
      </c>
    </row>
    <row r="5" spans="1:11" x14ac:dyDescent="0.2">
      <c r="A5" s="71" t="s">
        <v>39</v>
      </c>
      <c r="B5" s="71">
        <v>1</v>
      </c>
    </row>
    <row r="6" spans="1:11" x14ac:dyDescent="0.2">
      <c r="A6" s="71">
        <v>1</v>
      </c>
      <c r="B6" s="71" t="s">
        <v>40</v>
      </c>
      <c r="C6" s="71" t="s">
        <v>44</v>
      </c>
      <c r="D6" s="71" t="s">
        <v>41</v>
      </c>
      <c r="E6" s="71">
        <v>10</v>
      </c>
      <c r="G6" s="71">
        <v>-1383939328</v>
      </c>
    </row>
    <row r="7" spans="1:11" x14ac:dyDescent="0.2">
      <c r="A7" s="71" t="s">
        <v>42</v>
      </c>
      <c r="B7" s="71" t="s">
        <v>32</v>
      </c>
      <c r="C7" s="71" t="s">
        <v>18</v>
      </c>
      <c r="D7" s="71" t="s">
        <v>3</v>
      </c>
      <c r="E7" s="71" t="s">
        <v>5</v>
      </c>
      <c r="F7" s="71" t="s">
        <v>7</v>
      </c>
      <c r="G7" s="71" t="s">
        <v>8</v>
      </c>
      <c r="H7" s="71" t="s">
        <v>9</v>
      </c>
      <c r="I7" s="71" t="s">
        <v>20</v>
      </c>
      <c r="J7" s="71" t="s">
        <v>33</v>
      </c>
      <c r="K7" s="71" t="s">
        <v>19</v>
      </c>
    </row>
    <row r="8" spans="1:11" x14ac:dyDescent="0.2">
      <c r="A8" s="71" t="s">
        <v>43</v>
      </c>
      <c r="B8" s="72" t="str">
        <f>Facture!$N$11</f>
        <v/>
      </c>
      <c r="C8" s="73">
        <f>Facture!$M$19</f>
        <v>43445</v>
      </c>
      <c r="D8" s="74" t="str">
        <f>Facture!$E$19</f>
        <v>URS</v>
      </c>
      <c r="E8" s="71" t="str">
        <f>Facture!$E$20</f>
        <v>LAC FORUM BUSINESS LES BERGES DE LAC II</v>
      </c>
      <c r="F8" s="71">
        <f>Facture!$E$21</f>
        <v>0</v>
      </c>
      <c r="G8" s="74" t="str">
        <f>Facture!$G$21</f>
        <v>TUNIS</v>
      </c>
      <c r="H8" s="74" t="str">
        <f>Facture!$J$21</f>
        <v>TN</v>
      </c>
      <c r="I8" s="71" t="str">
        <f>Facture!$E$22</f>
        <v xml:space="preserve">           70020498             fax:</v>
      </c>
      <c r="J8" s="75" t="str">
        <f>Facture!$N$52</f>
        <v/>
      </c>
      <c r="K8" s="71" t="str">
        <f>Facture!$M$21</f>
        <v>Jomaa DAREJ</v>
      </c>
    </row>
    <row r="9" spans="1:11" x14ac:dyDescent="0.2">
      <c r="A9" s="71" t="s">
        <v>31</v>
      </c>
    </row>
    <row r="10" spans="1:11" x14ac:dyDescent="0.2">
      <c r="G10" s="71">
        <v>-1261995520</v>
      </c>
    </row>
    <row r="14" spans="1:11" x14ac:dyDescent="0.2">
      <c r="G14" s="71">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5</vt:i4>
      </vt:variant>
      <vt:variant>
        <vt:lpstr>Plages nommées</vt:lpstr>
      </vt:variant>
      <vt:variant>
        <vt:i4>79</vt:i4>
      </vt:variant>
    </vt:vector>
  </HeadingPairs>
  <TitlesOfParts>
    <vt:vector size="84" baseType="lpstr">
      <vt:lpstr>Personnaliser votre facture</vt:lpstr>
      <vt:lpstr>Facture</vt:lpstr>
      <vt:lpstr>Feuil1</vt:lpstr>
      <vt:lpstr>Patientez un instant...</vt:lpstr>
      <vt:lpstr>TemplateInformation</vt:lpstr>
      <vt:lpstr>_SHR1</vt:lpstr>
      <vt:lpstr>_SHR2</vt:lpstr>
      <vt:lpstr>_Tax2</vt:lpstr>
      <vt:lpstr>_Tax3</vt:lpstr>
      <vt:lpstr>_tax4</vt:lpstr>
      <vt:lpstr>Auto_ouvrir21</vt:lpstr>
      <vt:lpstr>boxes</vt:lpstr>
      <vt:lpstr>CC</vt:lpstr>
      <vt:lpstr>CCT</vt:lpstr>
      <vt:lpstr>CDB</vt:lpstr>
      <vt:lpstr>CS</vt:lpstr>
      <vt:lpstr>data1</vt:lpstr>
      <vt:lpstr>data10</vt:lpstr>
      <vt:lpstr>data2</vt:lpstr>
      <vt:lpstr>data3</vt:lpstr>
      <vt:lpstr>data4</vt:lpstr>
      <vt:lpstr>data47</vt:lpstr>
      <vt:lpstr>data48</vt:lpstr>
      <vt:lpstr>data49</vt:lpstr>
      <vt:lpstr>data5</vt:lpstr>
      <vt:lpstr>data53</vt:lpstr>
      <vt:lpstr>data54</vt:lpstr>
      <vt:lpstr>data55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qzqzqz21</vt:lpstr>
      <vt:lpstr>qzqzqz23</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2018-12-11T07:43:30Z</cp:lastPrinted>
  <dcterms:created xsi:type="dcterms:W3CDTF">1995-05-29T15:50:39Z</dcterms:created>
  <dcterms:modified xsi:type="dcterms:W3CDTF">2018-12-11T07:43:50Z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URS</vt:lpwstr>
  </property>
  <property fmtid="{D5CDD505-2E9C-101B-9397-08002B2CF9AE}" pid="11" name="Montant de la facture" linkTarget="TOT">
    <vt:lpwstr/>
  </property>
</Properties>
</file>