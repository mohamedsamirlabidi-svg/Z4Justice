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6" i="3" l="1"/>
  <c r="O27" i="3"/>
  <c r="O29"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<sst xmlns="http://schemas.openxmlformats.org/spreadsheetml/2006/main" count="83" uniqueCount="67">
  <si>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</si>
  <si>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</si>
  <si>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</si>
  <si>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</si>
  <si>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</si>
  <si>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</si>
  <si>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</si>
  <si>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</si>
  <si>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</si>
  <si>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</si>
  <si>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</si>
  <si>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</si>
  <si>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</si>
  <si>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</si>
  <si>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</si>
  <si>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</si>
  <si>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</si>
  <si>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</si>
  <si>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</si>
  <si>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</si>
  <si>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</si>
  <si>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</si>
  <si>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</si>
  <si>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</si>
  <si>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</si>
  <si>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</si>
  <si>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</si>
  <si>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</si>
  <si>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</si>
  <si>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</si>
  <si>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</si>
  <si>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</si>
  <si>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</si>
  <si>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</si>
  <si>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</si>
  <si>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</si>
  <si>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</si>
  <si>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</si>
  <si>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</si>
  <si>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</si>
  <si>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</si>
  <si>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</si>
  <si>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</si>
  <si>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</si>
  <si>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</si>
  <si>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</si>
  <si>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</si>
  <si>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</si>
  <si>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</si>
  <si>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</si>
  <si>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</si>
  <si>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</si>
  <si>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</si>
  <si>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</si>
  <si>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</si>
  <si>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</si>
  <si>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</si>
  <si>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</si>
  <si>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</si>
  <si>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 xml:space="preserve">MR NAOUFEL </t>
  </si>
  <si>
    <t>1156910Z/A/M/000</t>
  </si>
  <si>
    <t>LDV012</t>
  </si>
  <si>
    <t>LIGNE DE VIE  SECUROP 12m</t>
  </si>
  <si>
    <t xml:space="preserve">Chèque </t>
  </si>
  <si>
    <t>N° Commande : 1800257</t>
  </si>
  <si>
    <r>
      <rPr>
        <b/>
        <sz val="10"/>
        <color rgb="FF00B050"/>
        <rFont val="Arial"/>
        <family val="2"/>
      </rPr>
      <t>Site Web</t>
    </r>
    <r>
      <rPr>
        <sz val="10"/>
        <rFont val="Arial"/>
        <family val="2"/>
      </rPr>
      <t xml:space="preserve">: </t>
    </r>
    <r>
      <rPr>
        <b/>
        <sz val="10"/>
        <color rgb="FFFF0000"/>
        <rFont val="Arial"/>
        <family val="2"/>
      </rPr>
      <t>www.acrobatsolution.com</t>
    </r>
  </si>
  <si>
    <t>BON DE LIVRAISON  2019015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</si>
</sst>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zoomScale="95" workbookViewId="0">
      <selection activeCell="N20" sqref="N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7"/>
      <c r="O9" s="188"/>
      <c r="P9" s="3"/>
      <c r="Q9" s="9"/>
    </row>
    <row r="10" spans="2:17" x14ac:dyDescent="0.2">
      <c r="B10" s="7"/>
      <c r="C10" s="3"/>
      <c r="D10" s="3"/>
      <c r="E10" s="3"/>
      <c r="F10" s="3"/>
      <c r="G10" s="3"/>
      <c r="H10" s="3"/>
      <c r="I10" s="3"/>
      <c r="J10" s="3"/>
      <c r="K10" s="3"/>
      <c r="L10" s="3"/>
      <c r="M10" s="3"/>
      <c r="N10" s="201"/>
      <c r="O10" s="202"/>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65</v>
      </c>
      <c r="I15" s="3"/>
      <c r="J15" s="3"/>
      <c r="K15" s="3"/>
      <c r="L15" s="3"/>
      <c r="M15" s="3"/>
      <c r="N15" s="104" t="s">
        <v>66</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97" t="s">
        <v>56</v>
      </c>
      <c r="F19" s="198"/>
      <c r="G19" s="198"/>
      <c r="H19" s="198"/>
      <c r="I19" s="198"/>
      <c r="J19" s="198"/>
      <c r="K19" s="92"/>
      <c r="L19" s="92"/>
      <c r="M19" s="94" t="s">
        <v>18</v>
      </c>
      <c r="N19" s="189">
        <v>43480</v>
      </c>
      <c r="O19" s="190"/>
      <c r="P19" s="57"/>
      <c r="Q19" s="9"/>
    </row>
    <row r="20" spans="2:17" x14ac:dyDescent="0.2">
      <c r="B20" s="7"/>
      <c r="C20" s="3"/>
      <c r="D20" s="92" t="s">
        <v>5</v>
      </c>
      <c r="E20" s="195" t="s">
        <v>57</v>
      </c>
      <c r="F20" s="196"/>
      <c r="G20" s="196"/>
      <c r="H20" s="196"/>
      <c r="I20" s="196"/>
      <c r="J20" s="196"/>
      <c r="K20" s="92"/>
      <c r="L20" s="92"/>
      <c r="M20" s="143" t="s">
        <v>64</v>
      </c>
      <c r="N20" s="130"/>
      <c r="O20" s="98"/>
      <c r="P20" s="58"/>
      <c r="Q20" s="9"/>
    </row>
    <row r="21" spans="2:17" x14ac:dyDescent="0.2">
      <c r="B21" s="7"/>
      <c r="C21" s="3"/>
      <c r="D21" s="92" t="s">
        <v>7</v>
      </c>
      <c r="E21" s="99"/>
      <c r="F21" s="100" t="s">
        <v>8</v>
      </c>
      <c r="G21" s="194"/>
      <c r="H21" s="194"/>
      <c r="I21" s="101" t="s">
        <v>9</v>
      </c>
      <c r="J21" s="98" t="s">
        <v>52</v>
      </c>
      <c r="K21" s="92"/>
      <c r="L21" s="92"/>
      <c r="M21" s="94" t="s">
        <v>19</v>
      </c>
      <c r="N21" s="191" t="s">
        <v>59</v>
      </c>
      <c r="O21" s="192"/>
      <c r="P21" s="3"/>
      <c r="Q21" s="9"/>
    </row>
    <row r="22" spans="2:17" x14ac:dyDescent="0.2">
      <c r="B22" s="7"/>
      <c r="C22" s="3"/>
      <c r="D22" s="110" t="s">
        <v>20</v>
      </c>
      <c r="E22" s="199" t="s">
        <v>58</v>
      </c>
      <c r="F22" s="200"/>
      <c r="G22" s="200"/>
      <c r="H22" s="200"/>
      <c r="I22" s="200"/>
      <c r="J22" s="200"/>
      <c r="K22" s="92"/>
      <c r="L22" s="92"/>
      <c r="M22" s="94" t="s">
        <v>48</v>
      </c>
      <c r="N22" s="193" t="s">
        <v>60</v>
      </c>
      <c r="O22" s="192"/>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68" t="s">
        <v>22</v>
      </c>
      <c r="G24" s="169"/>
      <c r="H24" s="169"/>
      <c r="I24" s="169"/>
      <c r="J24" s="169"/>
      <c r="K24" s="170"/>
      <c r="L24" s="129"/>
      <c r="M24" s="125" t="s">
        <v>35</v>
      </c>
      <c r="N24" s="53" t="s">
        <v>23</v>
      </c>
      <c r="O24" s="54" t="s">
        <v>24</v>
      </c>
      <c r="P24" s="59"/>
      <c r="Q24" s="9"/>
    </row>
    <row r="25" spans="2:17" x14ac:dyDescent="0.2">
      <c r="B25" s="7"/>
      <c r="C25" s="3"/>
      <c r="D25" s="131"/>
      <c r="E25" s="55"/>
      <c r="F25" s="148"/>
      <c r="G25" s="149"/>
      <c r="H25" s="149"/>
      <c r="I25" s="149"/>
      <c r="J25" s="149"/>
      <c r="K25" s="150"/>
      <c r="L25" s="126"/>
      <c r="M25" s="71"/>
      <c r="N25" s="78"/>
      <c r="O25" s="78" t="str">
        <f t="shared" ref="O25:O45" si="0">IF(E25&lt;&gt;"",E25*N25,"")</f>
        <v/>
      </c>
      <c r="P25" s="59"/>
      <c r="Q25" s="9"/>
    </row>
    <row r="26" spans="2:17" ht="15" x14ac:dyDescent="0.2">
      <c r="B26" s="7"/>
      <c r="C26" s="3"/>
      <c r="D26" s="132"/>
      <c r="E26" s="81"/>
      <c r="F26" s="174"/>
      <c r="G26" s="175"/>
      <c r="H26" s="175"/>
      <c r="I26" s="175"/>
      <c r="J26" s="175"/>
      <c r="K26" s="176"/>
      <c r="L26" s="126"/>
      <c r="M26" s="82">
        <v>2</v>
      </c>
      <c r="N26" s="83"/>
      <c r="O26" s="78" t="str">
        <f t="shared" si="0"/>
        <v/>
      </c>
      <c r="P26" s="59"/>
      <c r="Q26" s="9"/>
    </row>
    <row r="27" spans="2:17" ht="15" x14ac:dyDescent="0.2">
      <c r="B27" s="7"/>
      <c r="C27" s="3"/>
      <c r="D27" s="147" t="s">
        <v>61</v>
      </c>
      <c r="E27" s="81">
        <v>1</v>
      </c>
      <c r="F27" s="171" t="s">
        <v>62</v>
      </c>
      <c r="G27" s="172"/>
      <c r="H27" s="172"/>
      <c r="I27" s="172"/>
      <c r="J27" s="172"/>
      <c r="K27" s="173"/>
      <c r="L27" s="127"/>
      <c r="M27" s="82">
        <v>2</v>
      </c>
      <c r="N27" s="83"/>
      <c r="O27" s="78">
        <f t="shared" si="0"/>
        <v>0</v>
      </c>
      <c r="P27" s="59"/>
      <c r="Q27" s="9"/>
    </row>
    <row r="28" spans="2:17" ht="15" x14ac:dyDescent="0.2">
      <c r="B28" s="7"/>
      <c r="C28" s="3"/>
      <c r="D28" s="132"/>
      <c r="E28" s="81"/>
      <c r="F28" s="144"/>
      <c r="G28" s="145"/>
      <c r="H28" s="145"/>
      <c r="I28" s="145"/>
      <c r="J28" s="145"/>
      <c r="K28" s="146"/>
      <c r="L28" s="127"/>
      <c r="M28" s="82"/>
      <c r="N28" s="83"/>
      <c r="O28" s="78"/>
      <c r="P28" s="59"/>
      <c r="Q28" s="9"/>
    </row>
    <row r="29" spans="2:17" ht="15" x14ac:dyDescent="0.2">
      <c r="B29" s="7"/>
      <c r="C29" s="3"/>
      <c r="D29" s="147"/>
      <c r="E29" s="81"/>
      <c r="F29" s="171"/>
      <c r="G29" s="172"/>
      <c r="H29" s="172"/>
      <c r="I29" s="141"/>
      <c r="J29" s="141"/>
      <c r="K29" s="142"/>
      <c r="L29" s="127"/>
      <c r="M29" s="82"/>
      <c r="N29" s="83"/>
      <c r="O29" s="78" t="str">
        <f t="shared" si="0"/>
        <v/>
      </c>
      <c r="P29" s="59"/>
      <c r="Q29" s="9"/>
    </row>
    <row r="30" spans="2:17" ht="15" x14ac:dyDescent="0.2">
      <c r="B30" s="7"/>
      <c r="C30" s="3"/>
      <c r="D30" s="147"/>
      <c r="E30" s="81"/>
      <c r="F30" s="151"/>
      <c r="G30" s="152"/>
      <c r="H30" s="152"/>
      <c r="I30" s="153"/>
      <c r="J30" s="153"/>
      <c r="K30" s="154"/>
      <c r="L30" s="127"/>
      <c r="M30" s="82"/>
      <c r="N30" s="83"/>
      <c r="O30" s="78"/>
      <c r="P30" s="59"/>
      <c r="Q30" s="9"/>
    </row>
    <row r="31" spans="2:17" ht="15" x14ac:dyDescent="0.2">
      <c r="B31" s="7"/>
      <c r="C31" s="3"/>
      <c r="D31" s="147"/>
      <c r="E31" s="81"/>
      <c r="F31" s="151"/>
      <c r="G31" s="152"/>
      <c r="H31" s="152"/>
      <c r="I31" s="153"/>
      <c r="J31" s="153"/>
      <c r="K31" s="154"/>
      <c r="L31" s="127"/>
      <c r="M31" s="82"/>
      <c r="N31" s="83"/>
      <c r="O31" s="78"/>
      <c r="P31" s="59"/>
      <c r="Q31" s="9"/>
    </row>
    <row r="32" spans="2:17" ht="15" x14ac:dyDescent="0.2">
      <c r="B32" s="7"/>
      <c r="C32" s="3"/>
      <c r="D32" s="147"/>
      <c r="E32" s="81"/>
      <c r="F32" s="151"/>
      <c r="G32" s="152"/>
      <c r="H32" s="152"/>
      <c r="I32" s="153"/>
      <c r="J32" s="153"/>
      <c r="K32" s="154"/>
      <c r="L32" s="127"/>
      <c r="M32" s="82"/>
      <c r="N32" s="83"/>
      <c r="O32" s="78"/>
      <c r="P32" s="59"/>
      <c r="Q32" s="9"/>
    </row>
    <row r="33" spans="2:17" ht="15" x14ac:dyDescent="0.2">
      <c r="B33" s="7"/>
      <c r="C33" s="3"/>
      <c r="D33" s="147"/>
      <c r="E33" s="81"/>
      <c r="F33" s="151"/>
      <c r="G33" s="152"/>
      <c r="H33" s="152"/>
      <c r="I33" s="153"/>
      <c r="J33" s="153"/>
      <c r="K33" s="154"/>
      <c r="L33" s="127"/>
      <c r="M33" s="82"/>
      <c r="N33" s="83"/>
      <c r="O33" s="78"/>
      <c r="P33" s="59"/>
      <c r="Q33" s="9"/>
    </row>
    <row r="34" spans="2:17" ht="15" x14ac:dyDescent="0.2">
      <c r="B34" s="7"/>
      <c r="C34" s="3"/>
      <c r="D34" s="147"/>
      <c r="E34" s="81"/>
      <c r="F34" s="184"/>
      <c r="G34" s="185"/>
      <c r="H34" s="185"/>
      <c r="I34" s="185"/>
      <c r="J34" s="185"/>
      <c r="K34" s="186"/>
      <c r="L34" s="127"/>
      <c r="M34" s="82"/>
      <c r="N34" s="83"/>
      <c r="O34" s="78"/>
      <c r="P34" s="59"/>
      <c r="Q34" s="9"/>
    </row>
    <row r="35" spans="2:17" ht="15" x14ac:dyDescent="0.2">
      <c r="B35" s="7"/>
      <c r="C35" s="3"/>
      <c r="D35" s="147"/>
      <c r="E35" s="81"/>
      <c r="F35" s="184"/>
      <c r="G35" s="185"/>
      <c r="H35" s="185"/>
      <c r="I35" s="185"/>
      <c r="J35" s="185"/>
      <c r="K35" s="186"/>
      <c r="L35" s="127"/>
      <c r="M35" s="82"/>
      <c r="N35" s="83"/>
      <c r="O35" s="78"/>
      <c r="P35" s="59"/>
      <c r="Q35" s="9"/>
    </row>
    <row r="36" spans="2:17" ht="15" x14ac:dyDescent="0.2">
      <c r="B36" s="7"/>
      <c r="C36" s="3"/>
      <c r="D36" s="147"/>
      <c r="E36" s="81"/>
      <c r="F36" s="151"/>
      <c r="G36" s="152"/>
      <c r="H36" s="152"/>
      <c r="I36" s="153"/>
      <c r="J36" s="153"/>
      <c r="K36" s="154"/>
      <c r="L36" s="127"/>
      <c r="M36" s="82"/>
      <c r="N36" s="83"/>
      <c r="O36" s="78"/>
      <c r="P36" s="59"/>
      <c r="Q36" s="9"/>
    </row>
    <row r="37" spans="2:17" ht="15" x14ac:dyDescent="0.2">
      <c r="B37" s="7"/>
      <c r="C37" s="3"/>
      <c r="D37" s="147"/>
      <c r="E37" s="81"/>
      <c r="F37" s="151"/>
      <c r="G37" s="152"/>
      <c r="H37" s="152"/>
      <c r="I37" s="153"/>
      <c r="J37" s="153"/>
      <c r="K37" s="154"/>
      <c r="L37" s="127"/>
      <c r="M37" s="82"/>
      <c r="N37" s="83"/>
      <c r="O37" s="78"/>
      <c r="P37" s="59"/>
      <c r="Q37" s="9"/>
    </row>
    <row r="38" spans="2:17" ht="15" x14ac:dyDescent="0.2">
      <c r="B38" s="7"/>
      <c r="C38" s="3"/>
      <c r="D38" s="147"/>
      <c r="E38" s="81"/>
      <c r="F38" s="151"/>
      <c r="G38" s="152"/>
      <c r="H38" s="152"/>
      <c r="I38" s="153"/>
      <c r="J38" s="153"/>
      <c r="K38" s="154"/>
      <c r="L38" s="127"/>
      <c r="M38" s="82"/>
      <c r="N38" s="83"/>
      <c r="O38" s="78"/>
      <c r="P38" s="59"/>
      <c r="Q38" s="9"/>
    </row>
    <row r="39" spans="2:17" ht="15" x14ac:dyDescent="0.2">
      <c r="B39" s="7"/>
      <c r="C39" s="3"/>
      <c r="D39" s="147"/>
      <c r="E39" s="81"/>
      <c r="F39" s="151"/>
      <c r="G39" s="152"/>
      <c r="H39" s="152"/>
      <c r="I39" s="153"/>
      <c r="J39" s="153"/>
      <c r="K39" s="154"/>
      <c r="L39" s="127"/>
      <c r="M39" s="82"/>
      <c r="N39" s="83"/>
      <c r="O39" s="78"/>
      <c r="P39" s="59"/>
      <c r="Q39" s="9"/>
    </row>
    <row r="40" spans="2:17" ht="15" x14ac:dyDescent="0.2">
      <c r="B40" s="7"/>
      <c r="C40" s="3"/>
      <c r="D40" s="147"/>
      <c r="E40" s="81"/>
      <c r="F40" s="151"/>
      <c r="G40" s="152"/>
      <c r="H40" s="152"/>
      <c r="I40" s="153"/>
      <c r="J40" s="153"/>
      <c r="K40" s="154"/>
      <c r="L40" s="127"/>
      <c r="M40" s="82"/>
      <c r="N40" s="83"/>
      <c r="O40" s="78"/>
      <c r="P40" s="59"/>
      <c r="Q40" s="9"/>
    </row>
    <row r="41" spans="2:17" ht="15" x14ac:dyDescent="0.2">
      <c r="B41" s="7"/>
      <c r="C41" s="3"/>
      <c r="D41" s="147"/>
      <c r="E41" s="81"/>
      <c r="F41" s="151"/>
      <c r="G41" s="152"/>
      <c r="H41" s="152"/>
      <c r="I41" s="153"/>
      <c r="J41" s="153"/>
      <c r="K41" s="154"/>
      <c r="L41" s="127"/>
      <c r="M41" s="82"/>
      <c r="N41" s="83"/>
      <c r="O41" s="78"/>
      <c r="P41" s="59"/>
      <c r="Q41" s="9"/>
    </row>
    <row r="42" spans="2:17" ht="15" x14ac:dyDescent="0.2">
      <c r="B42" s="7"/>
      <c r="C42" s="3"/>
      <c r="D42" s="147"/>
      <c r="E42" s="81"/>
      <c r="F42" s="151"/>
      <c r="G42" s="152"/>
      <c r="H42" s="152"/>
      <c r="I42" s="153"/>
      <c r="J42" s="153"/>
      <c r="K42" s="154"/>
      <c r="L42" s="127"/>
      <c r="M42" s="82"/>
      <c r="N42" s="83"/>
      <c r="O42" s="78"/>
      <c r="P42" s="59"/>
      <c r="Q42" s="9"/>
    </row>
    <row r="43" spans="2:17" ht="15" x14ac:dyDescent="0.2">
      <c r="B43" s="7"/>
      <c r="C43" s="3"/>
      <c r="D43" s="132"/>
      <c r="E43" s="81"/>
      <c r="F43" s="181"/>
      <c r="G43" s="182"/>
      <c r="H43" s="182"/>
      <c r="I43" s="182"/>
      <c r="J43" s="182"/>
      <c r="K43" s="183"/>
      <c r="L43" s="127"/>
      <c r="M43" s="82"/>
      <c r="N43" s="83"/>
      <c r="O43" s="78" t="str">
        <f t="shared" si="0"/>
        <v/>
      </c>
      <c r="P43" s="59"/>
      <c r="Q43" s="9"/>
    </row>
    <row r="44" spans="2:17" ht="15" x14ac:dyDescent="0.2">
      <c r="B44" s="7"/>
      <c r="C44" s="3"/>
      <c r="D44" s="132"/>
      <c r="E44" s="81"/>
      <c r="F44" s="174"/>
      <c r="G44" s="175"/>
      <c r="H44" s="175"/>
      <c r="I44" s="175"/>
      <c r="J44" s="175"/>
      <c r="K44" s="176"/>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79"/>
      <c r="G46" s="180"/>
      <c r="H46" s="180"/>
      <c r="I46" s="180"/>
      <c r="J46" s="180"/>
      <c r="K46" s="180"/>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0</v>
      </c>
      <c r="P47" s="59"/>
      <c r="Q47" s="9"/>
    </row>
    <row r="48" spans="2:17" ht="15" x14ac:dyDescent="0.2">
      <c r="B48" s="7"/>
      <c r="C48" s="3"/>
      <c r="D48" s="3"/>
      <c r="E48" s="92"/>
      <c r="F48" s="92"/>
      <c r="G48" s="92"/>
      <c r="H48" s="92"/>
      <c r="I48" s="92"/>
      <c r="J48" s="85"/>
      <c r="K48" s="85"/>
      <c r="L48" s="85"/>
      <c r="M48" s="85"/>
      <c r="N48" s="139" t="s">
        <v>47</v>
      </c>
      <c r="O48" s="134"/>
      <c r="P48" s="59"/>
      <c r="Q48" s="9"/>
    </row>
    <row r="49" spans="2:17" ht="15" x14ac:dyDescent="0.2">
      <c r="B49" s="7"/>
      <c r="C49" s="3"/>
      <c r="D49" s="3"/>
      <c r="E49" s="93"/>
      <c r="F49" s="94" t="s">
        <v>26</v>
      </c>
      <c r="G49" s="92"/>
      <c r="H49" s="92"/>
      <c r="I49" s="92"/>
      <c r="J49" s="87"/>
      <c r="K49" s="87"/>
      <c r="L49" s="87"/>
      <c r="M49" s="86"/>
      <c r="N49" s="135">
        <v>0.19</v>
      </c>
      <c r="O49" s="134">
        <f>+O47*19%</f>
        <v>0</v>
      </c>
      <c r="P49" s="59"/>
      <c r="Q49" s="9"/>
    </row>
    <row r="50" spans="2:17" ht="15.75" x14ac:dyDescent="0.25">
      <c r="B50" s="7"/>
      <c r="C50" s="3"/>
      <c r="D50" s="3"/>
      <c r="E50" s="95"/>
      <c r="F50" s="143" t="s">
        <v>63</v>
      </c>
      <c r="G50" s="155"/>
      <c r="H50" s="95"/>
      <c r="I50" s="92"/>
      <c r="J50" s="88"/>
      <c r="K50" s="85"/>
      <c r="L50" s="85"/>
      <c r="M50" s="85"/>
      <c r="N50" s="136" t="s">
        <v>27</v>
      </c>
      <c r="O50" s="109">
        <f>O47+O48+O49</f>
        <v>0</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63"/>
      <c r="D53" s="163"/>
      <c r="E53" s="163"/>
      <c r="F53" s="163"/>
      <c r="G53" s="163"/>
      <c r="H53" s="163"/>
      <c r="I53" s="163"/>
      <c r="J53" s="163"/>
      <c r="K53" s="163"/>
      <c r="L53" s="163"/>
      <c r="M53" s="163"/>
      <c r="N53" s="131"/>
      <c r="O53" s="131"/>
      <c r="P53" s="59"/>
      <c r="Q53" s="9"/>
    </row>
    <row r="54" spans="2:17" ht="15" x14ac:dyDescent="0.2">
      <c r="B54" s="7"/>
      <c r="C54" s="3"/>
      <c r="D54" s="3"/>
      <c r="E54" s="97"/>
      <c r="F54" s="177"/>
      <c r="G54" s="178"/>
      <c r="H54" s="178"/>
      <c r="I54" s="178"/>
      <c r="J54" s="87"/>
      <c r="K54" s="85"/>
      <c r="L54" s="85"/>
      <c r="M54" s="85"/>
      <c r="N54" s="85"/>
      <c r="O54" s="85"/>
      <c r="P54" s="59"/>
      <c r="Q54" s="9"/>
    </row>
    <row r="55" spans="2:17" ht="15" customHeight="1" x14ac:dyDescent="0.2">
      <c r="B55" s="7"/>
      <c r="C55" s="3"/>
      <c r="D55" s="3"/>
      <c r="E55" s="20"/>
      <c r="F55" s="166"/>
      <c r="G55" s="167"/>
      <c r="H55" s="167"/>
      <c r="I55" s="167"/>
      <c r="J55" s="87"/>
      <c r="K55" s="111" t="s">
        <v>55</v>
      </c>
      <c r="L55" s="122"/>
      <c r="M55" s="112"/>
      <c r="N55" s="112"/>
      <c r="O55" s="113"/>
      <c r="P55" s="59"/>
      <c r="Q55" s="9"/>
    </row>
    <row r="56" spans="2:17" ht="15" x14ac:dyDescent="0.2">
      <c r="B56" s="7"/>
      <c r="C56" s="3"/>
      <c r="D56" s="3"/>
      <c r="E56" s="20"/>
      <c r="F56" s="86"/>
      <c r="G56" s="164"/>
      <c r="H56" s="165"/>
      <c r="I56" s="165"/>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2">
    <mergeCell ref="N9:O9"/>
    <mergeCell ref="N19:O19"/>
    <mergeCell ref="N21:O21"/>
    <mergeCell ref="N22:O22"/>
    <mergeCell ref="G21:H21"/>
    <mergeCell ref="E20:J20"/>
    <mergeCell ref="E19:J19"/>
    <mergeCell ref="E22:J22"/>
    <mergeCell ref="N10:O10"/>
    <mergeCell ref="C53:M53"/>
    <mergeCell ref="G56:I56"/>
    <mergeCell ref="F55:I55"/>
    <mergeCell ref="F24:K24"/>
    <mergeCell ref="F27:K27"/>
    <mergeCell ref="F26:K26"/>
    <mergeCell ref="F54:I54"/>
    <mergeCell ref="F46:K46"/>
    <mergeCell ref="F44:K44"/>
    <mergeCell ref="F29:H29"/>
    <mergeCell ref="F43:K43"/>
    <mergeCell ref="F34:K34"/>
    <mergeCell ref="F35:K35"/>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43480</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0</v>
      </c>
      <c r="K8" s="72" t="str">
        <f>Facture!$N$21</f>
        <v xml:space="preserve">MR NAOUFEL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2019-01-15T15:17:47Z</cp:lastPrinted>
  <dcterms:created xsi:type="dcterms:W3CDTF">1995-05-29T15:50:39Z</dcterms:created>
  <dcterms:modified xsi:type="dcterms:W3CDTF">2019-01-15T15:18:28Z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0</vt:r8>
  </property>
</Properties>
</file>