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BON DE LIVRAISON\"/>
    </mc:Choice>
  </mc:AlternateContent>
  <bookViews>
    <workbookView xWindow="0" yWindow="0" windowWidth="14370" windowHeight="7530"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Facture!$L$46</definedName>
    <definedName name="_Tax3">Facture!#REF!</definedName>
    <definedName name="_tax4">Facture!#REF!</definedName>
    <definedName name="_xlnm.Auto_Open21">'AutoOpen Stub Data'!$A$1</definedName>
    <definedName name="boxes">Facture!$E$44:$E$45</definedName>
    <definedName name="CC">'Personnaliser votre facture'!$G$22:$G$25</definedName>
    <definedName name="CCT">Facture!#REF!</definedName>
    <definedName name="CDB">'Personnaliser votre facture'!$E$50</definedName>
    <definedName name="Country">33</definedName>
    <definedName name="CS">'Personnaliser votre facture'!$E$51</definedName>
    <definedName name="data1">Facture!$L$22</definedName>
    <definedName name="data10">Facture!$F$25</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Facture!$M$23</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Facture!$M$24</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Facture!$M$25</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Facture!$E$22</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Facture!#REF!</definedName>
    <definedName name="data6">Facture!$F$23</definedName>
    <definedName name="data60">Facture!#REF!</definedName>
    <definedName name="data61">Facture!#REF!</definedName>
    <definedName name="data62">Facture!$E$44</definedName>
    <definedName name="data63">Facture!$E$45</definedName>
    <definedName name="data64">Facture!$E$46</definedName>
    <definedName name="data65">Facture!$H$47</definedName>
    <definedName name="data66">Facture!#REF!</definedName>
    <definedName name="data67">Facture!$F$53</definedName>
    <definedName name="data68">Facture!$G$53</definedName>
    <definedName name="data69">Facture!$K$53</definedName>
    <definedName name="data7">Facture!$H$24</definedName>
    <definedName name="data70">Facture!$K$54</definedName>
    <definedName name="data8">Facture!$J$24</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Facture!$C$3:$N$64</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Facture!$M$4</definedName>
    <definedName name="NS">'Personnaliser votre facture'!$E$49</definedName>
    <definedName name="qzqzqz1">Facture!$E$22:$J$22</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Facture!$L$22:$M$22</definedName>
    <definedName name="qzqzqz20">Facture!#REF!</definedName>
    <definedName name="qzqzqz21">Facture!#REF!</definedName>
    <definedName name="qzqzqz22">Facture!#REF!</definedName>
    <definedName name="qzqzqz23">Facture!#REF!</definedName>
    <definedName name="qzqzqz24">Facture!#REF!</definedName>
    <definedName name="qzqzqz25">Facture!#REF!</definedName>
    <definedName name="qzqzqz26">Facture!$F$49:$I$49</definedName>
    <definedName name="qzqzqz27">Facture!#REF!</definedName>
    <definedName name="qzqzqz28">Facture!$F$52:$I$52</definedName>
    <definedName name="qzqzqz29">Facture!$L$52:$M$54</definedName>
    <definedName name="qzqzqz3">Facture!$E$23:$J$23</definedName>
    <definedName name="qzqzqz30">Facture!$G$53:$I$53</definedName>
    <definedName name="qzqzqz31">Facture!$G$53:$H$53</definedName>
    <definedName name="qzqzqz32">Facture!$L$51:$M$53</definedName>
    <definedName name="qzqzqz4">Facture!$G$24:$H$24</definedName>
    <definedName name="qzqzqz5">Facture!$L$24:$M$24</definedName>
    <definedName name="qzqzqz6">Facture!$E$25:$J$25</definedName>
    <definedName name="qzqzqz7">Facture!$L$25:$M$25</definedName>
    <definedName name="qzqzqz8">Facture!$F$27:$K$27</definedName>
    <definedName name="qzqzqz9">Facture!#REF!</definedName>
    <definedName name="SS">'Personnaliser votre facture'!$E$48</definedName>
    <definedName name="TOT">Facture!$M$47</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Facture!$A$1:$N$64</definedName>
  </definedNames>
  <calcPr calcId="152511"/>
</workbook>
</file>

<file path=xl/calcChain.xml><?xml version="1.0" encoding="utf-8"?>
<calcChain xmlns="http://schemas.openxmlformats.org/spreadsheetml/2006/main">
  <c r="M35" i="3" l="1"/>
  <c r="M36" i="3"/>
  <c r="M37" i="3"/>
  <c r="M38" i="3"/>
  <c r="M39" i="3"/>
  <c r="M40" i="3"/>
  <c r="M41" i="3"/>
  <c r="M42" i="3"/>
  <c r="M43" i="3"/>
  <c r="M28" i="3" l="1"/>
  <c r="M30" i="3"/>
  <c r="F33" i="2" l="1"/>
  <c r="K8" i="8"/>
  <c r="I8" i="8"/>
  <c r="H8" i="8"/>
  <c r="G8" i="8"/>
  <c r="F8" i="8"/>
  <c r="E8" i="8"/>
  <c r="D8" i="8"/>
  <c r="C8" i="8"/>
  <c r="B8" i="8"/>
  <c r="J8" i="8" l="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sharedStrings.xml><?xml version="1.0" encoding="utf-8"?>
<sst xmlns="http://schemas.openxmlformats.org/spreadsheetml/2006/main" count="83" uniqueCount="74">
  <si>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</si>
  <si>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</si>
  <si>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</si>
  <si>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</si>
  <si>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</si>
  <si>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</si>
  <si>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</si>
  <si>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</si>
  <si>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</si>
  <si>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</si>
  <si>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</si>
  <si>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</si>
  <si>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</si>
  <si>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</si>
  <si>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</si>
  <si>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</si>
  <si>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</si>
  <si>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</si>
  <si>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
  </si>
  <si>
    <t>Date</t>
  </si>
  <si>
    <t>Responsable</t>
  </si>
  <si>
    <t>Téléphone</t>
  </si>
  <si>
    <t>Quantité</t>
  </si>
  <si>
    <t>Description</t>
  </si>
  <si>
    <t>Montant</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</si>
  <si>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</si>
  <si>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</si>
  <si>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</si>
  <si>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</si>
  <si>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</si>
  <si>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</si>
  <si>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</si>
  <si>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</si>
  <si>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</si>
  <si>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</si>
  <si>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</si>
  <si>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</si>
  <si>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</si>
  <si>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</si>
  <si>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</si>
  <si>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</si>
  <si>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</si>
  <si>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</si>
  <si>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</si>
  <si>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</si>
  <si>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GAMESYSTEM ATLAS  services</t>
  </si>
  <si>
    <t>TEL:  71 258108</t>
  </si>
  <si>
    <t>FAX : 71 259346</t>
  </si>
  <si>
    <t>Nom:</t>
  </si>
  <si>
    <t>Adresse:</t>
  </si>
  <si>
    <t>Code postal:</t>
  </si>
  <si>
    <t>Téléphone:</t>
  </si>
  <si>
    <t>Comptant</t>
  </si>
  <si>
    <t>Chèque</t>
  </si>
  <si>
    <t>TN</t>
  </si>
  <si>
    <t>RIB: 10 000 000 080746 3788 95</t>
  </si>
  <si>
    <t>STB THAMEUR</t>
  </si>
  <si>
    <t>RC:B161701999  MF:645 267 KMA 000</t>
  </si>
  <si>
    <t>SIGNATURE :</t>
  </si>
  <si>
    <t>P.U.DT</t>
  </si>
  <si>
    <t>TOUS NOS PRODUITS SONT CONFORMES AUX NORMES DE SÉCURITÉ "CE"  ET PRESENTENT LE CERTIFICAT DE CONFORMITE</t>
  </si>
  <si>
    <t>C001</t>
  </si>
  <si>
    <t>http://doc.camp.it/PdfCataloghi/CAMP_SAFETY_ITA_FRA_DEU.pdf</t>
  </si>
  <si>
    <t xml:space="preserve"> CATALOGUE :</t>
  </si>
  <si>
    <t xml:space="preserve">ICAR </t>
  </si>
  <si>
    <t xml:space="preserve">Casque de securite V-GARD MSA </t>
  </si>
  <si>
    <t xml:space="preserve">73 830 001 Fax :73 320 420 </t>
  </si>
  <si>
    <t xml:space="preserve">route de monastir sidi abdelhamid </t>
  </si>
  <si>
    <t xml:space="preserve">sousse </t>
  </si>
  <si>
    <t>MF:1092458Y/A/M/000</t>
  </si>
  <si>
    <t>Date : 07/11/2018</t>
  </si>
  <si>
    <t>N° COMMANDE : 7540</t>
  </si>
  <si>
    <t xml:space="preserve">Responsable: Service achat </t>
  </si>
  <si>
    <t xml:space="preserve">Bon de Livraison N°20180852 </t>
  </si>
</sst>
</file>

<file path=xl/styles.xml><?xml version="1.0" encoding="utf-8"?>
<styleSheet xmlns="http://schemas.openxmlformats.org/spreadsheetml/2006/main" xmlns:mc="http://schemas.openxmlformats.org/markup-compatibility/2006" xmlns:x14ac="http://schemas.microsoft.com/office/spreadsheetml/2009/9/ac" mc:Ignorable="x14ac">
  <numFmts count="8">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 numFmtId="170" formatCode="#,##0.00\ _€"/>
  </numFmts>
  <fonts count="50"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b/>
      <sz val="12"/>
      <color indexed="63"/>
      <name val="Arial"/>
      <family val="2"/>
    </font>
    <font>
      <sz val="12"/>
      <name val="Arial"/>
      <family val="2"/>
    </font>
    <font>
      <b/>
      <sz val="12"/>
      <name val="Arial"/>
      <family val="2"/>
    </font>
    <font>
      <b/>
      <u/>
      <sz val="11"/>
      <name val="Arial"/>
      <family val="2"/>
    </font>
    <font>
      <b/>
      <sz val="14"/>
      <name val="Arial"/>
      <family val="2"/>
    </font>
    <font>
      <sz val="9"/>
      <name val="Arial"/>
      <family val="2"/>
    </font>
    <font>
      <sz val="14"/>
      <name val="Arial"/>
      <family val="2"/>
    </font>
    <font>
      <sz val="26"/>
      <name val="Arial"/>
      <family val="2"/>
    </font>
    <font>
      <b/>
      <sz val="26"/>
      <name val="Arial"/>
      <family val="2"/>
    </font>
    <font>
      <b/>
      <sz val="20"/>
      <name val="Times New Roman"/>
      <family val="1"/>
    </font>
    <font>
      <b/>
      <sz val="28"/>
      <name val="Arial"/>
      <family val="2"/>
    </font>
    <font>
      <b/>
      <sz val="28"/>
      <color indexed="8"/>
      <name val="Arial"/>
      <family val="2"/>
    </font>
    <font>
      <sz val="28"/>
      <color indexed="8"/>
      <name val="Arial"/>
      <family val="2"/>
    </font>
    <font>
      <sz val="24"/>
      <name val="Arial"/>
      <family val="2"/>
    </font>
    <font>
      <u/>
      <sz val="24"/>
      <name val="Arial"/>
      <family val="2"/>
    </font>
    <font>
      <b/>
      <sz val="24"/>
      <name val="Arial"/>
      <family val="2"/>
    </font>
    <font>
      <b/>
      <sz val="20"/>
      <name val="Arial"/>
      <family val="2"/>
    </font>
    <font>
      <b/>
      <sz val="16"/>
      <name val="Arial"/>
      <family val="2"/>
    </font>
    <font>
      <sz val="22"/>
      <name val="Arial"/>
      <family val="2"/>
    </font>
    <font>
      <sz val="20"/>
      <name val="Arial"/>
      <family val="2"/>
    </font>
    <font>
      <b/>
      <sz val="18"/>
      <color theme="0"/>
      <name val="Arial"/>
      <family val="2"/>
    </font>
    <font>
      <sz val="16"/>
      <name val="Arial"/>
      <family val="2"/>
    </font>
    <font>
      <sz val="10"/>
      <color rgb="FF000000"/>
      <name val="Arial"/>
      <family val="2"/>
    </font>
    <font>
      <u/>
      <sz val="10"/>
      <color theme="10"/>
      <name val="Arial"/>
      <family val="2"/>
    </font>
    <font>
      <b/>
      <u/>
      <sz val="12"/>
      <name val="Arial"/>
      <family val="2"/>
    </font>
    <font>
      <u/>
      <sz val="12"/>
      <color theme="10"/>
      <name val="Arial"/>
      <family val="2"/>
    </font>
    <font>
      <b/>
      <sz val="24"/>
      <color rgb="FFFF0000"/>
      <name val="Arial"/>
      <family val="2"/>
    </font>
    <font>
      <b/>
      <sz val="18"/>
      <color theme="1"/>
      <name val="Arial"/>
      <family val="2"/>
    </font>
    <font>
      <b/>
      <sz val="18"/>
      <name val="Arial"/>
      <family val="2"/>
    </font>
    <font>
      <u/>
      <sz val="14"/>
      <name val="Arial"/>
      <family val="2"/>
    </font>
    <font>
      <sz val="12"/>
      <color rgb="FFFF0000"/>
      <name val="Arial"/>
      <family val="2"/>
    </font>
    <font>
      <u/>
      <sz val="20"/>
      <name val="Algerian"/>
      <family val="5"/>
    </font>
    <font>
      <sz val="18"/>
      <color rgb="FFFF0000"/>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0">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style="hair">
        <color indexed="64"/>
      </right>
      <top/>
      <bottom/>
      <diagonal/>
    </border>
    <border>
      <left style="hair">
        <color indexed="64"/>
      </left>
      <right/>
      <top style="hair">
        <color indexed="64"/>
      </top>
      <bottom style="hair">
        <color indexed="64"/>
      </bottom>
      <diagonal/>
    </border>
    <border>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bottom style="hair">
        <color indexed="22"/>
      </bottom>
      <diagonal/>
    </border>
    <border>
      <left/>
      <right/>
      <top style="hair">
        <color indexed="22"/>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bottom/>
      <diagonal/>
    </border>
    <border>
      <left/>
      <right/>
      <top style="thin">
        <color indexed="32"/>
      </top>
      <bottom/>
      <diagonal/>
    </border>
    <border>
      <left style="double">
        <color indexed="64"/>
      </left>
      <right style="double">
        <color indexed="64"/>
      </right>
      <top style="double">
        <color indexed="64"/>
      </top>
      <bottom/>
      <diagonal/>
    </border>
    <border>
      <left style="double">
        <color indexed="64"/>
      </left>
      <right style="double">
        <color indexed="64"/>
      </right>
      <top/>
      <bottom/>
      <diagonal/>
    </border>
    <border>
      <left style="double">
        <color indexed="64"/>
      </left>
      <right style="double">
        <color indexed="64"/>
      </right>
      <top/>
      <bottom style="double">
        <color indexed="64"/>
      </bottom>
      <diagonal/>
    </border>
    <border>
      <left/>
      <right style="hair">
        <color indexed="64"/>
      </right>
      <top style="hair">
        <color indexed="64"/>
      </top>
      <bottom style="hair">
        <color indexed="64"/>
      </bottom>
      <diagonal/>
    </border>
    <border>
      <left/>
      <right style="hair">
        <color indexed="64"/>
      </right>
      <top/>
      <bottom style="hair">
        <color indexed="64"/>
      </bottom>
      <diagonal/>
    </border>
    <border>
      <left/>
      <right/>
      <top/>
      <bottom style="thin">
        <color indexed="64"/>
      </bottom>
      <diagonal/>
    </border>
    <border>
      <left/>
      <right style="hair">
        <color indexed="64"/>
      </right>
      <top/>
      <bottom style="thin">
        <color indexed="64"/>
      </bottom>
      <diagonal/>
    </border>
    <border>
      <left style="hair">
        <color indexed="64"/>
      </left>
      <right/>
      <top style="hair">
        <color indexed="64"/>
      </top>
      <bottom/>
      <diagonal/>
    </border>
    <border>
      <left/>
      <right/>
      <top/>
      <bottom style="hair">
        <color indexed="64"/>
      </bottom>
      <diagonal/>
    </border>
    <border>
      <left style="hair">
        <color indexed="64"/>
      </left>
      <right/>
      <top/>
      <bottom style="thin">
        <color indexed="64"/>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40" fillId="2" borderId="0" applyNumberFormat="0" applyFill="0" applyBorder="0" applyAlignment="0" applyProtection="0"/>
  </cellStyleXfs>
  <cellXfs count="189">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5" xfId="0" applyFill="1" applyBorder="1"/>
    <xf numFmtId="0" fontId="3" fillId="3" borderId="25" xfId="0" applyFont="1" applyFill="1" applyBorder="1"/>
    <xf numFmtId="0" fontId="9" fillId="3" borderId="0" xfId="0" applyFont="1" applyFill="1" applyBorder="1" applyAlignment="1"/>
    <xf numFmtId="0" fontId="0" fillId="3" borderId="26" xfId="0" applyNumberFormat="1" applyFill="1" applyBorder="1" applyAlignment="1">
      <alignment horizontal="left"/>
    </xf>
    <xf numFmtId="10" fontId="0" fillId="3" borderId="27"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6" xfId="0" applyNumberFormat="1" applyFill="1" applyBorder="1" applyAlignment="1">
      <alignment horizontal="left"/>
    </xf>
    <xf numFmtId="0" fontId="16" fillId="3" borderId="0" xfId="0" applyFont="1" applyFill="1" applyBorder="1" applyAlignment="1">
      <alignment horizontal="right"/>
    </xf>
    <xf numFmtId="0" fontId="17" fillId="4" borderId="0" xfId="0" applyFont="1" applyFill="1" applyBorder="1" applyAlignment="1"/>
    <xf numFmtId="0" fontId="4" fillId="3" borderId="0" xfId="0" applyFont="1" applyFill="1" applyBorder="1"/>
    <xf numFmtId="0" fontId="0" fillId="2" borderId="0" xfId="0" applyBorder="1"/>
    <xf numFmtId="0" fontId="22" fillId="3" borderId="0" xfId="0" applyFont="1" applyFill="1" applyBorder="1"/>
    <xf numFmtId="0" fontId="0" fillId="0" borderId="0" xfId="0" applyFill="1" applyBorder="1"/>
    <xf numFmtId="0" fontId="4" fillId="0" borderId="0" xfId="0" applyFont="1" applyFill="1" applyBorder="1"/>
    <xf numFmtId="0" fontId="18" fillId="0" borderId="0" xfId="0" applyFont="1" applyFill="1" applyBorder="1"/>
    <xf numFmtId="0" fontId="18" fillId="0" borderId="0" xfId="0" quotePrefix="1" applyFont="1" applyFill="1" applyBorder="1" applyAlignment="1">
      <alignment horizontal="right"/>
    </xf>
    <xf numFmtId="0" fontId="18" fillId="0" borderId="0" xfId="0" applyFont="1" applyFill="1"/>
    <xf numFmtId="167" fontId="4" fillId="0" borderId="0" xfId="0" applyNumberFormat="1" applyFont="1" applyFill="1" applyBorder="1"/>
    <xf numFmtId="0" fontId="4" fillId="0" borderId="0" xfId="0" applyFont="1" applyFill="1" applyBorder="1" applyAlignment="1">
      <alignment vertical="top"/>
    </xf>
    <xf numFmtId="9" fontId="19" fillId="0" borderId="0" xfId="0" applyNumberFormat="1" applyFont="1" applyFill="1" applyBorder="1"/>
    <xf numFmtId="0" fontId="21" fillId="0" borderId="0" xfId="0" applyFont="1" applyFill="1" applyBorder="1"/>
    <xf numFmtId="0" fontId="18" fillId="0" borderId="0" xfId="0" applyFont="1" applyFill="1" applyBorder="1" applyAlignment="1"/>
    <xf numFmtId="0" fontId="18" fillId="0" borderId="0" xfId="0" applyFont="1" applyFill="1" applyBorder="1" applyAlignment="1">
      <alignment vertical="top"/>
    </xf>
    <xf numFmtId="0" fontId="18" fillId="0" borderId="0" xfId="0" applyFont="1" applyFill="1" applyBorder="1" applyAlignment="1">
      <alignment wrapText="1"/>
    </xf>
    <xf numFmtId="0" fontId="21" fillId="3" borderId="30" xfId="0" applyFont="1" applyFill="1" applyBorder="1" applyAlignment="1">
      <alignment horizontal="center"/>
    </xf>
    <xf numFmtId="0" fontId="21" fillId="3" borderId="32" xfId="0" applyFont="1" applyFill="1" applyBorder="1" applyAlignment="1">
      <alignment horizontal="center"/>
    </xf>
    <xf numFmtId="0" fontId="23" fillId="3" borderId="0" xfId="0" applyNumberFormat="1" applyFont="1" applyFill="1" applyBorder="1" applyAlignment="1"/>
    <xf numFmtId="0" fontId="19" fillId="0" borderId="0" xfId="0" applyFont="1" applyFill="1" applyBorder="1"/>
    <xf numFmtId="0" fontId="19" fillId="0" borderId="0" xfId="0" applyFont="1" applyFill="1"/>
    <xf numFmtId="167" fontId="23" fillId="0" borderId="0" xfId="0" quotePrefix="1" applyNumberFormat="1" applyFont="1" applyFill="1" applyBorder="1"/>
    <xf numFmtId="0" fontId="23" fillId="0" borderId="0" xfId="0" applyFont="1" applyFill="1" applyBorder="1" applyAlignment="1">
      <alignment horizontal="left"/>
    </xf>
    <xf numFmtId="0" fontId="23" fillId="3" borderId="0" xfId="0" applyFont="1" applyFill="1" applyBorder="1" applyAlignment="1">
      <alignment horizontal="left"/>
    </xf>
    <xf numFmtId="167" fontId="23" fillId="3" borderId="0" xfId="0" applyNumberFormat="1" applyFont="1" applyFill="1" applyBorder="1"/>
    <xf numFmtId="0" fontId="23" fillId="0" borderId="0" xfId="0" applyFont="1" applyFill="1"/>
    <xf numFmtId="167" fontId="23" fillId="3" borderId="0" xfId="0" quotePrefix="1" applyNumberFormat="1" applyFont="1" applyFill="1" applyBorder="1" applyAlignment="1">
      <alignment horizontal="center"/>
    </xf>
    <xf numFmtId="0" fontId="25" fillId="3" borderId="0" xfId="0" applyFont="1" applyFill="1" applyBorder="1"/>
    <xf numFmtId="0" fontId="24" fillId="3" borderId="0" xfId="0" applyFont="1" applyFill="1" applyBorder="1"/>
    <xf numFmtId="0" fontId="25" fillId="3" borderId="0" xfId="0" applyFont="1" applyFill="1" applyBorder="1" applyAlignment="1">
      <alignment horizontal="right"/>
    </xf>
    <xf numFmtId="49" fontId="25" fillId="3" borderId="0" xfId="0" applyNumberFormat="1" applyFont="1" applyFill="1" applyBorder="1" applyAlignment="1">
      <alignment horizontal="left"/>
    </xf>
    <xf numFmtId="49" fontId="24" fillId="3" borderId="33" xfId="0" applyNumberFormat="1" applyFont="1" applyFill="1" applyBorder="1" applyAlignment="1">
      <alignment horizontal="left"/>
    </xf>
    <xf numFmtId="168" fontId="28" fillId="0" borderId="32" xfId="0" applyNumberFormat="1" applyFont="1" applyFill="1" applyBorder="1" applyAlignment="1">
      <alignment shrinkToFit="1"/>
    </xf>
    <xf numFmtId="0" fontId="27" fillId="0" borderId="0" xfId="0" applyFont="1" applyFill="1" applyBorder="1" applyAlignment="1">
      <alignment horizontal="right"/>
    </xf>
    <xf numFmtId="168" fontId="30" fillId="0" borderId="29" xfId="0" applyNumberFormat="1" applyFont="1" applyFill="1" applyBorder="1" applyAlignment="1"/>
    <xf numFmtId="0" fontId="33" fillId="3" borderId="0" xfId="0" applyFont="1" applyFill="1" applyBorder="1"/>
    <xf numFmtId="0" fontId="18" fillId="6" borderId="0" xfId="0" applyFont="1" applyFill="1" applyBorder="1" applyAlignment="1">
      <alignment vertical="top"/>
    </xf>
    <xf numFmtId="0" fontId="21" fillId="3" borderId="0" xfId="0" applyFont="1" applyFill="1" applyBorder="1"/>
    <xf numFmtId="0" fontId="35" fillId="3" borderId="34" xfId="0" applyFont="1" applyFill="1" applyBorder="1"/>
    <xf numFmtId="0" fontId="34" fillId="0" borderId="0" xfId="0" applyFont="1" applyFill="1" applyBorder="1"/>
    <xf numFmtId="0" fontId="38" fillId="0" borderId="0" xfId="0" applyFont="1" applyFill="1"/>
    <xf numFmtId="0" fontId="38" fillId="0" borderId="0" xfId="0" applyFont="1" applyFill="1" applyBorder="1" applyAlignment="1">
      <alignment wrapText="1"/>
    </xf>
    <xf numFmtId="0" fontId="37" fillId="6" borderId="0" xfId="0" applyFont="1" applyFill="1" applyBorder="1" applyAlignment="1">
      <alignment horizontal="left" vertical="center" wrapText="1"/>
    </xf>
    <xf numFmtId="49" fontId="36" fillId="0" borderId="28" xfId="0" applyNumberFormat="1" applyFont="1" applyFill="1" applyBorder="1" applyAlignment="1"/>
    <xf numFmtId="0" fontId="4" fillId="0" borderId="0" xfId="0" applyFont="1" applyFill="1" applyBorder="1" applyAlignment="1"/>
    <xf numFmtId="0" fontId="0" fillId="0" borderId="0" xfId="0" applyFill="1" applyBorder="1"/>
    <xf numFmtId="0" fontId="4" fillId="6" borderId="0" xfId="0" applyFont="1" applyFill="1" applyBorder="1"/>
    <xf numFmtId="0" fontId="18" fillId="6" borderId="0" xfId="0" applyFont="1" applyFill="1" applyBorder="1"/>
    <xf numFmtId="0" fontId="19" fillId="6" borderId="0" xfId="0" applyFont="1" applyFill="1" applyBorder="1"/>
    <xf numFmtId="49" fontId="31" fillId="6" borderId="0" xfId="0" applyNumberFormat="1" applyFont="1" applyFill="1" applyBorder="1" applyAlignment="1"/>
    <xf numFmtId="0" fontId="5" fillId="6" borderId="39" xfId="0" applyFont="1" applyFill="1" applyBorder="1" applyAlignment="1">
      <alignment horizontal="center" vertical="center"/>
    </xf>
    <xf numFmtId="0" fontId="0" fillId="6" borderId="0" xfId="0" applyFill="1" applyBorder="1"/>
    <xf numFmtId="0" fontId="33" fillId="0" borderId="0" xfId="0" applyFont="1" applyFill="1" applyBorder="1" applyAlignment="1">
      <alignment horizontal="left"/>
    </xf>
    <xf numFmtId="0" fontId="18" fillId="6" borderId="0" xfId="0" applyFont="1" applyFill="1" applyAlignment="1">
      <alignment vertical="top"/>
    </xf>
    <xf numFmtId="0" fontId="18" fillId="6" borderId="38" xfId="0" applyFont="1" applyFill="1" applyBorder="1" applyAlignment="1">
      <alignment vertical="top"/>
    </xf>
    <xf numFmtId="0" fontId="18" fillId="6" borderId="48" xfId="0" applyFont="1" applyFill="1" applyBorder="1" applyAlignment="1">
      <alignment vertical="top"/>
    </xf>
    <xf numFmtId="0" fontId="18" fillId="6" borderId="44" xfId="0" applyFont="1" applyFill="1" applyBorder="1" applyAlignment="1">
      <alignment vertical="top"/>
    </xf>
    <xf numFmtId="0" fontId="19" fillId="0" borderId="0" xfId="0" applyFont="1" applyFill="1" applyBorder="1" applyAlignment="1"/>
    <xf numFmtId="49" fontId="19" fillId="0" borderId="0" xfId="0" applyNumberFormat="1" applyFont="1" applyFill="1" applyBorder="1" applyAlignment="1"/>
    <xf numFmtId="49" fontId="40" fillId="0" borderId="45" xfId="5" applyNumberFormat="1" applyFill="1" applyBorder="1" applyAlignment="1"/>
    <xf numFmtId="49" fontId="40" fillId="0" borderId="46" xfId="5" applyNumberFormat="1" applyFill="1" applyBorder="1" applyAlignment="1"/>
    <xf numFmtId="49" fontId="40" fillId="0" borderId="0" xfId="5" applyNumberFormat="1" applyFill="1" applyBorder="1" applyAlignment="1"/>
    <xf numFmtId="49" fontId="40" fillId="0" borderId="38" xfId="5" applyNumberFormat="1" applyFill="1" applyBorder="1" applyAlignment="1"/>
    <xf numFmtId="0" fontId="0" fillId="6" borderId="0" xfId="0" applyFill="1"/>
    <xf numFmtId="168" fontId="29" fillId="0" borderId="0" xfId="0" applyNumberFormat="1" applyFont="1" applyFill="1" applyBorder="1" applyAlignment="1">
      <alignment shrinkToFit="1"/>
    </xf>
    <xf numFmtId="49" fontId="36" fillId="0" borderId="49" xfId="0" applyNumberFormat="1" applyFont="1" applyFill="1" applyBorder="1" applyAlignment="1"/>
    <xf numFmtId="1" fontId="30" fillId="0" borderId="38" xfId="0" applyNumberFormat="1" applyFont="1" applyFill="1" applyBorder="1" applyAlignment="1">
      <alignment horizontal="center"/>
    </xf>
    <xf numFmtId="0" fontId="21" fillId="3" borderId="47" xfId="0" applyFont="1" applyFill="1" applyBorder="1" applyAlignment="1">
      <alignment horizontal="center"/>
    </xf>
    <xf numFmtId="1" fontId="32" fillId="0" borderId="38" xfId="0" applyNumberFormat="1" applyFont="1" applyFill="1" applyBorder="1" applyAlignment="1">
      <alignment horizontal="center"/>
    </xf>
    <xf numFmtId="0" fontId="23" fillId="6" borderId="29" xfId="0" applyFont="1" applyFill="1" applyBorder="1" applyAlignment="1">
      <alignment horizontal="center"/>
    </xf>
    <xf numFmtId="0" fontId="21" fillId="3" borderId="0" xfId="0" applyFont="1" applyFill="1" applyBorder="1" applyAlignment="1">
      <alignment horizontal="center"/>
    </xf>
    <xf numFmtId="0" fontId="21" fillId="3" borderId="28" xfId="0" applyFont="1" applyFill="1" applyBorder="1" applyAlignment="1">
      <alignment horizontal="center"/>
    </xf>
    <xf numFmtId="0" fontId="21" fillId="3" borderId="29" xfId="0" applyFont="1" applyFill="1" applyBorder="1" applyAlignment="1">
      <alignment horizontal="center"/>
    </xf>
    <xf numFmtId="49" fontId="42" fillId="0" borderId="28" xfId="5" applyNumberFormat="1" applyFont="1" applyFill="1" applyBorder="1" applyAlignment="1"/>
    <xf numFmtId="49" fontId="43" fillId="0" borderId="28" xfId="5" applyNumberFormat="1" applyFont="1" applyFill="1" applyBorder="1" applyAlignment="1"/>
    <xf numFmtId="0" fontId="44" fillId="3" borderId="28" xfId="0" applyFont="1" applyFill="1" applyBorder="1" applyAlignment="1"/>
    <xf numFmtId="0" fontId="44" fillId="3" borderId="0" xfId="0" applyFont="1" applyFill="1" applyBorder="1" applyAlignment="1"/>
    <xf numFmtId="0" fontId="44" fillId="3" borderId="38" xfId="0" applyFont="1" applyFill="1" applyBorder="1" applyAlignment="1"/>
    <xf numFmtId="49" fontId="46" fillId="6" borderId="0" xfId="5" applyNumberFormat="1" applyFont="1" applyFill="1" applyBorder="1" applyAlignment="1"/>
    <xf numFmtId="49" fontId="46" fillId="6" borderId="38" xfId="5" applyNumberFormat="1" applyFont="1" applyFill="1" applyBorder="1" applyAlignment="1"/>
    <xf numFmtId="0" fontId="45" fillId="6" borderId="0" xfId="0" applyFont="1" applyFill="1" applyBorder="1" applyAlignment="1"/>
    <xf numFmtId="0" fontId="45" fillId="6" borderId="38" xfId="0" applyFont="1" applyFill="1" applyBorder="1" applyAlignment="1"/>
    <xf numFmtId="49" fontId="33" fillId="6" borderId="0" xfId="0" applyNumberFormat="1" applyFont="1" applyFill="1" applyBorder="1" applyAlignment="1"/>
    <xf numFmtId="0" fontId="2" fillId="6" borderId="0" xfId="0" applyFont="1" applyFill="1"/>
    <xf numFmtId="1" fontId="23" fillId="0" borderId="38" xfId="0" applyNumberFormat="1" applyFont="1" applyFill="1" applyBorder="1" applyAlignment="1">
      <alignment horizontal="center"/>
    </xf>
    <xf numFmtId="49" fontId="38" fillId="0" borderId="28" xfId="0" applyNumberFormat="1" applyFont="1" applyFill="1" applyBorder="1" applyAlignment="1"/>
    <xf numFmtId="49" fontId="48" fillId="0" borderId="28" xfId="0" applyNumberFormat="1" applyFont="1" applyFill="1" applyBorder="1" applyAlignment="1"/>
    <xf numFmtId="49" fontId="49" fillId="0" borderId="28" xfId="0" applyNumberFormat="1" applyFont="1" applyFill="1" applyBorder="1" applyAlignment="1"/>
    <xf numFmtId="1" fontId="32" fillId="0" borderId="46" xfId="0" applyNumberFormat="1" applyFont="1" applyFill="1" applyBorder="1" applyAlignment="1">
      <alignment horizontal="center"/>
    </xf>
    <xf numFmtId="170" fontId="27" fillId="0" borderId="32" xfId="0" quotePrefix="1" applyNumberFormat="1" applyFont="1" applyFill="1" applyBorder="1" applyAlignment="1">
      <alignment horizontal="right"/>
    </xf>
    <xf numFmtId="170" fontId="27" fillId="0" borderId="32" xfId="0" applyNumberFormat="1" applyFont="1" applyFill="1" applyBorder="1" applyAlignment="1">
      <alignment horizontal="right"/>
    </xf>
    <xf numFmtId="170" fontId="27" fillId="0" borderId="32" xfId="0" quotePrefix="1" applyNumberFormat="1" applyFont="1" applyFill="1" applyBorder="1" applyAlignment="1">
      <alignment horizontal="center"/>
    </xf>
    <xf numFmtId="0" fontId="13" fillId="3" borderId="35" xfId="0" applyFont="1" applyFill="1" applyBorder="1" applyAlignment="1"/>
    <xf numFmtId="0" fontId="0" fillId="2" borderId="35"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36" xfId="0" applyNumberFormat="1" applyFill="1" applyBorder="1" applyAlignment="1"/>
    <xf numFmtId="0" fontId="0" fillId="2" borderId="37" xfId="0" applyBorder="1" applyAlignment="1"/>
    <xf numFmtId="0" fontId="20" fillId="0" borderId="0" xfId="0" applyFont="1" applyFill="1" applyBorder="1" applyAlignment="1">
      <alignment horizontal="center" vertical="center" wrapText="1"/>
    </xf>
    <xf numFmtId="14" fontId="18" fillId="0" borderId="0" xfId="0" applyNumberFormat="1" applyFont="1" applyFill="1" applyBorder="1" applyAlignment="1"/>
    <xf numFmtId="0" fontId="21" fillId="3" borderId="0" xfId="0" applyFont="1" applyFill="1" applyBorder="1" applyAlignment="1">
      <alignment vertical="center"/>
    </xf>
    <xf numFmtId="49" fontId="24" fillId="3" borderId="34" xfId="0" applyNumberFormat="1" applyFont="1" applyFill="1" applyBorder="1" applyAlignment="1">
      <alignment horizontal="left"/>
    </xf>
    <xf numFmtId="0" fontId="21" fillId="3" borderId="30" xfId="0" applyFont="1" applyFill="1" applyBorder="1" applyAlignment="1"/>
    <xf numFmtId="0" fontId="21" fillId="3" borderId="31" xfId="0" applyFont="1" applyFill="1" applyBorder="1" applyAlignment="1"/>
    <xf numFmtId="0" fontId="21" fillId="3" borderId="43" xfId="0" applyFont="1" applyFill="1" applyBorder="1" applyAlignment="1"/>
    <xf numFmtId="0" fontId="47" fillId="3" borderId="0" xfId="0" applyFont="1" applyFill="1" applyBorder="1" applyAlignment="1">
      <alignment shrinkToFit="1"/>
    </xf>
    <xf numFmtId="0" fontId="2" fillId="3" borderId="0" xfId="0" applyFont="1" applyFill="1" applyBorder="1" applyAlignment="1">
      <alignment shrinkToFit="1"/>
    </xf>
    <xf numFmtId="0" fontId="25" fillId="3" borderId="34" xfId="0" applyFont="1" applyFill="1" applyBorder="1" applyAlignment="1">
      <alignment horizontal="left"/>
    </xf>
    <xf numFmtId="0" fontId="23" fillId="0" borderId="0" xfId="0" applyFont="1" applyFill="1" applyBorder="1" applyAlignment="1">
      <alignment horizontal="left"/>
    </xf>
    <xf numFmtId="0" fontId="26" fillId="3" borderId="40" xfId="0" applyFont="1" applyFill="1" applyBorder="1" applyAlignment="1">
      <alignment horizontal="center" vertical="center" wrapText="1" shrinkToFit="1"/>
    </xf>
    <xf numFmtId="0" fontId="26" fillId="3" borderId="41" xfId="0" applyFont="1" applyFill="1" applyBorder="1" applyAlignment="1">
      <alignment horizontal="center" vertical="center" wrapText="1" shrinkToFit="1"/>
    </xf>
    <xf numFmtId="0" fontId="26" fillId="3" borderId="42" xfId="0" applyFont="1" applyFill="1" applyBorder="1" applyAlignment="1">
      <alignment horizontal="center" vertical="center" wrapText="1" shrinkToFit="1"/>
    </xf>
    <xf numFmtId="14" fontId="25" fillId="3" borderId="33" xfId="0" applyNumberFormat="1" applyFont="1" applyFill="1" applyBorder="1" applyAlignment="1">
      <alignment horizontal="left"/>
    </xf>
    <xf numFmtId="49" fontId="27" fillId="3" borderId="33" xfId="0" applyNumberFormat="1" applyFont="1" applyFill="1" applyBorder="1" applyAlignment="1"/>
    <xf numFmtId="0" fontId="36" fillId="3" borderId="33" xfId="0" applyFont="1" applyFill="1" applyBorder="1" applyAlignment="1"/>
    <xf numFmtId="0" fontId="41" fillId="6" borderId="0" xfId="0" applyFont="1" applyFill="1" applyBorder="1" applyAlignment="1">
      <alignment vertical="top"/>
    </xf>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microsoft.com/office/2006/relationships/attachedToolbars" Target="attachedToolbars.bin"/><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calcChain" Target="calcChain.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checked="Checked" firstButton="1" lockText="1"/>
</file>

<file path=xl/ctrlProps/ctrlProp6.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jpeg"/><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4.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5.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1009650"/>
        </a:xfrm>
        <a:prstGeom prst="rect">
          <a:avLst/>
        </a:prstGeom>
        <a:solidFill>
          <a:srgbClr val="FFFFFF"/>
        </a:solidFill>
        <a:ln w="1">
          <a:solidFill>
            <a:srgbClr val="000000"/>
          </a:solidFill>
          <a:miter lim="800000"/>
          <a:headEnd/>
          <a:tailEnd/>
        </a:ln>
      </xdr:spPr>
      <xdr:txBody>
        <a:bodyPr vertOverflow="clip" wrap="square" lIns="36576" tIns="27432" rIns="0" bIns="0" anchor="t" upright="1"/>
        <a:lstStyle/>
        <a:p>
          <a:pPr algn="l" rtl="0">
            <a:defRPr sz="1000"/>
          </a:pPr>
          <a:r>
            <a:rPr lang="fr-FR" sz="2000" b="0" i="0" u="none" strike="noStrike" baseline="0">
              <a:solidFill>
                <a:srgbClr val="000000"/>
              </a:solidFill>
              <a:latin typeface="Arial"/>
              <a:cs typeface="Arial"/>
            </a:rPr>
            <a:t>GAMESYSTEM ATLAS  services</a:t>
          </a:r>
          <a:endParaRPr lang="fr-FR" sz="1000" b="0" i="0" u="none" strike="noStrike" baseline="0">
            <a:solidFill>
              <a:srgbClr val="000000"/>
            </a:solidFill>
            <a:latin typeface="Arial"/>
            <a:cs typeface="Arial"/>
          </a:endParaRPr>
        </a:p>
        <a:p>
          <a:pPr algn="l" rtl="0">
            <a:defRPr sz="1000"/>
          </a:pPr>
          <a:r>
            <a:rPr lang="fr-FR" sz="1000" b="0" i="0" u="none" strike="noStrike" baseline="0">
              <a:solidFill>
                <a:srgbClr val="000000"/>
              </a:solidFill>
              <a:latin typeface="Arial"/>
              <a:cs typeface="Arial"/>
            </a:rPr>
            <a:t>4 RUE DU CAIRE 1001 TUNIS</a:t>
          </a:r>
        </a:p>
        <a:p>
          <a:pPr algn="l" rtl="0">
            <a:defRPr sz="1000"/>
          </a:pPr>
          <a:r>
            <a:rPr lang="fr-FR" sz="1000" b="0" i="0" u="none" strike="noStrike" baseline="0">
              <a:solidFill>
                <a:srgbClr val="000000"/>
              </a:solidFill>
              <a:latin typeface="Arial"/>
              <a:cs typeface="Arial"/>
            </a:rPr>
            <a:t>TEL:  71 258108 FAX : 71 259346</a:t>
          </a:r>
        </a:p>
        <a:p>
          <a:pPr algn="l" rtl="0">
            <a:defRPr sz="1000"/>
          </a:pPr>
          <a:endParaRPr lang="fr-FR" sz="1000" b="0" i="0" u="none" strike="noStrike" baseline="0">
            <a:solidFill>
              <a:srgbClr val="000000"/>
            </a:solidFill>
            <a:latin typeface="Arial"/>
            <a:cs typeface="Arial"/>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6677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314700</xdr:colOff>
      <xdr:row>11</xdr:row>
      <xdr:rowOff>28202</xdr:rowOff>
    </xdr:from>
    <xdr:to>
      <xdr:col>5</xdr:col>
      <xdr:colOff>731418</xdr:colOff>
      <xdr:row>17</xdr:row>
      <xdr:rowOff>56030</xdr:rowOff>
    </xdr:to>
    <xdr:sp macro="[0]!Nada" textlink="">
      <xdr:nvSpPr>
        <xdr:cNvPr id="2052" name="LT"/>
        <xdr:cNvSpPr txBox="1">
          <a:spLocks noChangeArrowheads="1"/>
        </xdr:cNvSpPr>
      </xdr:nvSpPr>
      <xdr:spPr bwMode="auto">
        <a:xfrm>
          <a:off x="464112" y="1727761"/>
          <a:ext cx="3479659" cy="1036357"/>
        </a:xfrm>
        <a:prstGeom prst="rect">
          <a:avLst/>
        </a:prstGeom>
        <a:solidFill>
          <a:srgbClr val="FFFFFF"/>
        </a:solidFill>
        <a:ln w="1">
          <a:noFill/>
          <a:miter lim="800000"/>
          <a:headEnd/>
          <a:tailEnd/>
        </a:ln>
      </xdr:spPr>
      <xdr:txBody>
        <a:bodyPr vertOverflow="clip" wrap="square" lIns="27432" tIns="22860" rIns="27432" bIns="0" anchor="ctr" upright="1"/>
        <a:lstStyle/>
        <a:p>
          <a:pPr algn="ctr" rtl="0"/>
          <a:r>
            <a:rPr lang="fr-FR" sz="2000" b="0" i="0">
              <a:latin typeface="+mn-lt"/>
              <a:ea typeface="+mn-ea"/>
              <a:cs typeface="+mn-cs"/>
            </a:rPr>
            <a:t>4 RUE DU CAIRE</a:t>
          </a:r>
          <a:r>
            <a:rPr lang="fr-FR" sz="2000" b="0" i="0" baseline="0">
              <a:latin typeface="+mn-lt"/>
              <a:ea typeface="+mn-ea"/>
              <a:cs typeface="+mn-cs"/>
            </a:rPr>
            <a:t> 1001 TUNIS                </a:t>
          </a:r>
          <a:endParaRPr lang="fr-FR" sz="2000"/>
        </a:p>
        <a:p>
          <a:pPr algn="ctr" rtl="0"/>
          <a:r>
            <a:rPr lang="fr-FR" sz="2000" b="0" i="0">
              <a:latin typeface="+mn-lt"/>
              <a:ea typeface="+mn-ea"/>
              <a:cs typeface="+mn-cs"/>
            </a:rPr>
            <a:t>Tél : (216).71 258</a:t>
          </a:r>
          <a:r>
            <a:rPr lang="fr-FR" sz="2000" b="0" i="0" baseline="0">
              <a:latin typeface="+mn-lt"/>
              <a:ea typeface="+mn-ea"/>
              <a:cs typeface="+mn-cs"/>
            </a:rPr>
            <a:t> 108</a:t>
          </a:r>
          <a:endParaRPr lang="fr-FR" sz="2000"/>
        </a:p>
        <a:p>
          <a:pPr algn="ctr" rtl="0"/>
          <a:r>
            <a:rPr lang="fr-FR" sz="2000" b="0" i="0">
              <a:latin typeface="+mn-lt"/>
              <a:ea typeface="+mn-ea"/>
              <a:cs typeface="+mn-cs"/>
            </a:rPr>
            <a:t>Fax : (216).71 259</a:t>
          </a:r>
          <a:r>
            <a:rPr lang="fr-FR" sz="2000" b="0" i="0" baseline="0">
              <a:latin typeface="+mn-lt"/>
              <a:ea typeface="+mn-ea"/>
              <a:cs typeface="+mn-cs"/>
            </a:rPr>
            <a:t> 346</a:t>
          </a:r>
          <a:endParaRPr lang="fr-FR" sz="2000"/>
        </a:p>
        <a:p>
          <a:pPr algn="ctr" rtl="0">
            <a:defRPr sz="1000"/>
          </a:pPr>
          <a:endParaRPr lang="fr-FR" sz="1400" b="0" i="0" u="none" strike="noStrike" baseline="0">
            <a:solidFill>
              <a:srgbClr val="000000"/>
            </a:solidFill>
            <a:latin typeface="Arial"/>
            <a:cs typeface="Arial"/>
          </a:endParaRPr>
        </a:p>
      </xdr:txBody>
    </xdr:sp>
    <xdr:clientData/>
  </xdr:twoCellAnchor>
  <mc:AlternateContent xmlns:mc="http://schemas.openxmlformats.org/markup-compatibility/2006">
    <mc:Choice xmlns:a14="http://schemas.microsoft.com/office/drawing/2010/main" Requires="a14">
      <xdr:twoCellAnchor editAs="oneCell">
        <xdr:from>
          <xdr:col>3</xdr:col>
          <xdr:colOff>1533525</xdr:colOff>
          <xdr:row>45</xdr:row>
          <xdr:rowOff>114300</xdr:rowOff>
        </xdr:from>
        <xdr:to>
          <xdr:col>3</xdr:col>
          <xdr:colOff>1838325</xdr:colOff>
          <xdr:row>45</xdr:row>
          <xdr:rowOff>333375</xdr:rowOff>
        </xdr:to>
        <xdr:sp macro="" textlink="">
          <xdr:nvSpPr>
            <xdr:cNvPr id="2127" name="pd2" hidden="1">
              <a:extLst>
                <a:ext uri="{63B3BB69-23CF-44E3-9099-C40C66FF867C}">
                  <a14:compatExt spid="_x0000_s2127"/>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1590675</xdr:colOff>
          <xdr:row>44</xdr:row>
          <xdr:rowOff>95250</xdr:rowOff>
        </xdr:from>
        <xdr:to>
          <xdr:col>3</xdr:col>
          <xdr:colOff>1885950</xdr:colOff>
          <xdr:row>44</xdr:row>
          <xdr:rowOff>314325</xdr:rowOff>
        </xdr:to>
        <xdr:sp macro="" textlink="">
          <xdr:nvSpPr>
            <xdr:cNvPr id="2128" name="Option Button 80" hidden="1">
              <a:extLst>
                <a:ext uri="{63B3BB69-23CF-44E3-9099-C40C66FF867C}">
                  <a14:compatExt spid="_x0000_s212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3</xdr:col>
      <xdr:colOff>31750</xdr:colOff>
      <xdr:row>2</xdr:row>
      <xdr:rowOff>63500</xdr:rowOff>
    </xdr:from>
    <xdr:to>
      <xdr:col>7</xdr:col>
      <xdr:colOff>254000</xdr:colOff>
      <xdr:row>11</xdr:row>
      <xdr:rowOff>31749</xdr:rowOff>
    </xdr:to>
    <xdr:pic>
      <xdr:nvPicPr>
        <xdr:cNvPr id="7" name="Image 6" descr="C:\Users\User\Desktop\sigle acrobat.png"/>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90500" y="158750"/>
          <a:ext cx="4794250" cy="1555749"/>
        </a:xfrm>
        <a:prstGeom prst="rect">
          <a:avLst/>
        </a:prstGeom>
        <a:noFill/>
        <a:ln>
          <a:noFill/>
        </a:ln>
      </xdr:spPr>
    </xdr:pic>
    <xdr:clientData/>
  </xdr:twoCellAnchor>
  <xdr:twoCellAnchor editAs="oneCell">
    <xdr:from>
      <xdr:col>11</xdr:col>
      <xdr:colOff>333375</xdr:colOff>
      <xdr:row>5</xdr:row>
      <xdr:rowOff>79376</xdr:rowOff>
    </xdr:from>
    <xdr:to>
      <xdr:col>13</xdr:col>
      <xdr:colOff>142874</xdr:colOff>
      <xdr:row>13</xdr:row>
      <xdr:rowOff>95250</xdr:rowOff>
    </xdr:to>
    <xdr:pic>
      <xdr:nvPicPr>
        <xdr:cNvPr id="8" name="Image 7"/>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8572500" y="746126"/>
          <a:ext cx="4984749" cy="1349374"/>
        </a:xfrm>
        <a:prstGeom prst="rect">
          <a:avLst/>
        </a:prstGeom>
      </xdr:spPr>
    </xdr:pic>
    <xdr:clientData/>
  </xdr:twoCellAnchor>
  <xdr:twoCellAnchor>
    <xdr:from>
      <xdr:col>11</xdr:col>
      <xdr:colOff>0</xdr:colOff>
      <xdr:row>21</xdr:row>
      <xdr:rowOff>0</xdr:rowOff>
    </xdr:from>
    <xdr:to>
      <xdr:col>13</xdr:col>
      <xdr:colOff>95250</xdr:colOff>
      <xdr:row>25</xdr:row>
      <xdr:rowOff>111125</xdr:rowOff>
    </xdr:to>
    <xdr:sp macro="" textlink="">
      <xdr:nvSpPr>
        <xdr:cNvPr id="9" name="INVB2"/>
        <xdr:cNvSpPr>
          <a:spLocks noChangeArrowheads="1"/>
        </xdr:cNvSpPr>
      </xdr:nvSpPr>
      <xdr:spPr bwMode="auto">
        <a:xfrm>
          <a:off x="8239125" y="3714750"/>
          <a:ext cx="5270500" cy="1968500"/>
        </a:xfrm>
        <a:prstGeom prst="roundRect">
          <a:avLst>
            <a:gd name="adj" fmla="val 16667"/>
          </a:avLst>
        </a:prstGeom>
        <a:noFill/>
        <a:ln w="9525">
          <a:solidFill>
            <a:srgbClr val="000080"/>
          </a:solidFill>
          <a:round/>
          <a:headEnd/>
          <a:tailEnd/>
        </a:ln>
      </xdr:spPr>
    </xdr:sp>
    <xdr:clientData/>
  </xdr:twoCellAnchor>
  <xdr:twoCellAnchor editAs="oneCell">
    <xdr:from>
      <xdr:col>8</xdr:col>
      <xdr:colOff>238125</xdr:colOff>
      <xdr:row>5</xdr:row>
      <xdr:rowOff>63501</xdr:rowOff>
    </xdr:from>
    <xdr:to>
      <xdr:col>11</xdr:col>
      <xdr:colOff>365125</xdr:colOff>
      <xdr:row>13</xdr:row>
      <xdr:rowOff>1</xdr:rowOff>
    </xdr:to>
    <xdr:pic>
      <xdr:nvPicPr>
        <xdr:cNvPr id="10" name="Image 9" descr="Résultat de recherche d'images pour &quot;FALLPROTEC&quot;"/>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5889625" y="730251"/>
          <a:ext cx="2714625" cy="1270000"/>
        </a:xfrm>
        <a:prstGeom prst="rect">
          <a:avLst/>
        </a:prstGeom>
        <a:noFill/>
        <a:ln>
          <a:noFill/>
        </a:ln>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E:\Documents%20and%20Settings\Administrateur\Bureau\SYSTEM+STREAM2008\Facture%20system\FACTURES%202008\FACT%20LOCAL\Devis%20N&#176;4%20ELLOUMI.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4 ELLOUMI"/>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80" workbookViewId="0"/>
  </sheetViews>
  <sheetFormatPr baseColWidth="10" defaultColWidth="11.42578125"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80" workbookViewId="0">
      <selection activeCell="D4" sqref="D4:F4"/>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64" t="s">
        <v>0</v>
      </c>
      <c r="E4" s="165"/>
      <c r="F4" s="165"/>
      <c r="G4" s="3"/>
      <c r="H4" s="3"/>
      <c r="I4" s="3"/>
      <c r="J4" s="9"/>
    </row>
    <row r="5" spans="2:10" ht="3" customHeight="1" thickTop="1" x14ac:dyDescent="0.2">
      <c r="B5" s="2"/>
      <c r="C5" s="55"/>
      <c r="D5" s="55"/>
      <c r="E5" s="55"/>
      <c r="F5" s="55"/>
      <c r="G5" s="55"/>
      <c r="H5" s="55"/>
      <c r="I5" s="55"/>
      <c r="J5" s="1"/>
    </row>
    <row r="6" spans="2:10" ht="12.75" customHeight="1" x14ac:dyDescent="0.3">
      <c r="B6" s="7"/>
      <c r="C6" s="3"/>
      <c r="D6" s="20"/>
      <c r="E6" s="3"/>
      <c r="F6" s="3"/>
      <c r="G6" s="3"/>
      <c r="H6" s="3"/>
      <c r="I6" s="3"/>
      <c r="J6" s="9"/>
    </row>
    <row r="7" spans="2:10" x14ac:dyDescent="0.2">
      <c r="B7" s="7"/>
      <c r="C7" s="3"/>
      <c r="D7" s="3"/>
      <c r="E7" s="3"/>
      <c r="F7" s="3"/>
      <c r="G7" s="61" t="s">
        <v>41</v>
      </c>
      <c r="H7" s="3"/>
      <c r="I7" s="3"/>
      <c r="J7" s="9"/>
    </row>
    <row r="8" spans="2:10" x14ac:dyDescent="0.2">
      <c r="B8" s="7"/>
      <c r="C8" s="3"/>
      <c r="D8" s="3"/>
      <c r="E8" s="3"/>
      <c r="F8" s="3"/>
      <c r="G8" s="61" t="s">
        <v>1</v>
      </c>
      <c r="H8" s="3"/>
      <c r="I8" s="3"/>
      <c r="J8" s="9"/>
    </row>
    <row r="9" spans="2:10" x14ac:dyDescent="0.2">
      <c r="B9" s="7"/>
      <c r="C9" s="3"/>
      <c r="D9" s="21"/>
      <c r="E9" s="3"/>
      <c r="F9" s="3"/>
      <c r="G9" s="43"/>
      <c r="H9" s="3"/>
      <c r="I9" s="3"/>
      <c r="J9" s="9"/>
    </row>
    <row r="10" spans="2:10" ht="13.5" thickBot="1" x14ac:dyDescent="0.25">
      <c r="B10" s="7"/>
      <c r="C10" s="3"/>
      <c r="D10" s="166" t="s">
        <v>2</v>
      </c>
      <c r="E10" s="167"/>
      <c r="F10" s="3"/>
      <c r="G10" s="3"/>
      <c r="H10" s="3"/>
      <c r="I10" s="3"/>
      <c r="J10" s="9"/>
    </row>
    <row r="11" spans="2:10" ht="5.25" customHeight="1" thickBot="1" x14ac:dyDescent="0.25">
      <c r="B11" s="7"/>
      <c r="C11" s="3"/>
      <c r="D11" s="23"/>
      <c r="E11" s="24"/>
      <c r="F11" s="24"/>
      <c r="G11" s="24"/>
      <c r="H11" s="25"/>
      <c r="I11" s="3"/>
      <c r="J11" s="9"/>
    </row>
    <row r="12" spans="2:10" x14ac:dyDescent="0.2">
      <c r="B12" s="7"/>
      <c r="C12" s="3"/>
      <c r="D12" s="33" t="s">
        <v>3</v>
      </c>
      <c r="E12" s="13" t="s">
        <v>45</v>
      </c>
      <c r="F12" s="62" t="s">
        <v>4</v>
      </c>
      <c r="G12" s="17"/>
      <c r="H12" s="26"/>
      <c r="I12" s="3"/>
      <c r="J12" s="9"/>
    </row>
    <row r="13" spans="2:10" ht="13.5" thickBot="1" x14ac:dyDescent="0.25">
      <c r="B13" s="7"/>
      <c r="C13" s="3"/>
      <c r="D13" s="33" t="s">
        <v>5</v>
      </c>
      <c r="E13" s="14" t="s">
        <v>44</v>
      </c>
      <c r="F13" s="62" t="s">
        <v>6</v>
      </c>
      <c r="G13" s="18"/>
      <c r="H13" s="26"/>
      <c r="I13" s="3"/>
      <c r="J13" s="9"/>
    </row>
    <row r="14" spans="2:10" x14ac:dyDescent="0.2">
      <c r="B14" s="7"/>
      <c r="C14" s="3"/>
      <c r="D14" s="33" t="s">
        <v>7</v>
      </c>
      <c r="E14" s="15" t="s">
        <v>46</v>
      </c>
      <c r="F14" s="27"/>
      <c r="G14" s="28"/>
      <c r="H14" s="26"/>
      <c r="I14" s="3"/>
      <c r="J14" s="9"/>
    </row>
    <row r="15" spans="2:10" x14ac:dyDescent="0.2">
      <c r="B15" s="7"/>
      <c r="C15" s="3"/>
      <c r="D15" s="33" t="s">
        <v>8</v>
      </c>
      <c r="E15" s="14" t="s">
        <v>47</v>
      </c>
      <c r="F15" s="40"/>
      <c r="G15" s="28"/>
      <c r="H15" s="26"/>
      <c r="I15" s="3"/>
      <c r="J15" s="9"/>
    </row>
    <row r="16" spans="2:10" ht="13.5" thickBot="1" x14ac:dyDescent="0.25">
      <c r="B16" s="7"/>
      <c r="C16" s="3"/>
      <c r="D16" s="33" t="s">
        <v>9</v>
      </c>
      <c r="E16" s="16"/>
      <c r="F16" s="40"/>
      <c r="G16" s="28"/>
      <c r="H16" s="26"/>
      <c r="I16" s="3"/>
      <c r="J16" s="9"/>
    </row>
    <row r="17" spans="2:10" ht="6" customHeight="1" thickBot="1" x14ac:dyDescent="0.25">
      <c r="B17" s="7"/>
      <c r="C17" s="3"/>
      <c r="D17" s="29"/>
      <c r="E17" s="30"/>
      <c r="F17" s="30"/>
      <c r="G17" s="30"/>
      <c r="H17" s="31"/>
      <c r="I17" s="3"/>
      <c r="J17" s="9"/>
    </row>
    <row r="18" spans="2:10" ht="6" customHeight="1" x14ac:dyDescent="0.2">
      <c r="B18" s="7"/>
      <c r="C18" s="3"/>
      <c r="D18" s="3"/>
      <c r="E18" s="3"/>
      <c r="F18" s="3"/>
      <c r="G18" s="3"/>
      <c r="H18" s="3"/>
      <c r="I18" s="3"/>
      <c r="J18" s="9"/>
    </row>
    <row r="19" spans="2:10" ht="13.5" thickBot="1" x14ac:dyDescent="0.25">
      <c r="B19" s="7"/>
      <c r="C19" s="3"/>
      <c r="D19" s="168" t="s">
        <v>42</v>
      </c>
      <c r="E19" s="167"/>
      <c r="F19" s="3"/>
      <c r="G19" s="3"/>
      <c r="H19" s="3"/>
      <c r="I19" s="3"/>
      <c r="J19" s="9"/>
    </row>
    <row r="20" spans="2:10" ht="5.25" customHeight="1" x14ac:dyDescent="0.2">
      <c r="B20" s="7"/>
      <c r="C20" s="3"/>
      <c r="D20" s="32"/>
      <c r="E20" s="24"/>
      <c r="F20" s="24"/>
      <c r="G20" s="24"/>
      <c r="H20" s="25"/>
      <c r="I20" s="3"/>
      <c r="J20" s="9"/>
    </row>
    <row r="21" spans="2:10" ht="13.5" thickBot="1" x14ac:dyDescent="0.25">
      <c r="B21" s="7"/>
      <c r="C21" s="3"/>
      <c r="D21" s="41"/>
      <c r="E21" s="40" t="s">
        <v>30</v>
      </c>
      <c r="F21" s="34"/>
      <c r="G21" s="42" t="s">
        <v>10</v>
      </c>
      <c r="H21" s="26"/>
      <c r="I21" s="3"/>
      <c r="J21" s="9"/>
    </row>
    <row r="22" spans="2:10" x14ac:dyDescent="0.2">
      <c r="B22" s="7"/>
      <c r="C22" s="3"/>
      <c r="D22" s="33">
        <v>1</v>
      </c>
      <c r="E22" s="69">
        <v>0.1</v>
      </c>
      <c r="F22" s="34"/>
      <c r="G22" s="37"/>
      <c r="H22" s="26"/>
      <c r="I22" s="3"/>
      <c r="J22" s="9"/>
    </row>
    <row r="23" spans="2:10" x14ac:dyDescent="0.2">
      <c r="B23" s="7"/>
      <c r="C23" s="3"/>
      <c r="D23" s="35">
        <v>2</v>
      </c>
      <c r="E23" s="63">
        <v>0.18</v>
      </c>
      <c r="F23" s="34"/>
      <c r="G23" s="38"/>
      <c r="H23" s="26"/>
      <c r="I23" s="3"/>
      <c r="J23" s="9"/>
    </row>
    <row r="24" spans="2:10" ht="13.5" thickBot="1" x14ac:dyDescent="0.25">
      <c r="B24" s="7"/>
      <c r="C24" s="3"/>
      <c r="D24" s="35">
        <v>3</v>
      </c>
      <c r="E24" s="59">
        <v>0.28999999999999998</v>
      </c>
      <c r="F24" s="34"/>
      <c r="G24" s="36"/>
      <c r="H24" s="26"/>
      <c r="I24" s="3"/>
      <c r="J24" s="9"/>
    </row>
    <row r="25" spans="2:10" ht="13.5" thickBot="1" x14ac:dyDescent="0.25">
      <c r="B25" s="7"/>
      <c r="C25" s="3"/>
      <c r="D25" s="41"/>
      <c r="E25" s="40"/>
      <c r="F25" s="34"/>
      <c r="G25" s="39"/>
      <c r="H25" s="26"/>
      <c r="I25" s="3"/>
      <c r="J25" s="9"/>
    </row>
    <row r="26" spans="2:10" ht="13.5" thickBot="1" x14ac:dyDescent="0.25">
      <c r="B26" s="7"/>
      <c r="C26" s="3"/>
      <c r="D26" s="35"/>
      <c r="E26" s="40"/>
      <c r="F26" s="34"/>
      <c r="G26" s="34"/>
      <c r="H26" s="26"/>
      <c r="I26" s="3"/>
      <c r="J26" s="9"/>
    </row>
    <row r="27" spans="2:10" ht="13.5" thickBot="1" x14ac:dyDescent="0.25">
      <c r="B27" s="7"/>
      <c r="C27" s="3"/>
      <c r="D27" s="35"/>
      <c r="E27" s="28"/>
      <c r="F27" s="27" t="s">
        <v>43</v>
      </c>
      <c r="G27" s="70">
        <v>0.2</v>
      </c>
      <c r="H27" s="26"/>
      <c r="I27" s="3"/>
      <c r="J27" s="9"/>
    </row>
    <row r="28" spans="2:10" x14ac:dyDescent="0.2">
      <c r="B28" s="7"/>
      <c r="C28" s="3"/>
      <c r="D28" s="44"/>
      <c r="E28" s="40"/>
      <c r="F28" s="34"/>
      <c r="G28" s="34"/>
      <c r="H28" s="26"/>
      <c r="I28" s="3"/>
      <c r="J28" s="9"/>
    </row>
    <row r="29" spans="2:10" ht="13.5" thickBot="1" x14ac:dyDescent="0.25">
      <c r="B29" s="7"/>
      <c r="C29" s="3"/>
      <c r="D29" s="44"/>
      <c r="E29" s="40"/>
      <c r="F29" s="34"/>
      <c r="G29" s="34"/>
      <c r="H29" s="26"/>
      <c r="I29" s="3"/>
      <c r="J29" s="9"/>
    </row>
    <row r="30" spans="2:10" ht="13.5" thickBot="1" x14ac:dyDescent="0.25">
      <c r="B30" s="7"/>
      <c r="C30" s="3"/>
      <c r="D30" s="44" t="b">
        <v>0</v>
      </c>
      <c r="E30" s="40" t="s">
        <v>11</v>
      </c>
      <c r="F30" s="27" t="s">
        <v>12</v>
      </c>
      <c r="G30" s="58"/>
      <c r="H30" s="26"/>
      <c r="I30" s="3"/>
      <c r="J30" s="9"/>
    </row>
    <row r="31" spans="2:10" x14ac:dyDescent="0.2">
      <c r="B31" s="7"/>
      <c r="C31" s="3"/>
      <c r="D31" s="44"/>
      <c r="E31" s="40" t="s">
        <v>13</v>
      </c>
      <c r="F31" s="27" t="s">
        <v>14</v>
      </c>
      <c r="G31" s="40"/>
      <c r="H31" s="26"/>
      <c r="I31" s="3"/>
      <c r="J31" s="9"/>
    </row>
    <row r="32" spans="2:10" ht="13.5" thickBot="1" x14ac:dyDescent="0.25">
      <c r="B32" s="7"/>
      <c r="C32" s="3"/>
      <c r="D32" s="44"/>
      <c r="E32" s="40"/>
      <c r="F32" s="27"/>
      <c r="G32" s="40"/>
      <c r="H32" s="26"/>
      <c r="I32" s="3"/>
      <c r="J32" s="9"/>
    </row>
    <row r="33" spans="2:10" ht="13.5" thickBot="1" x14ac:dyDescent="0.25">
      <c r="B33" s="7"/>
      <c r="C33" s="3"/>
      <c r="D33" s="44"/>
      <c r="E33" s="27" t="s">
        <v>15</v>
      </c>
      <c r="F33" s="169" t="str">
        <f>LOWER(TemplateInformation!B3)</f>
        <v>c:\program files\microsoft office\office\macrolib\factbd.xls</v>
      </c>
      <c r="G33" s="170"/>
      <c r="H33" s="26"/>
      <c r="I33" s="3"/>
      <c r="J33" s="9"/>
    </row>
    <row r="34" spans="2:10" ht="13.5" thickBot="1" x14ac:dyDescent="0.25">
      <c r="B34" s="7"/>
      <c r="C34" s="3"/>
      <c r="D34" s="29"/>
      <c r="E34" s="30"/>
      <c r="F34" s="30"/>
      <c r="G34" s="30"/>
      <c r="H34" s="31"/>
      <c r="I34" s="3"/>
      <c r="J34" s="9"/>
    </row>
    <row r="35" spans="2:10" ht="6" customHeight="1" x14ac:dyDescent="0.2">
      <c r="B35" s="7"/>
      <c r="C35" s="3"/>
      <c r="D35" s="3"/>
      <c r="E35" s="3"/>
      <c r="F35" s="3"/>
      <c r="G35" s="3"/>
      <c r="H35" s="3"/>
      <c r="I35" s="3"/>
      <c r="J35" s="9"/>
    </row>
    <row r="36" spans="2:10" ht="13.5" thickBot="1" x14ac:dyDescent="0.25">
      <c r="B36" s="7"/>
      <c r="C36" s="3"/>
      <c r="D36" s="166" t="s">
        <v>16</v>
      </c>
      <c r="E36" s="167"/>
      <c r="F36" s="3"/>
      <c r="G36" s="3"/>
      <c r="H36" s="3"/>
      <c r="I36" s="3"/>
      <c r="J36" s="9"/>
    </row>
    <row r="37" spans="2:10" ht="14.25" x14ac:dyDescent="0.2">
      <c r="B37" s="7"/>
      <c r="C37" s="3"/>
      <c r="D37" s="23"/>
      <c r="E37" s="24"/>
      <c r="F37" s="24"/>
      <c r="G37" s="24"/>
      <c r="H37" s="25"/>
      <c r="I37" s="3"/>
      <c r="J37" s="9"/>
    </row>
    <row r="38" spans="2:10" ht="15.75" x14ac:dyDescent="0.25">
      <c r="B38" s="7"/>
      <c r="C38" s="3"/>
      <c r="D38" s="45"/>
      <c r="E38" s="46"/>
      <c r="F38" s="72"/>
      <c r="G38" s="46"/>
      <c r="H38" s="47"/>
      <c r="I38" s="57"/>
      <c r="J38" s="22"/>
    </row>
    <row r="39" spans="2:10" ht="14.25" x14ac:dyDescent="0.2">
      <c r="B39" s="7"/>
      <c r="C39" s="3"/>
      <c r="D39" s="45"/>
      <c r="E39" s="46"/>
      <c r="F39" s="48"/>
      <c r="G39" s="46"/>
      <c r="H39" s="47"/>
      <c r="I39" s="57"/>
      <c r="J39" s="22"/>
    </row>
    <row r="40" spans="2:10" ht="14.25" x14ac:dyDescent="0.2">
      <c r="B40" s="7"/>
      <c r="C40" s="3"/>
      <c r="D40" s="45"/>
      <c r="E40" s="46"/>
      <c r="F40" s="46"/>
      <c r="G40" s="46"/>
      <c r="H40" s="47"/>
      <c r="I40" s="57"/>
      <c r="J40" s="22"/>
    </row>
    <row r="41" spans="2:10" ht="14.25" x14ac:dyDescent="0.2">
      <c r="B41" s="7"/>
      <c r="C41" s="3"/>
      <c r="D41" s="45"/>
      <c r="E41" s="46"/>
      <c r="F41" s="46"/>
      <c r="G41" s="46"/>
      <c r="H41" s="47"/>
      <c r="I41" s="57"/>
      <c r="J41" s="22"/>
    </row>
    <row r="42" spans="2:10" ht="20.100000000000001" customHeight="1" x14ac:dyDescent="0.2">
      <c r="B42" s="7"/>
      <c r="C42" s="3"/>
      <c r="D42" s="45"/>
      <c r="E42" s="46"/>
      <c r="F42" s="46"/>
      <c r="G42" s="46"/>
      <c r="H42" s="47"/>
      <c r="I42" s="57"/>
      <c r="J42" s="22"/>
    </row>
    <row r="43" spans="2:10" ht="14.25" x14ac:dyDescent="0.2">
      <c r="B43" s="7"/>
      <c r="C43" s="3"/>
      <c r="D43" s="45"/>
      <c r="E43" s="46"/>
      <c r="F43" s="46"/>
      <c r="G43" s="46"/>
      <c r="H43" s="47"/>
      <c r="I43" s="57"/>
      <c r="J43" s="22"/>
    </row>
    <row r="44" spans="2:10" ht="26.25" customHeight="1" thickBot="1" x14ac:dyDescent="0.25">
      <c r="B44" s="7"/>
      <c r="C44" s="3"/>
      <c r="D44" s="49"/>
      <c r="E44" s="50"/>
      <c r="F44" s="50"/>
      <c r="G44" s="50"/>
      <c r="H44" s="51"/>
      <c r="I44" s="57"/>
      <c r="J44" s="22"/>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0">
        <v>0</v>
      </c>
    </row>
    <row r="49" spans="5:5" x14ac:dyDescent="0.2">
      <c r="E49" s="60" t="b">
        <v>0</v>
      </c>
    </row>
    <row r="50" spans="5:5" x14ac:dyDescent="0.2">
      <c r="E50" s="60" t="b">
        <v>0</v>
      </c>
    </row>
    <row r="51" spans="5:5" x14ac:dyDescent="0.2">
      <c r="E51" s="60" t="s">
        <v>17</v>
      </c>
    </row>
    <row r="52" spans="5:5" x14ac:dyDescent="0.2">
      <c r="E52" s="60"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P64"/>
  <sheetViews>
    <sheetView showGridLines="0" showRowColHeaders="0" tabSelected="1" topLeftCell="C34" zoomScale="60" zoomScaleNormal="60" workbookViewId="0">
      <selection activeCell="D50" sqref="D50:L50"/>
    </sheetView>
  </sheetViews>
  <sheetFormatPr baseColWidth="10" defaultColWidth="9.140625" defaultRowHeight="12.75" x14ac:dyDescent="0.2"/>
  <cols>
    <col min="1" max="1" width="1.28515625" hidden="1" customWidth="1"/>
    <col min="2" max="2" width="0.42578125" hidden="1" customWidth="1"/>
    <col min="3" max="3" width="2.28515625" customWidth="1"/>
    <col min="4" max="4" width="33.7109375" customWidth="1"/>
    <col min="5" max="5" width="12.42578125" customWidth="1"/>
    <col min="6" max="6" width="13.28515625" customWidth="1"/>
    <col min="7" max="7" width="9.140625" customWidth="1"/>
    <col min="8" max="8" width="13.7109375" customWidth="1"/>
    <col min="9" max="9" width="14.42578125" customWidth="1"/>
    <col min="10" max="10" width="9.42578125" customWidth="1"/>
    <col min="11" max="11" width="14.85546875" customWidth="1"/>
    <col min="12" max="12" width="44.7109375" customWidth="1"/>
    <col min="13" max="13" width="32.85546875" customWidth="1"/>
    <col min="14" max="14" width="3.7109375" customWidth="1"/>
    <col min="15" max="15" width="0.42578125" customWidth="1"/>
    <col min="16" max="16" width="1.7109375" customWidth="1"/>
  </cols>
  <sheetData>
    <row r="1" spans="1:15" ht="6" customHeight="1" thickBot="1" x14ac:dyDescent="0.25">
      <c r="A1" s="74"/>
    </row>
    <row r="2" spans="1:15" ht="0.95" customHeight="1" thickTop="1" x14ac:dyDescent="0.2">
      <c r="B2" s="4"/>
      <c r="C2" s="5"/>
      <c r="D2" s="5"/>
      <c r="E2" s="5"/>
      <c r="F2" s="5"/>
      <c r="G2" s="5"/>
      <c r="H2" s="5"/>
      <c r="I2" s="5"/>
      <c r="J2" s="5"/>
      <c r="K2" s="5"/>
      <c r="L2" s="5"/>
      <c r="M2" s="5"/>
      <c r="N2" s="5"/>
      <c r="O2" s="6"/>
    </row>
    <row r="3" spans="1:15" x14ac:dyDescent="0.2">
      <c r="B3" s="7"/>
      <c r="C3" s="3"/>
      <c r="D3" s="3"/>
      <c r="E3" s="3"/>
      <c r="F3" s="3"/>
      <c r="G3" s="3"/>
      <c r="H3" s="3"/>
      <c r="I3" s="3"/>
      <c r="J3" s="3"/>
      <c r="K3" s="3"/>
      <c r="L3" s="3"/>
      <c r="M3" s="3"/>
      <c r="N3" s="3"/>
      <c r="O3" s="9"/>
    </row>
    <row r="4" spans="1:15" ht="20.25" x14ac:dyDescent="0.3">
      <c r="B4" s="7"/>
      <c r="C4" s="3"/>
      <c r="D4" s="3"/>
      <c r="E4" s="3"/>
      <c r="F4" s="3"/>
      <c r="G4" s="3"/>
      <c r="H4" s="3"/>
      <c r="I4" s="3"/>
      <c r="J4" s="3"/>
      <c r="K4" s="8"/>
      <c r="L4" s="71"/>
      <c r="M4" s="19" t="s">
        <v>18</v>
      </c>
      <c r="N4" s="19"/>
      <c r="O4" s="9"/>
    </row>
    <row r="5" spans="1:15" x14ac:dyDescent="0.2">
      <c r="B5" s="7"/>
      <c r="C5" s="3"/>
      <c r="D5" s="3"/>
      <c r="E5" s="3"/>
      <c r="F5" s="3"/>
      <c r="G5" s="3"/>
      <c r="H5" s="3"/>
      <c r="I5" s="3"/>
      <c r="J5" s="3"/>
      <c r="K5" s="3"/>
      <c r="L5" s="3"/>
      <c r="M5" s="3"/>
      <c r="N5" s="3"/>
      <c r="O5" s="9"/>
    </row>
    <row r="6" spans="1:15" x14ac:dyDescent="0.2">
      <c r="B6" s="7"/>
      <c r="C6" s="3"/>
      <c r="D6" s="3"/>
      <c r="E6" s="3"/>
      <c r="F6" s="3"/>
      <c r="G6" s="3"/>
      <c r="H6" s="3"/>
      <c r="I6" s="3"/>
      <c r="J6" s="3"/>
      <c r="K6" s="3"/>
      <c r="L6" s="3"/>
      <c r="M6" s="3"/>
      <c r="N6" s="3"/>
      <c r="O6" s="9"/>
    </row>
    <row r="7" spans="1:15" x14ac:dyDescent="0.2">
      <c r="B7" s="7"/>
      <c r="C7" s="3"/>
      <c r="D7" s="3"/>
      <c r="E7" s="3"/>
      <c r="F7" s="3"/>
      <c r="G7" s="3"/>
      <c r="H7" s="3"/>
      <c r="I7" s="3"/>
      <c r="J7" s="3"/>
      <c r="K7" s="3"/>
      <c r="L7" s="3"/>
      <c r="M7" s="3"/>
      <c r="N7" s="3"/>
      <c r="O7" s="9"/>
    </row>
    <row r="8" spans="1:15" x14ac:dyDescent="0.2">
      <c r="B8" s="7"/>
      <c r="C8" s="3"/>
      <c r="D8" s="3"/>
      <c r="E8" s="3"/>
      <c r="F8" s="3"/>
      <c r="G8" s="3"/>
      <c r="H8" s="3"/>
      <c r="I8" s="3"/>
      <c r="J8" s="3"/>
      <c r="K8" s="3"/>
      <c r="L8" s="3"/>
      <c r="M8" s="3"/>
      <c r="N8" s="3"/>
      <c r="O8" s="9"/>
    </row>
    <row r="9" spans="1:15" ht="18" x14ac:dyDescent="0.25">
      <c r="B9" s="7"/>
      <c r="C9" s="3"/>
      <c r="D9" s="3"/>
      <c r="E9" s="3"/>
      <c r="F9" s="3"/>
      <c r="G9" s="3"/>
      <c r="H9" s="3"/>
      <c r="I9" s="3"/>
      <c r="J9" s="109"/>
      <c r="K9" s="109"/>
      <c r="L9" s="3"/>
      <c r="M9" s="3"/>
      <c r="N9" s="3"/>
      <c r="O9" s="9"/>
    </row>
    <row r="10" spans="1:15" x14ac:dyDescent="0.2">
      <c r="B10" s="7"/>
      <c r="C10" s="3"/>
      <c r="D10" s="3"/>
      <c r="E10" s="3"/>
      <c r="F10" s="3"/>
      <c r="G10" s="3"/>
      <c r="H10" s="3"/>
      <c r="I10" s="3"/>
      <c r="J10" s="3"/>
      <c r="K10" s="3"/>
      <c r="L10" s="3"/>
      <c r="M10" s="3"/>
      <c r="N10" s="3"/>
      <c r="O10" s="9"/>
    </row>
    <row r="11" spans="1:15" x14ac:dyDescent="0.2">
      <c r="B11" s="7"/>
      <c r="C11" s="3"/>
      <c r="D11" s="3"/>
      <c r="E11" s="3"/>
      <c r="F11" s="3"/>
      <c r="G11" s="3"/>
      <c r="H11" s="3"/>
      <c r="I11" s="3"/>
      <c r="J11" s="3"/>
      <c r="K11" s="3"/>
      <c r="L11" s="3"/>
      <c r="M11" s="3"/>
      <c r="N11" s="3"/>
      <c r="O11" s="9"/>
    </row>
    <row r="12" spans="1:15" x14ac:dyDescent="0.2">
      <c r="B12" s="7"/>
      <c r="C12" s="3"/>
      <c r="D12" s="3"/>
      <c r="E12" s="3"/>
      <c r="F12" s="3"/>
      <c r="G12" s="3"/>
      <c r="H12" s="3"/>
      <c r="I12" s="3"/>
      <c r="J12" s="3"/>
      <c r="K12" s="3"/>
      <c r="L12" s="3"/>
      <c r="M12" s="3"/>
      <c r="N12" s="3"/>
      <c r="O12" s="9"/>
    </row>
    <row r="13" spans="1:15" x14ac:dyDescent="0.2">
      <c r="B13" s="7"/>
      <c r="C13" s="3"/>
      <c r="D13" s="3"/>
      <c r="E13" s="3"/>
      <c r="F13" s="3"/>
      <c r="G13" s="3"/>
      <c r="H13" s="3"/>
      <c r="I13" s="3"/>
      <c r="J13" s="3"/>
      <c r="K13" s="3"/>
      <c r="L13" s="3"/>
      <c r="M13" s="3"/>
      <c r="N13" s="3"/>
      <c r="O13" s="9"/>
    </row>
    <row r="14" spans="1:15" x14ac:dyDescent="0.2">
      <c r="B14" s="7"/>
      <c r="C14" s="3"/>
      <c r="D14" s="3"/>
      <c r="E14" s="3"/>
      <c r="F14" s="3"/>
      <c r="G14" s="3"/>
      <c r="H14" s="3"/>
      <c r="I14" s="3"/>
      <c r="J14" s="3"/>
      <c r="K14" s="3"/>
      <c r="L14" s="3"/>
      <c r="M14" s="3"/>
      <c r="N14" s="3"/>
      <c r="O14" s="9"/>
    </row>
    <row r="15" spans="1:15" x14ac:dyDescent="0.2">
      <c r="B15" s="7"/>
      <c r="C15" s="3"/>
      <c r="D15" s="3"/>
      <c r="E15" s="3"/>
      <c r="F15" s="3"/>
      <c r="G15" s="3"/>
      <c r="H15" s="3"/>
      <c r="I15" s="3"/>
      <c r="J15" s="3"/>
      <c r="K15" s="3"/>
      <c r="L15" s="3"/>
      <c r="M15" s="3"/>
      <c r="N15" s="3"/>
      <c r="O15" s="9"/>
    </row>
    <row r="16" spans="1:15" x14ac:dyDescent="0.2">
      <c r="B16" s="7"/>
      <c r="C16" s="3"/>
      <c r="D16" s="3"/>
      <c r="E16" s="3"/>
      <c r="F16" s="3"/>
      <c r="G16" s="3"/>
      <c r="H16" s="3"/>
      <c r="I16" s="3"/>
      <c r="J16" s="3"/>
      <c r="K16" s="3"/>
      <c r="L16" s="3"/>
      <c r="M16" s="3"/>
      <c r="N16" s="3"/>
      <c r="O16" s="9"/>
    </row>
    <row r="17" spans="2:15" ht="13.5" thickBot="1" x14ac:dyDescent="0.25">
      <c r="B17" s="7"/>
      <c r="C17" s="3"/>
      <c r="D17" s="3"/>
      <c r="E17" s="3"/>
      <c r="F17" s="3"/>
      <c r="G17" s="3"/>
      <c r="H17" s="3"/>
      <c r="I17" s="3"/>
      <c r="J17" s="3"/>
      <c r="K17" s="3"/>
      <c r="L17" s="3"/>
      <c r="M17" s="3"/>
      <c r="N17" s="3"/>
      <c r="O17" s="9"/>
    </row>
    <row r="18" spans="2:15" ht="27.75" thickTop="1" thickBot="1" x14ac:dyDescent="0.45">
      <c r="B18" s="7"/>
      <c r="C18" s="3"/>
      <c r="D18" s="107" t="s">
        <v>57</v>
      </c>
      <c r="E18" s="75"/>
      <c r="F18" s="75"/>
      <c r="G18" s="75"/>
      <c r="H18" s="3"/>
      <c r="I18" s="3"/>
      <c r="J18" s="3"/>
      <c r="K18" s="3"/>
      <c r="L18" s="182" t="s">
        <v>73</v>
      </c>
      <c r="M18" s="3"/>
      <c r="N18" s="3"/>
      <c r="O18" s="9"/>
    </row>
    <row r="19" spans="2:15" ht="21.95" customHeight="1" thickTop="1" x14ac:dyDescent="0.3">
      <c r="B19" s="7"/>
      <c r="C19" s="3"/>
      <c r="D19" s="55"/>
      <c r="E19" s="55"/>
      <c r="F19" s="55"/>
      <c r="G19" s="55"/>
      <c r="H19" s="55"/>
      <c r="I19" s="55"/>
      <c r="J19" s="56"/>
      <c r="K19" s="56"/>
      <c r="L19" s="183"/>
      <c r="M19" s="56"/>
      <c r="N19" s="20"/>
      <c r="O19" s="9"/>
    </row>
    <row r="20" spans="2:15" ht="21.95" customHeight="1" thickBot="1" x14ac:dyDescent="0.25">
      <c r="B20" s="7"/>
      <c r="C20" s="3"/>
      <c r="D20" s="3"/>
      <c r="E20" s="3"/>
      <c r="F20" s="3"/>
      <c r="G20" s="3"/>
      <c r="H20" s="3"/>
      <c r="I20" s="3"/>
      <c r="J20" s="3"/>
      <c r="K20" s="3"/>
      <c r="L20" s="184"/>
      <c r="M20" s="3"/>
      <c r="N20" s="3"/>
      <c r="O20" s="9"/>
    </row>
    <row r="21" spans="2:15" ht="13.5" thickTop="1" x14ac:dyDescent="0.2">
      <c r="B21" s="7"/>
      <c r="C21" s="3"/>
      <c r="D21" s="3"/>
      <c r="E21" s="3"/>
      <c r="F21" s="3"/>
      <c r="G21" s="3"/>
      <c r="H21" s="3"/>
      <c r="I21" s="3"/>
      <c r="J21" s="3"/>
      <c r="K21" s="3"/>
      <c r="L21" s="3"/>
      <c r="M21" s="3"/>
      <c r="N21" s="3"/>
      <c r="O21" s="9"/>
    </row>
    <row r="22" spans="2:15" ht="35.25" x14ac:dyDescent="0.5">
      <c r="B22" s="7"/>
      <c r="C22" s="3"/>
      <c r="D22" s="99" t="s">
        <v>48</v>
      </c>
      <c r="E22" s="186" t="s">
        <v>64</v>
      </c>
      <c r="F22" s="186"/>
      <c r="G22" s="186"/>
      <c r="H22" s="186"/>
      <c r="I22" s="186"/>
      <c r="J22" s="186"/>
      <c r="K22" s="100"/>
      <c r="L22" s="185" t="s">
        <v>70</v>
      </c>
      <c r="M22" s="185"/>
      <c r="N22" s="52"/>
      <c r="O22" s="9"/>
    </row>
    <row r="23" spans="2:15" ht="33.75" x14ac:dyDescent="0.5">
      <c r="B23" s="7"/>
      <c r="C23" s="3"/>
      <c r="D23" s="99" t="s">
        <v>49</v>
      </c>
      <c r="E23" s="173" t="s">
        <v>67</v>
      </c>
      <c r="F23" s="173"/>
      <c r="G23" s="173"/>
      <c r="H23" s="173"/>
      <c r="I23" s="173"/>
      <c r="J23" s="173"/>
      <c r="K23" s="173"/>
      <c r="L23" s="180" t="s">
        <v>71</v>
      </c>
      <c r="M23" s="180"/>
      <c r="N23" s="53"/>
      <c r="O23" s="9"/>
    </row>
    <row r="24" spans="2:15" ht="33.75" x14ac:dyDescent="0.5">
      <c r="B24" s="7"/>
      <c r="C24" s="3"/>
      <c r="D24" s="99" t="s">
        <v>50</v>
      </c>
      <c r="E24" s="110">
        <v>4003</v>
      </c>
      <c r="F24" s="101" t="s">
        <v>8</v>
      </c>
      <c r="G24" s="174" t="s">
        <v>68</v>
      </c>
      <c r="H24" s="174"/>
      <c r="I24" s="102" t="s">
        <v>9</v>
      </c>
      <c r="J24" s="103" t="s">
        <v>54</v>
      </c>
      <c r="K24" s="100"/>
      <c r="L24" s="180" t="s">
        <v>72</v>
      </c>
      <c r="M24" s="180"/>
      <c r="N24" s="3"/>
      <c r="O24" s="9"/>
    </row>
    <row r="25" spans="2:15" ht="33.75" x14ac:dyDescent="0.5">
      <c r="B25" s="7"/>
      <c r="C25" s="3"/>
      <c r="D25" s="99" t="s">
        <v>51</v>
      </c>
      <c r="E25" s="187" t="s">
        <v>66</v>
      </c>
      <c r="F25" s="187"/>
      <c r="G25" s="187"/>
      <c r="H25" s="187"/>
      <c r="I25" s="187"/>
      <c r="J25" s="187"/>
      <c r="K25" s="100"/>
      <c r="L25" s="180" t="s">
        <v>69</v>
      </c>
      <c r="M25" s="180"/>
      <c r="N25" s="3"/>
      <c r="O25" s="9"/>
    </row>
    <row r="26" spans="2:15" x14ac:dyDescent="0.2">
      <c r="B26" s="7"/>
      <c r="C26" s="3"/>
      <c r="D26" s="73"/>
      <c r="E26" s="73"/>
      <c r="F26" s="73"/>
      <c r="G26" s="73"/>
      <c r="H26" s="73"/>
      <c r="I26" s="73"/>
      <c r="J26" s="73"/>
      <c r="K26" s="73"/>
      <c r="L26" s="73"/>
      <c r="M26" s="73"/>
      <c r="N26" s="3"/>
      <c r="O26" s="9"/>
    </row>
    <row r="27" spans="2:15" ht="18" x14ac:dyDescent="0.25">
      <c r="B27" s="7"/>
      <c r="C27" s="3"/>
      <c r="D27" s="139" t="s">
        <v>31</v>
      </c>
      <c r="E27" s="88" t="s">
        <v>22</v>
      </c>
      <c r="F27" s="175" t="s">
        <v>23</v>
      </c>
      <c r="G27" s="176"/>
      <c r="H27" s="176"/>
      <c r="I27" s="176"/>
      <c r="J27" s="176"/>
      <c r="K27" s="177"/>
      <c r="L27" s="88" t="s">
        <v>59</v>
      </c>
      <c r="M27" s="89" t="s">
        <v>24</v>
      </c>
      <c r="N27" s="90"/>
      <c r="O27" s="9"/>
    </row>
    <row r="28" spans="2:15" ht="30" x14ac:dyDescent="0.4">
      <c r="B28" s="7"/>
      <c r="C28" s="3"/>
      <c r="D28" s="144"/>
      <c r="E28" s="142"/>
      <c r="F28" s="147"/>
      <c r="G28" s="148"/>
      <c r="H28" s="148"/>
      <c r="I28" s="148"/>
      <c r="J28" s="148"/>
      <c r="K28" s="149"/>
      <c r="L28" s="143"/>
      <c r="M28" s="106" t="str">
        <f t="shared" ref="M28:M43" si="0">IF(E28&lt;&gt;"",E28*L28,"")</f>
        <v/>
      </c>
      <c r="N28" s="90"/>
      <c r="O28" s="9"/>
    </row>
    <row r="29" spans="2:15" ht="30" x14ac:dyDescent="0.4">
      <c r="B29" s="7"/>
      <c r="C29" s="3"/>
      <c r="D29" s="156" t="s">
        <v>61</v>
      </c>
      <c r="E29" s="138">
        <v>30</v>
      </c>
      <c r="F29" s="115" t="s">
        <v>65</v>
      </c>
      <c r="G29" s="152"/>
      <c r="H29" s="152"/>
      <c r="I29" s="152"/>
      <c r="J29" s="152"/>
      <c r="K29" s="153"/>
      <c r="L29" s="106"/>
      <c r="M29" s="106"/>
      <c r="N29" s="90"/>
      <c r="O29" s="9"/>
    </row>
    <row r="30" spans="2:15" ht="30" x14ac:dyDescent="0.4">
      <c r="B30" s="7"/>
      <c r="C30" s="3"/>
      <c r="D30" s="141"/>
      <c r="E30" s="138"/>
      <c r="F30" s="115"/>
      <c r="G30" s="154"/>
      <c r="H30" s="155"/>
      <c r="I30" s="154"/>
      <c r="J30" s="150"/>
      <c r="K30" s="151"/>
      <c r="L30" s="106"/>
      <c r="M30" s="106" t="str">
        <f t="shared" si="0"/>
        <v/>
      </c>
      <c r="N30" s="54"/>
      <c r="O30" s="9"/>
    </row>
    <row r="31" spans="2:15" ht="30" x14ac:dyDescent="0.4">
      <c r="B31" s="7"/>
      <c r="C31" s="3"/>
      <c r="D31" s="141"/>
      <c r="E31" s="140"/>
      <c r="F31" s="135"/>
      <c r="G31" s="133"/>
      <c r="H31" s="133"/>
      <c r="I31" s="133"/>
      <c r="J31" s="133"/>
      <c r="K31" s="134"/>
      <c r="L31" s="106"/>
      <c r="M31" s="106"/>
      <c r="N31" s="54"/>
      <c r="O31" s="9"/>
    </row>
    <row r="32" spans="2:15" ht="30" x14ac:dyDescent="0.4">
      <c r="B32" s="7"/>
      <c r="C32" s="3"/>
      <c r="D32" s="141"/>
      <c r="E32" s="140"/>
      <c r="F32" s="146"/>
      <c r="G32" s="133"/>
      <c r="H32" s="133"/>
      <c r="I32" s="133"/>
      <c r="J32" s="133"/>
      <c r="K32" s="134"/>
      <c r="L32" s="106"/>
      <c r="M32" s="106"/>
      <c r="N32" s="54"/>
      <c r="O32" s="9"/>
    </row>
    <row r="33" spans="2:15" ht="30" x14ac:dyDescent="0.4">
      <c r="B33" s="7"/>
      <c r="C33" s="3"/>
      <c r="D33" s="141"/>
      <c r="E33" s="140"/>
      <c r="F33" s="146"/>
      <c r="G33" s="133"/>
      <c r="H33" s="133"/>
      <c r="I33" s="133"/>
      <c r="J33" s="133"/>
      <c r="K33" s="134"/>
      <c r="L33" s="106"/>
      <c r="M33" s="106"/>
      <c r="N33" s="54"/>
      <c r="O33" s="9"/>
    </row>
    <row r="34" spans="2:15" ht="30" x14ac:dyDescent="0.4">
      <c r="B34" s="7"/>
      <c r="C34" s="3"/>
      <c r="D34" s="141"/>
      <c r="E34" s="140"/>
      <c r="F34" s="146"/>
      <c r="G34" s="133"/>
      <c r="H34" s="133"/>
      <c r="I34" s="133"/>
      <c r="J34" s="133"/>
      <c r="K34" s="134"/>
      <c r="L34" s="106"/>
      <c r="M34" s="106"/>
      <c r="N34" s="54"/>
      <c r="O34" s="9"/>
    </row>
    <row r="35" spans="2:15" ht="30" x14ac:dyDescent="0.4">
      <c r="B35" s="7"/>
      <c r="C35" s="3"/>
      <c r="D35" s="141"/>
      <c r="E35" s="138"/>
      <c r="F35" s="145"/>
      <c r="G35" s="133"/>
      <c r="H35" s="133"/>
      <c r="I35" s="133"/>
      <c r="J35" s="133"/>
      <c r="K35" s="134"/>
      <c r="L35" s="106"/>
      <c r="M35" s="106" t="str">
        <f t="shared" si="0"/>
        <v/>
      </c>
      <c r="N35" s="54"/>
      <c r="O35" s="9"/>
    </row>
    <row r="36" spans="2:15" ht="30" x14ac:dyDescent="0.4">
      <c r="B36" s="7"/>
      <c r="C36" s="3"/>
      <c r="D36" s="156"/>
      <c r="E36" s="138"/>
      <c r="F36" s="115"/>
      <c r="G36" s="133"/>
      <c r="H36" s="133"/>
      <c r="I36" s="133"/>
      <c r="J36" s="133"/>
      <c r="K36" s="134"/>
      <c r="L36" s="106"/>
      <c r="M36" s="106" t="str">
        <f t="shared" si="0"/>
        <v/>
      </c>
      <c r="N36" s="54"/>
      <c r="O36" s="9"/>
    </row>
    <row r="37" spans="2:15" ht="30" x14ac:dyDescent="0.4">
      <c r="B37" s="7"/>
      <c r="C37" s="3"/>
      <c r="D37" s="144"/>
      <c r="E37" s="140"/>
      <c r="F37" s="115"/>
      <c r="G37" s="133"/>
      <c r="H37" s="133"/>
      <c r="I37" s="133"/>
      <c r="J37" s="133"/>
      <c r="K37" s="134"/>
      <c r="L37" s="106"/>
      <c r="M37" s="106" t="str">
        <f t="shared" si="0"/>
        <v/>
      </c>
      <c r="N37" s="54"/>
      <c r="O37" s="9"/>
    </row>
    <row r="38" spans="2:15" ht="30" x14ac:dyDescent="0.4">
      <c r="B38" s="7"/>
      <c r="C38" s="3"/>
      <c r="D38" s="156"/>
      <c r="E38" s="140"/>
      <c r="F38" s="157"/>
      <c r="G38" s="133"/>
      <c r="H38" s="133"/>
      <c r="I38" s="133"/>
      <c r="J38" s="133"/>
      <c r="K38" s="134"/>
      <c r="L38" s="106"/>
      <c r="M38" s="106" t="str">
        <f t="shared" si="0"/>
        <v/>
      </c>
      <c r="N38" s="54"/>
      <c r="O38" s="9"/>
    </row>
    <row r="39" spans="2:15" ht="30" x14ac:dyDescent="0.4">
      <c r="B39" s="7"/>
      <c r="C39" s="3"/>
      <c r="D39" s="141"/>
      <c r="E39" s="140"/>
      <c r="F39" s="145"/>
      <c r="G39" s="133"/>
      <c r="H39" s="133"/>
      <c r="I39" s="133"/>
      <c r="J39" s="133"/>
      <c r="K39" s="134"/>
      <c r="L39" s="106"/>
      <c r="M39" s="106" t="str">
        <f t="shared" si="0"/>
        <v/>
      </c>
      <c r="N39" s="54"/>
      <c r="O39" s="9"/>
    </row>
    <row r="40" spans="2:15" ht="30" x14ac:dyDescent="0.4">
      <c r="B40" s="7"/>
      <c r="C40" s="3"/>
      <c r="D40" s="141"/>
      <c r="E40" s="140"/>
      <c r="F40" s="115"/>
      <c r="G40" s="133"/>
      <c r="H40" s="133"/>
      <c r="I40" s="133"/>
      <c r="J40" s="133"/>
      <c r="K40" s="134"/>
      <c r="L40" s="106"/>
      <c r="M40" s="106" t="str">
        <f t="shared" si="0"/>
        <v/>
      </c>
      <c r="N40" s="54"/>
      <c r="O40" s="9"/>
    </row>
    <row r="41" spans="2:15" ht="30.75" x14ac:dyDescent="0.45">
      <c r="B41" s="7"/>
      <c r="C41" s="3"/>
      <c r="D41" s="141"/>
      <c r="E41" s="140"/>
      <c r="F41" s="158" t="s">
        <v>63</v>
      </c>
      <c r="G41" s="133"/>
      <c r="H41" s="133"/>
      <c r="I41" s="133"/>
      <c r="J41" s="133"/>
      <c r="K41" s="134"/>
      <c r="L41" s="106"/>
      <c r="M41" s="106" t="str">
        <f t="shared" si="0"/>
        <v/>
      </c>
      <c r="N41" s="54"/>
      <c r="O41" s="9"/>
    </row>
    <row r="42" spans="2:15" ht="30" x14ac:dyDescent="0.4">
      <c r="B42" s="7"/>
      <c r="C42" s="3"/>
      <c r="D42" s="141"/>
      <c r="E42" s="140"/>
      <c r="F42" s="159" t="s">
        <v>62</v>
      </c>
      <c r="G42" s="133"/>
      <c r="H42" s="133"/>
      <c r="I42" s="133"/>
      <c r="J42" s="133"/>
      <c r="K42" s="134"/>
      <c r="L42" s="106"/>
      <c r="M42" s="106" t="str">
        <f t="shared" si="0"/>
        <v/>
      </c>
      <c r="N42" s="54"/>
      <c r="O42" s="9"/>
    </row>
    <row r="43" spans="2:15" ht="30" x14ac:dyDescent="0.4">
      <c r="B43" s="7"/>
      <c r="C43" s="3"/>
      <c r="D43" s="137"/>
      <c r="E43" s="160"/>
      <c r="F43" s="137"/>
      <c r="G43" s="131"/>
      <c r="H43" s="131"/>
      <c r="I43" s="131"/>
      <c r="J43" s="131"/>
      <c r="K43" s="132"/>
      <c r="L43" s="106"/>
      <c r="M43" s="106" t="str">
        <f t="shared" si="0"/>
        <v/>
      </c>
      <c r="N43" s="54"/>
      <c r="O43" s="9"/>
    </row>
    <row r="44" spans="2:15" ht="35.25" x14ac:dyDescent="0.5">
      <c r="B44" s="7"/>
      <c r="C44" s="3"/>
      <c r="D44" s="84"/>
      <c r="E44" s="93"/>
      <c r="F44" s="121"/>
      <c r="G44" s="118"/>
      <c r="H44" s="118"/>
      <c r="I44" s="118"/>
      <c r="J44" s="119"/>
      <c r="K44" s="120"/>
      <c r="L44" s="161"/>
      <c r="M44" s="104"/>
      <c r="N44" s="54"/>
      <c r="O44" s="9"/>
    </row>
    <row r="45" spans="2:15" ht="35.25" x14ac:dyDescent="0.5">
      <c r="B45" s="7"/>
      <c r="C45" s="3"/>
      <c r="D45" s="98"/>
      <c r="E45" s="95" t="s">
        <v>52</v>
      </c>
      <c r="F45" s="77"/>
      <c r="G45" s="77"/>
      <c r="H45" s="77"/>
      <c r="I45" s="77"/>
      <c r="J45" s="78"/>
      <c r="K45" s="91"/>
      <c r="L45" s="162"/>
      <c r="M45" s="104"/>
      <c r="N45" s="54"/>
      <c r="O45" s="9"/>
    </row>
    <row r="46" spans="2:15" ht="35.25" x14ac:dyDescent="0.5">
      <c r="B46" s="7"/>
      <c r="C46" s="3"/>
      <c r="D46" s="96"/>
      <c r="E46" s="95" t="s">
        <v>53</v>
      </c>
      <c r="F46" s="77"/>
      <c r="G46" s="77"/>
      <c r="H46" s="77"/>
      <c r="I46" s="77"/>
      <c r="J46" s="80"/>
      <c r="K46" s="92"/>
      <c r="L46" s="163"/>
      <c r="M46" s="104"/>
      <c r="N46" s="54"/>
      <c r="O46" s="9"/>
    </row>
    <row r="47" spans="2:15" ht="35.25" x14ac:dyDescent="0.5">
      <c r="B47" s="7"/>
      <c r="C47" s="3"/>
      <c r="D47" s="84"/>
      <c r="E47" s="97"/>
      <c r="F47" s="94"/>
      <c r="G47" s="82"/>
      <c r="H47" s="81"/>
      <c r="I47" s="77"/>
      <c r="J47" s="83"/>
      <c r="K47" s="91"/>
      <c r="L47" s="162"/>
      <c r="M47" s="104"/>
      <c r="N47" s="54"/>
      <c r="O47" s="9"/>
    </row>
    <row r="48" spans="2:15" ht="18" x14ac:dyDescent="0.25">
      <c r="B48" s="7"/>
      <c r="C48" s="3"/>
      <c r="D48" s="181"/>
      <c r="E48" s="181"/>
      <c r="F48" s="181"/>
      <c r="G48" s="181"/>
      <c r="H48" s="181"/>
      <c r="I48" s="181"/>
      <c r="J48" s="181"/>
      <c r="K48" s="181"/>
      <c r="L48" s="181"/>
      <c r="M48" s="135"/>
      <c r="N48" s="54"/>
      <c r="O48" s="9"/>
    </row>
    <row r="49" spans="1:16" ht="35.25" x14ac:dyDescent="0.5">
      <c r="B49" s="7"/>
      <c r="C49" s="3"/>
      <c r="D49" s="117"/>
      <c r="E49" s="117"/>
      <c r="F49" s="97"/>
      <c r="G49" s="116"/>
      <c r="H49" s="116"/>
      <c r="I49" s="116"/>
      <c r="J49" s="85"/>
      <c r="K49" s="85"/>
      <c r="L49" s="105"/>
      <c r="M49" s="136"/>
      <c r="N49" s="54"/>
      <c r="O49" s="9"/>
    </row>
    <row r="50" spans="1:16" ht="15" x14ac:dyDescent="0.2">
      <c r="B50" s="7"/>
      <c r="C50" s="3"/>
      <c r="D50" s="178"/>
      <c r="E50" s="178"/>
      <c r="F50" s="178"/>
      <c r="G50" s="178"/>
      <c r="H50" s="178"/>
      <c r="I50" s="178"/>
      <c r="J50" s="178"/>
      <c r="K50" s="178"/>
      <c r="L50" s="178"/>
      <c r="M50" s="117"/>
      <c r="N50" s="54"/>
      <c r="O50" s="9"/>
    </row>
    <row r="51" spans="1:16" ht="26.25" x14ac:dyDescent="0.4">
      <c r="B51" s="7"/>
      <c r="C51" s="3"/>
      <c r="D51" s="179"/>
      <c r="E51" s="179"/>
      <c r="F51" s="179"/>
      <c r="G51" s="179"/>
      <c r="H51" s="179"/>
      <c r="I51" s="179"/>
      <c r="J51" s="179"/>
      <c r="K51" s="179"/>
      <c r="L51" s="179"/>
      <c r="M51" s="124"/>
      <c r="N51" s="54"/>
      <c r="O51" s="9"/>
    </row>
    <row r="52" spans="1:16" ht="26.25" x14ac:dyDescent="0.4">
      <c r="B52" s="7"/>
      <c r="C52" s="3"/>
      <c r="D52" s="117"/>
      <c r="E52" s="117"/>
      <c r="F52" s="124"/>
      <c r="G52" s="129"/>
      <c r="H52" s="129"/>
      <c r="I52" s="129"/>
      <c r="J52" s="78"/>
      <c r="K52" s="114"/>
      <c r="L52" s="188" t="s">
        <v>58</v>
      </c>
      <c r="M52" s="188"/>
      <c r="N52" s="108"/>
      <c r="O52" s="9"/>
    </row>
    <row r="53" spans="1:16" ht="23.25" x14ac:dyDescent="0.25">
      <c r="B53" s="7"/>
      <c r="C53" s="3"/>
      <c r="D53" s="117"/>
      <c r="E53" s="117"/>
      <c r="F53" s="130"/>
      <c r="G53" s="172"/>
      <c r="H53" s="172"/>
      <c r="I53" s="172"/>
      <c r="J53" s="78"/>
      <c r="K53" s="114"/>
      <c r="L53" s="108"/>
      <c r="M53" s="108"/>
      <c r="N53" s="108"/>
      <c r="O53" s="9"/>
    </row>
    <row r="54" spans="1:16" ht="23.25" x14ac:dyDescent="0.2">
      <c r="B54" s="7"/>
      <c r="C54" s="3"/>
      <c r="D54" s="117"/>
      <c r="E54" s="117"/>
      <c r="F54" s="79"/>
      <c r="G54" s="78"/>
      <c r="H54" s="78"/>
      <c r="I54" s="78"/>
      <c r="J54" s="78"/>
      <c r="K54" s="114"/>
      <c r="L54" s="108"/>
      <c r="M54" s="108"/>
      <c r="N54" s="108"/>
      <c r="O54" s="9"/>
    </row>
    <row r="55" spans="1:16" ht="15" x14ac:dyDescent="0.2">
      <c r="B55" s="7"/>
      <c r="C55" s="3"/>
      <c r="D55" s="117"/>
      <c r="E55" s="117"/>
      <c r="F55" s="78"/>
      <c r="G55" s="78"/>
      <c r="H55" s="78"/>
      <c r="I55" s="78"/>
      <c r="J55" s="78"/>
      <c r="K55" s="108"/>
      <c r="L55" s="108"/>
      <c r="M55" s="108"/>
      <c r="N55" s="54"/>
      <c r="O55" s="9"/>
    </row>
    <row r="56" spans="1:16" ht="20.25" x14ac:dyDescent="0.3">
      <c r="B56" s="7"/>
      <c r="C56" s="3"/>
      <c r="D56" s="111" t="s">
        <v>55</v>
      </c>
      <c r="E56" s="112"/>
      <c r="F56" s="78"/>
      <c r="G56" s="78"/>
      <c r="H56" s="78"/>
      <c r="I56" s="78"/>
      <c r="J56" s="80"/>
      <c r="K56" s="86"/>
      <c r="L56" s="86"/>
      <c r="M56" s="87"/>
      <c r="N56" s="54"/>
      <c r="O56" s="125"/>
      <c r="P56" s="126"/>
    </row>
    <row r="57" spans="1:16" ht="20.25" x14ac:dyDescent="0.3">
      <c r="B57" s="7"/>
      <c r="C57" s="3"/>
      <c r="D57" s="113" t="s">
        <v>56</v>
      </c>
      <c r="E57" s="113"/>
      <c r="F57" s="78"/>
      <c r="G57" s="78"/>
      <c r="H57" s="78"/>
      <c r="I57" s="78"/>
      <c r="J57" s="80"/>
      <c r="K57" s="86"/>
      <c r="L57" s="86"/>
      <c r="M57" s="86"/>
      <c r="N57" s="90"/>
      <c r="O57" s="127"/>
      <c r="P57" s="128"/>
    </row>
    <row r="58" spans="1:16" ht="18" x14ac:dyDescent="0.25">
      <c r="B58" s="7"/>
      <c r="C58" s="3"/>
      <c r="D58" s="76"/>
      <c r="E58" s="76"/>
      <c r="F58" s="78"/>
      <c r="G58" s="78"/>
      <c r="H58" s="78"/>
      <c r="I58" s="78"/>
      <c r="J58" s="80"/>
      <c r="K58" s="86"/>
      <c r="L58" s="86"/>
      <c r="M58" s="86"/>
      <c r="N58" s="90"/>
      <c r="O58" s="9"/>
    </row>
    <row r="59" spans="1:16" ht="18" customHeight="1" x14ac:dyDescent="0.25">
      <c r="B59" s="7"/>
      <c r="C59" s="3"/>
      <c r="D59" s="171" t="s">
        <v>60</v>
      </c>
      <c r="E59" s="171"/>
      <c r="F59" s="171"/>
      <c r="G59" s="171"/>
      <c r="H59" s="171"/>
      <c r="I59" s="171"/>
      <c r="J59" s="171"/>
      <c r="K59" s="171"/>
      <c r="L59" s="171"/>
      <c r="M59" s="86"/>
      <c r="N59" s="90"/>
      <c r="O59" s="9"/>
    </row>
    <row r="60" spans="1:16" ht="15" customHeight="1" x14ac:dyDescent="0.2">
      <c r="B60" s="7"/>
      <c r="C60" s="3"/>
      <c r="D60" s="171"/>
      <c r="E60" s="171"/>
      <c r="F60" s="171"/>
      <c r="G60" s="171"/>
      <c r="H60" s="171"/>
      <c r="I60" s="171"/>
      <c r="J60" s="171"/>
      <c r="K60" s="171"/>
      <c r="L60" s="171"/>
      <c r="M60" s="87"/>
      <c r="N60" s="54"/>
      <c r="O60" s="9"/>
    </row>
    <row r="61" spans="1:16" ht="20.100000000000001" customHeight="1" x14ac:dyDescent="0.2">
      <c r="B61" s="7"/>
      <c r="C61" s="3"/>
      <c r="D61" s="171"/>
      <c r="E61" s="171"/>
      <c r="F61" s="171"/>
      <c r="G61" s="171"/>
      <c r="H61" s="171"/>
      <c r="I61" s="171"/>
      <c r="J61" s="171"/>
      <c r="K61" s="171"/>
      <c r="L61" s="171"/>
      <c r="M61" s="87"/>
      <c r="N61" s="54"/>
      <c r="O61" s="9"/>
    </row>
    <row r="62" spans="1:16" ht="13.5" thickBot="1" x14ac:dyDescent="0.25">
      <c r="B62" s="7"/>
      <c r="C62" s="3"/>
      <c r="D62" s="3"/>
      <c r="E62" s="3"/>
      <c r="F62" s="3"/>
      <c r="G62" s="3"/>
      <c r="H62" s="3"/>
      <c r="I62" s="3"/>
      <c r="J62" s="3"/>
      <c r="K62" s="3"/>
      <c r="L62" s="3"/>
      <c r="M62" s="3"/>
      <c r="N62" s="54"/>
      <c r="O62" s="9"/>
    </row>
    <row r="63" spans="1:16" ht="13.5" thickTop="1" x14ac:dyDescent="0.2">
      <c r="B63" s="7"/>
      <c r="C63" s="3"/>
      <c r="D63" s="55"/>
      <c r="E63" s="55"/>
      <c r="F63" s="55"/>
      <c r="G63" s="55"/>
      <c r="H63" s="55"/>
      <c r="I63" s="55"/>
      <c r="J63" s="55"/>
      <c r="K63" s="55"/>
      <c r="L63" s="55"/>
      <c r="M63" s="55"/>
      <c r="N63" s="54"/>
      <c r="O63" s="9"/>
    </row>
    <row r="64" spans="1:16" x14ac:dyDescent="0.2">
      <c r="A64" s="122"/>
      <c r="B64" s="122"/>
      <c r="C64" s="122"/>
      <c r="D64" s="122"/>
      <c r="E64" s="122"/>
      <c r="F64" s="122"/>
      <c r="G64" s="122"/>
      <c r="H64" s="122"/>
      <c r="I64" s="122"/>
      <c r="J64" s="122"/>
      <c r="K64" s="122"/>
      <c r="L64" s="122"/>
      <c r="M64" s="123"/>
      <c r="N64" s="54"/>
      <c r="O64" s="9"/>
    </row>
  </sheetData>
  <scenarios current="0">
    <scenario name="sample1" locked="1" count="10" user="Nickte" comment="Created by Nickte on 23/10/96">
      <inputCells r="L25" undone="1" val="Le Havre"/>
      <inputCells r="L24" undone="1" val="T. Farot"/>
      <inputCells r="L23" undone="1" val="452"/>
      <inputCells r="L22" undone="1" val="35343" numFmtId="14"/>
      <inputCells r="J24" undone="1" val="France"/>
      <inputCells r="G24" undone="1" val="Avignon"/>
      <inputCells r="E25" undone="1" val="04.90.26.45.78"/>
      <inputCells r="E24" undone="1" val="84000"/>
      <inputCells r="E23" undone="1" val="34, route de Marseille"/>
      <inputCells r="E22" undone="1" val="M. Antoine CIVAUX"/>
    </scenario>
    <scenario name="sample2" locked="1" count="10" user="Nickte" comment="Created by Nickte on 23/10/96">
      <inputCells r="M27" undone="1" val="1300" numFmtId="8"/>
      <inputCells r="L27" undone="1" val="2"/>
      <inputCells r="M25" undone="1" val="2300" numFmtId="8"/>
      <inputCells r="L25" undone="1" val="2"/>
      <inputCells r="F27" undone="1" val="Fauteuil ergonomique"/>
      <inputCells r="E27" undone="1" val="1"/>
      <inputCells r="D27" undone="1" val="RF458"/>
      <inputCells r="F25" undone="1" val="Bureau métal"/>
      <inputCells r="E25" undone="1" val="1"/>
      <inputCells r="D25" undone="1" val="FV451"/>
    </scenario>
  </scenarios>
  <mergeCells count="15">
    <mergeCell ref="L18:L20"/>
    <mergeCell ref="L22:M22"/>
    <mergeCell ref="L24:M24"/>
    <mergeCell ref="L25:M25"/>
    <mergeCell ref="E22:J22"/>
    <mergeCell ref="E25:J25"/>
    <mergeCell ref="D59:L61"/>
    <mergeCell ref="G53:I53"/>
    <mergeCell ref="E23:K23"/>
    <mergeCell ref="G24:H24"/>
    <mergeCell ref="F27:K27"/>
    <mergeCell ref="D50:L50"/>
    <mergeCell ref="D51:L51"/>
    <mergeCell ref="L23:M23"/>
    <mergeCell ref="D48:L48"/>
  </mergeCells>
  <phoneticPr fontId="0" type="noConversion"/>
  <dataValidations xWindow="574" yWindow="401" count="13">
    <dataValidation errorStyle="warning" allowBlank="1" showInputMessage="1" errorTitle="Numéro de carte de crédit" promptTitle="Numéro de carte de crédit" prompt="Tapez ici le numéro de carte de crédit du client" sqref="F53"/>
    <dataValidation errorStyle="warning" allowBlank="1" showInputMessage="1" errorTitle="Insérer des clauses" promptTitle="Insérer des clauses" prompt="Tapez ici toute clause nécessaire (responsabilité, garanties…). Si vous ne voulez pas inclure de clauses sur votre document imprimé, cliquez sur cette zone et dans le menu Edition, cliquez sur Effacer, Contenu, pour supprimer le texte." sqref="D59"/>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52:M53"/>
    <dataValidation type="textLength" errorStyle="warning" allowBlank="1" showErrorMessage="1" errorTitle="T.V.A." error="Les cellules ombrées contiennent des formules et sont calculées automatiquement par Excel. N'y tapez aucune information." promptTitle="T.V.A." sqref="L46">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45">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46">
      <formula1>0</formula1>
      <formula2>0</formula2>
    </dataValidation>
    <dataValidation allowBlank="1" showErrorMessage="1" sqref="G24:H24"/>
    <dataValidation type="textLength" errorStyle="warning" allowBlank="1" showErrorMessage="1" errorTitle="Sous-total" error="Les cellules ombrées contiennent des formules et sont calculées automatiquement par Excel. N'y tapez aucune information." promptTitle="Sous-total" sqref="M44">
      <formula1>0</formula1>
      <formula2>0</formula2>
    </dataValidation>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G64:L64"/>
    <dataValidation type="textLength" errorStyle="warning" allowBlank="1" showErrorMessage="1" errorTitle="Total" error="Les cellules ombrées contiennent des formules et sont calculées automatiquement par Excel. N'y tapez aucune information." promptTitle="Total" sqref="M49 M47">
      <formula1>0</formula1>
      <formula2>0</formula2>
    </dataValidation>
    <dataValidation type="decimal" allowBlank="1" showErrorMessage="1" errorTitle="Prix unitaire" error="Tapez un nombre dans cette cellule." promptTitle="Prix unitaire" sqref="L30:L43">
      <formula1>0</formula1>
      <formula2>1000000000</formula2>
    </dataValidation>
    <dataValidation type="whole" errorStyle="warning" allowBlank="1" showErrorMessage="1" errorTitle="Quantité" error="Tapez un nombre dans cette cellule." promptTitle="Quantité" sqref="E30:E43">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28:M43">
      <formula1>0</formula1>
      <formula2>0</formula2>
    </dataValidation>
  </dataValidations>
  <printOptions horizontalCentered="1"/>
  <pageMargins left="0.25" right="0.25" top="0.75" bottom="0.75" header="0.3" footer="0.3"/>
  <pageSetup paperSize="9" scale="49" fitToHeight="0" orientation="portrait"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27" r:id="rId4" name="pd2">
              <controlPr defaultSize="0" autoFill="0" autoLine="0" autoPict="0" macro="[2]!INV_Payments">
                <anchor moveWithCells="1">
                  <from>
                    <xdr:col>3</xdr:col>
                    <xdr:colOff>1533525</xdr:colOff>
                    <xdr:row>45</xdr:row>
                    <xdr:rowOff>114300</xdr:rowOff>
                  </from>
                  <to>
                    <xdr:col>3</xdr:col>
                    <xdr:colOff>1838325</xdr:colOff>
                    <xdr:row>45</xdr:row>
                    <xdr:rowOff>333375</xdr:rowOff>
                  </to>
                </anchor>
              </controlPr>
            </control>
          </mc:Choice>
        </mc:AlternateContent>
        <mc:AlternateContent xmlns:mc="http://schemas.openxmlformats.org/markup-compatibility/2006">
          <mc:Choice Requires="x14">
            <control shapeId="2128" r:id="rId5" name="Option Button 80">
              <controlPr defaultSize="0" autoFill="0" autoLine="0" autoPict="0" macro="[2]!INV_Payments">
                <anchor moveWithCells="1">
                  <from>
                    <xdr:col>3</xdr:col>
                    <xdr:colOff>1590675</xdr:colOff>
                    <xdr:row>44</xdr:row>
                    <xdr:rowOff>95250</xdr:rowOff>
                  </from>
                  <to>
                    <xdr:col>3</xdr:col>
                    <xdr:colOff>1885950</xdr:colOff>
                    <xdr:row>44</xdr:row>
                    <xdr:rowOff>314325</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80"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80" workbookViewId="0">
      <selection activeCell="E22" sqref="E22"/>
    </sheetView>
  </sheetViews>
  <sheetFormatPr baseColWidth="10" defaultColWidth="9.140625" defaultRowHeight="12.75" x14ac:dyDescent="0.2"/>
  <cols>
    <col min="1" max="16384" width="9.140625" style="64"/>
  </cols>
  <sheetData>
    <row r="1" spans="1:11" x14ac:dyDescent="0.2">
      <c r="A1" s="64" t="s">
        <v>25</v>
      </c>
    </row>
    <row r="2" spans="1:11" x14ac:dyDescent="0.2">
      <c r="A2" s="64" t="s">
        <v>32</v>
      </c>
      <c r="B2" s="64" t="s">
        <v>26</v>
      </c>
    </row>
    <row r="3" spans="1:11" x14ac:dyDescent="0.2">
      <c r="A3" s="64" t="s">
        <v>33</v>
      </c>
      <c r="B3" s="64" t="s">
        <v>40</v>
      </c>
    </row>
    <row r="4" spans="1:11" x14ac:dyDescent="0.2">
      <c r="A4" s="64" t="s">
        <v>27</v>
      </c>
    </row>
    <row r="5" spans="1:11" x14ac:dyDescent="0.2">
      <c r="A5" s="64" t="s">
        <v>34</v>
      </c>
      <c r="B5" s="64">
        <v>1</v>
      </c>
    </row>
    <row r="6" spans="1:11" x14ac:dyDescent="0.2">
      <c r="A6" s="64">
        <v>1</v>
      </c>
      <c r="B6" s="64" t="s">
        <v>35</v>
      </c>
      <c r="C6" s="64" t="s">
        <v>39</v>
      </c>
      <c r="D6" s="64" t="s">
        <v>36</v>
      </c>
      <c r="E6" s="64">
        <v>10</v>
      </c>
      <c r="G6" s="64">
        <v>1197261567</v>
      </c>
    </row>
    <row r="7" spans="1:11" x14ac:dyDescent="0.2">
      <c r="A7" s="64" t="s">
        <v>37</v>
      </c>
      <c r="B7" s="64" t="s">
        <v>28</v>
      </c>
      <c r="C7" s="64" t="s">
        <v>19</v>
      </c>
      <c r="D7" s="64" t="s">
        <v>3</v>
      </c>
      <c r="E7" s="64" t="s">
        <v>5</v>
      </c>
      <c r="F7" s="64" t="s">
        <v>7</v>
      </c>
      <c r="G7" s="64" t="s">
        <v>8</v>
      </c>
      <c r="H7" s="64" t="s">
        <v>9</v>
      </c>
      <c r="I7" s="64" t="s">
        <v>21</v>
      </c>
      <c r="J7" s="64" t="s">
        <v>29</v>
      </c>
      <c r="K7" s="64" t="s">
        <v>20</v>
      </c>
    </row>
    <row r="8" spans="1:11" x14ac:dyDescent="0.2">
      <c r="A8" s="64" t="s">
        <v>38</v>
      </c>
      <c r="B8" s="65" t="str">
        <f>Facture!$M$4</f>
        <v/>
      </c>
      <c r="C8" s="66" t="str">
        <f>Facture!$L$22</f>
        <v>Date : 07/11/2018</v>
      </c>
      <c r="D8" s="67" t="str">
        <f>Facture!$E$22</f>
        <v xml:space="preserve">ICAR </v>
      </c>
      <c r="E8" s="64" t="str">
        <f>Facture!$E$23</f>
        <v xml:space="preserve">route de monastir sidi abdelhamid </v>
      </c>
      <c r="F8" s="64">
        <f>Facture!$E$24</f>
        <v>4003</v>
      </c>
      <c r="G8" s="67" t="str">
        <f>Facture!$G$24</f>
        <v xml:space="preserve">sousse </v>
      </c>
      <c r="H8" s="67" t="str">
        <f>Facture!$J$24</f>
        <v>TN</v>
      </c>
      <c r="I8" s="64" t="str">
        <f>Facture!$E$25</f>
        <v xml:space="preserve">73 830 001 Fax :73 320 420 </v>
      </c>
      <c r="J8" s="68">
        <f>Facture!$M$47</f>
        <v>0</v>
      </c>
      <c r="K8" s="64" t="str">
        <f>Facture!$L$24</f>
        <v xml:space="preserve">Responsable: Service achat </v>
      </c>
    </row>
    <row r="9" spans="1:11" x14ac:dyDescent="0.2">
      <c r="A9" s="64" t="s">
        <v>27</v>
      </c>
    </row>
    <row r="10" spans="1:11" x14ac:dyDescent="0.2">
      <c r="G10" s="64">
        <v>733575679</v>
      </c>
    </row>
    <row r="14" spans="1:11" x14ac:dyDescent="0.2">
      <c r="G14" s="64">
        <v>-550152960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ColWidth="11.42578125"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62</vt:i4>
      </vt:variant>
    </vt:vector>
  </HeadingPairs>
  <TitlesOfParts>
    <vt:vector size="66" baseType="lpstr">
      <vt:lpstr>Personnaliser votre facture</vt:lpstr>
      <vt:lpstr>Facture</vt:lpstr>
      <vt:lpstr>Patientez un instant...</vt:lpstr>
      <vt:lpstr>TemplateInformation</vt:lpstr>
      <vt:lpstr>_SHR1</vt:lpstr>
      <vt:lpstr>_SHR2</vt:lpstr>
      <vt:lpstr>_Tax2</vt:lpstr>
      <vt:lpstr>Auto_ouvrir21</vt:lpstr>
      <vt:lpstr>boxes</vt:lpstr>
      <vt:lpstr>CC</vt:lpstr>
      <vt:lpstr>CDB</vt:lpstr>
      <vt:lpstr>CS</vt:lpstr>
      <vt:lpstr>data1</vt:lpstr>
      <vt:lpstr>data10</vt:lpstr>
      <vt:lpstr>data2</vt:lpstr>
      <vt:lpstr>data3</vt:lpstr>
      <vt:lpstr>data4</vt:lpstr>
      <vt:lpstr>data5</vt:lpstr>
      <vt:lpstr>data6</vt:lpstr>
      <vt:lpstr>data62</vt:lpstr>
      <vt:lpstr>data63</vt:lpstr>
      <vt:lpstr>data64</vt:lpstr>
      <vt:lpstr>data65</vt:lpstr>
      <vt:lpstr>data67</vt:lpstr>
      <vt:lpstr>data68</vt:lpstr>
      <vt:lpstr>data69</vt:lpstr>
      <vt:lpstr>data7</vt:lpstr>
      <vt:lpstr>data70</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qzqzqz2</vt:lpstr>
      <vt:lpstr>qzqzqz26</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2018-11-07T14:09:51Z</cp:lastPrinted>
  <dcterms:created xsi:type="dcterms:W3CDTF">1995-05-29T15:50:39Z</dcterms:created>
  <dcterms:modified xsi:type="dcterms:W3CDTF">2018-11-07T14:10:16Z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GAMESYSTEM ATLAS  services</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ICAR </vt:lpwstr>
  </property>
  <property fmtid="{D5CDD505-2E9C-101B-9397-08002B2CF9AE}" pid="11" name="Montant de la facture" linkTarget="TOT">
    <vt:lpwstr/>
  </property>
</Properties>
</file>