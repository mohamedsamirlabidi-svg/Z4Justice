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Facture!$K$55</definedName>
    <definedName name="_Tax3">Facture!$K$57</definedName>
    <definedName name="_tax4">Facture!$K$57</definedName>
    <definedName name="_xlnm.Auto_Open21">'AutoOpen Stub Data'!$A$1</definedName>
    <definedName name="boxes">Facture!$C$55:$C$56</definedName>
    <definedName name="CC">'Personnaliser votre facture'!$G$22:$G$25</definedName>
    <definedName name="CCT">Facture!$F$57</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Facture!$C$55</definedName>
    <definedName name="data63">Facture!$C$56</definedName>
    <definedName name="data64">Facture!$C$57</definedName>
    <definedName name="data65">Facture!$F$56</definedName>
    <definedName name="data66">Facture!$D$63</definedName>
    <definedName name="data67">Facture!$D$64</definedName>
    <definedName name="data68">Facture!$E$68</definedName>
    <definedName name="data69">Facture!$I$68</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Facture!$A$3:$M$80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Facture!$D$63:$G$63</definedName>
    <definedName name="qzqzqz27">Facture!#REF!</definedName>
    <definedName name="qzqzqz28">Facture!$D$64:$G$64</definedName>
    <definedName name="qzqzqz29">Facture!$I$68:$L$68</definedName>
    <definedName name="qzqzqz3">Facture!$C$22:$H$22</definedName>
    <definedName name="qzqzqz30">Facture!$E$68:$G$68</definedName>
    <definedName name="qzqzqz31">Facture!$E$68:$F$68</definedName>
    <definedName name="qzqzqz32">Facture!$I$64:$L$68</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Facture!$A$3:$M$80</definedName>
  </definedNames>
  <calcPr calcId="152511"/>
</workbook>
</file>

<file path=xl/calcChain.xml><?xml version="1.0" encoding="utf-8"?>
<calcChain xmlns="http://schemas.openxmlformats.org/spreadsheetml/2006/main">
  <c r="L28" i="3" l="1"/>
  <c r="L30" i="3"/>
  <c r="L32" i="3"/>
  <c r="L34" i="3"/>
  <c r="L53" i="3" s="1"/>
  <c r="L55" i="3" s="1"/>
  <c r="L56" i="3" s="1"/>
  <c r="L36" i="3"/>
  <c r="L38" i="3"/>
  <c r="L40" i="3"/>
  <c r="L42" i="3"/>
  <c r="L44" i="3"/>
  <c r="L46" i="3"/>
  <c r="K8" i="8" l="1"/>
  <c r="I8" i="8"/>
  <c r="H8" i="8"/>
  <c r="G8" i="8"/>
  <c r="F8" i="8"/>
  <c r="E8" i="8"/>
  <c r="D8" i="8"/>
  <c r="C8" i="8"/>
  <c r="B8" i="8"/>
  <c r="L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<sst xmlns="http://schemas.openxmlformats.org/spreadsheetml/2006/main" count="95" uniqueCount="79">
  <si>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</si>
  <si>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</si>
  <si>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</si>
  <si>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</si>
  <si>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</si>
  <si>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</si>
  <si>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</si>
  <si>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</si>
  <si>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</si>
  <si>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</si>
  <si>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</si>
  <si>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</si>
  <si>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</si>
  <si>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</si>
  <si>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</si>
  <si>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</si>
  <si>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</si>
  <si>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</si>
  <si>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</si>
  <si>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</si>
  <si>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</si>
  <si>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</si>
  <si>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</si>
  <si>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</si>
  <si>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</si>
  <si>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</si>
  <si>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</si>
  <si>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</si>
  <si>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</si>
  <si>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</si>
  <si>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</si>
  <si>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</si>
  <si>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</si>
  <si>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</si>
  <si>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</si>
  <si>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</si>
  <si>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</si>
  <si>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</si>
  <si>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</si>
  <si>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</si>
  <si>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</si>
  <si>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</si>
  <si>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</si>
  <si>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</si>
  <si>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</si>
  <si>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</si>
  <si>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</si>
  <si>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</si>
  <si>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</si>
  <si>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</si>
  <si>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</si>
  <si>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</si>
  <si>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</si>
  <si>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</si>
  <si>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</si>
  <si>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</si>
  <si>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</si>
  <si>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</si>
  <si>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</si>
  <si>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</si>
  <si>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</si>
  <si>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</si>
  <si>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</si>
  <si>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STB THAMEUR</t>
  </si>
  <si>
    <t xml:space="preserve">HARNAIS DE SECURITE 29 C </t>
  </si>
  <si>
    <t>Torche frontale rechargeable</t>
  </si>
  <si>
    <t xml:space="preserve">ALFET EL MACHIA </t>
  </si>
  <si>
    <t>1426251P/A/E/001</t>
  </si>
  <si>
    <t>LUNETTE DE SECURITE EN 166</t>
  </si>
  <si>
    <t>Echelle spéléo Cable ladder 10m</t>
  </si>
  <si>
    <t>CASFX0524-0298</t>
  </si>
  <si>
    <t>FACTURE  N° 2024- 026</t>
  </si>
  <si>
    <t xml:space="preserve">Antichute à rappel automatique </t>
  </si>
  <si>
    <t xml:space="preserve">Masque complet réutilisable 3M </t>
  </si>
  <si>
    <t xml:space="preserve">Combinaison étanche  1073-2 </t>
  </si>
  <si>
    <t xml:space="preserve">CASQUE SECURITE    </t>
  </si>
  <si>
    <t xml:space="preserve">GANT DE SECURITE </t>
  </si>
  <si>
    <t>Corde semi-statique Ø11,5 mm </t>
  </si>
  <si>
    <t xml:space="preserve">ARRETEE LA PRESENTE FACTURE A LA SOMME DE : Quatre mille six cent quatre vingt dix neuf dinars et 120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</si>
</sst>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6"/>
      <name val="Arial"/>
      <family val="2"/>
    </font>
    <font>
      <b/>
      <sz val="11"/>
      <name val="Arial"/>
      <family val="2"/>
    </font>
    <font>
      <sz val="12"/>
      <color theme="1"/>
      <name val="Arial"/>
      <family val="2"/>
    </font>
    <font>
      <b/>
      <sz val="11"/>
      <name val="Times New Roman"/>
      <family val="1"/>
    </font>
    <font>
      <b/>
      <sz val="16"/>
      <name val="Aharoni"/>
      <charset val="177"/>
    </font>
    <font>
      <sz val="20"/>
      <name val="Arial"/>
      <family val="2"/>
    </font>
    <font>
      <b/>
      <sz val="11"/>
      <color theme="1"/>
      <name val="Arial"/>
      <family val="2"/>
    </font>
    <font>
      <b/>
      <sz val="12"/>
      <color theme="1"/>
      <name val="Arial"/>
      <family val="2"/>
    </font>
    <font>
      <b/>
      <sz val="12"/>
      <color rgb="FFFF0000"/>
      <name val="Arial"/>
      <family val="2"/>
    </font>
    <font>
      <b/>
      <sz val="11"/>
      <color indexed="8"/>
      <name val="Arial"/>
      <family val="2"/>
    </font>
    <font>
      <u/>
      <sz val="10"/>
      <color theme="1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4"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1" fillId="3" borderId="31"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0" fontId="16" fillId="0" borderId="36" xfId="0" quotePrefix="1" applyNumberFormat="1" applyFont="1" applyFill="1" applyBorder="1" applyAlignment="1">
      <alignment horizontal="center"/>
    </xf>
    <xf numFmtId="0" fontId="21" fillId="3" borderId="36" xfId="0" applyFont="1" applyFill="1" applyBorder="1" applyAlignment="1">
      <alignment horizontal="right"/>
    </xf>
    <xf numFmtId="0" fontId="2" fillId="3" borderId="0" xfId="0" applyFont="1" applyFill="1" applyBorder="1" applyAlignment="1">
      <alignment horizontal="left"/>
    </xf>
    <xf numFmtId="0" fontId="21" fillId="3" borderId="31" xfId="0" applyFont="1" applyFill="1" applyBorder="1" applyAlignment="1">
      <alignment horizontal="center"/>
    </xf>
    <xf numFmtId="0" fontId="2" fillId="6" borderId="0" xfId="0" applyFont="1" applyFill="1" applyBorder="1"/>
    <xf numFmtId="0" fontId="26" fillId="3" borderId="0" xfId="0" applyFont="1" applyFill="1" applyBorder="1"/>
    <xf numFmtId="0" fontId="2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7" fillId="6" borderId="0" xfId="0" applyFont="1" applyFill="1" applyBorder="1"/>
    <xf numFmtId="0" fontId="21" fillId="3" borderId="0" xfId="0" applyFont="1" applyFill="1" applyBorder="1" applyAlignment="1">
      <alignment horizontal="left"/>
    </xf>
    <xf numFmtId="0" fontId="21" fillId="3" borderId="0" xfId="0" applyFont="1" applyFill="1" applyBorder="1" applyAlignment="1"/>
    <xf numFmtId="0" fontId="21" fillId="6" borderId="0" xfId="0" applyFont="1" applyFill="1"/>
    <xf numFmtId="0" fontId="21"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5" fillId="3" borderId="0"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1"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8" fillId="3" borderId="0" xfId="0" applyFont="1" applyFill="1" applyBorder="1" applyAlignment="1">
      <alignment horizontal="left"/>
    </xf>
    <xf numFmtId="49" fontId="30" fillId="3" borderId="0" xfId="0" applyNumberFormat="1" applyFont="1" applyFill="1" applyBorder="1" applyAlignment="1"/>
    <xf numFmtId="0" fontId="1" fillId="3" borderId="0" xfId="0" applyFont="1" applyFill="1" applyBorder="1"/>
    <xf numFmtId="49" fontId="32" fillId="0" borderId="31" xfId="0" applyNumberFormat="1" applyFont="1" applyFill="1" applyBorder="1" applyAlignment="1"/>
    <xf numFmtId="0" fontId="31" fillId="3" borderId="0" xfId="0" applyFont="1" applyFill="1" applyBorder="1" applyAlignment="1"/>
    <xf numFmtId="0" fontId="33" fillId="3" borderId="0" xfId="0" applyFont="1" applyFill="1" applyBorder="1" applyAlignment="1"/>
    <xf numFmtId="0" fontId="10" fillId="3" borderId="0" xfId="0" applyFont="1" applyFill="1" applyBorder="1" applyAlignment="1">
      <alignment horizontal="left"/>
    </xf>
    <xf numFmtId="49" fontId="17" fillId="0" borderId="0" xfId="0" applyNumberFormat="1" applyFont="1" applyFill="1" applyBorder="1" applyAlignment="1">
      <alignment horizontal="left" vertical="top"/>
    </xf>
    <xf numFmtId="49" fontId="16" fillId="0" borderId="0" xfId="0" applyNumberFormat="1" applyFont="1" applyFill="1" applyBorder="1" applyAlignment="1">
      <alignment horizontal="left" vertical="top"/>
    </xf>
    <xf numFmtId="49" fontId="34" fillId="3" borderId="31" xfId="0" applyNumberFormat="1" applyFont="1" applyFill="1" applyBorder="1" applyAlignment="1"/>
    <xf numFmtId="169" fontId="36" fillId="0" borderId="27" xfId="0" applyNumberFormat="1" applyFont="1" applyFill="1" applyBorder="1" applyAlignment="1">
      <alignment shrinkToFit="1"/>
    </xf>
    <xf numFmtId="49" fontId="32" fillId="0" borderId="0" xfId="0" applyNumberFormat="1" applyFont="1" applyFill="1" applyBorder="1" applyAlignment="1">
      <alignment horizontal="left" vertical="top"/>
    </xf>
    <xf numFmtId="0" fontId="37" fillId="3" borderId="0" xfId="0" applyFont="1" applyFill="1" applyBorder="1" applyAlignment="1"/>
    <xf numFmtId="0" fontId="38" fillId="3" borderId="0" xfId="0" applyFont="1" applyFill="1" applyBorder="1" applyAlignment="1"/>
    <xf numFmtId="49" fontId="17" fillId="0" borderId="31" xfId="0" applyNumberFormat="1" applyFont="1" applyFill="1" applyBorder="1" applyAlignment="1"/>
    <xf numFmtId="49" fontId="17" fillId="0" borderId="0" xfId="0" applyNumberFormat="1" applyFont="1" applyFill="1" applyBorder="1" applyAlignment="1"/>
    <xf numFmtId="0" fontId="39" fillId="3" borderId="0" xfId="0" applyFont="1" applyFill="1" applyBorder="1" applyAlignment="1"/>
    <xf numFmtId="168" fontId="40" fillId="0" borderId="36" xfId="0" applyNumberFormat="1" applyFont="1" applyFill="1" applyBorder="1"/>
    <xf numFmtId="168" fontId="11" fillId="0" borderId="36" xfId="0" applyNumberFormat="1" applyFont="1" applyFill="1" applyBorder="1"/>
    <xf numFmtId="0" fontId="17" fillId="3" borderId="0" xfId="0" applyFont="1" applyFill="1" applyBorder="1" applyAlignment="1">
      <alignment horizontal="left"/>
    </xf>
    <xf numFmtId="0" fontId="2" fillId="7" borderId="0" xfId="0" applyFont="1" applyFill="1"/>
    <xf numFmtId="0" fontId="22" fillId="7" borderId="0" xfId="0" applyFont="1" applyFill="1" applyAlignment="1"/>
    <xf numFmtId="0" fontId="22" fillId="7" borderId="57" xfId="0" applyFont="1" applyFill="1" applyBorder="1"/>
    <xf numFmtId="49" fontId="1" fillId="0" borderId="31" xfId="0" applyNumberFormat="1" applyFont="1" applyFill="1" applyBorder="1" applyAlignment="1"/>
    <xf numFmtId="49" fontId="41" fillId="0" borderId="0" xfId="5" applyNumberFormat="1" applyFont="1" applyFill="1" applyBorder="1" applyAlignment="1" applyProtection="1"/>
    <xf numFmtId="0" fontId="1" fillId="3" borderId="0" xfId="0" applyFont="1" applyFill="1" applyBorder="1" applyAlignment="1"/>
    <xf numFmtId="0" fontId="2" fillId="3" borderId="0" xfId="0" applyFont="1" applyFill="1" applyBorder="1" applyAlignment="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7" fillId="3" borderId="34" xfId="0" applyNumberFormat="1" applyFont="1" applyFill="1" applyBorder="1" applyAlignment="1">
      <alignment horizontal="center"/>
    </xf>
    <xf numFmtId="14" fontId="27"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17" fillId="6" borderId="0" xfId="0" applyFont="1" applyFill="1" applyBorder="1" applyAlignment="1">
      <alignment horizontal="center"/>
    </xf>
    <xf numFmtId="0" fontId="24" fillId="3" borderId="0" xfId="5" applyFill="1" applyBorder="1" applyAlignment="1" applyProtection="1">
      <alignment horizontal="center"/>
    </xf>
    <xf numFmtId="0" fontId="0" fillId="3" borderId="0" xfId="0" applyFill="1" applyBorder="1" applyAlignment="1">
      <alignment horizontal="center"/>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6"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1" fillId="3" borderId="35" xfId="0" applyFont="1" applyFill="1" applyBorder="1" applyAlignment="1"/>
    <xf numFmtId="0" fontId="21" fillId="2" borderId="35" xfId="0" applyFont="1" applyBorder="1" applyAlignment="1"/>
    <xf numFmtId="49" fontId="35" fillId="3" borderId="34" xfId="0" applyNumberFormat="1" applyFont="1" applyFill="1" applyBorder="1" applyAlignment="1"/>
    <xf numFmtId="3" fontId="2" fillId="3" borderId="34" xfId="0" applyNumberFormat="1" applyFont="1" applyFill="1" applyBorder="1" applyAlignment="1"/>
    <xf numFmtId="0" fontId="4" fillId="2" borderId="34" xfId="0" applyFont="1" applyBorder="1" applyAlignment="1"/>
    <xf numFmtId="49" fontId="29" fillId="3" borderId="40" xfId="0" applyNumberFormat="1" applyFont="1" applyFill="1" applyBorder="1" applyAlignment="1"/>
    <xf numFmtId="49" fontId="29" fillId="3" borderId="41" xfId="0" applyNumberFormat="1" applyFont="1" applyFill="1" applyBorder="1" applyAlignment="1"/>
    <xf numFmtId="0" fontId="17" fillId="3" borderId="36" xfId="0" applyFont="1" applyFill="1" applyBorder="1" applyAlignment="1">
      <alignment horizontal="center" vertical="center"/>
    </xf>
    <xf numFmtId="168" fontId="40" fillId="0" borderId="50" xfId="0" applyNumberFormat="1" applyFont="1" applyFill="1" applyBorder="1" applyAlignment="1">
      <alignment horizontal="center" vertical="center"/>
    </xf>
    <xf numFmtId="168" fontId="40"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38" fillId="7" borderId="57" xfId="0" applyFont="1" applyFill="1" applyBorder="1"/>
    <xf numFmtId="0" fontId="2"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5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53</xdr:row>
          <xdr:rowOff>152400</xdr:rowOff>
        </xdr:from>
        <xdr:to>
          <xdr:col>2</xdr:col>
          <xdr:colOff>695325</xdr:colOff>
          <xdr:row>54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55</xdr:row>
          <xdr:rowOff>0</xdr:rowOff>
        </xdr:from>
        <xdr:to>
          <xdr:col>2</xdr:col>
          <xdr:colOff>704850</xdr:colOff>
          <xdr:row>56</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56</xdr:row>
          <xdr:rowOff>28575</xdr:rowOff>
        </xdr:from>
        <xdr:to>
          <xdr:col>2</xdr:col>
          <xdr:colOff>714375</xdr:colOff>
          <xdr:row>57</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9" t="s">
        <v>0</v>
      </c>
      <c r="E4" s="160"/>
      <c r="F4" s="160"/>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61" t="s">
        <v>2</v>
      </c>
      <c r="E10" s="16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3" t="s">
        <v>45</v>
      </c>
      <c r="E19" s="16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4" t="str">
        <f>LOWER(TemplateInformation!B3)</f>
        <v>c:\program files\microsoft office\office\macrolib\factbd.xls</v>
      </c>
      <c r="G33" s="16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1" t="s">
        <v>16</v>
      </c>
      <c r="E36" s="16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29" zoomScale="80" zoomScaleNormal="80" workbookViewId="0">
      <selection activeCell="A59" sqref="A59"/>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66"/>
      <c r="L9" s="167"/>
      <c r="M9" s="3"/>
      <c r="N9" s="8"/>
    </row>
    <row r="10" spans="1:14" x14ac:dyDescent="0.2">
      <c r="A10" s="3"/>
      <c r="B10" s="3"/>
      <c r="C10" s="3"/>
      <c r="D10" s="3"/>
      <c r="E10" s="3"/>
      <c r="F10" s="3"/>
      <c r="G10" s="3"/>
      <c r="H10" s="3"/>
      <c r="I10" s="3"/>
      <c r="J10" s="3"/>
      <c r="K10" s="94"/>
      <c r="L10" s="94"/>
      <c r="M10" s="3"/>
      <c r="N10" s="8"/>
    </row>
    <row r="11" spans="1:14" x14ac:dyDescent="0.2">
      <c r="A11" s="3"/>
      <c r="B11" s="3"/>
      <c r="C11" s="3"/>
      <c r="D11" s="3"/>
      <c r="E11" s="3"/>
      <c r="F11" s="3"/>
      <c r="G11" s="3"/>
      <c r="H11" s="3"/>
      <c r="I11" s="3"/>
      <c r="J11" s="3"/>
      <c r="K11" s="104"/>
      <c r="L11" s="105"/>
      <c r="M11" s="3"/>
      <c r="N11" s="8"/>
    </row>
    <row r="12" spans="1:14" x14ac:dyDescent="0.2">
      <c r="A12" s="3"/>
      <c r="B12" s="3"/>
      <c r="C12" s="3"/>
      <c r="D12" s="3"/>
      <c r="E12" s="3"/>
      <c r="F12" s="3"/>
      <c r="G12" s="3"/>
      <c r="H12" s="3"/>
      <c r="I12" s="3"/>
      <c r="J12" s="3"/>
      <c r="K12" s="104"/>
      <c r="L12" s="105"/>
      <c r="M12" s="3"/>
      <c r="N12" s="8"/>
    </row>
    <row r="13" spans="1:14" x14ac:dyDescent="0.2">
      <c r="A13" s="3"/>
      <c r="B13" s="3"/>
      <c r="C13" s="3"/>
      <c r="D13" s="3"/>
      <c r="E13" s="3"/>
      <c r="F13" s="3"/>
      <c r="G13" s="3"/>
      <c r="H13" s="3"/>
      <c r="I13" s="3"/>
      <c r="J13" s="3"/>
      <c r="K13" s="173" t="s">
        <v>54</v>
      </c>
      <c r="L13" s="174"/>
      <c r="M13" s="3"/>
      <c r="N13" s="8"/>
    </row>
    <row r="14" spans="1:14" x14ac:dyDescent="0.2">
      <c r="A14" s="3"/>
      <c r="B14" s="3"/>
      <c r="C14" s="3"/>
      <c r="D14" s="3"/>
      <c r="E14" s="3"/>
      <c r="F14" s="188"/>
      <c r="G14" s="188"/>
      <c r="H14" s="188"/>
      <c r="I14" s="188"/>
      <c r="J14" s="188"/>
      <c r="K14" s="3"/>
      <c r="L14" s="3"/>
      <c r="M14" s="3"/>
      <c r="N14" s="8"/>
    </row>
    <row r="15" spans="1:14" ht="20.100000000000001" customHeight="1" x14ac:dyDescent="0.2">
      <c r="A15" s="3"/>
      <c r="B15" s="3"/>
      <c r="C15" s="3"/>
      <c r="D15" s="3"/>
      <c r="E15" s="3"/>
      <c r="F15" s="188"/>
      <c r="G15" s="188"/>
      <c r="H15" s="188"/>
      <c r="I15" s="188"/>
      <c r="J15" s="188"/>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3"/>
      <c r="G17" s="3"/>
      <c r="H17" s="94"/>
      <c r="I17" s="3"/>
      <c r="J17" s="3"/>
      <c r="K17" s="175" t="s">
        <v>71</v>
      </c>
      <c r="L17" s="176"/>
      <c r="M17" s="3"/>
      <c r="N17" s="8"/>
    </row>
    <row r="18" spans="1:14" ht="19.5" thickTop="1" x14ac:dyDescent="0.3">
      <c r="A18" s="3"/>
      <c r="B18" s="56"/>
      <c r="C18" s="56"/>
      <c r="D18" s="56"/>
      <c r="E18" s="56"/>
      <c r="F18" s="56"/>
      <c r="G18" s="56"/>
      <c r="H18" s="57"/>
      <c r="I18" s="57"/>
      <c r="J18" s="57"/>
      <c r="K18" s="177"/>
      <c r="L18" s="178"/>
      <c r="M18" s="19"/>
      <c r="N18" s="8"/>
    </row>
    <row r="19" spans="1:14" ht="13.5" thickBot="1" x14ac:dyDescent="0.25">
      <c r="A19" s="3"/>
      <c r="B19" s="3"/>
      <c r="C19" s="3"/>
      <c r="D19" s="3"/>
      <c r="E19" s="3"/>
      <c r="F19" s="3"/>
      <c r="G19" s="3"/>
      <c r="H19" s="3"/>
      <c r="I19" s="3"/>
      <c r="J19" s="3"/>
      <c r="K19" s="179"/>
      <c r="L19" s="180"/>
      <c r="M19" s="3"/>
      <c r="N19" s="8"/>
    </row>
    <row r="20" spans="1:14" x14ac:dyDescent="0.2">
      <c r="A20" s="3"/>
      <c r="B20" s="3"/>
      <c r="C20" s="3"/>
      <c r="D20" s="3"/>
      <c r="E20" s="3"/>
      <c r="F20" s="3"/>
      <c r="G20" s="3"/>
      <c r="H20" s="3"/>
      <c r="I20" s="3"/>
      <c r="J20" s="3"/>
      <c r="K20" s="3"/>
      <c r="L20" s="3"/>
      <c r="M20" s="3"/>
      <c r="N20" s="8"/>
    </row>
    <row r="21" spans="1:14" ht="20.25" x14ac:dyDescent="0.3">
      <c r="A21" s="3"/>
      <c r="B21" s="80" t="s">
        <v>3</v>
      </c>
      <c r="C21" s="193" t="s">
        <v>66</v>
      </c>
      <c r="D21" s="193"/>
      <c r="E21" s="193"/>
      <c r="F21" s="193"/>
      <c r="G21" s="193"/>
      <c r="H21" s="193"/>
      <c r="I21" s="80"/>
      <c r="J21" s="82" t="s">
        <v>18</v>
      </c>
      <c r="K21" s="168">
        <v>45366</v>
      </c>
      <c r="L21" s="169"/>
      <c r="M21" s="53"/>
      <c r="N21" s="8"/>
    </row>
    <row r="22" spans="1:14" ht="14.25" x14ac:dyDescent="0.2">
      <c r="A22" s="3"/>
      <c r="B22" s="80" t="s">
        <v>5</v>
      </c>
      <c r="C22" s="191"/>
      <c r="D22" s="192"/>
      <c r="E22" s="192"/>
      <c r="F22" s="192"/>
      <c r="G22" s="192"/>
      <c r="H22" s="192"/>
      <c r="I22" s="80"/>
      <c r="J22" s="114" t="s">
        <v>59</v>
      </c>
      <c r="K22" s="181" t="s">
        <v>70</v>
      </c>
      <c r="L22" s="182"/>
      <c r="M22" s="54"/>
      <c r="N22" s="8"/>
    </row>
    <row r="23" spans="1:14" x14ac:dyDescent="0.2">
      <c r="A23" s="3"/>
      <c r="B23" s="80" t="s">
        <v>7</v>
      </c>
      <c r="C23" s="87"/>
      <c r="D23" s="88" t="s">
        <v>8</v>
      </c>
      <c r="E23" s="189"/>
      <c r="F23" s="190"/>
      <c r="G23" s="89" t="s">
        <v>9</v>
      </c>
      <c r="H23" s="86" t="s">
        <v>51</v>
      </c>
      <c r="I23" s="80"/>
      <c r="J23" s="82" t="s">
        <v>19</v>
      </c>
      <c r="K23" s="170"/>
      <c r="L23" s="171"/>
      <c r="M23" s="3"/>
      <c r="N23" s="8"/>
    </row>
    <row r="24" spans="1:14" ht="15.75" x14ac:dyDescent="0.25">
      <c r="A24" s="3"/>
      <c r="B24" s="80" t="s">
        <v>20</v>
      </c>
      <c r="C24" s="194"/>
      <c r="D24" s="195"/>
      <c r="E24" s="195"/>
      <c r="F24" s="195"/>
      <c r="G24" s="195"/>
      <c r="H24" s="195"/>
      <c r="I24" s="80"/>
      <c r="J24" s="82" t="s">
        <v>47</v>
      </c>
      <c r="K24" s="172" t="s">
        <v>67</v>
      </c>
      <c r="L24" s="172"/>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201" t="s">
        <v>22</v>
      </c>
      <c r="E26" s="202"/>
      <c r="F26" s="202"/>
      <c r="G26" s="202"/>
      <c r="H26" s="202"/>
      <c r="I26" s="202"/>
      <c r="J26" s="203"/>
      <c r="K26" s="52" t="s">
        <v>53</v>
      </c>
      <c r="L26" s="106" t="s">
        <v>23</v>
      </c>
      <c r="M26" s="55"/>
      <c r="N26" s="8"/>
    </row>
    <row r="27" spans="1:14" ht="18.75" x14ac:dyDescent="0.3">
      <c r="A27" s="3"/>
      <c r="B27" s="91"/>
      <c r="C27" s="73"/>
      <c r="D27" s="196"/>
      <c r="E27" s="197"/>
      <c r="F27" s="197"/>
      <c r="G27" s="197"/>
      <c r="H27" s="197"/>
      <c r="I27" s="197"/>
      <c r="J27" s="119"/>
      <c r="K27" s="118"/>
      <c r="L27" s="92" t="str">
        <f t="shared" ref="L27" si="0">IF(C27&lt;&gt;"",C27*K27,"")</f>
        <v/>
      </c>
      <c r="M27" s="55"/>
      <c r="N27" s="8"/>
    </row>
    <row r="28" spans="1:14" ht="26.25" customHeight="1" x14ac:dyDescent="0.25">
      <c r="A28" s="3"/>
      <c r="B28" s="91"/>
      <c r="C28" s="73">
        <v>1</v>
      </c>
      <c r="D28" s="135" t="s">
        <v>72</v>
      </c>
      <c r="E28" s="133"/>
      <c r="F28" s="133"/>
      <c r="G28" s="133"/>
      <c r="H28" s="133"/>
      <c r="I28" s="133"/>
      <c r="J28" s="120"/>
      <c r="K28" s="118">
        <v>1700</v>
      </c>
      <c r="L28" s="118">
        <f>K28*C28</f>
        <v>1700</v>
      </c>
      <c r="M28" s="55"/>
      <c r="N28" s="8"/>
    </row>
    <row r="29" spans="1:14" ht="26.25" customHeight="1" x14ac:dyDescent="0.25">
      <c r="A29" s="3"/>
      <c r="B29" s="91"/>
      <c r="C29" s="73"/>
      <c r="D29" s="141"/>
      <c r="E29" s="121"/>
      <c r="F29" s="121"/>
      <c r="G29" s="121"/>
      <c r="H29" s="121"/>
      <c r="I29" s="121"/>
      <c r="J29" s="120"/>
      <c r="K29" s="118"/>
      <c r="L29" s="118"/>
      <c r="M29" s="55"/>
      <c r="N29" s="8"/>
    </row>
    <row r="30" spans="1:14" ht="15.75" x14ac:dyDescent="0.25">
      <c r="A30" s="3"/>
      <c r="B30" s="101"/>
      <c r="C30" s="73">
        <v>1</v>
      </c>
      <c r="D30" s="135" t="s">
        <v>73</v>
      </c>
      <c r="E30" s="122"/>
      <c r="F30" s="79"/>
      <c r="G30" s="102"/>
      <c r="H30" s="102"/>
      <c r="I30" s="79"/>
      <c r="J30" s="120"/>
      <c r="K30" s="107">
        <v>559</v>
      </c>
      <c r="L30" s="118">
        <f t="shared" ref="L30" si="1">K30*C30</f>
        <v>559</v>
      </c>
      <c r="M30" s="55"/>
      <c r="N30" s="8"/>
    </row>
    <row r="31" spans="1:14" ht="15.75" x14ac:dyDescent="0.25">
      <c r="A31" s="3"/>
      <c r="B31" s="101"/>
      <c r="C31" s="73"/>
      <c r="D31" s="135"/>
      <c r="E31" s="122"/>
      <c r="F31" s="79"/>
      <c r="G31" s="102"/>
      <c r="H31" s="102"/>
      <c r="I31" s="79"/>
      <c r="J31" s="120"/>
      <c r="K31" s="107"/>
      <c r="L31" s="92"/>
      <c r="M31" s="55"/>
      <c r="N31" s="8"/>
    </row>
    <row r="32" spans="1:14" ht="18" customHeight="1" x14ac:dyDescent="0.35">
      <c r="A32" s="3"/>
      <c r="B32" s="101"/>
      <c r="C32" s="73">
        <v>1</v>
      </c>
      <c r="D32" s="143" t="s">
        <v>64</v>
      </c>
      <c r="E32" s="139"/>
      <c r="F32" s="140"/>
      <c r="G32" s="139"/>
      <c r="H32" s="139"/>
      <c r="I32" s="139"/>
      <c r="J32" s="120"/>
      <c r="K32" s="142">
        <v>270</v>
      </c>
      <c r="L32" s="118">
        <f>+K32*C32</f>
        <v>270</v>
      </c>
      <c r="M32" s="55"/>
      <c r="N32" s="8"/>
    </row>
    <row r="33" spans="1:14" ht="18" customHeight="1" x14ac:dyDescent="0.25">
      <c r="A33" s="3"/>
      <c r="B33" s="101"/>
      <c r="C33" s="73"/>
      <c r="D33" s="135"/>
      <c r="E33" s="122"/>
      <c r="F33" s="79"/>
      <c r="G33" s="102"/>
      <c r="H33" s="102"/>
      <c r="I33" s="79"/>
      <c r="J33" s="120"/>
      <c r="K33" s="107"/>
      <c r="L33" s="118"/>
      <c r="M33" s="55"/>
      <c r="N33" s="8"/>
    </row>
    <row r="34" spans="1:14" ht="15.75" x14ac:dyDescent="0.25">
      <c r="A34" s="3"/>
      <c r="B34" s="101"/>
      <c r="C34" s="73">
        <v>1</v>
      </c>
      <c r="D34" s="135" t="s">
        <v>65</v>
      </c>
      <c r="E34" s="122"/>
      <c r="F34" s="79"/>
      <c r="G34" s="102"/>
      <c r="H34" s="79"/>
      <c r="I34" s="79"/>
      <c r="J34" s="120"/>
      <c r="K34" s="107">
        <v>62</v>
      </c>
      <c r="L34" s="118">
        <f t="shared" ref="L34:L46" si="2">+K34*C34</f>
        <v>62</v>
      </c>
      <c r="M34" s="55"/>
      <c r="N34" s="8"/>
    </row>
    <row r="35" spans="1:14" ht="20.25" x14ac:dyDescent="0.3">
      <c r="A35" s="3"/>
      <c r="B35" s="101"/>
      <c r="C35" s="73"/>
      <c r="D35" s="136"/>
      <c r="E35" s="113"/>
      <c r="F35" s="79"/>
      <c r="G35" s="102"/>
      <c r="H35" s="79"/>
      <c r="I35" s="79"/>
      <c r="J35" s="102"/>
      <c r="K35" s="92"/>
      <c r="L35" s="118"/>
      <c r="M35" s="55"/>
      <c r="N35" s="8"/>
    </row>
    <row r="36" spans="1:14" ht="18" x14ac:dyDescent="0.25">
      <c r="A36" s="3"/>
      <c r="B36" s="101"/>
      <c r="C36" s="73">
        <v>1</v>
      </c>
      <c r="D36" s="144" t="s">
        <v>74</v>
      </c>
      <c r="E36" s="113"/>
      <c r="F36" s="79"/>
      <c r="G36" s="102"/>
      <c r="H36" s="102"/>
      <c r="I36" s="79"/>
      <c r="J36" s="102"/>
      <c r="K36" s="92">
        <v>25</v>
      </c>
      <c r="L36" s="118">
        <f t="shared" si="2"/>
        <v>25</v>
      </c>
      <c r="M36" s="55"/>
      <c r="N36" s="8"/>
    </row>
    <row r="37" spans="1:14" ht="18" x14ac:dyDescent="0.25">
      <c r="A37" s="3"/>
      <c r="B37" s="101"/>
      <c r="C37" s="73"/>
      <c r="D37" s="145"/>
      <c r="E37" s="113"/>
      <c r="F37" s="79"/>
      <c r="G37" s="102"/>
      <c r="H37" s="79"/>
      <c r="I37" s="79"/>
      <c r="J37" s="102"/>
      <c r="K37" s="92"/>
      <c r="L37" s="118"/>
      <c r="M37" s="55"/>
      <c r="N37" s="8"/>
    </row>
    <row r="38" spans="1:14" ht="18" x14ac:dyDescent="0.25">
      <c r="A38" s="3"/>
      <c r="B38" s="101"/>
      <c r="C38" s="73">
        <v>1</v>
      </c>
      <c r="D38" s="146" t="s">
        <v>75</v>
      </c>
      <c r="E38" s="113"/>
      <c r="F38" s="79"/>
      <c r="G38" s="102"/>
      <c r="H38" s="79"/>
      <c r="I38" s="79"/>
      <c r="J38" s="102"/>
      <c r="K38" s="92">
        <v>45</v>
      </c>
      <c r="L38" s="118">
        <f t="shared" si="2"/>
        <v>45</v>
      </c>
      <c r="M38" s="55"/>
      <c r="N38" s="8"/>
    </row>
    <row r="39" spans="1:14" ht="18" x14ac:dyDescent="0.25">
      <c r="A39" s="3"/>
      <c r="B39" s="101"/>
      <c r="C39" s="73"/>
      <c r="D39" s="147"/>
      <c r="E39" s="113"/>
      <c r="F39" s="79"/>
      <c r="G39" s="102"/>
      <c r="H39" s="79"/>
      <c r="I39" s="79"/>
      <c r="J39" s="102"/>
      <c r="K39" s="92"/>
      <c r="L39" s="118"/>
      <c r="M39" s="55"/>
      <c r="N39" s="8"/>
    </row>
    <row r="40" spans="1:14" ht="18" x14ac:dyDescent="0.25">
      <c r="A40" s="3"/>
      <c r="B40" s="101"/>
      <c r="C40" s="73">
        <v>1</v>
      </c>
      <c r="D40" s="147" t="s">
        <v>76</v>
      </c>
      <c r="E40" s="113"/>
      <c r="F40" s="79"/>
      <c r="G40" s="102"/>
      <c r="H40" s="79"/>
      <c r="I40" s="79"/>
      <c r="J40" s="102"/>
      <c r="K40" s="92">
        <v>18</v>
      </c>
      <c r="L40" s="118">
        <f t="shared" si="2"/>
        <v>18</v>
      </c>
      <c r="M40" s="55"/>
      <c r="N40" s="8"/>
    </row>
    <row r="41" spans="1:14" ht="18" x14ac:dyDescent="0.25">
      <c r="A41" s="3"/>
      <c r="B41" s="101"/>
      <c r="C41" s="73"/>
      <c r="D41" s="147"/>
      <c r="E41" s="113"/>
      <c r="F41" s="79"/>
      <c r="G41" s="102"/>
      <c r="H41" s="79"/>
      <c r="I41" s="79"/>
      <c r="J41" s="102"/>
      <c r="K41" s="92"/>
      <c r="L41" s="118"/>
      <c r="M41" s="55"/>
      <c r="N41" s="8"/>
    </row>
    <row r="42" spans="1:14" ht="18" x14ac:dyDescent="0.25">
      <c r="A42" s="3"/>
      <c r="B42" s="101"/>
      <c r="C42" s="73">
        <v>1</v>
      </c>
      <c r="D42" s="147" t="s">
        <v>69</v>
      </c>
      <c r="E42" s="113"/>
      <c r="F42" s="79"/>
      <c r="G42" s="102"/>
      <c r="H42" s="79"/>
      <c r="I42" s="79"/>
      <c r="J42" s="102"/>
      <c r="K42" s="92">
        <v>950</v>
      </c>
      <c r="L42" s="118">
        <f t="shared" si="2"/>
        <v>950</v>
      </c>
      <c r="M42" s="55"/>
      <c r="N42" s="8"/>
    </row>
    <row r="43" spans="1:14" ht="18" x14ac:dyDescent="0.25">
      <c r="A43" s="3"/>
      <c r="B43" s="101"/>
      <c r="C43" s="73"/>
      <c r="D43" s="147"/>
      <c r="E43" s="113"/>
      <c r="F43" s="79"/>
      <c r="G43" s="102"/>
      <c r="H43" s="79"/>
      <c r="I43" s="79"/>
      <c r="J43" s="102"/>
      <c r="K43" s="92"/>
      <c r="L43" s="118"/>
      <c r="M43" s="55"/>
      <c r="N43" s="8"/>
    </row>
    <row r="44" spans="1:14" ht="18" x14ac:dyDescent="0.25">
      <c r="A44" s="3"/>
      <c r="B44" s="101"/>
      <c r="C44" s="73">
        <v>1</v>
      </c>
      <c r="D44" s="147" t="s">
        <v>68</v>
      </c>
      <c r="E44" s="113"/>
      <c r="F44" s="79"/>
      <c r="G44" s="102"/>
      <c r="H44" s="79"/>
      <c r="I44" s="79"/>
      <c r="J44" s="102"/>
      <c r="K44" s="92">
        <v>24</v>
      </c>
      <c r="L44" s="118">
        <f t="shared" si="2"/>
        <v>24</v>
      </c>
      <c r="M44" s="55"/>
      <c r="N44" s="8"/>
    </row>
    <row r="45" spans="1:14" ht="18" x14ac:dyDescent="0.25">
      <c r="A45" s="3"/>
      <c r="B45" s="101"/>
      <c r="C45" s="73"/>
      <c r="D45" s="147"/>
      <c r="E45" s="113"/>
      <c r="F45" s="79"/>
      <c r="G45" s="102"/>
      <c r="H45" s="79"/>
      <c r="I45" s="79"/>
      <c r="J45" s="102"/>
      <c r="K45" s="92"/>
      <c r="L45" s="118"/>
      <c r="M45" s="55"/>
      <c r="N45" s="8"/>
    </row>
    <row r="46" spans="1:14" ht="15.75" x14ac:dyDescent="0.25">
      <c r="A46" s="3"/>
      <c r="B46" s="101"/>
      <c r="C46" s="73">
        <v>50</v>
      </c>
      <c r="D46" s="204" t="s">
        <v>77</v>
      </c>
      <c r="E46" s="152"/>
      <c r="F46" s="153"/>
      <c r="G46" s="152"/>
      <c r="H46" s="152"/>
      <c r="I46" s="153"/>
      <c r="J46" s="152"/>
      <c r="K46" s="92">
        <v>5.9</v>
      </c>
      <c r="L46" s="118">
        <f t="shared" si="2"/>
        <v>295</v>
      </c>
      <c r="M46" s="55"/>
      <c r="N46" s="8"/>
    </row>
    <row r="47" spans="1:14" ht="15" x14ac:dyDescent="0.2">
      <c r="A47" s="3"/>
      <c r="B47" s="101"/>
      <c r="C47" s="73"/>
      <c r="D47" s="154"/>
      <c r="E47" s="152"/>
      <c r="F47" s="153"/>
      <c r="G47" s="152"/>
      <c r="H47" s="152"/>
      <c r="I47" s="153"/>
      <c r="J47" s="152"/>
      <c r="K47" s="92"/>
      <c r="L47" s="118"/>
      <c r="M47" s="55"/>
      <c r="N47" s="8"/>
    </row>
    <row r="48" spans="1:14" ht="15" x14ac:dyDescent="0.2">
      <c r="A48" s="3"/>
      <c r="B48" s="101"/>
      <c r="C48" s="73"/>
      <c r="D48" s="155"/>
      <c r="E48" s="156"/>
      <c r="F48" s="157"/>
      <c r="G48" s="157"/>
      <c r="H48" s="157"/>
      <c r="I48" s="158"/>
      <c r="J48" s="102"/>
      <c r="K48" s="92"/>
      <c r="L48" s="118"/>
      <c r="M48" s="55"/>
      <c r="N48" s="8"/>
    </row>
    <row r="49" spans="1:14" ht="18" x14ac:dyDescent="0.25">
      <c r="A49" s="3"/>
      <c r="B49" s="101"/>
      <c r="C49" s="73"/>
      <c r="D49" s="148"/>
      <c r="E49" s="113"/>
      <c r="F49" s="79"/>
      <c r="G49" s="102"/>
      <c r="H49" s="79"/>
      <c r="I49" s="79"/>
      <c r="J49" s="102"/>
      <c r="K49" s="92"/>
      <c r="L49" s="118"/>
      <c r="M49" s="55"/>
      <c r="N49" s="8"/>
    </row>
    <row r="50" spans="1:14" ht="18" x14ac:dyDescent="0.25">
      <c r="A50" s="3"/>
      <c r="B50" s="101"/>
      <c r="C50" s="73"/>
      <c r="D50" s="137"/>
      <c r="E50" s="113"/>
      <c r="F50" s="79"/>
      <c r="G50" s="102"/>
      <c r="H50" s="79"/>
      <c r="I50" s="79"/>
      <c r="J50" s="102"/>
      <c r="K50" s="92"/>
      <c r="L50" s="92"/>
      <c r="M50" s="55"/>
      <c r="N50" s="8"/>
    </row>
    <row r="51" spans="1:14" ht="18" x14ac:dyDescent="0.25">
      <c r="A51" s="3"/>
      <c r="B51" s="101"/>
      <c r="C51" s="73"/>
      <c r="D51" s="137"/>
      <c r="E51" s="113"/>
      <c r="F51" s="79"/>
      <c r="G51" s="102"/>
      <c r="H51" s="79"/>
      <c r="I51" s="79"/>
      <c r="J51" s="102"/>
      <c r="K51" s="92"/>
      <c r="L51" s="92"/>
      <c r="M51" s="55"/>
      <c r="N51" s="8"/>
    </row>
    <row r="52" spans="1:14" ht="15" x14ac:dyDescent="0.2">
      <c r="A52" s="3"/>
      <c r="B52" s="127"/>
      <c r="C52" s="128"/>
      <c r="D52" s="129"/>
      <c r="E52" s="130"/>
      <c r="F52" s="129"/>
      <c r="G52" s="130"/>
      <c r="H52" s="129"/>
      <c r="I52" s="129"/>
      <c r="J52" s="131"/>
      <c r="K52" s="92"/>
      <c r="L52" s="92"/>
      <c r="M52" s="55"/>
      <c r="N52" s="8"/>
    </row>
    <row r="53" spans="1:14" ht="15.75" x14ac:dyDescent="0.25">
      <c r="A53" s="3"/>
      <c r="B53" s="3"/>
      <c r="C53" s="80"/>
      <c r="D53" s="80"/>
      <c r="E53" s="80"/>
      <c r="F53" s="80"/>
      <c r="G53" s="80"/>
      <c r="H53" s="74"/>
      <c r="I53" s="74"/>
      <c r="J53" s="74"/>
      <c r="K53" s="97" t="s">
        <v>24</v>
      </c>
      <c r="L53" s="149">
        <f>SUM(L28:L51)</f>
        <v>3948</v>
      </c>
      <c r="M53" s="55"/>
      <c r="N53" s="8"/>
    </row>
    <row r="54" spans="1:14" ht="15" x14ac:dyDescent="0.2">
      <c r="A54" s="3"/>
      <c r="B54" s="3"/>
      <c r="C54" s="80"/>
      <c r="D54" s="80"/>
      <c r="E54" s="80"/>
      <c r="F54" s="80"/>
      <c r="G54" s="80"/>
      <c r="H54" s="74"/>
      <c r="I54" s="74"/>
      <c r="J54" s="74"/>
      <c r="K54" s="99" t="s">
        <v>46</v>
      </c>
      <c r="L54" s="150">
        <v>1</v>
      </c>
      <c r="M54" s="55"/>
      <c r="N54" s="8"/>
    </row>
    <row r="55" spans="1:14" ht="15.75" x14ac:dyDescent="0.25">
      <c r="A55" s="3"/>
      <c r="B55" s="3"/>
      <c r="C55" s="81"/>
      <c r="D55" s="151" t="s">
        <v>25</v>
      </c>
      <c r="E55" s="80"/>
      <c r="F55" s="80"/>
      <c r="G55" s="80"/>
      <c r="H55" s="76"/>
      <c r="I55" s="76"/>
      <c r="J55" s="75"/>
      <c r="K55" s="98">
        <v>0.19</v>
      </c>
      <c r="L55" s="150">
        <f>L53*0.19</f>
        <v>750.12</v>
      </c>
      <c r="M55" s="55"/>
      <c r="N55" s="8"/>
    </row>
    <row r="56" spans="1:14" ht="17.100000000000001" customHeight="1" x14ac:dyDescent="0.25">
      <c r="A56" s="3"/>
      <c r="B56" s="3"/>
      <c r="C56" s="83"/>
      <c r="D56" s="132" t="s">
        <v>61</v>
      </c>
      <c r="E56" s="85"/>
      <c r="F56" s="83"/>
      <c r="G56" s="80"/>
      <c r="H56" s="77"/>
      <c r="I56" s="74"/>
      <c r="J56" s="74"/>
      <c r="K56" s="198" t="s">
        <v>27</v>
      </c>
      <c r="L56" s="199">
        <f>+L53+L54+L55</f>
        <v>4699.12</v>
      </c>
      <c r="M56" s="55"/>
      <c r="N56" s="8"/>
    </row>
    <row r="57" spans="1:14" ht="17.100000000000001" customHeight="1" x14ac:dyDescent="0.2">
      <c r="A57" s="3"/>
      <c r="B57" s="3"/>
      <c r="C57" s="83">
        <v>1</v>
      </c>
      <c r="D57" s="100" t="s">
        <v>56</v>
      </c>
      <c r="E57" s="80"/>
      <c r="F57" s="84"/>
      <c r="G57" s="80"/>
      <c r="H57" s="78" t="s">
        <v>26</v>
      </c>
      <c r="I57" s="74"/>
      <c r="J57" s="74"/>
      <c r="K57" s="198"/>
      <c r="L57" s="200"/>
      <c r="M57" s="55"/>
      <c r="N57" s="8"/>
    </row>
    <row r="58" spans="1:14" ht="15" x14ac:dyDescent="0.2">
      <c r="A58" s="3"/>
      <c r="B58" s="3"/>
      <c r="C58" s="83"/>
      <c r="D58" s="100"/>
      <c r="E58" s="80"/>
      <c r="F58" s="84"/>
      <c r="G58" s="80"/>
      <c r="H58" s="78"/>
      <c r="I58" s="74"/>
      <c r="J58" s="74"/>
      <c r="K58" s="94"/>
      <c r="L58" s="95"/>
      <c r="M58" s="55"/>
      <c r="N58" s="8"/>
    </row>
    <row r="59" spans="1:14" ht="15" customHeight="1" x14ac:dyDescent="0.2">
      <c r="A59" s="205" t="s">
        <v>78</v>
      </c>
      <c r="B59" s="138"/>
      <c r="C59" s="115"/>
      <c r="D59" s="115"/>
      <c r="E59" s="115"/>
      <c r="F59" s="115"/>
      <c r="G59" s="115"/>
      <c r="H59" s="115"/>
      <c r="I59" s="115"/>
      <c r="J59" s="115"/>
      <c r="K59" s="116"/>
      <c r="L59" s="117"/>
      <c r="M59" s="55"/>
      <c r="N59" s="8"/>
    </row>
    <row r="60" spans="1:14" ht="15" customHeight="1" x14ac:dyDescent="0.2">
      <c r="A60" s="126"/>
      <c r="B60" s="138"/>
      <c r="C60" s="114"/>
      <c r="D60" s="114"/>
      <c r="E60" s="114"/>
      <c r="F60" s="114"/>
      <c r="G60" s="114"/>
      <c r="H60" s="114"/>
      <c r="I60" s="114"/>
      <c r="J60" s="114"/>
      <c r="K60" s="93" t="s">
        <v>60</v>
      </c>
      <c r="L60" s="96"/>
      <c r="M60" s="55"/>
      <c r="N60" s="8"/>
    </row>
    <row r="61" spans="1:14" ht="15" customHeight="1" x14ac:dyDescent="0.2">
      <c r="A61" s="3"/>
      <c r="B61" s="114"/>
      <c r="C61" s="114"/>
      <c r="D61" s="114"/>
      <c r="E61" s="114"/>
      <c r="F61" s="114"/>
      <c r="G61" s="114"/>
      <c r="H61" s="114"/>
      <c r="I61" s="114"/>
      <c r="J61" s="114"/>
      <c r="K61" s="96"/>
      <c r="L61" s="96"/>
      <c r="M61" s="55"/>
      <c r="N61" s="8"/>
    </row>
    <row r="62" spans="1:14" x14ac:dyDescent="0.2">
      <c r="A62" s="134" t="s">
        <v>62</v>
      </c>
      <c r="B62" s="114"/>
      <c r="C62" s="114"/>
      <c r="D62" s="114"/>
      <c r="E62" s="114"/>
      <c r="F62" s="114"/>
      <c r="G62" s="114"/>
      <c r="H62" s="114"/>
      <c r="I62" s="114"/>
      <c r="J62" s="114"/>
      <c r="K62" s="96"/>
      <c r="L62" s="96"/>
      <c r="M62" s="55"/>
      <c r="N62" s="8"/>
    </row>
    <row r="63" spans="1:14" ht="15" x14ac:dyDescent="0.2">
      <c r="A63" s="134" t="s">
        <v>63</v>
      </c>
      <c r="B63" s="125"/>
      <c r="C63" s="125"/>
      <c r="D63" s="125"/>
      <c r="E63" s="125"/>
      <c r="F63" s="125"/>
      <c r="G63" s="125"/>
      <c r="H63" s="125"/>
      <c r="I63" s="125"/>
      <c r="J63" s="125"/>
      <c r="K63" s="94"/>
      <c r="L63" s="95"/>
      <c r="M63" s="55"/>
      <c r="N63" s="8"/>
    </row>
    <row r="64" spans="1:14" x14ac:dyDescent="0.2">
      <c r="A64" s="3"/>
      <c r="B64" s="3"/>
      <c r="C64" s="186" t="s">
        <v>58</v>
      </c>
      <c r="D64" s="187"/>
      <c r="E64" s="187"/>
      <c r="F64" s="187"/>
      <c r="G64" s="187"/>
      <c r="H64" s="187"/>
      <c r="I64" s="187"/>
      <c r="J64" s="187"/>
      <c r="K64" s="187"/>
      <c r="L64" s="187"/>
      <c r="M64" s="55"/>
      <c r="N64" s="8"/>
    </row>
    <row r="65" spans="1:14" ht="15" customHeight="1" x14ac:dyDescent="0.2">
      <c r="A65" s="3"/>
      <c r="B65" s="3"/>
      <c r="C65" s="187"/>
      <c r="D65" s="187"/>
      <c r="E65" s="187"/>
      <c r="F65" s="187"/>
      <c r="G65" s="187"/>
      <c r="H65" s="187"/>
      <c r="I65" s="187"/>
      <c r="J65" s="187"/>
      <c r="K65" s="187"/>
      <c r="L65" s="187"/>
      <c r="M65" s="55"/>
      <c r="N65" s="8"/>
    </row>
    <row r="66" spans="1:14" ht="15" customHeight="1" x14ac:dyDescent="0.2">
      <c r="A66" s="115"/>
      <c r="B66" s="3"/>
      <c r="C66" s="110"/>
      <c r="D66" s="110"/>
      <c r="E66" s="110"/>
      <c r="F66" s="110"/>
      <c r="G66" s="110"/>
      <c r="H66" s="110"/>
      <c r="I66" s="110"/>
      <c r="J66" s="110"/>
      <c r="K66" s="110"/>
      <c r="L66" s="93"/>
      <c r="M66" s="55"/>
      <c r="N66" s="8"/>
    </row>
    <row r="67" spans="1:14" ht="12.75" customHeight="1" x14ac:dyDescent="0.2">
      <c r="A67" s="114"/>
      <c r="B67" s="3"/>
      <c r="C67" s="18"/>
      <c r="D67" s="183" t="s">
        <v>55</v>
      </c>
      <c r="E67" s="183"/>
      <c r="F67" s="183"/>
      <c r="G67" s="183"/>
      <c r="H67" s="183"/>
      <c r="I67" s="183"/>
      <c r="J67" s="183"/>
      <c r="K67" s="93"/>
      <c r="L67" s="93"/>
      <c r="M67" s="55"/>
      <c r="N67" s="8"/>
    </row>
    <row r="68" spans="1:14" ht="3" customHeight="1" x14ac:dyDescent="0.2">
      <c r="A68" s="114"/>
      <c r="B68" s="3"/>
      <c r="C68" s="185" t="s">
        <v>57</v>
      </c>
      <c r="D68" s="185"/>
      <c r="E68" s="185"/>
      <c r="F68" s="185"/>
      <c r="G68" s="185"/>
      <c r="H68" s="185"/>
      <c r="I68" s="185"/>
      <c r="J68" s="185"/>
      <c r="K68" s="185"/>
      <c r="L68" s="93"/>
      <c r="M68" s="55"/>
      <c r="N68" s="8"/>
    </row>
    <row r="69" spans="1:14" ht="15.75" x14ac:dyDescent="0.2">
      <c r="A69" s="114"/>
      <c r="B69" s="3"/>
      <c r="C69" s="185"/>
      <c r="D69" s="185"/>
      <c r="E69" s="185"/>
      <c r="F69" s="185"/>
      <c r="G69" s="185"/>
      <c r="H69" s="185"/>
      <c r="I69" s="185"/>
      <c r="J69" s="185"/>
      <c r="K69" s="185"/>
      <c r="L69" s="93"/>
      <c r="M69" s="55"/>
      <c r="N69" s="8"/>
    </row>
    <row r="70" spans="1:14" ht="15.75" customHeight="1" thickBot="1" x14ac:dyDescent="0.25">
      <c r="A70" s="125"/>
      <c r="B70" s="108"/>
      <c r="C70" s="109"/>
      <c r="D70" s="109"/>
      <c r="E70" s="109"/>
      <c r="F70" s="184"/>
      <c r="G70" s="184"/>
      <c r="H70" s="184"/>
      <c r="I70" s="184"/>
      <c r="J70" s="184"/>
      <c r="K70" s="109"/>
      <c r="L70" s="109"/>
      <c r="M70" s="55"/>
      <c r="N70" s="8"/>
    </row>
    <row r="71" spans="1:14" ht="15.75" customHeight="1" thickTop="1" x14ac:dyDescent="0.2">
      <c r="A71" s="3"/>
      <c r="B71" s="56"/>
      <c r="C71" s="56"/>
      <c r="D71" s="56"/>
      <c r="E71" s="56"/>
      <c r="F71" s="56"/>
      <c r="G71" s="56"/>
      <c r="H71" s="56"/>
      <c r="I71" s="56"/>
      <c r="J71" s="56"/>
      <c r="K71" s="56"/>
      <c r="L71" s="56"/>
      <c r="M71" s="55"/>
      <c r="N71" s="8"/>
    </row>
    <row r="72" spans="1:14" ht="0.95" customHeight="1" x14ac:dyDescent="0.2">
      <c r="A72" s="3"/>
      <c r="B72" s="112"/>
      <c r="C72" s="112"/>
      <c r="D72" s="112"/>
      <c r="E72" s="112"/>
      <c r="F72" s="112"/>
      <c r="G72" s="112"/>
      <c r="H72" s="112"/>
      <c r="I72" s="123"/>
      <c r="J72" s="123"/>
      <c r="K72" s="123"/>
      <c r="L72" s="123"/>
      <c r="M72" s="55"/>
      <c r="N72" s="8"/>
    </row>
    <row r="73" spans="1:14" ht="6" customHeight="1" x14ac:dyDescent="0.2">
      <c r="A73" s="3"/>
      <c r="B73" s="111"/>
      <c r="C73" s="111"/>
      <c r="D73" s="111"/>
      <c r="E73" s="111"/>
      <c r="F73" s="111"/>
      <c r="G73" s="111"/>
      <c r="H73" s="111"/>
      <c r="I73" s="124"/>
      <c r="J73" s="124"/>
      <c r="K73" s="124"/>
      <c r="L73" s="124"/>
      <c r="M73" s="55"/>
      <c r="N73" s="8"/>
    </row>
    <row r="74" spans="1:14" x14ac:dyDescent="0.2">
      <c r="A74" s="3"/>
      <c r="B74" s="94"/>
      <c r="C74" s="94"/>
      <c r="D74" s="94"/>
      <c r="E74" s="94"/>
      <c r="F74" s="94"/>
      <c r="G74" s="94"/>
      <c r="H74" s="94"/>
      <c r="I74" s="94"/>
      <c r="J74" s="94"/>
      <c r="K74" s="94"/>
      <c r="L74" s="94"/>
      <c r="M74" s="55"/>
      <c r="N74" s="8"/>
    </row>
    <row r="75" spans="1:14" x14ac:dyDescent="0.2">
      <c r="A75" s="3"/>
      <c r="B75" s="94"/>
      <c r="C75" s="94"/>
      <c r="D75" s="94"/>
      <c r="E75" s="94"/>
      <c r="F75" s="94"/>
      <c r="G75" s="94"/>
      <c r="H75" s="94"/>
      <c r="I75" s="94"/>
      <c r="J75" s="94"/>
      <c r="K75" s="94"/>
      <c r="L75" s="94"/>
      <c r="M75" s="55"/>
    </row>
    <row r="76" spans="1:14" x14ac:dyDescent="0.2">
      <c r="A76" s="3"/>
      <c r="B76" s="94"/>
      <c r="C76" s="94"/>
      <c r="D76" s="94"/>
      <c r="E76" s="94"/>
      <c r="F76" s="94"/>
      <c r="G76" s="94"/>
      <c r="H76" s="94"/>
      <c r="I76" s="94"/>
      <c r="J76" s="94"/>
      <c r="K76" s="94"/>
      <c r="L76" s="94"/>
      <c r="M76" s="55"/>
    </row>
    <row r="77" spans="1:14" ht="12.75" customHeight="1" x14ac:dyDescent="0.2">
      <c r="A77" s="3"/>
      <c r="B77" s="94"/>
      <c r="C77" s="94"/>
      <c r="D77" s="94"/>
      <c r="E77" s="94"/>
      <c r="F77" s="94"/>
      <c r="G77" s="94"/>
      <c r="H77" s="94"/>
      <c r="I77" s="94"/>
      <c r="J77" s="94"/>
      <c r="K77" s="94"/>
      <c r="L77" s="94"/>
      <c r="M77" s="55"/>
    </row>
    <row r="78" spans="1:14" x14ac:dyDescent="0.2">
      <c r="A78" s="3"/>
      <c r="B78" s="94"/>
      <c r="C78" s="94"/>
      <c r="D78" s="94"/>
      <c r="E78" s="94"/>
      <c r="F78" s="94"/>
      <c r="G78" s="94"/>
      <c r="H78" s="94"/>
      <c r="I78" s="94"/>
      <c r="J78" s="94"/>
      <c r="K78" s="94"/>
      <c r="L78" s="94"/>
      <c r="M78" s="55"/>
    </row>
    <row r="79" spans="1:14" x14ac:dyDescent="0.2">
      <c r="A79" s="3"/>
      <c r="B79" s="94"/>
      <c r="C79" s="94"/>
      <c r="D79" s="94"/>
      <c r="E79" s="94"/>
      <c r="F79" s="94"/>
      <c r="G79" s="94"/>
      <c r="H79" s="94"/>
      <c r="I79" s="94"/>
      <c r="J79" s="94"/>
      <c r="K79" s="94"/>
      <c r="L79" s="94"/>
      <c r="M79" s="55"/>
    </row>
    <row r="80" spans="1:14" x14ac:dyDescent="0.2">
      <c r="A80" s="3"/>
      <c r="B80" s="94"/>
      <c r="C80" s="94"/>
      <c r="D80" s="94"/>
      <c r="E80" s="94"/>
      <c r="F80" s="94"/>
      <c r="G80" s="94"/>
      <c r="H80" s="94"/>
      <c r="I80" s="94"/>
      <c r="J80" s="94"/>
      <c r="K80" s="94"/>
      <c r="L80" s="94"/>
      <c r="M80"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D67:J67"/>
    <mergeCell ref="F70:J70"/>
    <mergeCell ref="C68:K69"/>
    <mergeCell ref="C64:L65"/>
    <mergeCell ref="F14:J15"/>
    <mergeCell ref="E23:F23"/>
    <mergeCell ref="C22:H22"/>
    <mergeCell ref="C21:H21"/>
    <mergeCell ref="C24:H24"/>
    <mergeCell ref="D27:I27"/>
    <mergeCell ref="K56:K57"/>
    <mergeCell ref="L56:L57"/>
    <mergeCell ref="D26:J26"/>
    <mergeCell ref="K9:L9"/>
    <mergeCell ref="K21:L21"/>
    <mergeCell ref="K23:L23"/>
    <mergeCell ref="K24:L24"/>
    <mergeCell ref="K13:L13"/>
    <mergeCell ref="K17:L19"/>
    <mergeCell ref="K22:L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4">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5 L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63 L56">
      <formula1>0</formula1>
      <formula2>0</formula2>
    </dataValidation>
    <dataValidation type="list" allowBlank="1" showInputMessage="1" showErrorMessage="1" errorTitle="Code TVA" error="Tapez 1, 2, ou 3." sqref="J27:J29 J31 J33:J52">
      <formula1>"1,2,3"</formula1>
    </dataValidation>
    <dataValidation errorStyle="warning" allowBlank="1" showInputMessage="1" errorTitle="Numéro de carte de crédit" promptTitle="Numéro de carte de crédit" prompt="Tapez ici le numéro de carte de crédit du client"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
    <dataValidation type="decimal" allowBlank="1" showErrorMessage="1" errorTitle="Prix unitaire" error="Tapez un nombre dans cette cellule." promptTitle="Prix unitaire" sqref="L28:L30 L32:L49 K27:K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1 L50:L52">
      <formula1>0</formula1>
      <formula2>0</formula2>
    </dataValidation>
    <dataValidation type="whole" errorStyle="warning" allowBlank="1" showErrorMessage="1" errorTitle="Quantité" error="Tapez un nombre dans cette cellule." promptTitle="Quantité" sqref="C27:C52">
      <formula1>0</formula1>
      <formula2>1000000000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6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53</xdr:row>
                    <xdr:rowOff>152400</xdr:rowOff>
                  </from>
                  <to>
                    <xdr:col>2</xdr:col>
                    <xdr:colOff>695325</xdr:colOff>
                    <xdr:row>54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55</xdr:row>
                    <xdr:rowOff>0</xdr:rowOff>
                  </from>
                  <to>
                    <xdr:col>2</xdr:col>
                    <xdr:colOff>704850</xdr:colOff>
                    <xdr:row>56</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56</xdr:row>
                    <xdr:rowOff>28575</xdr:rowOff>
                  </from>
                  <to>
                    <xdr:col>2</xdr:col>
                    <xdr:colOff>714375</xdr:colOff>
                    <xdr:row>57</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45366</v>
      </c>
      <c r="D8" s="69" t="str">
        <f>Facture!$C$21</f>
        <v xml:space="preserve">ALFET EL MACHIA </v>
      </c>
      <c r="E8" s="66">
        <f>Facture!$C$22</f>
        <v>0</v>
      </c>
      <c r="F8" s="66">
        <f>Facture!$C$23</f>
        <v>0</v>
      </c>
      <c r="G8" s="69">
        <f>Facture!$E$23</f>
        <v>0</v>
      </c>
      <c r="H8" s="69" t="str">
        <f>Facture!$H$23</f>
        <v>TN</v>
      </c>
      <c r="I8" s="66">
        <f>Facture!$C$24</f>
        <v>0</v>
      </c>
      <c r="J8" s="70">
        <f>Facture!$L$56</f>
        <v>4699.12</v>
      </c>
      <c r="K8" s="66">
        <f>Facture!$K$23</f>
        <v>0</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2024-04-19T07:50:09Z</cp:lastPrinted>
  <dcterms:created xsi:type="dcterms:W3CDTF">1995-05-29T15:50:39Z</dcterms:created>
  <dcterms:modified xsi:type="dcterms:W3CDTF">2024-04-19T07:50:13Z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ALFET EL MACHIA </vt:lpwstr>
  </property>
  <property fmtid="{D5CDD505-2E9C-101B-9397-08002B2CF9AE}" pid="11" name="Montant de la facture" linkTarget="TOT">
    <vt:r8>4699.12</vt:r8>
  </property>
</Properties>
</file>