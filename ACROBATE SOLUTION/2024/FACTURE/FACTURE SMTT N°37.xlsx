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Facture!$O$58</definedName>
    <definedName name="_Tax3">Facture!$O$60</definedName>
    <definedName name="_tax4">Facture!$O$60</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Facture!$O$21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Facture!$P$22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Facture!$P$23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Facture!$P$24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Facture!$O$27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Facture!$E$55</definedName>
    <definedName name="data6">Facture!$F$22</definedName>
    <definedName name="data60">Facture!$F$55</definedName>
    <definedName name="data61">Facture!$O$55</definedName>
    <definedName name="data62">Facture!$E$60</definedName>
    <definedName name="data63">Facture!$E$61</definedName>
    <definedName name="data64">Facture!$E$62</definedName>
    <definedName name="data65">Facture!$H$61</definedName>
    <definedName name="data66">Facture!#REF!</definedName>
    <definedName name="data67">Facture!$F$66</definedName>
    <definedName name="data68">Facture!$G$70</definedName>
    <definedName name="data69">Facture!$K$70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Facture!$C$3:$Q$75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Facture!$O$21:$P$21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Facture!$F$55:$K$55</definedName>
    <definedName name="qzqzqz26">Facture!#REF!</definedName>
    <definedName name="qzqzqz27">Facture!#REF!</definedName>
    <definedName name="qzqzqz28">Facture!$F$66:$I$66</definedName>
    <definedName name="qzqzqz29">Facture!$K$74:$P$74</definedName>
    <definedName name="qzqzqz3">Facture!$E$22:$J$22</definedName>
    <definedName name="qzqzqz30">Facture!$G$70:$I$70</definedName>
    <definedName name="qzqzqz31">Facture!$G$70:$H$70</definedName>
    <definedName name="qzqzqz32">Facture!$K$70:$P$74</definedName>
    <definedName name="qzqzqz4">Facture!$G$23:$H$23</definedName>
    <definedName name="qzqzqz5">Facture!$O$23:$P$23</definedName>
    <definedName name="qzqzqz6">Facture!$E$24:$J$24</definedName>
    <definedName name="qzqzqz7">Facture!$O$24:$P$24</definedName>
    <definedName name="qzqzqz8">Facture!$F$26:$K$26</definedName>
    <definedName name="qzqzqz9">Facture!#REF!</definedName>
    <definedName name="SS">'Personnaliser votre facture'!$E$48</definedName>
    <definedName name="TOT">Facture!$P$59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Facture!$C$3:$Q$75</definedName>
  </definedNames>
  <calcPr calcId="152511"/>
</workbook>
</file>

<file path=xl/calcChain.xml><?xml version="1.0" encoding="utf-8"?>
<calcChain xmlns="http://schemas.openxmlformats.org/spreadsheetml/2006/main">
  <c r="P31" i="3" l="1"/>
  <c r="P56" i="3" l="1"/>
  <c r="P58" i="3" s="1"/>
  <c r="P59"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O14" authorId="0" shapeId="0">
      <text>
        <r>
          <rPr>
            <sz val="8"/>
            <color indexed="81"/>
            <rFont val="Tahoma"/>
            <family val="2"/>
          </rPr>
          <t>Cliquez sur ce bouton pour retourner à la feuille Personnaliser vos frais et modifier vos informations personnelles.</t>
        </r>
      </text>
    </comment>
    <comment ref="N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<sst xmlns="http://schemas.openxmlformats.org/spreadsheetml/2006/main" count="109" uniqueCount="93">
  <si>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</si>
  <si>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</si>
  <si>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</si>
  <si>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</si>
  <si>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</si>
  <si>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</si>
  <si>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</si>
  <si>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</si>
  <si>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</si>
  <si>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</si>
  <si>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</si>
  <si>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</si>
  <si>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</si>
  <si>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</si>
  <si>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</si>
  <si>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</si>
  <si>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</si>
  <si>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</si>
  <si>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</si>
  <si>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</si>
  <si>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</si>
  <si>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</si>
  <si>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</si>
  <si>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</si>
  <si>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</si>
  <si>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</si>
  <si>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</si>
  <si>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</si>
  <si>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</si>
  <si>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</si>
  <si>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</si>
  <si>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</si>
  <si>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</si>
  <si>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</si>
  <si>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</si>
  <si>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</si>
  <si>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</si>
  <si>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</si>
  <si>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</si>
  <si>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</si>
  <si>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</si>
  <si>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</si>
  <si>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</si>
  <si>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</si>
  <si>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</si>
  <si>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</si>
  <si>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</si>
  <si>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</si>
  <si>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</si>
  <si>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</si>
  <si>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</si>
  <si>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</si>
  <si>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</si>
  <si>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f</t>
  </si>
  <si>
    <t>Site web:www.acrobatsolution.com</t>
  </si>
  <si>
    <t>MAIL: gamestream@plane.tn///////gamestream.formation@gmail.com</t>
  </si>
  <si>
    <t>4 RUE DU CAIRE 1001 TUNIS TEL:  71 258108 FAX : 71 259346 RC:B161701999  MF:645 267 KMA 000</t>
  </si>
  <si>
    <t xml:space="preserve">Commande N°:                </t>
  </si>
  <si>
    <t xml:space="preserve">SIGNATURE &amp; CACHET  </t>
  </si>
  <si>
    <t xml:space="preserve">timbre </t>
  </si>
  <si>
    <t>RIB: 10 000 000 080746 3788 95</t>
  </si>
  <si>
    <t>STB THAMEUR</t>
  </si>
  <si>
    <t>KIT COMPLET COMPOSE:</t>
  </si>
  <si>
    <t xml:space="preserve">* LONGE DOUBLE ELASTIQUE </t>
  </si>
  <si>
    <t xml:space="preserve">*LONGE DE MAINTIEN </t>
  </si>
  <si>
    <t>SMTT</t>
  </si>
  <si>
    <t>39 AVENUE DU JAPON IMMEUBLE SAFSAF A2-2</t>
  </si>
  <si>
    <t xml:space="preserve">        71 906 788             fax: 71 906 849</t>
  </si>
  <si>
    <t>1004295G/A/M/000</t>
  </si>
  <si>
    <t xml:space="preserve">* HARNIAS MIGUEL MIRANDA </t>
  </si>
  <si>
    <t xml:space="preserve">     CONFORME 3 NORMES EN 361 - EN358 - EN813</t>
  </si>
  <si>
    <t xml:space="preserve">    CONFORME EN 355</t>
  </si>
  <si>
    <t xml:space="preserve">    CONFORME EN 358</t>
  </si>
  <si>
    <r>
      <t xml:space="preserve">Responsable        </t>
    </r>
    <r>
      <rPr>
        <sz val="11"/>
        <rFont val="Arial"/>
        <family val="2"/>
      </rPr>
      <t xml:space="preserve">MR rejeb </t>
    </r>
  </si>
  <si>
    <t>FACTURE  N°2024-037</t>
  </si>
  <si>
    <r>
      <t xml:space="preserve">ID1: </t>
    </r>
    <r>
      <rPr>
        <sz val="8"/>
        <color rgb="FF0070C0"/>
        <rFont val="Arial"/>
        <family val="2"/>
      </rPr>
      <t>Harnais</t>
    </r>
    <r>
      <rPr>
        <sz val="8"/>
        <color rgb="FF000000"/>
        <rFont val="Arial"/>
        <family val="2"/>
      </rPr>
      <t xml:space="preserve"> :2024/007 </t>
    </r>
    <r>
      <rPr>
        <sz val="8"/>
        <color rgb="FF0070C0"/>
        <rFont val="Arial"/>
        <family val="2"/>
      </rPr>
      <t>LONGE DOUBLE</t>
    </r>
    <r>
      <rPr>
        <sz val="8"/>
        <color rgb="FF000000"/>
        <rFont val="Arial"/>
        <family val="2"/>
      </rPr>
      <t xml:space="preserve"> :2024/021 </t>
    </r>
    <r>
      <rPr>
        <sz val="8"/>
        <color rgb="FF0070C0"/>
        <rFont val="Arial"/>
        <family val="2"/>
      </rPr>
      <t>LONGE DE MAINTIEN</t>
    </r>
    <r>
      <rPr>
        <sz val="8"/>
        <color rgb="FF000000"/>
        <rFont val="Arial"/>
        <family val="2"/>
      </rPr>
      <t xml:space="preserve"> : 2024/001</t>
    </r>
  </si>
  <si>
    <r>
      <t xml:space="preserve">ID2: </t>
    </r>
    <r>
      <rPr>
        <sz val="8"/>
        <color rgb="FF0070C0"/>
        <rFont val="Arial"/>
        <family val="2"/>
      </rPr>
      <t>Harnais</t>
    </r>
    <r>
      <rPr>
        <sz val="8"/>
        <color rgb="FF000000"/>
        <rFont val="Arial"/>
        <family val="2"/>
      </rPr>
      <t xml:space="preserve"> :2024/081 </t>
    </r>
    <r>
      <rPr>
        <sz val="8"/>
        <color rgb="FF0070C0"/>
        <rFont val="Arial"/>
        <family val="2"/>
      </rPr>
      <t>LONGE DOUBLE</t>
    </r>
    <r>
      <rPr>
        <sz val="8"/>
        <color rgb="FF000000"/>
        <rFont val="Arial"/>
        <family val="2"/>
      </rPr>
      <t xml:space="preserve"> :2024/019 </t>
    </r>
    <r>
      <rPr>
        <sz val="8"/>
        <color rgb="FF0070C0"/>
        <rFont val="Arial"/>
        <family val="2"/>
      </rPr>
      <t>LONGE DE MAINTIEN</t>
    </r>
    <r>
      <rPr>
        <sz val="8"/>
        <color rgb="FF000000"/>
        <rFont val="Arial"/>
        <family val="2"/>
      </rPr>
      <t xml:space="preserve"> : 2024/023</t>
    </r>
  </si>
  <si>
    <t>KIT 1</t>
  </si>
  <si>
    <t>KIT2</t>
  </si>
  <si>
    <t>KIT3</t>
  </si>
  <si>
    <t>KIT4</t>
  </si>
  <si>
    <t>KIT5</t>
  </si>
  <si>
    <t>KIT6</t>
  </si>
  <si>
    <t>KIT7</t>
  </si>
  <si>
    <r>
      <t xml:space="preserve">ID2: </t>
    </r>
    <r>
      <rPr>
        <sz val="8"/>
        <color rgb="FF0070C0"/>
        <rFont val="Arial"/>
        <family val="2"/>
      </rPr>
      <t>Harnais</t>
    </r>
    <r>
      <rPr>
        <sz val="8"/>
        <color rgb="FF000000"/>
        <rFont val="Arial"/>
        <family val="2"/>
      </rPr>
      <t xml:space="preserve"> :2024/012 </t>
    </r>
    <r>
      <rPr>
        <sz val="8"/>
        <color rgb="FF0070C0"/>
        <rFont val="Arial"/>
        <family val="2"/>
      </rPr>
      <t>LONGE DOUBLE</t>
    </r>
    <r>
      <rPr>
        <sz val="8"/>
        <color rgb="FF000000"/>
        <rFont val="Arial"/>
        <family val="2"/>
      </rPr>
      <t xml:space="preserve"> :2024/020 </t>
    </r>
    <r>
      <rPr>
        <sz val="8"/>
        <color rgb="FF0070C0"/>
        <rFont val="Arial"/>
        <family val="2"/>
      </rPr>
      <t>LONGE DE MAINTIEN</t>
    </r>
    <r>
      <rPr>
        <sz val="8"/>
        <color rgb="FF000000"/>
        <rFont val="Arial"/>
        <family val="2"/>
      </rPr>
      <t xml:space="preserve"> : 2024/027</t>
    </r>
  </si>
  <si>
    <r>
      <t xml:space="preserve">ID2: </t>
    </r>
    <r>
      <rPr>
        <sz val="8"/>
        <color rgb="FF0070C0"/>
        <rFont val="Arial"/>
        <family val="2"/>
      </rPr>
      <t>Harnais</t>
    </r>
    <r>
      <rPr>
        <sz val="8"/>
        <color rgb="FF000000"/>
        <rFont val="Arial"/>
        <family val="2"/>
      </rPr>
      <t xml:space="preserve"> :2024/094 </t>
    </r>
    <r>
      <rPr>
        <sz val="8"/>
        <color rgb="FF0070C0"/>
        <rFont val="Arial"/>
        <family val="2"/>
      </rPr>
      <t>LONGE DOUBLE</t>
    </r>
    <r>
      <rPr>
        <sz val="8"/>
        <color rgb="FF000000"/>
        <rFont val="Arial"/>
        <family val="2"/>
      </rPr>
      <t xml:space="preserve"> :2024/045 </t>
    </r>
    <r>
      <rPr>
        <sz val="8"/>
        <color rgb="FF0070C0"/>
        <rFont val="Arial"/>
        <family val="2"/>
      </rPr>
      <t>LONGE DE MAINTIEN</t>
    </r>
    <r>
      <rPr>
        <sz val="8"/>
        <color rgb="FF000000"/>
        <rFont val="Arial"/>
        <family val="2"/>
      </rPr>
      <t xml:space="preserve"> : 2024/005</t>
    </r>
  </si>
  <si>
    <r>
      <t xml:space="preserve">ID2: </t>
    </r>
    <r>
      <rPr>
        <sz val="8"/>
        <color rgb="FF0070C0"/>
        <rFont val="Arial"/>
        <family val="2"/>
      </rPr>
      <t>Harnais</t>
    </r>
    <r>
      <rPr>
        <sz val="8"/>
        <color rgb="FF000000"/>
        <rFont val="Arial"/>
        <family val="2"/>
      </rPr>
      <t xml:space="preserve"> :2024/018 </t>
    </r>
    <r>
      <rPr>
        <sz val="8"/>
        <color rgb="FF0070C0"/>
        <rFont val="Arial"/>
        <family val="2"/>
      </rPr>
      <t>LONGE DOUBLE</t>
    </r>
    <r>
      <rPr>
        <sz val="8"/>
        <color rgb="FF000000"/>
        <rFont val="Arial"/>
        <family val="2"/>
      </rPr>
      <t xml:space="preserve"> :2024/026 </t>
    </r>
    <r>
      <rPr>
        <sz val="8"/>
        <color rgb="FF0070C0"/>
        <rFont val="Arial"/>
        <family val="2"/>
      </rPr>
      <t>LONGE DE MAINTIEN</t>
    </r>
    <r>
      <rPr>
        <sz val="8"/>
        <color rgb="FF000000"/>
        <rFont val="Arial"/>
        <family val="2"/>
      </rPr>
      <t xml:space="preserve"> : 2024/035</t>
    </r>
  </si>
  <si>
    <r>
      <t xml:space="preserve">ID2: </t>
    </r>
    <r>
      <rPr>
        <sz val="8"/>
        <color rgb="FF0070C0"/>
        <rFont val="Arial"/>
        <family val="2"/>
      </rPr>
      <t>Harnais</t>
    </r>
    <r>
      <rPr>
        <sz val="8"/>
        <color rgb="FF000000"/>
        <rFont val="Arial"/>
        <family val="2"/>
      </rPr>
      <t xml:space="preserve"> :2024/083 </t>
    </r>
    <r>
      <rPr>
        <sz val="8"/>
        <color rgb="FF0070C0"/>
        <rFont val="Arial"/>
        <family val="2"/>
      </rPr>
      <t>LONGE DOUBLE</t>
    </r>
    <r>
      <rPr>
        <sz val="8"/>
        <color rgb="FF000000"/>
        <rFont val="Arial"/>
        <family val="2"/>
      </rPr>
      <t xml:space="preserve"> :2024/047 </t>
    </r>
    <r>
      <rPr>
        <sz val="8"/>
        <color rgb="FF0070C0"/>
        <rFont val="Arial"/>
        <family val="2"/>
      </rPr>
      <t>LONGE DE MAINTIEN</t>
    </r>
    <r>
      <rPr>
        <sz val="8"/>
        <color rgb="FF000000"/>
        <rFont val="Arial"/>
        <family val="2"/>
      </rPr>
      <t xml:space="preserve"> : 2024/046</t>
    </r>
  </si>
  <si>
    <r>
      <t xml:space="preserve">ID2: </t>
    </r>
    <r>
      <rPr>
        <sz val="8"/>
        <color rgb="FF0070C0"/>
        <rFont val="Arial"/>
        <family val="2"/>
      </rPr>
      <t>Harnais</t>
    </r>
    <r>
      <rPr>
        <sz val="8"/>
        <color rgb="FF000000"/>
        <rFont val="Arial"/>
        <family val="2"/>
      </rPr>
      <t xml:space="preserve"> :2024/080 </t>
    </r>
    <r>
      <rPr>
        <sz val="8"/>
        <color rgb="FF0070C0"/>
        <rFont val="Arial"/>
        <family val="2"/>
      </rPr>
      <t>LONGE DOUBLE</t>
    </r>
    <r>
      <rPr>
        <sz val="8"/>
        <color rgb="FF000000"/>
        <rFont val="Arial"/>
        <family val="2"/>
      </rPr>
      <t xml:space="preserve"> :2024/005 </t>
    </r>
    <r>
      <rPr>
        <sz val="8"/>
        <color rgb="FF0070C0"/>
        <rFont val="Arial"/>
        <family val="2"/>
      </rPr>
      <t>LONGE DE MAINTIEN</t>
    </r>
    <r>
      <rPr>
        <sz val="8"/>
        <color rgb="FF000000"/>
        <rFont val="Arial"/>
        <family val="2"/>
      </rPr>
      <t xml:space="preserve"> : 2024/043</t>
    </r>
  </si>
  <si>
    <t>Cet équipement est approuvé par Huawei</t>
  </si>
  <si>
    <t xml:space="preserve">ARRETE LA PRESENTE FACTURE A LA SOMME DE SEPT MILLES QUATRE </t>
  </si>
  <si>
    <t>VINGT ET UN  DINARS 500 MILLIMES</t>
  </si>
  <si>
    <t>AU COMPTANT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</si>
</sst>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2"/>
      <color theme="1"/>
      <name val="Arial"/>
      <family val="2"/>
    </font>
    <font>
      <sz val="10"/>
      <color theme="1"/>
      <name val="Arial"/>
      <family val="2"/>
    </font>
    <font>
      <b/>
      <sz val="12"/>
      <color rgb="FFC00000"/>
      <name val="Arial"/>
      <family val="2"/>
    </font>
    <font>
      <b/>
      <sz val="11"/>
      <color indexed="8"/>
      <name val="Arial"/>
      <family val="2"/>
    </font>
    <font>
      <u/>
      <sz val="11"/>
      <color theme="10"/>
      <name val="Arial"/>
      <family val="2"/>
    </font>
    <font>
      <b/>
      <sz val="11"/>
      <name val="Arial"/>
      <family val="2"/>
    </font>
    <font>
      <sz val="12"/>
      <color rgb="FF000000"/>
      <name val="Arial"/>
      <family val="2"/>
    </font>
    <font>
      <b/>
      <sz val="11"/>
      <color theme="1"/>
      <name val="Arial"/>
      <family val="2"/>
    </font>
    <font>
      <b/>
      <sz val="12"/>
      <color rgb="FF000000"/>
      <name val="Arial"/>
      <family val="2"/>
    </font>
    <font>
      <u/>
      <sz val="12"/>
      <color theme="10"/>
      <name val="Arial"/>
      <family val="2"/>
    </font>
    <font>
      <b/>
      <u/>
      <sz val="16"/>
      <color rgb="FFFF0000"/>
      <name val="Arial"/>
      <family val="2"/>
    </font>
    <font>
      <b/>
      <u/>
      <sz val="14"/>
      <color rgb="FFC00000"/>
      <name val="Arial"/>
      <family val="2"/>
    </font>
    <font>
      <b/>
      <sz val="8"/>
      <name val="Arial"/>
      <family val="2"/>
    </font>
    <font>
      <sz val="8"/>
      <color rgb="FF000000"/>
      <name val="Arial"/>
      <family val="2"/>
    </font>
    <font>
      <sz val="8"/>
      <color rgb="FF0070C0"/>
      <name val="Arial"/>
      <family val="2"/>
    </font>
    <font>
      <b/>
      <sz val="11"/>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3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8" fillId="3" borderId="27" xfId="0" applyFont="1" applyFill="1" applyBorder="1" applyAlignment="1">
      <alignment horizontal="center"/>
    </xf>
    <xf numFmtId="168" fontId="16" fillId="3" borderId="52" xfId="0" applyNumberFormat="1" applyFont="1" applyFill="1" applyBorder="1" applyAlignment="1"/>
    <xf numFmtId="0" fontId="2" fillId="0" borderId="0" xfId="0" applyFont="1" applyFill="1"/>
    <xf numFmtId="0" fontId="2" fillId="0" borderId="0" xfId="0" applyFont="1" applyFill="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7" fillId="6" borderId="0" xfId="0" applyFont="1" applyFill="1" applyBorder="1" applyAlignment="1">
      <alignment horizontal="left"/>
    </xf>
    <xf numFmtId="49" fontId="30" fillId="0" borderId="32" xfId="0" applyNumberFormat="1" applyFont="1" applyFill="1" applyBorder="1" applyAlignment="1"/>
    <xf numFmtId="0" fontId="1" fillId="3" borderId="0" xfId="0" applyFont="1" applyFill="1" applyBorder="1" applyAlignment="1">
      <alignment horizontal="left"/>
    </xf>
    <xf numFmtId="0" fontId="29" fillId="3" borderId="0" xfId="0" applyFont="1" applyFill="1" applyBorder="1" applyAlignment="1">
      <alignment horizontal="left"/>
    </xf>
    <xf numFmtId="49" fontId="32" fillId="0" borderId="0" xfId="5" applyNumberFormat="1" applyFont="1" applyFill="1" applyBorder="1" applyAlignment="1" applyProtection="1"/>
    <xf numFmtId="0" fontId="33" fillId="3" borderId="0" xfId="0" applyFont="1" applyFill="1" applyBorder="1" applyAlignment="1"/>
    <xf numFmtId="0" fontId="34" fillId="7" borderId="53" xfId="0" applyFont="1" applyFill="1" applyBorder="1" applyAlignment="1">
      <alignment horizontal="center"/>
    </xf>
    <xf numFmtId="0" fontId="35" fillId="7" borderId="54" xfId="0" applyFont="1" applyFill="1" applyBorder="1"/>
    <xf numFmtId="0" fontId="0" fillId="7" borderId="0" xfId="0" applyFill="1"/>
    <xf numFmtId="0" fontId="34" fillId="7" borderId="0" xfId="0" applyFont="1" applyFill="1" applyAlignment="1"/>
    <xf numFmtId="169" fontId="34" fillId="0" borderId="53" xfId="0" applyNumberFormat="1" applyFont="1" applyFill="1" applyBorder="1"/>
    <xf numFmtId="0" fontId="36" fillId="7" borderId="54" xfId="0" applyFont="1" applyFill="1" applyBorder="1"/>
    <xf numFmtId="0" fontId="16" fillId="7" borderId="0" xfId="0" applyFont="1" applyFill="1"/>
    <xf numFmtId="49" fontId="37" fillId="0" borderId="0" xfId="5" applyNumberFormat="1" applyFont="1" applyFill="1" applyBorder="1" applyAlignment="1" applyProtection="1"/>
    <xf numFmtId="0" fontId="16" fillId="6" borderId="0" xfId="0" applyFont="1" applyFill="1" applyBorder="1"/>
    <xf numFmtId="49" fontId="28" fillId="0" borderId="32" xfId="5" applyNumberFormat="1" applyFont="1" applyFill="1" applyBorder="1" applyAlignment="1" applyProtection="1"/>
    <xf numFmtId="0" fontId="16" fillId="6" borderId="0" xfId="0" applyFont="1" applyFill="1" applyBorder="1" applyAlignment="1">
      <alignment horizontal="left"/>
    </xf>
    <xf numFmtId="0" fontId="7" fillId="3" borderId="0" xfId="0" applyFont="1" applyFill="1" applyBorder="1" applyAlignment="1"/>
    <xf numFmtId="49" fontId="38" fillId="0" borderId="32" xfId="0" applyNumberFormat="1" applyFont="1" applyFill="1" applyBorder="1" applyAlignment="1"/>
    <xf numFmtId="49" fontId="39" fillId="0" borderId="32" xfId="0" applyNumberFormat="1" applyFont="1" applyFill="1" applyBorder="1" applyAlignment="1"/>
    <xf numFmtId="0" fontId="40" fillId="3" borderId="37" xfId="0" applyFont="1" applyFill="1"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21" fillId="3" borderId="35" xfId="0" applyNumberFormat="1" applyFont="1" applyFill="1" applyBorder="1" applyAlignment="1">
      <alignment horizontal="center"/>
    </xf>
    <xf numFmtId="0" fontId="41" fillId="7" borderId="55" xfId="0" applyFont="1" applyFill="1" applyBorder="1"/>
    <xf numFmtId="0" fontId="36" fillId="7" borderId="0" xfId="0" applyFont="1" applyFill="1" applyBorder="1" applyAlignment="1"/>
    <xf numFmtId="0" fontId="43" fillId="7" borderId="0" xfId="0" applyFont="1" applyFill="1" applyBorder="1"/>
    <xf numFmtId="0" fontId="43" fillId="7" borderId="0" xfId="0" applyFont="1" applyFill="1" applyBorder="1" applyAlignment="1"/>
    <xf numFmtId="0" fontId="36" fillId="8" borderId="0" xfId="0" applyFont="1" applyFill="1" applyBorder="1"/>
    <xf numFmtId="0" fontId="43" fillId="8" borderId="0" xfId="0" applyFont="1" applyFill="1" applyBorder="1"/>
    <xf numFmtId="0" fontId="0" fillId="8" borderId="0" xfId="0" applyFill="1" applyBorder="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0" fontId="0" fillId="3" borderId="0" xfId="0" applyFill="1" applyBorder="1" applyAlignment="1">
      <alignment horizontal="center"/>
    </xf>
    <xf numFmtId="168" fontId="16" fillId="0" borderId="52" xfId="0" applyNumberFormat="1" applyFont="1" applyFill="1" applyBorder="1"/>
    <xf numFmtId="0" fontId="36" fillId="7" borderId="55" xfId="0" applyFont="1" applyFill="1" applyBorder="1"/>
    <xf numFmtId="0" fontId="17" fillId="6" borderId="0" xfId="0" applyFont="1" applyFill="1"/>
    <xf numFmtId="49" fontId="21" fillId="3" borderId="0" xfId="0" applyNumberFormat="1" applyFont="1" applyFill="1" applyBorder="1" applyAlignment="1">
      <alignment horizontal="center"/>
    </xf>
    <xf numFmtId="0" fontId="17" fillId="3" borderId="0" xfId="0" applyFont="1" applyFill="1" applyBorder="1" applyAlignment="1">
      <alignment horizontal="left"/>
    </xf>
    <xf numFmtId="0" fontId="2" fillId="3" borderId="0" xfId="0" applyFont="1" applyFill="1" applyBorder="1" applyAlignment="1">
      <alignment horizontal="center"/>
    </xf>
    <xf numFmtId="0" fontId="0" fillId="0" borderId="0" xfId="0" applyFill="1"/>
    <xf numFmtId="0" fontId="0" fillId="0" borderId="29" xfId="0" applyFill="1" applyBorder="1"/>
    <xf numFmtId="0" fontId="5" fillId="0" borderId="42"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17" fillId="3" borderId="27" xfId="0" applyFont="1" applyFill="1" applyBorder="1" applyAlignment="1">
      <alignment horizontal="center"/>
    </xf>
    <xf numFmtId="168" fontId="17" fillId="0" borderId="27"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168" fontId="31" fillId="0" borderId="50" xfId="0" applyNumberFormat="1" applyFont="1" applyFill="1" applyBorder="1" applyAlignment="1">
      <alignment horizontal="center" vertical="center"/>
    </xf>
    <xf numFmtId="168" fontId="31" fillId="0" borderId="51" xfId="0" applyNumberFormat="1" applyFont="1" applyFill="1" applyBorder="1" applyAlignment="1">
      <alignment horizontal="center" vertical="center"/>
    </xf>
    <xf numFmtId="0" fontId="17" fillId="3" borderId="0" xfId="0" applyFont="1" applyFill="1" applyBorder="1" applyAlignment="1">
      <alignment horizontal="left"/>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 fillId="3" borderId="37"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2" fillId="2" borderId="36" xfId="0" applyFont="1" applyBorder="1" applyAlignment="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16</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14</xdr:col>
          <xdr:colOff>485775</xdr:colOff>
          <xdr:row>14</xdr:row>
          <xdr:rowOff>0</xdr:rowOff>
        </xdr:from>
        <xdr:to>
          <xdr:col>15</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59</xdr:row>
          <xdr:rowOff>0</xdr:rowOff>
        </xdr:from>
        <xdr:to>
          <xdr:col>4</xdr:col>
          <xdr:colOff>695325</xdr:colOff>
          <xdr:row>60</xdr:row>
          <xdr:rowOff>28575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60</xdr:row>
          <xdr:rowOff>0</xdr:rowOff>
        </xdr:from>
        <xdr:to>
          <xdr:col>4</xdr:col>
          <xdr:colOff>704850</xdr:colOff>
          <xdr:row>61</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61</xdr:row>
          <xdr:rowOff>28575</xdr:rowOff>
        </xdr:from>
        <xdr:to>
          <xdr:col>4</xdr:col>
          <xdr:colOff>714375</xdr:colOff>
          <xdr:row>62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13</xdr:col>
      <xdr:colOff>441160</xdr:colOff>
      <xdr:row>8</xdr:row>
      <xdr:rowOff>46999</xdr:rowOff>
    </xdr:from>
    <xdr:to>
      <xdr:col>14</xdr:col>
      <xdr:colOff>654843</xdr:colOff>
      <xdr:row>12</xdr:row>
      <xdr:rowOff>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46598" y="1130468"/>
          <a:ext cx="1011401" cy="619751"/>
        </a:xfrm>
        <a:prstGeom prst="rect">
          <a:avLst/>
        </a:prstGeom>
        <a:noFill/>
        <a:ln>
          <a:noFill/>
        </a:ln>
      </xdr:spPr>
    </xdr:pic>
    <xdr:clientData/>
  </xdr:twoCellAnchor>
  <xdr:twoCellAnchor editAs="oneCell">
    <xdr:from>
      <xdr:col>14</xdr:col>
      <xdr:colOff>962111</xdr:colOff>
      <xdr:row>7</xdr:row>
      <xdr:rowOff>0</xdr:rowOff>
    </xdr:from>
    <xdr:to>
      <xdr:col>15</xdr:col>
      <xdr:colOff>948856</xdr:colOff>
      <xdr:row>11</xdr:row>
      <xdr:rowOff>119064</xdr:rowOff>
    </xdr:to>
    <xdr:pic>
      <xdr:nvPicPr>
        <xdr:cNvPr id="2" name="Imag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65267" y="916781"/>
          <a:ext cx="963058" cy="7858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92" t="s">
        <v>0</v>
      </c>
      <c r="E4" s="193"/>
      <c r="F4" s="19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94" t="s">
        <v>2</v>
      </c>
      <c r="E10" s="19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96" t="s">
        <v>44</v>
      </c>
      <c r="E19" s="19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97" t="str">
        <f>LOWER(TemplateInformation!B3)</f>
        <v>c:\program files\microsoft office\office\macrolib\factbd.xls</v>
      </c>
      <c r="G33" s="19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94" t="s">
        <v>16</v>
      </c>
      <c r="E36" s="19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R76"/>
  <sheetViews>
    <sheetView showGridLines="0" showRowColHeaders="0" tabSelected="1" topLeftCell="A10" zoomScale="80" zoomScaleNormal="80" workbookViewId="0">
      <selection activeCell="W47" sqref="W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3" width="3.28515625" customWidth="1"/>
    <col min="14" max="14" width="12" customWidth="1"/>
    <col min="15" max="15" width="14.7109375" customWidth="1"/>
    <col min="16" max="16" width="15.7109375" customWidth="1"/>
    <col min="17" max="17" width="3.7109375" customWidth="1"/>
    <col min="18" max="18" width="0.42578125" customWidth="1"/>
    <col min="19" max="19" width="1.7109375" customWidth="1"/>
  </cols>
  <sheetData>
    <row r="1" spans="2:18" ht="6" customHeight="1" thickBot="1" x14ac:dyDescent="0.25"/>
    <row r="2" spans="2:18" ht="0.95" customHeight="1" thickTop="1" x14ac:dyDescent="0.2">
      <c r="B2" s="4"/>
      <c r="C2" s="5"/>
      <c r="D2" s="5"/>
      <c r="E2" s="5"/>
      <c r="F2" s="5"/>
      <c r="G2" s="5"/>
      <c r="H2" s="5"/>
      <c r="I2" s="5"/>
      <c r="J2" s="5"/>
      <c r="K2" s="5"/>
      <c r="L2" s="5"/>
      <c r="M2" s="5"/>
      <c r="N2" s="5"/>
      <c r="O2" s="5"/>
      <c r="P2" s="5"/>
      <c r="Q2" s="5"/>
      <c r="R2" s="6"/>
    </row>
    <row r="3" spans="2:18" x14ac:dyDescent="0.2">
      <c r="B3" s="7"/>
      <c r="C3" s="3"/>
      <c r="D3" s="3"/>
      <c r="E3" s="3"/>
      <c r="F3" s="3"/>
      <c r="G3" s="3"/>
      <c r="H3" s="3"/>
      <c r="I3" s="3"/>
      <c r="J3" s="3"/>
      <c r="K3" s="3"/>
      <c r="L3" s="3"/>
      <c r="M3" s="3"/>
      <c r="N3" s="3"/>
      <c r="O3" s="3"/>
      <c r="P3" s="3"/>
      <c r="Q3" s="3"/>
      <c r="R3" s="8"/>
    </row>
    <row r="4" spans="2:18" x14ac:dyDescent="0.2">
      <c r="B4" s="7"/>
      <c r="C4" s="3"/>
      <c r="D4" s="3"/>
      <c r="E4" s="3"/>
      <c r="F4" s="3"/>
      <c r="G4" s="3"/>
      <c r="H4" s="3"/>
      <c r="I4" s="3"/>
      <c r="J4" s="3"/>
      <c r="K4" s="3"/>
      <c r="L4" s="3"/>
      <c r="M4" s="3"/>
      <c r="N4" s="3"/>
      <c r="O4" s="3"/>
      <c r="P4" s="3"/>
      <c r="Q4" s="3"/>
      <c r="R4" s="8"/>
    </row>
    <row r="5" spans="2:18" x14ac:dyDescent="0.2">
      <c r="B5" s="7"/>
      <c r="C5" s="3"/>
      <c r="D5" s="3"/>
      <c r="E5" s="3"/>
      <c r="F5" s="3"/>
      <c r="G5" s="3"/>
      <c r="H5" s="3"/>
      <c r="I5" s="3"/>
      <c r="J5" s="3"/>
      <c r="K5" s="3"/>
      <c r="L5" s="3"/>
      <c r="M5" s="3"/>
      <c r="N5" s="3"/>
      <c r="O5" s="3"/>
      <c r="P5" s="3"/>
      <c r="Q5" s="3"/>
      <c r="R5" s="8"/>
    </row>
    <row r="6" spans="2:18" x14ac:dyDescent="0.2">
      <c r="B6" s="7"/>
      <c r="C6" s="3"/>
      <c r="D6" s="3"/>
      <c r="E6" s="3"/>
      <c r="F6" s="3"/>
      <c r="G6" s="3"/>
      <c r="H6" s="3"/>
      <c r="I6" s="3"/>
      <c r="J6" s="3"/>
      <c r="K6" s="3"/>
      <c r="L6" s="3"/>
      <c r="M6" s="3"/>
      <c r="N6" s="3"/>
      <c r="O6" s="3"/>
      <c r="P6" s="3"/>
      <c r="Q6" s="3"/>
      <c r="R6" s="8"/>
    </row>
    <row r="7" spans="2:18" x14ac:dyDescent="0.2">
      <c r="B7" s="7"/>
      <c r="C7" s="3"/>
      <c r="D7" s="3"/>
      <c r="E7" s="3"/>
      <c r="F7" s="3"/>
      <c r="G7" s="3"/>
      <c r="H7" s="3"/>
      <c r="I7" s="3"/>
      <c r="J7" s="3"/>
      <c r="K7" s="3"/>
      <c r="L7" s="3"/>
      <c r="M7" s="3"/>
      <c r="N7" s="3"/>
      <c r="O7" s="3"/>
      <c r="P7" s="3"/>
      <c r="Q7" s="3"/>
      <c r="R7" s="8"/>
    </row>
    <row r="8" spans="2:18" x14ac:dyDescent="0.2">
      <c r="B8" s="7"/>
      <c r="C8" s="3"/>
      <c r="D8" s="3"/>
      <c r="E8" s="3"/>
      <c r="F8" s="3"/>
      <c r="G8" s="3"/>
      <c r="H8" s="3"/>
      <c r="I8" s="3"/>
      <c r="J8" s="3"/>
      <c r="K8" s="3"/>
      <c r="L8" s="3"/>
      <c r="M8" s="3"/>
      <c r="N8" s="3"/>
      <c r="O8" s="3"/>
      <c r="P8" s="3"/>
      <c r="Q8" s="3"/>
      <c r="R8" s="8"/>
    </row>
    <row r="9" spans="2:18" x14ac:dyDescent="0.2">
      <c r="B9" s="7"/>
      <c r="C9" s="3"/>
      <c r="D9" s="3"/>
      <c r="E9" s="3"/>
      <c r="F9" s="3"/>
      <c r="G9" s="3"/>
      <c r="H9" s="3"/>
      <c r="I9" s="3"/>
      <c r="J9" s="3"/>
      <c r="K9" s="3"/>
      <c r="L9" s="3"/>
      <c r="M9" s="3"/>
      <c r="N9" s="3"/>
      <c r="O9" s="208"/>
      <c r="P9" s="209"/>
      <c r="Q9" s="3"/>
      <c r="R9" s="8"/>
    </row>
    <row r="10" spans="2:18" x14ac:dyDescent="0.2">
      <c r="B10" s="7"/>
      <c r="C10" s="3"/>
      <c r="D10" s="3"/>
      <c r="E10" s="3"/>
      <c r="F10" s="3"/>
      <c r="G10" s="3"/>
      <c r="H10" s="3"/>
      <c r="I10" s="3"/>
      <c r="J10" s="3"/>
      <c r="K10" s="3"/>
      <c r="L10" s="3"/>
      <c r="M10" s="3"/>
      <c r="N10" s="3"/>
      <c r="O10" s="99"/>
      <c r="P10" s="99"/>
      <c r="Q10" s="3"/>
      <c r="R10" s="8"/>
    </row>
    <row r="11" spans="2:18" x14ac:dyDescent="0.2">
      <c r="B11" s="7"/>
      <c r="C11" s="3"/>
      <c r="D11" s="3"/>
      <c r="E11" s="3"/>
      <c r="F11" s="3"/>
      <c r="G11" s="3"/>
      <c r="H11" s="3"/>
      <c r="I11" s="3"/>
      <c r="J11" s="3"/>
      <c r="K11" s="3"/>
      <c r="L11" s="3"/>
      <c r="M11" s="3"/>
      <c r="N11" s="3"/>
      <c r="O11" s="109"/>
      <c r="P11" s="110"/>
      <c r="Q11" s="3"/>
      <c r="R11" s="8"/>
    </row>
    <row r="12" spans="2:18" x14ac:dyDescent="0.2">
      <c r="B12" s="7"/>
      <c r="C12" s="3"/>
      <c r="D12" s="3"/>
      <c r="E12" s="3"/>
      <c r="F12" s="3"/>
      <c r="G12" s="3"/>
      <c r="H12" s="3"/>
      <c r="I12" s="3"/>
      <c r="J12" s="3"/>
      <c r="K12" s="3"/>
      <c r="L12" s="3"/>
      <c r="M12" s="3"/>
      <c r="N12" s="3"/>
      <c r="O12" s="109"/>
      <c r="P12" s="110"/>
      <c r="Q12" s="3"/>
      <c r="R12" s="8"/>
    </row>
    <row r="13" spans="2:18" x14ac:dyDescent="0.2">
      <c r="B13" s="7"/>
      <c r="C13" s="3"/>
      <c r="D13" s="3"/>
      <c r="E13" s="3"/>
      <c r="F13" s="3"/>
      <c r="G13" s="3"/>
      <c r="H13" s="3"/>
      <c r="I13" s="3"/>
      <c r="J13" s="3"/>
      <c r="K13" s="3"/>
      <c r="L13" s="3"/>
      <c r="M13" s="3"/>
      <c r="N13" s="3"/>
      <c r="O13" s="215"/>
      <c r="P13" s="216"/>
      <c r="Q13" s="3"/>
      <c r="R13" s="8"/>
    </row>
    <row r="14" spans="2:18" x14ac:dyDescent="0.2">
      <c r="B14" s="7"/>
      <c r="C14" s="3"/>
      <c r="D14" s="3"/>
      <c r="E14" s="3"/>
      <c r="F14" s="3"/>
      <c r="G14" s="3"/>
      <c r="H14" s="201"/>
      <c r="I14" s="201"/>
      <c r="J14" s="201"/>
      <c r="K14" s="201"/>
      <c r="L14" s="201"/>
      <c r="M14" s="201"/>
      <c r="N14" s="201"/>
      <c r="O14" s="3"/>
      <c r="P14" s="3"/>
      <c r="Q14" s="3"/>
      <c r="R14" s="8"/>
    </row>
    <row r="15" spans="2:18" ht="20.100000000000001" customHeight="1" x14ac:dyDescent="0.2">
      <c r="B15" s="7"/>
      <c r="C15" s="3"/>
      <c r="D15" s="3"/>
      <c r="E15" s="3"/>
      <c r="F15" s="3"/>
      <c r="G15" s="3"/>
      <c r="H15" s="201"/>
      <c r="I15" s="201"/>
      <c r="J15" s="201"/>
      <c r="K15" s="201"/>
      <c r="L15" s="201"/>
      <c r="M15" s="201"/>
      <c r="N15" s="201"/>
      <c r="O15" s="3"/>
      <c r="P15" s="3"/>
      <c r="Q15" s="3"/>
      <c r="R15" s="8"/>
    </row>
    <row r="16" spans="2:18" ht="3" customHeight="1" thickBot="1" x14ac:dyDescent="0.25">
      <c r="B16" s="7"/>
      <c r="C16" s="3"/>
      <c r="D16" s="3"/>
      <c r="E16" s="3"/>
      <c r="F16" s="3"/>
      <c r="G16" s="3"/>
      <c r="H16" s="3"/>
      <c r="I16" s="3"/>
      <c r="J16" s="3"/>
      <c r="K16" s="3"/>
      <c r="L16" s="3"/>
      <c r="M16" s="3"/>
      <c r="N16" s="3"/>
      <c r="O16" s="3"/>
      <c r="P16" s="3"/>
      <c r="Q16" s="3"/>
      <c r="R16" s="8"/>
    </row>
    <row r="17" spans="1:18" ht="14.1" customHeight="1" thickBot="1" x14ac:dyDescent="0.25">
      <c r="B17" s="7"/>
      <c r="C17" s="3"/>
      <c r="D17" s="3"/>
      <c r="E17" s="3"/>
      <c r="F17" s="3"/>
      <c r="G17" s="3"/>
      <c r="H17" s="108"/>
      <c r="I17" s="3"/>
      <c r="J17" s="99"/>
      <c r="K17" s="3"/>
      <c r="L17" s="3"/>
      <c r="M17" s="3"/>
      <c r="N17" s="3"/>
      <c r="O17" s="225" t="s">
        <v>74</v>
      </c>
      <c r="P17" s="226"/>
      <c r="Q17" s="3"/>
      <c r="R17" s="8"/>
    </row>
    <row r="18" spans="1:18" ht="19.5" thickTop="1" x14ac:dyDescent="0.3">
      <c r="B18" s="7"/>
      <c r="C18" s="3"/>
      <c r="D18" s="58"/>
      <c r="E18" s="58"/>
      <c r="F18" s="58"/>
      <c r="G18" s="58"/>
      <c r="H18" s="58"/>
      <c r="I18" s="58"/>
      <c r="J18" s="59"/>
      <c r="K18" s="59"/>
      <c r="L18" s="59"/>
      <c r="M18" s="59"/>
      <c r="N18" s="59"/>
      <c r="O18" s="227"/>
      <c r="P18" s="228"/>
      <c r="Q18" s="19"/>
      <c r="R18" s="8"/>
    </row>
    <row r="19" spans="1:18" ht="13.5" thickBot="1" x14ac:dyDescent="0.25">
      <c r="B19" s="7"/>
      <c r="C19" s="3"/>
      <c r="D19" s="3"/>
      <c r="E19" s="3"/>
      <c r="F19" s="3"/>
      <c r="G19" s="3"/>
      <c r="H19" s="3"/>
      <c r="I19" s="3"/>
      <c r="J19" s="3"/>
      <c r="K19" s="3"/>
      <c r="L19" s="3"/>
      <c r="M19" s="3"/>
      <c r="N19" s="3"/>
      <c r="O19" s="229"/>
      <c r="P19" s="230"/>
      <c r="Q19" s="3"/>
      <c r="R19" s="8"/>
    </row>
    <row r="20" spans="1:18" x14ac:dyDescent="0.2">
      <c r="B20" s="7"/>
      <c r="C20" s="3"/>
      <c r="D20" s="3"/>
      <c r="E20" s="3"/>
      <c r="F20" s="3"/>
      <c r="G20" s="3"/>
      <c r="H20" s="3"/>
      <c r="I20" s="3"/>
      <c r="J20" s="3"/>
      <c r="K20" s="3"/>
      <c r="L20" s="3"/>
      <c r="M20" s="3"/>
      <c r="N20" s="3"/>
      <c r="O20" s="123"/>
      <c r="P20" s="3"/>
      <c r="Q20" s="3"/>
      <c r="R20" s="8"/>
    </row>
    <row r="21" spans="1:18" ht="18" x14ac:dyDescent="0.25">
      <c r="B21" s="7"/>
      <c r="C21" s="3"/>
      <c r="D21" s="82" t="s">
        <v>3</v>
      </c>
      <c r="E21" s="221" t="s">
        <v>65</v>
      </c>
      <c r="F21" s="222"/>
      <c r="G21" s="222"/>
      <c r="H21" s="222"/>
      <c r="I21" s="222"/>
      <c r="J21" s="222"/>
      <c r="K21" s="82"/>
      <c r="L21" s="82"/>
      <c r="M21" s="82"/>
      <c r="N21" s="84" t="s">
        <v>18</v>
      </c>
      <c r="O21" s="212">
        <v>45411</v>
      </c>
      <c r="P21" s="213"/>
      <c r="Q21" s="55"/>
      <c r="R21" s="8"/>
    </row>
    <row r="22" spans="1:18" ht="14.25" x14ac:dyDescent="0.2">
      <c r="B22" s="7"/>
      <c r="C22" s="3"/>
      <c r="D22" s="82" t="s">
        <v>5</v>
      </c>
      <c r="E22" s="219" t="s">
        <v>66</v>
      </c>
      <c r="F22" s="220"/>
      <c r="G22" s="220"/>
      <c r="H22" s="220"/>
      <c r="I22" s="220"/>
      <c r="J22" s="220"/>
      <c r="K22" s="82"/>
      <c r="L22" s="82"/>
      <c r="M22" s="82"/>
      <c r="N22" s="119" t="s">
        <v>57</v>
      </c>
      <c r="O22" s="141"/>
      <c r="P22" s="142"/>
      <c r="Q22" s="56"/>
      <c r="R22" s="8"/>
    </row>
    <row r="23" spans="1:18" ht="14.25" x14ac:dyDescent="0.2">
      <c r="B23" s="7"/>
      <c r="C23" s="3"/>
      <c r="D23" s="82" t="s">
        <v>7</v>
      </c>
      <c r="E23" s="89"/>
      <c r="F23" s="90" t="s">
        <v>8</v>
      </c>
      <c r="G23" s="217"/>
      <c r="H23" s="218"/>
      <c r="I23" s="91" t="s">
        <v>9</v>
      </c>
      <c r="J23" s="88" t="s">
        <v>50</v>
      </c>
      <c r="K23" s="82"/>
      <c r="L23" s="82"/>
      <c r="M23" s="82"/>
      <c r="N23" s="105" t="s">
        <v>73</v>
      </c>
      <c r="O23" s="166"/>
      <c r="P23" s="140"/>
      <c r="Q23" s="3"/>
      <c r="R23" s="8"/>
    </row>
    <row r="24" spans="1:18" x14ac:dyDescent="0.2">
      <c r="B24" s="7"/>
      <c r="C24" s="3"/>
      <c r="D24" s="82" t="s">
        <v>20</v>
      </c>
      <c r="E24" s="223" t="s">
        <v>67</v>
      </c>
      <c r="F24" s="224"/>
      <c r="G24" s="224"/>
      <c r="H24" s="224"/>
      <c r="I24" s="224"/>
      <c r="J24" s="224"/>
      <c r="K24" s="82"/>
      <c r="L24" s="82"/>
      <c r="M24" s="82"/>
      <c r="N24" s="84" t="s">
        <v>46</v>
      </c>
      <c r="O24" s="214" t="s">
        <v>68</v>
      </c>
      <c r="P24" s="214"/>
      <c r="Q24" s="3"/>
      <c r="R24" s="8"/>
    </row>
    <row r="25" spans="1:18" x14ac:dyDescent="0.2">
      <c r="B25" s="7"/>
      <c r="C25" s="3"/>
      <c r="D25" s="82"/>
      <c r="E25" s="82"/>
      <c r="F25" s="82"/>
      <c r="G25" s="82"/>
      <c r="H25" s="82"/>
      <c r="I25" s="82"/>
      <c r="J25" s="82"/>
      <c r="K25" s="82"/>
      <c r="L25" s="82"/>
      <c r="M25" s="82"/>
      <c r="N25" s="82"/>
      <c r="O25" s="82"/>
      <c r="P25" s="82"/>
      <c r="Q25" s="3"/>
      <c r="R25" s="8"/>
    </row>
    <row r="26" spans="1:18" x14ac:dyDescent="0.2">
      <c r="B26" s="7"/>
      <c r="C26" s="3"/>
      <c r="D26" s="67" t="s">
        <v>33</v>
      </c>
      <c r="E26" s="51" t="s">
        <v>21</v>
      </c>
      <c r="F26" s="231" t="s">
        <v>22</v>
      </c>
      <c r="G26" s="232"/>
      <c r="H26" s="232"/>
      <c r="I26" s="232"/>
      <c r="J26" s="232"/>
      <c r="K26" s="232"/>
      <c r="L26" s="232"/>
      <c r="M26" s="232"/>
      <c r="N26" s="233"/>
      <c r="O26" s="52" t="s">
        <v>52</v>
      </c>
      <c r="P26" s="111" t="s">
        <v>23</v>
      </c>
      <c r="Q26" s="57"/>
      <c r="R26" s="8"/>
    </row>
    <row r="27" spans="1:18" ht="15.75" x14ac:dyDescent="0.25">
      <c r="B27" s="7"/>
      <c r="C27" s="3"/>
      <c r="D27" s="132"/>
      <c r="E27" s="53"/>
      <c r="F27" s="147"/>
      <c r="G27" s="112"/>
      <c r="H27" s="112"/>
      <c r="I27" s="112"/>
      <c r="J27" s="112"/>
      <c r="K27" s="112"/>
      <c r="L27" s="112"/>
      <c r="M27" s="112"/>
      <c r="N27" s="81"/>
      <c r="O27" s="95"/>
      <c r="P27" s="95"/>
      <c r="Q27" s="57"/>
      <c r="R27" s="8"/>
    </row>
    <row r="28" spans="1:18" ht="15" x14ac:dyDescent="0.2">
      <c r="B28" s="7"/>
      <c r="C28" s="3"/>
      <c r="D28" s="93"/>
      <c r="E28" s="53"/>
      <c r="F28" s="131"/>
      <c r="G28" s="112"/>
      <c r="H28" s="112"/>
      <c r="I28" s="112"/>
      <c r="J28" s="112"/>
      <c r="K28" s="112"/>
      <c r="L28" s="112"/>
      <c r="M28" s="112"/>
      <c r="N28" s="81"/>
      <c r="O28" s="95"/>
      <c r="P28" s="95"/>
      <c r="Q28" s="57"/>
      <c r="R28" s="8"/>
    </row>
    <row r="29" spans="1:18" ht="15.75" x14ac:dyDescent="0.25">
      <c r="B29" s="7"/>
      <c r="C29" s="3"/>
      <c r="D29" s="93"/>
      <c r="E29" s="53"/>
      <c r="F29" s="143"/>
      <c r="G29" s="146"/>
      <c r="H29" s="145"/>
      <c r="I29" s="145"/>
      <c r="J29" s="145"/>
      <c r="K29" s="145"/>
      <c r="L29" s="145"/>
      <c r="M29" s="145"/>
      <c r="N29" s="81"/>
      <c r="O29" s="95"/>
      <c r="P29" s="95"/>
      <c r="Q29" s="57"/>
      <c r="R29" s="8"/>
    </row>
    <row r="30" spans="1:18" ht="15" x14ac:dyDescent="0.2">
      <c r="B30" s="7"/>
      <c r="C30" s="3"/>
      <c r="D30" s="93"/>
      <c r="E30" s="53"/>
      <c r="F30" s="144"/>
      <c r="G30" s="145"/>
      <c r="H30" s="145"/>
      <c r="I30" s="145"/>
      <c r="J30" s="145"/>
      <c r="K30" s="145"/>
      <c r="L30" s="145"/>
      <c r="M30" s="145"/>
      <c r="N30" s="81"/>
      <c r="O30" s="95"/>
      <c r="P30" s="95"/>
      <c r="Q30" s="57"/>
      <c r="R30" s="8"/>
    </row>
    <row r="31" spans="1:18" ht="20.25" x14ac:dyDescent="0.3">
      <c r="A31" s="98" t="s">
        <v>53</v>
      </c>
      <c r="B31" s="7"/>
      <c r="C31" s="3"/>
      <c r="D31" s="106"/>
      <c r="E31" s="190">
        <v>7</v>
      </c>
      <c r="F31" s="164" t="s">
        <v>62</v>
      </c>
      <c r="G31" s="150"/>
      <c r="H31" s="150"/>
      <c r="I31" s="151"/>
      <c r="J31" s="151"/>
      <c r="K31" s="81"/>
      <c r="L31" s="81"/>
      <c r="M31" s="81"/>
      <c r="N31" s="107"/>
      <c r="O31" s="191">
        <v>850</v>
      </c>
      <c r="P31" s="191">
        <f>+O31*E31</f>
        <v>5950</v>
      </c>
      <c r="Q31" s="57"/>
      <c r="R31" s="8"/>
    </row>
    <row r="32" spans="1:18" ht="15.75" x14ac:dyDescent="0.25">
      <c r="A32" s="98"/>
      <c r="B32" s="7"/>
      <c r="C32" s="3"/>
      <c r="D32" s="106"/>
      <c r="E32" s="152"/>
      <c r="F32" s="153"/>
      <c r="G32" s="154"/>
      <c r="H32" s="155"/>
      <c r="I32" s="154"/>
      <c r="J32" s="154"/>
      <c r="K32" s="155"/>
      <c r="L32" s="155"/>
      <c r="M32" s="155"/>
      <c r="N32" s="154"/>
      <c r="O32" s="156"/>
      <c r="P32" s="156"/>
      <c r="Q32" s="57"/>
      <c r="R32" s="8"/>
    </row>
    <row r="33" spans="2:18" ht="15.75" x14ac:dyDescent="0.25">
      <c r="B33" s="7"/>
      <c r="C33" s="3"/>
      <c r="D33" s="106"/>
      <c r="E33" s="152"/>
      <c r="F33" s="157" t="s">
        <v>69</v>
      </c>
      <c r="G33" s="158"/>
      <c r="H33" s="155"/>
      <c r="I33" s="158"/>
      <c r="J33" s="158"/>
      <c r="K33" s="155"/>
      <c r="L33" s="155"/>
      <c r="M33" s="155"/>
      <c r="N33" s="158"/>
      <c r="O33" s="156"/>
      <c r="P33" s="156"/>
      <c r="Q33" s="57"/>
      <c r="R33" s="8"/>
    </row>
    <row r="34" spans="2:18" ht="15.75" x14ac:dyDescent="0.25">
      <c r="B34" s="7"/>
      <c r="C34" s="3"/>
      <c r="D34" s="106"/>
      <c r="E34" s="75"/>
      <c r="F34" s="122" t="s">
        <v>70</v>
      </c>
      <c r="G34" s="159"/>
      <c r="H34" s="130"/>
      <c r="I34" s="130"/>
      <c r="J34" s="130"/>
      <c r="K34" s="81"/>
      <c r="L34" s="81"/>
      <c r="M34" s="81"/>
      <c r="N34" s="160"/>
      <c r="O34" s="95"/>
      <c r="P34" s="95"/>
      <c r="Q34" s="57"/>
      <c r="R34" s="8"/>
    </row>
    <row r="35" spans="2:18" ht="15.75" x14ac:dyDescent="0.25">
      <c r="B35" s="7"/>
      <c r="C35" s="3"/>
      <c r="D35" s="106"/>
      <c r="E35" s="75"/>
      <c r="F35" s="129" t="s">
        <v>63</v>
      </c>
      <c r="G35" s="159"/>
      <c r="H35" s="130"/>
      <c r="I35" s="130"/>
      <c r="J35" s="130"/>
      <c r="K35" s="81"/>
      <c r="L35" s="81"/>
      <c r="M35" s="81"/>
      <c r="N35" s="160"/>
      <c r="O35" s="95"/>
      <c r="P35" s="95"/>
      <c r="Q35" s="57"/>
      <c r="R35" s="8"/>
    </row>
    <row r="36" spans="2:18" ht="15" x14ac:dyDescent="0.2">
      <c r="B36" s="7"/>
      <c r="C36" s="3"/>
      <c r="D36" s="106"/>
      <c r="E36" s="75"/>
      <c r="F36" s="161" t="s">
        <v>71</v>
      </c>
      <c r="G36" s="159"/>
      <c r="H36" s="159"/>
      <c r="I36" s="159"/>
      <c r="J36" s="159"/>
      <c r="K36" s="81"/>
      <c r="L36" s="81"/>
      <c r="M36" s="81"/>
      <c r="N36" s="160"/>
      <c r="O36" s="95"/>
      <c r="P36" s="95"/>
      <c r="Q36" s="57"/>
      <c r="R36" s="8"/>
    </row>
    <row r="37" spans="2:18" ht="15.75" x14ac:dyDescent="0.25">
      <c r="B37" s="7"/>
      <c r="C37" s="3"/>
      <c r="D37" s="106"/>
      <c r="E37" s="53"/>
      <c r="F37" s="129" t="s">
        <v>64</v>
      </c>
      <c r="G37" s="159"/>
      <c r="H37" s="159"/>
      <c r="I37" s="159"/>
      <c r="J37" s="159"/>
      <c r="K37" s="162"/>
      <c r="L37" s="162"/>
      <c r="M37" s="162"/>
      <c r="N37" s="81"/>
      <c r="O37" s="95"/>
      <c r="P37" s="95"/>
      <c r="Q37" s="57"/>
      <c r="R37" s="8"/>
    </row>
    <row r="38" spans="2:18" ht="15" x14ac:dyDescent="0.2">
      <c r="B38" s="7"/>
      <c r="C38" s="3"/>
      <c r="D38" s="106"/>
      <c r="E38" s="53"/>
      <c r="F38" s="122" t="s">
        <v>72</v>
      </c>
      <c r="G38" s="159"/>
      <c r="H38" s="159"/>
      <c r="I38" s="159"/>
      <c r="J38" s="159"/>
      <c r="K38" s="162"/>
      <c r="L38" s="162"/>
      <c r="M38" s="162"/>
      <c r="N38" s="81"/>
      <c r="O38" s="95"/>
      <c r="P38" s="95"/>
      <c r="Q38" s="57"/>
      <c r="R38" s="8"/>
    </row>
    <row r="39" spans="2:18" ht="15.75" x14ac:dyDescent="0.25">
      <c r="B39" s="7"/>
      <c r="C39" s="3"/>
      <c r="D39" s="106"/>
      <c r="E39" s="53"/>
      <c r="F39" s="182" t="s">
        <v>77</v>
      </c>
      <c r="G39" s="146"/>
      <c r="H39" s="146"/>
      <c r="I39" s="146"/>
      <c r="J39" s="146"/>
      <c r="K39" s="146"/>
      <c r="L39" s="146"/>
      <c r="M39" s="146"/>
      <c r="N39" s="163"/>
      <c r="O39" s="95"/>
      <c r="P39" s="95"/>
      <c r="Q39" s="57"/>
      <c r="R39" s="8"/>
    </row>
    <row r="40" spans="2:18" ht="15.75" x14ac:dyDescent="0.25">
      <c r="B40" s="7"/>
      <c r="C40" s="3"/>
      <c r="D40" s="106"/>
      <c r="E40" s="136"/>
      <c r="F40" s="170" t="s">
        <v>75</v>
      </c>
      <c r="G40" s="174"/>
      <c r="H40" s="171"/>
      <c r="I40" s="175"/>
      <c r="J40" s="172"/>
      <c r="K40" s="173"/>
      <c r="L40" s="173"/>
      <c r="M40" s="173"/>
      <c r="N40" s="176"/>
      <c r="O40" s="95"/>
      <c r="P40" s="95"/>
      <c r="Q40" s="57"/>
      <c r="R40" s="8"/>
    </row>
    <row r="41" spans="2:18" ht="15.75" x14ac:dyDescent="0.25">
      <c r="B41" s="7"/>
      <c r="C41" s="3"/>
      <c r="D41" s="106"/>
      <c r="E41" s="136"/>
      <c r="F41" s="181" t="s">
        <v>78</v>
      </c>
      <c r="G41" s="174"/>
      <c r="H41" s="171"/>
      <c r="I41" s="175"/>
      <c r="J41" s="172"/>
      <c r="K41" s="173"/>
      <c r="L41" s="173"/>
      <c r="M41" s="173"/>
      <c r="N41" s="176"/>
      <c r="O41" s="180"/>
      <c r="P41" s="95"/>
      <c r="Q41" s="57"/>
      <c r="R41" s="8"/>
    </row>
    <row r="42" spans="2:18" ht="15" x14ac:dyDescent="0.2">
      <c r="B42" s="7"/>
      <c r="C42" s="3"/>
      <c r="D42" s="106"/>
      <c r="E42" s="75"/>
      <c r="F42" s="170" t="s">
        <v>76</v>
      </c>
      <c r="G42" s="145"/>
      <c r="H42" s="145"/>
      <c r="I42" s="107"/>
      <c r="J42" s="107"/>
      <c r="K42" s="81"/>
      <c r="L42" s="81"/>
      <c r="M42" s="81"/>
      <c r="N42" s="107"/>
      <c r="O42" s="137"/>
      <c r="P42" s="95"/>
      <c r="Q42" s="57"/>
      <c r="R42" s="8"/>
    </row>
    <row r="43" spans="2:18" ht="15.75" x14ac:dyDescent="0.25">
      <c r="B43" s="7"/>
      <c r="C43" s="3"/>
      <c r="D43" s="106"/>
      <c r="E43" s="75"/>
      <c r="F43" s="181" t="s">
        <v>79</v>
      </c>
      <c r="G43" s="174"/>
      <c r="H43" s="171"/>
      <c r="I43" s="175"/>
      <c r="J43" s="172"/>
      <c r="K43" s="173"/>
      <c r="L43" s="173"/>
      <c r="M43" s="173"/>
      <c r="N43" s="176"/>
      <c r="O43" s="95"/>
      <c r="P43" s="95"/>
      <c r="Q43" s="57"/>
      <c r="R43" s="8"/>
    </row>
    <row r="44" spans="2:18" ht="15" x14ac:dyDescent="0.2">
      <c r="B44" s="7"/>
      <c r="C44" s="3"/>
      <c r="D44" s="106"/>
      <c r="E44" s="75"/>
      <c r="F44" s="170" t="s">
        <v>84</v>
      </c>
      <c r="G44" s="145"/>
      <c r="H44" s="145"/>
      <c r="I44" s="107"/>
      <c r="J44" s="107"/>
      <c r="K44" s="81"/>
      <c r="L44" s="81"/>
      <c r="M44" s="81"/>
      <c r="N44" s="107"/>
      <c r="O44" s="95"/>
      <c r="P44" s="95"/>
      <c r="Q44" s="57"/>
      <c r="R44" s="8"/>
    </row>
    <row r="45" spans="2:18" ht="15.75" x14ac:dyDescent="0.25">
      <c r="B45" s="7"/>
      <c r="C45" s="3"/>
      <c r="D45" s="106"/>
      <c r="E45" s="75"/>
      <c r="F45" s="181" t="s">
        <v>80</v>
      </c>
      <c r="G45" s="174"/>
      <c r="H45" s="171"/>
      <c r="I45" s="175"/>
      <c r="J45" s="172"/>
      <c r="K45" s="173"/>
      <c r="L45" s="173"/>
      <c r="M45" s="173"/>
      <c r="N45" s="176"/>
      <c r="O45" s="95"/>
      <c r="P45" s="95"/>
      <c r="Q45" s="57"/>
      <c r="R45" s="8"/>
    </row>
    <row r="46" spans="2:18" ht="15" x14ac:dyDescent="0.2">
      <c r="B46" s="7"/>
      <c r="C46" s="3"/>
      <c r="D46" s="106"/>
      <c r="E46" s="75"/>
      <c r="F46" s="170" t="s">
        <v>85</v>
      </c>
      <c r="G46" s="145"/>
      <c r="H46" s="145"/>
      <c r="I46" s="107"/>
      <c r="J46" s="107"/>
      <c r="K46" s="81"/>
      <c r="L46" s="81"/>
      <c r="M46" s="81"/>
      <c r="N46" s="107"/>
      <c r="O46" s="95"/>
      <c r="P46" s="95"/>
      <c r="Q46" s="57"/>
      <c r="R46" s="8"/>
    </row>
    <row r="47" spans="2:18" ht="15.75" x14ac:dyDescent="0.25">
      <c r="B47" s="7"/>
      <c r="C47" s="3"/>
      <c r="D47" s="106"/>
      <c r="E47" s="136"/>
      <c r="F47" s="181" t="s">
        <v>81</v>
      </c>
      <c r="G47" s="174"/>
      <c r="H47" s="171"/>
      <c r="I47" s="175"/>
      <c r="J47" s="172"/>
      <c r="K47" s="173"/>
      <c r="L47" s="173"/>
      <c r="M47" s="173"/>
      <c r="N47" s="176"/>
      <c r="O47" s="95"/>
      <c r="P47" s="95"/>
      <c r="Q47" s="57"/>
      <c r="R47" s="8"/>
    </row>
    <row r="48" spans="2:18" ht="17.100000000000001" customHeight="1" x14ac:dyDescent="0.2">
      <c r="B48" s="7"/>
      <c r="C48" s="3"/>
      <c r="D48" s="106"/>
      <c r="E48" s="75"/>
      <c r="F48" s="170" t="s">
        <v>86</v>
      </c>
      <c r="G48" s="145"/>
      <c r="H48" s="145"/>
      <c r="I48" s="107"/>
      <c r="J48" s="107"/>
      <c r="K48" s="81"/>
      <c r="L48" s="81"/>
      <c r="M48" s="81"/>
      <c r="N48" s="107"/>
      <c r="O48" s="137"/>
      <c r="P48" s="95"/>
      <c r="Q48" s="57"/>
      <c r="R48" s="8"/>
    </row>
    <row r="49" spans="2:18" ht="17.100000000000001" customHeight="1" x14ac:dyDescent="0.25">
      <c r="B49" s="7"/>
      <c r="C49" s="3"/>
      <c r="D49" s="106"/>
      <c r="E49" s="75"/>
      <c r="F49" s="181" t="s">
        <v>82</v>
      </c>
      <c r="G49" s="174"/>
      <c r="H49" s="171"/>
      <c r="I49" s="175"/>
      <c r="J49" s="172"/>
      <c r="K49" s="173"/>
      <c r="L49" s="173"/>
      <c r="M49" s="173"/>
      <c r="N49" s="176"/>
      <c r="O49" s="137"/>
      <c r="P49" s="95"/>
      <c r="Q49" s="57"/>
      <c r="R49" s="8"/>
    </row>
    <row r="50" spans="2:18" ht="17.100000000000001" customHeight="1" x14ac:dyDescent="0.2">
      <c r="B50" s="7"/>
      <c r="C50" s="3"/>
      <c r="D50" s="106"/>
      <c r="E50" s="75"/>
      <c r="F50" s="170" t="s">
        <v>87</v>
      </c>
      <c r="G50" s="145"/>
      <c r="H50" s="145"/>
      <c r="I50" s="107"/>
      <c r="J50" s="107"/>
      <c r="K50" s="81"/>
      <c r="L50" s="81"/>
      <c r="M50" s="81"/>
      <c r="N50" s="107"/>
      <c r="O50" s="137"/>
      <c r="P50" s="95"/>
      <c r="Q50" s="57"/>
      <c r="R50" s="8"/>
    </row>
    <row r="51" spans="2:18" ht="17.100000000000001" customHeight="1" x14ac:dyDescent="0.25">
      <c r="B51" s="7"/>
      <c r="C51" s="3"/>
      <c r="D51" s="106"/>
      <c r="E51" s="75"/>
      <c r="F51" s="181" t="s">
        <v>83</v>
      </c>
      <c r="G51" s="174"/>
      <c r="H51" s="171"/>
      <c r="I51" s="175"/>
      <c r="J51" s="172"/>
      <c r="K51" s="173"/>
      <c r="L51" s="173"/>
      <c r="M51" s="173"/>
      <c r="N51" s="176"/>
      <c r="O51" s="137"/>
      <c r="P51" s="95"/>
      <c r="Q51" s="57"/>
      <c r="R51" s="8"/>
    </row>
    <row r="52" spans="2:18" ht="17.100000000000001" customHeight="1" x14ac:dyDescent="0.2">
      <c r="B52" s="7"/>
      <c r="C52" s="3"/>
      <c r="D52" s="106"/>
      <c r="E52" s="75"/>
      <c r="F52" s="170" t="s">
        <v>88</v>
      </c>
      <c r="G52" s="145"/>
      <c r="H52" s="145"/>
      <c r="I52" s="107"/>
      <c r="J52" s="107"/>
      <c r="K52" s="81"/>
      <c r="L52" s="81"/>
      <c r="M52" s="81"/>
      <c r="N52" s="107"/>
      <c r="O52" s="137"/>
      <c r="P52" s="95"/>
      <c r="Q52" s="57"/>
      <c r="R52" s="8"/>
    </row>
    <row r="53" spans="2:18" ht="17.100000000000001" customHeight="1" x14ac:dyDescent="0.2">
      <c r="B53" s="7"/>
      <c r="C53" s="3"/>
      <c r="D53" s="106"/>
      <c r="E53" s="53"/>
      <c r="F53" s="122"/>
      <c r="G53" s="107"/>
      <c r="H53" s="81"/>
      <c r="I53" s="107"/>
      <c r="J53" s="107"/>
      <c r="K53" s="81"/>
      <c r="L53" s="81"/>
      <c r="M53" s="81"/>
      <c r="N53" s="107"/>
      <c r="O53" s="95"/>
      <c r="P53" s="95"/>
      <c r="Q53" s="57"/>
      <c r="R53" s="8"/>
    </row>
    <row r="54" spans="2:18" ht="18" x14ac:dyDescent="0.25">
      <c r="B54" s="7"/>
      <c r="C54" s="3"/>
      <c r="D54" s="93"/>
      <c r="E54" s="53"/>
      <c r="F54" s="165" t="s">
        <v>89</v>
      </c>
      <c r="G54" s="138"/>
      <c r="H54" s="138"/>
      <c r="I54" s="139"/>
      <c r="J54" s="139"/>
      <c r="K54" s="112"/>
      <c r="L54" s="112"/>
      <c r="M54" s="112"/>
      <c r="N54" s="81"/>
      <c r="O54" s="95"/>
      <c r="P54" s="95"/>
      <c r="Q54" s="57"/>
      <c r="R54" s="8"/>
    </row>
    <row r="55" spans="2:18" ht="15" customHeight="1" x14ac:dyDescent="0.2">
      <c r="B55" s="7"/>
      <c r="C55" s="3"/>
      <c r="D55" s="94"/>
      <c r="E55" s="54"/>
      <c r="F55" s="210"/>
      <c r="G55" s="211"/>
      <c r="H55" s="211"/>
      <c r="I55" s="211"/>
      <c r="J55" s="211"/>
      <c r="K55" s="211"/>
      <c r="L55" s="169"/>
      <c r="M55" s="169"/>
      <c r="N55" s="113"/>
      <c r="O55" s="95"/>
      <c r="P55" s="95"/>
      <c r="Q55" s="57"/>
      <c r="R55" s="8"/>
    </row>
    <row r="56" spans="2:18" ht="15" customHeight="1" x14ac:dyDescent="0.25">
      <c r="B56" s="7"/>
      <c r="C56" s="3"/>
      <c r="D56" s="184" t="s">
        <v>90</v>
      </c>
      <c r="E56" s="179"/>
      <c r="F56" s="183"/>
      <c r="G56" s="183"/>
      <c r="H56" s="183"/>
      <c r="I56" s="183"/>
      <c r="J56" s="183"/>
      <c r="K56" s="183"/>
      <c r="L56" s="183"/>
      <c r="M56" s="183"/>
      <c r="N56" s="81"/>
      <c r="O56" s="102" t="s">
        <v>24</v>
      </c>
      <c r="P56" s="96">
        <f>SUM(P27:P53)</f>
        <v>5950</v>
      </c>
      <c r="Q56" s="57"/>
      <c r="R56" s="8"/>
    </row>
    <row r="57" spans="2:18" ht="15" customHeight="1" x14ac:dyDescent="0.25">
      <c r="B57" s="7"/>
      <c r="C57" s="3"/>
      <c r="D57" s="205" t="s">
        <v>91</v>
      </c>
      <c r="E57" s="205"/>
      <c r="F57" s="205"/>
      <c r="G57" s="205"/>
      <c r="H57" s="205"/>
      <c r="I57" s="205"/>
      <c r="J57" s="205"/>
      <c r="K57" s="205"/>
      <c r="L57" s="205"/>
      <c r="M57" s="205"/>
      <c r="N57" s="205"/>
      <c r="O57" s="104" t="s">
        <v>59</v>
      </c>
      <c r="P57" s="103">
        <v>1</v>
      </c>
      <c r="Q57" s="57"/>
      <c r="R57" s="8"/>
    </row>
    <row r="58" spans="2:18" ht="15" customHeight="1" x14ac:dyDescent="0.2">
      <c r="B58" s="7"/>
      <c r="C58" s="3"/>
      <c r="D58" s="119"/>
      <c r="E58" s="185" t="s">
        <v>92</v>
      </c>
      <c r="F58" s="183"/>
      <c r="G58" s="183"/>
      <c r="H58" s="183"/>
      <c r="I58" s="183"/>
      <c r="J58" s="183"/>
      <c r="K58" s="183"/>
      <c r="L58" s="183"/>
      <c r="M58" s="183"/>
      <c r="N58" s="81"/>
      <c r="O58" s="104">
        <v>0.19</v>
      </c>
      <c r="P58" s="103">
        <f>P56*0.19</f>
        <v>1130.5</v>
      </c>
      <c r="Q58" s="57"/>
      <c r="R58" s="8"/>
    </row>
    <row r="59" spans="2:18" ht="15" customHeight="1" x14ac:dyDescent="0.2">
      <c r="B59" s="7"/>
      <c r="C59" s="3"/>
      <c r="D59" s="119"/>
      <c r="E59" s="179"/>
      <c r="F59" s="183"/>
      <c r="G59" s="183"/>
      <c r="H59" s="183"/>
      <c r="I59" s="183"/>
      <c r="J59" s="183"/>
      <c r="K59" s="183"/>
      <c r="L59" s="183"/>
      <c r="M59" s="183"/>
      <c r="N59" s="81"/>
      <c r="O59" s="202" t="s">
        <v>26</v>
      </c>
      <c r="P59" s="203">
        <f>SUM(P56:P58)</f>
        <v>7081.5</v>
      </c>
      <c r="Q59" s="57"/>
      <c r="R59" s="8"/>
    </row>
    <row r="60" spans="2:18" ht="15" customHeight="1" x14ac:dyDescent="0.2">
      <c r="B60" s="7"/>
      <c r="C60" s="3"/>
      <c r="D60" s="3"/>
      <c r="E60" s="83"/>
      <c r="F60" s="148"/>
      <c r="G60" s="82"/>
      <c r="H60" s="82"/>
      <c r="I60" s="82"/>
      <c r="J60" s="78"/>
      <c r="K60" s="78"/>
      <c r="L60" s="78"/>
      <c r="M60" s="78"/>
      <c r="N60" s="77"/>
      <c r="O60" s="202"/>
      <c r="P60" s="204"/>
      <c r="Q60" s="57"/>
      <c r="R60" s="8"/>
    </row>
    <row r="61" spans="2:18" ht="15" customHeight="1" x14ac:dyDescent="0.25">
      <c r="B61" s="7"/>
      <c r="C61" s="3"/>
      <c r="D61" s="3"/>
      <c r="E61" s="85"/>
      <c r="F61" s="149"/>
      <c r="G61" s="87"/>
      <c r="H61" s="85"/>
      <c r="I61" s="82"/>
      <c r="J61" s="79"/>
      <c r="K61" s="76"/>
      <c r="L61" s="76"/>
      <c r="M61" s="76"/>
      <c r="N61" s="76"/>
      <c r="O61" s="133"/>
      <c r="P61" s="134"/>
      <c r="Q61" s="57"/>
      <c r="R61" s="8"/>
    </row>
    <row r="62" spans="2:18" ht="15.75" x14ac:dyDescent="0.2">
      <c r="B62" s="7"/>
      <c r="C62" s="3"/>
      <c r="D62" s="3"/>
      <c r="E62" s="85"/>
      <c r="F62" s="105"/>
      <c r="G62" s="82"/>
      <c r="H62" s="86"/>
      <c r="I62" s="82"/>
      <c r="J62" s="80" t="s">
        <v>25</v>
      </c>
      <c r="K62" s="76"/>
      <c r="L62" s="76"/>
      <c r="M62" s="76"/>
      <c r="N62" s="76"/>
      <c r="O62" s="97" t="s">
        <v>58</v>
      </c>
      <c r="P62" s="177"/>
      <c r="Q62" s="57"/>
      <c r="R62" s="8"/>
    </row>
    <row r="63" spans="2:18" ht="15.75" x14ac:dyDescent="0.25">
      <c r="B63" s="7"/>
      <c r="C63" s="135" t="s">
        <v>60</v>
      </c>
      <c r="D63" s="135" t="s">
        <v>60</v>
      </c>
      <c r="E63" s="85"/>
      <c r="F63" s="105"/>
      <c r="G63" s="82"/>
      <c r="H63" s="86"/>
      <c r="I63" s="82"/>
      <c r="J63" s="80"/>
      <c r="K63" s="76"/>
      <c r="L63" s="76"/>
      <c r="M63" s="76"/>
      <c r="N63" s="76"/>
      <c r="O63" s="178"/>
      <c r="P63" s="100"/>
      <c r="Q63" s="57"/>
      <c r="R63" s="8"/>
    </row>
    <row r="64" spans="2:18" ht="15.75" x14ac:dyDescent="0.25">
      <c r="B64" s="7"/>
      <c r="C64" s="135" t="s">
        <v>61</v>
      </c>
      <c r="D64" s="130" t="s">
        <v>61</v>
      </c>
      <c r="E64" s="120"/>
      <c r="F64" s="120"/>
      <c r="G64" s="120"/>
      <c r="H64" s="120"/>
      <c r="I64" s="120"/>
      <c r="J64" s="120"/>
      <c r="K64" s="120"/>
      <c r="L64" s="120"/>
      <c r="M64" s="120"/>
      <c r="N64" s="120"/>
      <c r="O64" s="126"/>
      <c r="P64" s="121"/>
      <c r="Q64" s="57"/>
      <c r="R64" s="8"/>
    </row>
    <row r="65" spans="2:18" ht="15" customHeight="1" thickBot="1" x14ac:dyDescent="0.25">
      <c r="B65" s="7"/>
      <c r="C65" s="119"/>
      <c r="D65" s="119"/>
      <c r="E65" s="119"/>
      <c r="F65" s="119"/>
      <c r="G65" s="119"/>
      <c r="H65" s="119"/>
      <c r="I65" s="119"/>
      <c r="J65" s="119"/>
      <c r="K65" s="119"/>
      <c r="L65" s="119"/>
      <c r="M65" s="119"/>
      <c r="N65" s="119"/>
      <c r="O65" s="115"/>
      <c r="P65" s="121"/>
      <c r="Q65" s="57"/>
      <c r="R65" s="8"/>
    </row>
    <row r="66" spans="2:18" ht="15" customHeight="1" thickTop="1" x14ac:dyDescent="0.2">
      <c r="B66" s="7"/>
      <c r="C66" s="206" t="s">
        <v>56</v>
      </c>
      <c r="D66" s="206"/>
      <c r="E66" s="206"/>
      <c r="F66" s="206"/>
      <c r="G66" s="206"/>
      <c r="H66" s="206"/>
      <c r="I66" s="206"/>
      <c r="J66" s="206"/>
      <c r="K66" s="206"/>
      <c r="L66" s="206"/>
      <c r="M66" s="206"/>
      <c r="N66" s="206"/>
      <c r="O66" s="58"/>
      <c r="P66" s="101"/>
      <c r="Q66" s="57"/>
      <c r="R66" s="8"/>
    </row>
    <row r="67" spans="2:18" ht="12.75" customHeight="1" x14ac:dyDescent="0.2">
      <c r="B67" s="7"/>
      <c r="C67" s="119"/>
      <c r="D67" s="3"/>
      <c r="E67" s="127"/>
      <c r="F67" s="127"/>
      <c r="G67" s="127"/>
      <c r="H67" s="127"/>
      <c r="I67" s="127"/>
      <c r="J67" s="127"/>
      <c r="K67" s="127"/>
      <c r="L67" s="167"/>
      <c r="M67" s="167"/>
      <c r="N67" s="127"/>
      <c r="O67" s="124"/>
      <c r="P67" s="97"/>
      <c r="Q67" s="57"/>
      <c r="R67" s="8"/>
    </row>
    <row r="68" spans="2:18" ht="3" customHeight="1" thickBot="1" x14ac:dyDescent="0.25">
      <c r="B68" s="7"/>
      <c r="C68" s="128"/>
      <c r="D68" s="3"/>
      <c r="E68" s="116"/>
      <c r="F68" s="116"/>
      <c r="G68" s="116"/>
      <c r="H68" s="116"/>
      <c r="I68" s="116"/>
      <c r="J68" s="116"/>
      <c r="K68" s="116"/>
      <c r="L68" s="116"/>
      <c r="M68" s="116"/>
      <c r="N68" s="116"/>
      <c r="O68" s="125"/>
      <c r="P68" s="115"/>
      <c r="Q68" s="57"/>
      <c r="R68" s="8"/>
    </row>
    <row r="69" spans="2:18" ht="15.75" thickTop="1" x14ac:dyDescent="0.2">
      <c r="B69" s="7"/>
      <c r="C69" s="3"/>
      <c r="D69" s="3"/>
      <c r="E69" s="18"/>
      <c r="F69" s="199" t="s">
        <v>54</v>
      </c>
      <c r="G69" s="199"/>
      <c r="H69" s="199"/>
      <c r="I69" s="199"/>
      <c r="J69" s="199"/>
      <c r="K69" s="199"/>
      <c r="L69" s="199"/>
      <c r="M69" s="199"/>
      <c r="N69" s="199"/>
      <c r="O69" s="186"/>
      <c r="P69" s="187"/>
      <c r="Q69" s="57"/>
      <c r="R69" s="8"/>
    </row>
    <row r="70" spans="2:18" ht="15.75" customHeight="1" x14ac:dyDescent="0.2">
      <c r="B70" s="7"/>
      <c r="C70" s="207" t="s">
        <v>55</v>
      </c>
      <c r="D70" s="207"/>
      <c r="E70" s="207"/>
      <c r="F70" s="207"/>
      <c r="G70" s="207"/>
      <c r="H70" s="207"/>
      <c r="I70" s="207"/>
      <c r="J70" s="207"/>
      <c r="K70" s="207"/>
      <c r="L70" s="207"/>
      <c r="M70" s="207"/>
      <c r="N70" s="207"/>
      <c r="O70" s="186"/>
      <c r="P70" s="188"/>
      <c r="Q70" s="57"/>
      <c r="R70" s="8"/>
    </row>
    <row r="71" spans="2:18" ht="15.75" customHeight="1" x14ac:dyDescent="0.2">
      <c r="B71" s="7"/>
      <c r="C71" s="3"/>
      <c r="D71" s="3"/>
      <c r="E71" s="126"/>
      <c r="F71" s="126"/>
      <c r="G71" s="126"/>
      <c r="H71" s="126"/>
      <c r="I71" s="126"/>
      <c r="J71" s="126"/>
      <c r="K71" s="126"/>
      <c r="L71" s="168"/>
      <c r="M71" s="168"/>
      <c r="N71" s="126"/>
      <c r="O71" s="186"/>
      <c r="P71" s="189"/>
      <c r="Q71" s="57"/>
      <c r="R71" s="8"/>
    </row>
    <row r="72" spans="2:18" ht="0.95" customHeight="1" thickBot="1" x14ac:dyDescent="0.25">
      <c r="B72" s="7"/>
      <c r="C72" s="114"/>
      <c r="D72" s="114"/>
      <c r="E72" s="115"/>
      <c r="F72" s="115"/>
      <c r="G72" s="115"/>
      <c r="H72" s="200"/>
      <c r="I72" s="200"/>
      <c r="J72" s="200"/>
      <c r="K72" s="200"/>
      <c r="L72" s="200"/>
      <c r="M72" s="200"/>
      <c r="N72" s="200"/>
      <c r="O72" s="186"/>
      <c r="P72" s="186"/>
      <c r="Q72" s="57"/>
      <c r="R72" s="8"/>
    </row>
    <row r="73" spans="2:18" ht="6" customHeight="1" thickTop="1" x14ac:dyDescent="0.2">
      <c r="B73" s="7"/>
      <c r="C73" s="58"/>
      <c r="D73" s="58"/>
      <c r="E73" s="58"/>
      <c r="F73" s="58"/>
      <c r="G73" s="58"/>
      <c r="H73" s="58"/>
      <c r="I73" s="58"/>
      <c r="J73" s="58"/>
      <c r="K73" s="58"/>
      <c r="L73" s="58"/>
      <c r="M73" s="58"/>
      <c r="N73" s="58"/>
      <c r="O73" s="186"/>
      <c r="P73" s="186"/>
      <c r="Q73" s="57"/>
      <c r="R73" s="8"/>
    </row>
    <row r="74" spans="2:18" x14ac:dyDescent="0.2">
      <c r="B74" s="7"/>
      <c r="C74" s="118"/>
      <c r="D74" s="118"/>
      <c r="E74" s="118"/>
      <c r="F74" s="118"/>
      <c r="G74" s="118"/>
      <c r="H74" s="118"/>
      <c r="I74" s="118"/>
      <c r="J74" s="118"/>
      <c r="K74" s="124"/>
      <c r="L74" s="124"/>
      <c r="M74" s="124"/>
      <c r="N74" s="124"/>
      <c r="O74" s="186"/>
      <c r="P74" s="186"/>
      <c r="Q74" s="57"/>
      <c r="R74" s="8"/>
    </row>
    <row r="75" spans="2:18" x14ac:dyDescent="0.2">
      <c r="B75" s="7"/>
      <c r="C75" s="117"/>
      <c r="D75" s="117"/>
      <c r="E75" s="117"/>
      <c r="F75" s="117"/>
      <c r="G75" s="117"/>
      <c r="H75" s="117"/>
      <c r="I75" s="117"/>
      <c r="J75" s="117"/>
      <c r="K75" s="125"/>
      <c r="L75" s="125"/>
      <c r="M75" s="125"/>
      <c r="N75" s="125"/>
      <c r="O75" s="186"/>
      <c r="P75" s="186"/>
      <c r="Q75" s="114"/>
      <c r="R75" s="8"/>
    </row>
    <row r="76" spans="2:18" x14ac:dyDescent="0.2">
      <c r="O76" s="186"/>
      <c r="P76" s="18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O21" val="35343" numFmtId="14"/>
      <inputCells r="O22" val="452"/>
      <inputCells r="O23" val="T. Farot"/>
      <inputCells r="O24" val="Le Havre"/>
    </scenario>
  </scenarios>
  <mergeCells count="19">
    <mergeCell ref="O9:P9"/>
    <mergeCell ref="F55:K55"/>
    <mergeCell ref="O21:P21"/>
    <mergeCell ref="O24:P24"/>
    <mergeCell ref="O13:P13"/>
    <mergeCell ref="G23:H23"/>
    <mergeCell ref="E22:J22"/>
    <mergeCell ref="E21:J21"/>
    <mergeCell ref="E24:J24"/>
    <mergeCell ref="O17:P19"/>
    <mergeCell ref="F26:N26"/>
    <mergeCell ref="F69:N69"/>
    <mergeCell ref="H72:N72"/>
    <mergeCell ref="H14:N15"/>
    <mergeCell ref="O59:O60"/>
    <mergeCell ref="P59:P60"/>
    <mergeCell ref="D57:N57"/>
    <mergeCell ref="C66:N66"/>
    <mergeCell ref="C70:N70"/>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P5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P63 P57:P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O57:O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P59">
      <formula1>0</formula1>
      <formula2>0</formula2>
    </dataValidation>
    <dataValidation type="list" allowBlank="1" showInputMessage="1" showErrorMessage="1" errorTitle="Code TVA" error="Tapez 1, 2, ou 3." sqref="N27:N56 N58:N59">
      <formula1>"1,2,3"</formula1>
    </dataValidation>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O62"/>
    <dataValidation type="decimal" allowBlank="1" showErrorMessage="1" errorTitle="Prix unitaire" error="Tapez un nombre dans cette cellule." promptTitle="Prix unitaire" sqref="P27 O27:O36 O40:O55 O37:P39 P31:P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P40:P55 P28:P30">
      <formula1>0</formula1>
      <formula2>0</formula2>
    </dataValidation>
    <dataValidation type="whole" errorStyle="warning" allowBlank="1" showErrorMessage="1" errorTitle="Quantité" error="Tapez un nombre dans cette cellule." promptTitle="Quantité" sqref="E27:E56 E58:E59 D5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14</xdr:col>
                    <xdr:colOff>485775</xdr:colOff>
                    <xdr:row>14</xdr:row>
                    <xdr:rowOff>0</xdr:rowOff>
                  </from>
                  <to>
                    <xdr:col>15</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59</xdr:row>
                    <xdr:rowOff>0</xdr:rowOff>
                  </from>
                  <to>
                    <xdr:col>4</xdr:col>
                    <xdr:colOff>695325</xdr:colOff>
                    <xdr:row>60</xdr:row>
                    <xdr:rowOff>28575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60</xdr:row>
                    <xdr:rowOff>0</xdr:rowOff>
                  </from>
                  <to>
                    <xdr:col>4</xdr:col>
                    <xdr:colOff>704850</xdr:colOff>
                    <xdr:row>61</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61</xdr:row>
                    <xdr:rowOff>28575</xdr:rowOff>
                  </from>
                  <to>
                    <xdr:col>4</xdr:col>
                    <xdr:colOff>714375</xdr:colOff>
                    <xdr:row>62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Facture!$O$21</f>
        <v>45411</v>
      </c>
      <c r="D8" s="71" t="str">
        <f>Facture!$E$21</f>
        <v>SMTT</v>
      </c>
      <c r="E8" s="68" t="str">
        <f>Facture!$E$22</f>
        <v>39 AVENUE DU JAPON IMMEUBLE SAFSAF A2-2</v>
      </c>
      <c r="F8" s="68">
        <f>Facture!$E$23</f>
        <v>0</v>
      </c>
      <c r="G8" s="71">
        <f>Facture!$G$23</f>
        <v>0</v>
      </c>
      <c r="H8" s="71" t="str">
        <f>Facture!$J$23</f>
        <v>TN</v>
      </c>
      <c r="I8" s="68" t="str">
        <f>Facture!$E$24</f>
        <v xml:space="preserve">        71 906 788             fax: 71 906 849</v>
      </c>
      <c r="J8" s="72">
        <f>Facture!$P$59</f>
        <v>7081.5</v>
      </c>
      <c r="K8" s="68">
        <f>Facture!$O$23</f>
        <v>0</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2024-04-30T08:55:50Z</cp:lastPrinted>
  <dcterms:created xsi:type="dcterms:W3CDTF">1995-05-29T15:50:39Z</dcterms:created>
  <dcterms:modified xsi:type="dcterms:W3CDTF">2024-04-30T10:20:05Z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7081.5</vt:r8>
  </property>
</Properties>
</file>