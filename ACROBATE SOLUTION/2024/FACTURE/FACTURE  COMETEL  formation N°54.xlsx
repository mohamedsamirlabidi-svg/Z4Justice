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Facture!$K$46</definedName>
    <definedName name="_Tax3">Facture!$K$48</definedName>
    <definedName name="_tax4">Facture!$K$48</definedName>
    <definedName name="_xlnm.Auto_Open21">AutoOpen_Stub_Data!$A$1</definedName>
    <definedName name="boxes">Facture!$C$46:$C$47</definedName>
    <definedName name="CC">Personnaliser_votre_facture!$G$22:$G$25</definedName>
    <definedName name="CCT">Facture!$F$48</definedName>
    <definedName name="CDB">Personnaliser_votre_facture!$E$50</definedName>
    <definedName name="Country">33</definedName>
    <definedName name="CS">Personnaliser_votre_facture!$E$51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Facture!$C$43</definedName>
    <definedName name="data6">Facture!$D$22</definedName>
    <definedName name="data60">Facture!$D$43</definedName>
    <definedName name="data61">Facture!$K$43</definedName>
    <definedName name="data62">Facture!$C$46</definedName>
    <definedName name="data63">Facture!$C$47</definedName>
    <definedName name="data64">Facture!$C$48</definedName>
    <definedName name="data65">Facture!$F$47</definedName>
    <definedName name="data66">Facture!$D$51</definedName>
    <definedName name="data67">Facture!$D$52</definedName>
    <definedName name="data68">Facture!$E$56</definedName>
    <definedName name="data69">Facture!$I$56</definedName>
    <definedName name="data7">Facture!$F$23</definedName>
    <definedName name="data70">Facture!#REF!</definedName>
    <definedName name="data8">Facture!$H$23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Facture!$A$3:$L$61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Facture!$D$43:$I$43</definedName>
    <definedName name="qzqzqz26">Facture!$D$51:$G$51</definedName>
    <definedName name="qzqzqz27">Facture!#REF!</definedName>
    <definedName name="qzqzqz28">Facture!$D$52:$G$52</definedName>
    <definedName name="qzqzqz29">Facture!$I$56:$L$56</definedName>
    <definedName name="qzqzqz3">Facture!$C$22:$H$22</definedName>
    <definedName name="qzqzqz30">Facture!$E$56:$G$56</definedName>
    <definedName name="qzqzqz31">Facture!$E$56:$F$56</definedName>
    <definedName name="qzqzqz32">Facture!$I$52:$L$56</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Personnaliser_votre_facture!$E$48</definedName>
    <definedName name="TOT">Facture!$L$47</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Facture!$A$3:$L$61</definedName>
  </definedNames>
  <calcPr calcId="152511"/>
</workbook>
</file>

<file path=xl/calcChain.xml><?xml version="1.0" encoding="utf-8"?>
<calcChain xmlns="http://schemas.openxmlformats.org/spreadsheetml/2006/main">
  <c r="L32" i="3" l="1"/>
  <c r="L34" i="3"/>
  <c r="L43" i="3"/>
  <c r="L44" i="3" l="1"/>
  <c r="L46" i="3"/>
  <c r="L47" i="3"/>
  <c r="K8" i="5"/>
  <c r="I8" i="5"/>
  <c r="H8" i="5"/>
  <c r="G8" i="5"/>
  <c r="F8" i="5"/>
  <c r="E8" i="5"/>
  <c r="D8" i="5"/>
  <c r="C8" i="5"/>
  <c r="B8" i="5"/>
  <c r="F33" i="2"/>
  <c r="L27" i="3"/>
  <c r="J8" i="5" l="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rgb="FF000000"/>
            <rFont val="Tahoma"/>
            <family val="2"/>
          </rPr>
          <t>Si vous n'avez pas inséré de logo dans votre modèle de facture personnalisé, cette zone n'apparaîtra pas sur vos documents imprimés.</t>
        </r>
      </text>
    </comment>
    <comment ref="K14" authorId="0" shapeId="0">
      <text>
        <r>
          <rPr>
            <sz val="8"/>
            <color rgb="FF000000"/>
            <rFont val="Tahoma"/>
            <family val="2"/>
          </rPr>
          <t>Cliquez sur ce bouton pour retourner à la feuille Personnaliser vos frais et modifier vos informations personnelles.</t>
        </r>
      </text>
    </comment>
    <comment ref="J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E45"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<sst xmlns="http://schemas.openxmlformats.org/spreadsheetml/2006/main" count="94" uniqueCount="77">
  <si>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</si>
  <si>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</si>
  <si>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</si>
  <si>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</si>
  <si>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</si>
  <si>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</si>
  <si>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</si>
  <si>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</si>
  <si>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</si>
  <si>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</si>
  <si>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</si>
  <si>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</si>
  <si>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</si>
  <si>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</si>
  <si>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</si>
  <si>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</si>
  <si>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</si>
  <si>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</si>
  <si>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</si>
  <si>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</si>
  <si>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</si>
  <si>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</si>
  <si>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</si>
  <si>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</si>
  <si>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</si>
  <si>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</si>
  <si>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http://www.camp.it</t>
  </si>
  <si>
    <t xml:space="preserve">COMETEL </t>
  </si>
  <si>
    <t>Date</t>
  </si>
  <si>
    <t>RS LILIA JMZH 2AP01 MNIHLA</t>
  </si>
  <si>
    <t xml:space="preserve">Commande N°:             </t>
  </si>
  <si>
    <t>ARIANA</t>
  </si>
  <si>
    <t>TN</t>
  </si>
  <si>
    <t>Responsable</t>
  </si>
  <si>
    <t>Téléphone</t>
  </si>
  <si>
    <t xml:space="preserve">22619085   fax: </t>
  </si>
  <si>
    <t>MF</t>
  </si>
  <si>
    <t>1114374R/A/M/000</t>
  </si>
  <si>
    <t>Référence</t>
  </si>
  <si>
    <t>Quantité</t>
  </si>
  <si>
    <t>Description</t>
  </si>
  <si>
    <t>P.U</t>
  </si>
  <si>
    <t>Montant</t>
  </si>
  <si>
    <t>Total H.T.</t>
  </si>
  <si>
    <t>Comptant</t>
  </si>
  <si>
    <t>Total T.T.C.</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</si>
  <si>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</si>
  <si>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</si>
  <si>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</si>
  <si>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</si>
  <si>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</si>
  <si>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</si>
  <si>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</si>
  <si>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</si>
  <si>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</si>
  <si>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</si>
  <si>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</si>
  <si>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</si>
  <si>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</si>
  <si>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</si>
  <si>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</si>
  <si>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</si>
  <si>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</si>
  <si>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</si>
  <si>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</si>
  <si>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</si>
  <si>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</si>
  <si>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 MR SLIM</t>
  </si>
  <si>
    <t>FORMATION THEORIQUE ET PRATIQUE :</t>
  </si>
  <si>
    <t>SUR LES THEMES:</t>
  </si>
  <si>
    <t/>
  </si>
  <si>
    <t>ARRETE LA PRESENTE FACTURE A LA SOMME DE :</t>
  </si>
  <si>
    <t>CDF-2024-000042</t>
  </si>
  <si>
    <t xml:space="preserve">TRAVAIL EN HAUTEUR </t>
  </si>
  <si>
    <t xml:space="preserve">ELECTRIQUE </t>
  </si>
  <si>
    <t>FACTURE  N°  2024-054</t>
  </si>
  <si>
    <t xml:space="preserve">SIX MILLE DEUX CENT QUARANTE HUIT DINARS ET 500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</si>
</sst>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s>
  <fonts count="26">
    <font>
      <sz val="10"/>
      <color rgb="FF000000"/>
      <name val="Arial"/>
      <family val="2"/>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sz val="12"/>
      <color rgb="FF000000"/>
      <name val="Arial"/>
      <family val="2"/>
    </font>
    <font>
      <b/>
      <u/>
      <sz val="12"/>
      <color rgb="FF000000"/>
      <name val="Arial"/>
      <family val="2"/>
    </font>
    <font>
      <i/>
      <sz val="10"/>
      <color rgb="FF000000"/>
      <name val="Arial"/>
      <family val="2"/>
    </font>
    <font>
      <b/>
      <u/>
      <sz val="9"/>
      <color rgb="FF000000"/>
      <name val="Arial"/>
      <family val="2"/>
    </font>
    <font>
      <sz val="14"/>
      <color theme="1"/>
      <name val="Arial"/>
      <family val="2"/>
    </font>
    <font>
      <b/>
      <sz val="14"/>
      <color theme="1"/>
      <name val="Arial"/>
      <family val="2"/>
    </font>
    <font>
      <sz val="11"/>
      <name val="Arial"/>
      <family val="2"/>
    </font>
    <font>
      <sz val="10"/>
      <name val="Arial"/>
      <family val="2"/>
    </font>
    <font>
      <sz val="12"/>
      <color theme="1"/>
      <name val="Arial"/>
      <family val="2"/>
    </font>
  </fonts>
  <fills count="7">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
      <patternFill patternType="solid">
        <fgColor indexed="9"/>
        <bgColor indexed="64"/>
      </patternFill>
    </fill>
  </fills>
  <borders count="42">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s>
  <cellStyleXfs count="6">
    <xf numFmtId="0" fontId="0" fillId="2" borderId="0"/>
    <xf numFmtId="9" fontId="1" fillId="2" borderId="0" applyFont="0" applyFill="0" applyBorder="0" applyAlignment="0" applyProtection="0"/>
    <xf numFmtId="0" fontId="2" fillId="2" borderId="0" applyNumberFormat="0" applyFill="0" applyBorder="0" applyAlignment="0" applyProtection="0"/>
    <xf numFmtId="0" fontId="1" fillId="2" borderId="0" applyNumberFormat="0" applyFont="0" applyBorder="0" applyProtection="0"/>
    <xf numFmtId="167" fontId="1" fillId="2" borderId="0" applyFont="0" applyFill="0" applyBorder="0" applyAlignment="0" applyProtection="0"/>
    <xf numFmtId="168" fontId="1" fillId="2" borderId="0" applyFont="0" applyFill="0" applyBorder="0" applyAlignment="0" applyProtection="0"/>
  </cellStyleXfs>
  <cellXfs count="138">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5" fillId="3" borderId="0" xfId="0" applyFont="1" applyFill="1"/>
    <xf numFmtId="0" fontId="6" fillId="3" borderId="0" xfId="0" applyFont="1" applyFill="1" applyAlignment="1">
      <alignment horizontal="center"/>
    </xf>
    <xf numFmtId="0" fontId="7" fillId="3" borderId="0" xfId="0" applyFont="1" applyFill="1"/>
    <xf numFmtId="0" fontId="9"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1"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0" fillId="4" borderId="22" xfId="0" applyFont="1" applyFill="1" applyBorder="1" applyAlignment="1"/>
    <xf numFmtId="0" fontId="10" fillId="4" borderId="0" xfId="0" applyFont="1" applyFill="1" applyAlignment="1"/>
    <xf numFmtId="0" fontId="11" fillId="4" borderId="0" xfId="0" applyFont="1" applyFill="1" applyAlignment="1"/>
    <xf numFmtId="0" fontId="10" fillId="4" borderId="16" xfId="0" applyFont="1" applyFill="1" applyBorder="1" applyAlignment="1"/>
    <xf numFmtId="0" fontId="10" fillId="3" borderId="0" xfId="0" applyFont="1" applyFill="1" applyAlignment="1"/>
    <xf numFmtId="0" fontId="10" fillId="3" borderId="5" xfId="0" applyFont="1" applyFill="1" applyBorder="1" applyAlignment="1"/>
    <xf numFmtId="0" fontId="9" fillId="4" borderId="0" xfId="0" applyFont="1" applyFill="1" applyAlignment="1"/>
    <xf numFmtId="0" fontId="10" fillId="4" borderId="21" xfId="0" applyFont="1" applyFill="1" applyBorder="1" applyAlignment="1"/>
    <xf numFmtId="0" fontId="10" fillId="4" borderId="10" xfId="0" applyFont="1" applyFill="1" applyBorder="1" applyAlignment="1"/>
    <xf numFmtId="0" fontId="10"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2" fillId="3" borderId="0" xfId="2" applyFont="1" applyFill="1" applyAlignment="1">
      <alignment horizontal="center"/>
    </xf>
    <xf numFmtId="0" fontId="0" fillId="3" borderId="0" xfId="0" applyFill="1" applyAlignment="1">
      <alignment horizontal="center"/>
    </xf>
    <xf numFmtId="0" fontId="12" fillId="3" borderId="0" xfId="0" applyFont="1" applyFill="1"/>
    <xf numFmtId="0" fontId="5" fillId="3" borderId="8" xfId="0" applyFont="1" applyFill="1" applyBorder="1"/>
    <xf numFmtId="0" fontId="0" fillId="3" borderId="0" xfId="0" applyFill="1" applyAlignment="1">
      <alignment horizontal="left"/>
    </xf>
    <xf numFmtId="49" fontId="0" fillId="3" borderId="30" xfId="0" applyNumberFormat="1" applyFill="1" applyBorder="1" applyAlignment="1">
      <alignment horizontal="left"/>
    </xf>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8" fillId="3" borderId="32" xfId="0" applyFont="1" applyFill="1" applyBorder="1" applyAlignment="1">
      <alignment horizontal="center"/>
    </xf>
    <xf numFmtId="0" fontId="8" fillId="3" borderId="33" xfId="0" applyFont="1" applyFill="1" applyBorder="1" applyAlignment="1">
      <alignment horizontal="center"/>
    </xf>
    <xf numFmtId="0" fontId="8" fillId="3" borderId="32" xfId="0" applyFont="1" applyFill="1" applyBorder="1" applyAlignment="1"/>
    <xf numFmtId="0" fontId="0" fillId="3" borderId="0" xfId="0" applyFill="1" applyAlignment="1"/>
    <xf numFmtId="0" fontId="16" fillId="3" borderId="34" xfId="0" applyFont="1" applyFill="1" applyBorder="1" applyAlignment="1">
      <alignment horizontal="left"/>
    </xf>
    <xf numFmtId="0" fontId="15" fillId="3" borderId="35" xfId="0" applyFont="1" applyFill="1" applyBorder="1" applyAlignment="1">
      <alignment horizontal="center"/>
    </xf>
    <xf numFmtId="0" fontId="15" fillId="3" borderId="37" xfId="0" applyFont="1" applyFill="1" applyBorder="1" applyAlignment="1"/>
    <xf numFmtId="164" fontId="15" fillId="0" borderId="35" xfId="0" applyNumberFormat="1" applyFont="1" applyFill="1" applyBorder="1"/>
    <xf numFmtId="0" fontId="16" fillId="3" borderId="34" xfId="0" applyFont="1" applyFill="1" applyBorder="1" applyAlignment="1">
      <alignment horizontal="center"/>
    </xf>
    <xf numFmtId="0" fontId="15" fillId="3" borderId="0" xfId="0" applyFont="1" applyFill="1" applyAlignment="1"/>
    <xf numFmtId="0" fontId="0" fillId="3" borderId="35" xfId="0" applyFill="1" applyBorder="1" applyAlignment="1">
      <alignment horizontal="center"/>
    </xf>
    <xf numFmtId="0" fontId="16" fillId="3" borderId="38" xfId="0" applyFont="1" applyFill="1" applyBorder="1" applyAlignment="1">
      <alignment horizontal="left"/>
    </xf>
    <xf numFmtId="0" fontId="0" fillId="3" borderId="39" xfId="0" applyFill="1" applyBorder="1" applyAlignment="1">
      <alignment horizontal="center"/>
    </xf>
    <xf numFmtId="0" fontId="15" fillId="3" borderId="40" xfId="0" applyFont="1" applyFill="1" applyBorder="1" applyAlignment="1"/>
    <xf numFmtId="0" fontId="15" fillId="3" borderId="0" xfId="0" applyFont="1" applyFill="1"/>
    <xf numFmtId="0" fontId="15" fillId="3" borderId="33" xfId="0" applyFont="1" applyFill="1" applyBorder="1" applyAlignment="1">
      <alignment horizontal="right"/>
    </xf>
    <xf numFmtId="164" fontId="17" fillId="0" borderId="33" xfId="0" applyNumberFormat="1" applyFont="1" applyFill="1" applyBorder="1"/>
    <xf numFmtId="0" fontId="16" fillId="3" borderId="33" xfId="0" applyFont="1" applyFill="1" applyBorder="1" applyAlignment="1">
      <alignment horizontal="right"/>
    </xf>
    <xf numFmtId="164" fontId="15" fillId="0" borderId="33" xfId="0" applyNumberFormat="1" applyFont="1" applyFill="1" applyBorder="1"/>
    <xf numFmtId="165" fontId="0" fillId="3" borderId="0" xfId="0" applyNumberFormat="1" applyFill="1"/>
    <xf numFmtId="0" fontId="15" fillId="3" borderId="0" xfId="0" applyFont="1" applyFill="1" applyAlignment="1">
      <alignment horizontal="right"/>
    </xf>
    <xf numFmtId="10" fontId="15" fillId="0" borderId="33" xfId="0" applyNumberFormat="1" applyFont="1" applyFill="1" applyBorder="1" applyAlignment="1">
      <alignment horizontal="center"/>
    </xf>
    <xf numFmtId="0" fontId="0" fillId="3" borderId="0" xfId="0" applyFill="1" applyAlignment="1">
      <alignment vertical="top"/>
    </xf>
    <xf numFmtId="9" fontId="17" fillId="3" borderId="0" xfId="0" applyNumberFormat="1" applyFont="1" applyFill="1"/>
    <xf numFmtId="0" fontId="17" fillId="3" borderId="33" xfId="0" applyFont="1" applyFill="1" applyBorder="1" applyAlignment="1">
      <alignment horizontal="right"/>
    </xf>
    <xf numFmtId="10" fontId="15" fillId="3" borderId="0" xfId="0" applyNumberFormat="1" applyFont="1" applyFill="1" applyAlignment="1">
      <alignment horizontal="center"/>
    </xf>
    <xf numFmtId="164" fontId="15" fillId="3" borderId="0" xfId="0" applyNumberFormat="1" applyFont="1" applyFill="1"/>
    <xf numFmtId="0" fontId="18" fillId="3" borderId="0" xfId="0" applyFont="1" applyFill="1" applyAlignment="1">
      <alignment vertical="top"/>
    </xf>
    <xf numFmtId="0" fontId="17" fillId="0" borderId="0" xfId="0" applyFont="1" applyFill="1"/>
    <xf numFmtId="0" fontId="6" fillId="3" borderId="0" xfId="0" applyFont="1" applyFill="1" applyAlignment="1">
      <alignment horizontal="left"/>
    </xf>
    <xf numFmtId="49" fontId="15" fillId="3" borderId="0" xfId="0" applyNumberFormat="1" applyFont="1" applyFill="1" applyAlignment="1"/>
    <xf numFmtId="0" fontId="19" fillId="3" borderId="0" xfId="0" applyFont="1" applyFill="1" applyAlignment="1">
      <alignment vertical="center" wrapText="1"/>
    </xf>
    <xf numFmtId="0" fontId="19" fillId="3" borderId="41" xfId="0" applyFont="1" applyFill="1" applyBorder="1" applyAlignment="1">
      <alignment horizontal="center" vertical="center" wrapText="1"/>
    </xf>
    <xf numFmtId="0" fontId="19" fillId="3" borderId="0" xfId="0" applyFont="1" applyFill="1" applyAlignment="1">
      <alignment horizontal="center" vertical="center" wrapText="1"/>
    </xf>
    <xf numFmtId="0" fontId="0" fillId="3" borderId="0" xfId="0" applyFill="1"/>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0" fontId="20" fillId="3" borderId="34" xfId="0" applyFont="1" applyFill="1" applyBorder="1"/>
    <xf numFmtId="0" fontId="17" fillId="3" borderId="0" xfId="0" applyFont="1" applyFill="1" applyAlignment="1">
      <alignment horizontal="left"/>
    </xf>
    <xf numFmtId="0" fontId="21" fillId="3" borderId="34" xfId="0" applyFont="1" applyFill="1" applyBorder="1"/>
    <xf numFmtId="49" fontId="21" fillId="0" borderId="34" xfId="0" applyNumberFormat="1" applyFont="1" applyFill="1" applyBorder="1" applyAlignment="1"/>
    <xf numFmtId="0" fontId="22" fillId="3" borderId="34" xfId="0" applyFont="1" applyFill="1" applyBorder="1"/>
    <xf numFmtId="0" fontId="14" fillId="3" borderId="34" xfId="0" applyFont="1" applyFill="1" applyBorder="1"/>
    <xf numFmtId="0" fontId="14" fillId="3" borderId="0" xfId="0" applyFont="1" applyFill="1" applyAlignment="1">
      <alignment horizontal="left"/>
    </xf>
    <xf numFmtId="0" fontId="23" fillId="6" borderId="0" xfId="0" applyFont="1" applyFill="1" applyBorder="1"/>
    <xf numFmtId="0" fontId="24" fillId="6" borderId="0" xfId="0" applyFont="1" applyFill="1" applyBorder="1"/>
    <xf numFmtId="0" fontId="25" fillId="3" borderId="34" xfId="0" applyFont="1" applyFill="1" applyBorder="1"/>
    <xf numFmtId="0" fontId="3" fillId="3" borderId="6" xfId="0" applyFont="1" applyFill="1" applyBorder="1" applyAlignment="1"/>
    <xf numFmtId="0" fontId="8" fillId="3" borderId="10" xfId="0" applyFont="1" applyFill="1" applyBorder="1" applyAlignment="1"/>
    <xf numFmtId="0" fontId="0" fillId="5" borderId="25" xfId="0" applyFill="1" applyBorder="1" applyAlignment="1"/>
    <xf numFmtId="0" fontId="0" fillId="3" borderId="0" xfId="0" applyFill="1"/>
    <xf numFmtId="0" fontId="2" fillId="3" borderId="0" xfId="2" applyFont="1" applyFill="1" applyAlignment="1">
      <alignment horizontal="center"/>
    </xf>
    <xf numFmtId="2" fontId="13" fillId="3" borderId="29" xfId="0" applyNumberFormat="1" applyFont="1" applyFill="1" applyBorder="1" applyAlignment="1">
      <alignment horizontal="center" vertical="center" wrapText="1"/>
    </xf>
    <xf numFmtId="49" fontId="14" fillId="3" borderId="30" xfId="0" applyNumberFormat="1" applyFont="1" applyFill="1" applyBorder="1" applyAlignment="1"/>
    <xf numFmtId="14" fontId="15" fillId="3" borderId="30" xfId="0" applyNumberFormat="1" applyFont="1" applyFill="1" applyBorder="1" applyAlignment="1">
      <alignment horizontal="center"/>
    </xf>
    <xf numFmtId="0" fontId="0" fillId="3" borderId="41" xfId="0" applyFill="1" applyBorder="1"/>
    <xf numFmtId="0" fontId="16" fillId="3" borderId="31" xfId="0" applyFont="1" applyFill="1" applyBorder="1" applyAlignment="1"/>
    <xf numFmtId="49" fontId="6" fillId="3" borderId="31" xfId="0" applyNumberFormat="1" applyFont="1" applyFill="1" applyBorder="1" applyAlignment="1">
      <alignment horizontal="left"/>
    </xf>
    <xf numFmtId="0" fontId="8"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8" fillId="3" borderId="33" xfId="0" applyFont="1" applyFill="1" applyBorder="1" applyAlignment="1">
      <alignment horizontal="center"/>
    </xf>
    <xf numFmtId="0" fontId="0" fillId="3" borderId="36" xfId="0" applyFill="1" applyBorder="1"/>
    <xf numFmtId="0" fontId="0" fillId="3" borderId="38" xfId="0" applyFill="1" applyBorder="1"/>
    <xf numFmtId="0" fontId="17" fillId="3" borderId="0" xfId="0" applyFont="1" applyFill="1" applyAlignment="1">
      <alignment shrinkToFit="1"/>
    </xf>
    <xf numFmtId="49" fontId="15" fillId="3" borderId="0" xfId="0" applyNumberFormat="1" applyFont="1" applyFill="1" applyAlignment="1">
      <alignment horizontal="center"/>
    </xf>
    <xf numFmtId="0" fontId="15" fillId="3" borderId="6" xfId="0" applyFont="1" applyFill="1" applyBorder="1" applyAlignment="1">
      <alignment horizontal="center" vertical="center"/>
    </xf>
    <xf numFmtId="49" fontId="0" fillId="3" borderId="31" xfId="0" applyNumberFormat="1" applyFill="1" applyBorder="1" applyAlignment="1">
      <alignment horizontal="center"/>
    </xf>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14</xdr:row>
      <xdr:rowOff>20052</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0</xdr:col>
      <xdr:colOff>104775</xdr:colOff>
      <xdr:row>18</xdr:row>
      <xdr:rowOff>152400</xdr:rowOff>
    </xdr:from>
    <xdr:ext cx="4613601" cy="948491"/>
    <xdr:sp macro="" textlink="">
      <xdr:nvSpPr>
        <xdr:cNvPr id="7" name="INVB1"/>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9</xdr:col>
      <xdr:colOff>502</xdr:colOff>
      <xdr:row>19</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10</xdr:col>
      <xdr:colOff>601583</xdr:colOff>
      <xdr:row>6</xdr:row>
      <xdr:rowOff>110285</xdr:rowOff>
    </xdr:from>
    <xdr:ext cx="942472" cy="715618"/>
    <xdr:pic>
      <xdr:nvPicPr>
        <xdr:cNvPr id="3" name="Image 6"/>
        <xdr:cNvPicPr>
          <a:picLocks noChangeAspect="1"/>
        </xdr:cNvPicPr>
      </xdr:nvPicPr>
      <xdr:blipFill>
        <a:blip xmlns:r="http://schemas.openxmlformats.org/officeDocument/2006/relationships" r:embed="rId1"/>
        <a:srcRect/>
        <a:stretch>
          <a:fillRect/>
        </a:stretch>
      </xdr:blipFill>
      <xdr:spPr>
        <a:xfrm>
          <a:off x="6383258" y="843710"/>
          <a:ext cx="942472" cy="715618"/>
        </a:xfrm>
        <a:prstGeom prst="rect">
          <a:avLst/>
        </a:prstGeom>
        <a:noFill/>
        <a:ln cap="flat">
          <a:noFill/>
        </a:ln>
      </xdr:spPr>
    </xdr:pic>
    <xdr:clientData/>
  </xdr:oneCellAnchor>
  <xdr:oneCellAnchor>
    <xdr:from>
      <xdr:col>0</xdr:col>
      <xdr:colOff>220580</xdr:colOff>
      <xdr:row>6</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2"/>
        <a:srcRect/>
        <a:stretch>
          <a:fillRect/>
        </a:stretch>
      </xdr:blipFill>
      <xdr:spPr>
        <a:xfrm>
          <a:off x="334880" y="743446"/>
          <a:ext cx="3268577" cy="1062788"/>
        </a:xfrm>
        <a:prstGeom prst="rect">
          <a:avLst/>
        </a:prstGeom>
        <a:noFill/>
        <a:ln cap="flat">
          <a:noFill/>
        </a:ln>
      </xdr:spPr>
    </xdr:pic>
    <xdr:clientData/>
  </xdr:oneCellAnchor>
  <xdr:oneCellAnchor>
    <xdr:from>
      <xdr:col>6</xdr:col>
      <xdr:colOff>250664</xdr:colOff>
      <xdr:row>7</xdr:row>
      <xdr:rowOff>130338</xdr:rowOff>
    </xdr:from>
    <xdr:ext cx="1614236" cy="802102"/>
    <xdr:pic>
      <xdr:nvPicPr>
        <xdr:cNvPr id="4" name="Image 11" descr="Résultat de recherche d'images pour &quot;FALLPROTEC&quot;"/>
        <xdr:cNvPicPr>
          <a:picLocks noChangeAspect="1"/>
        </xdr:cNvPicPr>
      </xdr:nvPicPr>
      <xdr:blipFill>
        <a:blip xmlns:r="http://schemas.openxmlformats.org/officeDocument/2006/relationships" r:embed="rId3"/>
        <a:srcRect/>
        <a:stretch>
          <a:fillRect/>
        </a:stretch>
      </xdr:blipFill>
      <xdr:spPr>
        <a:xfrm>
          <a:off x="4146389" y="1025688"/>
          <a:ext cx="1614236" cy="802102"/>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www.camp.i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17" t="s">
        <v>0</v>
      </c>
      <c r="E4" s="117"/>
      <c r="F4" s="117"/>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18" t="s">
        <v>3</v>
      </c>
      <c r="E10" s="118"/>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18" t="s">
        <v>15</v>
      </c>
      <c r="E19" s="118"/>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19" t="str">
        <f>LOWER(TemplateInformation!B3)</f>
        <v>c:\program files\microsoft office\office\macrolib\factbd.xls</v>
      </c>
      <c r="G33" s="119"/>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18" t="s">
        <v>24</v>
      </c>
      <c r="E36" s="118"/>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72"/>
  <sheetViews>
    <sheetView tabSelected="1" topLeftCell="A16" workbookViewId="0">
      <selection activeCell="F34" sqref="F34"/>
    </sheetView>
  </sheetViews>
  <sheetFormatPr baseColWidth="10" defaultColWidth="9.140625" defaultRowHeight="12.75"/>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0.42578125" customWidth="1"/>
    <col min="14" max="14" width="1.7109375" customWidth="1"/>
    <col min="15" max="15" width="9.140625" customWidth="1"/>
  </cols>
  <sheetData>
    <row r="1" spans="1:13" ht="6" customHeight="1" thickBot="1"/>
    <row r="2" spans="1:13" ht="0.95" customHeight="1" thickTop="1">
      <c r="A2" s="2"/>
      <c r="B2" s="2"/>
      <c r="C2" s="2"/>
      <c r="D2" s="2"/>
      <c r="E2" s="2"/>
      <c r="F2" s="2"/>
      <c r="G2" s="2"/>
      <c r="H2" s="2"/>
      <c r="I2" s="2"/>
      <c r="J2" s="2"/>
      <c r="K2" s="2"/>
      <c r="L2" s="2"/>
      <c r="M2" s="3"/>
    </row>
    <row r="3" spans="1:13">
      <c r="A3" s="5"/>
      <c r="B3" s="5"/>
      <c r="C3" s="5"/>
      <c r="D3" s="5"/>
      <c r="E3" s="5"/>
      <c r="F3" s="5"/>
      <c r="G3" s="5"/>
      <c r="H3" s="5"/>
      <c r="I3" s="5"/>
      <c r="J3" s="5"/>
      <c r="K3" s="5"/>
      <c r="L3" s="5"/>
      <c r="M3" s="6"/>
    </row>
    <row r="4" spans="1:13">
      <c r="A4" s="5"/>
      <c r="B4" s="5"/>
      <c r="C4" s="5"/>
      <c r="D4" s="5"/>
      <c r="E4" s="5"/>
      <c r="F4" s="5"/>
      <c r="G4" s="5"/>
      <c r="H4" s="5"/>
      <c r="I4" s="5"/>
      <c r="J4" s="5"/>
      <c r="K4" s="5"/>
      <c r="L4" s="5"/>
      <c r="M4" s="6"/>
    </row>
    <row r="5" spans="1:13">
      <c r="A5" s="5"/>
      <c r="B5" s="5"/>
      <c r="C5" s="5"/>
      <c r="D5" s="5"/>
      <c r="E5" s="5"/>
      <c r="F5" s="5"/>
      <c r="G5" s="5"/>
      <c r="H5" s="5"/>
      <c r="I5" s="5"/>
      <c r="J5" s="5"/>
      <c r="K5" s="5"/>
      <c r="L5" s="5"/>
      <c r="M5" s="6"/>
    </row>
    <row r="6" spans="1:13">
      <c r="A6" s="5"/>
      <c r="B6" s="5"/>
      <c r="C6" s="5"/>
      <c r="D6" s="5"/>
      <c r="E6" s="5"/>
      <c r="F6" s="5"/>
      <c r="G6" s="5"/>
      <c r="H6" s="5"/>
      <c r="I6" s="5"/>
      <c r="J6" s="5"/>
      <c r="K6" s="5"/>
      <c r="L6" s="5"/>
      <c r="M6" s="6"/>
    </row>
    <row r="7" spans="1:13">
      <c r="A7" s="5"/>
      <c r="B7" s="5"/>
      <c r="C7" s="5"/>
      <c r="D7" s="5"/>
      <c r="E7" s="5"/>
      <c r="F7" s="5"/>
      <c r="G7" s="5"/>
      <c r="H7" s="5"/>
      <c r="I7" s="5"/>
      <c r="J7" s="5"/>
      <c r="K7" s="5"/>
      <c r="L7" s="5"/>
      <c r="M7" s="6"/>
    </row>
    <row r="8" spans="1:13">
      <c r="A8" s="5"/>
      <c r="B8" s="5"/>
      <c r="C8" s="5"/>
      <c r="D8" s="5"/>
      <c r="E8" s="5"/>
      <c r="F8" s="5"/>
      <c r="G8" s="5"/>
      <c r="H8" s="5"/>
      <c r="I8" s="5"/>
      <c r="J8" s="5"/>
      <c r="K8" s="5"/>
      <c r="L8" s="5"/>
      <c r="M8" s="6"/>
    </row>
    <row r="9" spans="1:13">
      <c r="A9" s="5"/>
      <c r="B9" s="5"/>
      <c r="C9" s="5"/>
      <c r="D9" s="5"/>
      <c r="E9" s="5"/>
      <c r="F9" s="5"/>
      <c r="G9" s="5"/>
      <c r="H9" s="5"/>
      <c r="I9" s="5"/>
      <c r="J9" s="5"/>
      <c r="K9" s="120"/>
      <c r="L9" s="120"/>
      <c r="M9" s="6"/>
    </row>
    <row r="10" spans="1:13">
      <c r="A10" s="5"/>
      <c r="B10" s="5"/>
      <c r="C10" s="5"/>
      <c r="D10" s="5"/>
      <c r="E10" s="5"/>
      <c r="F10" s="5"/>
      <c r="G10" s="5"/>
      <c r="H10" s="5"/>
      <c r="I10" s="5"/>
      <c r="J10" s="5"/>
      <c r="K10" s="5"/>
      <c r="L10" s="5"/>
      <c r="M10" s="6"/>
    </row>
    <row r="11" spans="1:13">
      <c r="A11" s="5"/>
      <c r="B11" s="5"/>
      <c r="C11" s="5"/>
      <c r="D11" s="5"/>
      <c r="E11" s="5"/>
      <c r="F11" s="5"/>
      <c r="G11" s="5"/>
      <c r="H11" s="5"/>
      <c r="I11" s="5"/>
      <c r="J11" s="5"/>
      <c r="K11" s="58"/>
      <c r="L11" s="59"/>
      <c r="M11" s="6"/>
    </row>
    <row r="12" spans="1:13">
      <c r="A12" s="5"/>
      <c r="B12" s="5"/>
      <c r="C12" s="5"/>
      <c r="D12" s="5"/>
      <c r="E12" s="5"/>
      <c r="F12" s="5"/>
      <c r="G12" s="5"/>
      <c r="H12" s="5"/>
      <c r="I12" s="5"/>
      <c r="J12" s="5"/>
      <c r="K12" s="58"/>
      <c r="L12" s="59"/>
      <c r="M12" s="6"/>
    </row>
    <row r="13" spans="1:13">
      <c r="A13" s="5"/>
      <c r="B13" s="5"/>
      <c r="C13" s="5"/>
      <c r="D13" s="5"/>
      <c r="E13" s="5"/>
      <c r="F13" s="5"/>
      <c r="G13" s="5"/>
      <c r="H13" s="5"/>
      <c r="I13" s="5"/>
      <c r="J13" s="5"/>
      <c r="K13" s="121" t="s">
        <v>26</v>
      </c>
      <c r="L13" s="121"/>
      <c r="M13" s="6"/>
    </row>
    <row r="14" spans="1:13">
      <c r="A14" s="5"/>
      <c r="B14" s="5"/>
      <c r="C14" s="5"/>
      <c r="D14" s="5"/>
      <c r="E14" s="5"/>
      <c r="F14" s="120"/>
      <c r="G14" s="120"/>
      <c r="H14" s="120"/>
      <c r="I14" s="120"/>
      <c r="J14" s="120"/>
      <c r="K14" s="5"/>
      <c r="L14" s="5"/>
      <c r="M14" s="6"/>
    </row>
    <row r="15" spans="1:13" ht="20.100000000000001" customHeight="1">
      <c r="A15" s="5"/>
      <c r="B15" s="5"/>
      <c r="C15" s="5"/>
      <c r="D15" s="5"/>
      <c r="E15" s="5"/>
      <c r="F15" s="120"/>
      <c r="G15" s="120"/>
      <c r="H15" s="120"/>
      <c r="I15" s="120"/>
      <c r="J15" s="120"/>
      <c r="K15" s="5"/>
      <c r="L15" s="5"/>
      <c r="M15" s="6"/>
    </row>
    <row r="16" spans="1:13" ht="3" customHeight="1" thickBot="1">
      <c r="A16" s="5"/>
      <c r="B16" s="5"/>
      <c r="C16" s="5"/>
      <c r="D16" s="5"/>
      <c r="E16" s="5"/>
      <c r="F16" s="5"/>
      <c r="G16" s="5"/>
      <c r="H16" s="5"/>
      <c r="I16" s="5"/>
      <c r="J16" s="5"/>
      <c r="K16" s="5"/>
      <c r="L16" s="5"/>
      <c r="M16" s="6"/>
    </row>
    <row r="17" spans="1:13" ht="14.1" customHeight="1" thickBot="1">
      <c r="A17" s="5"/>
      <c r="B17" s="5"/>
      <c r="C17" s="5"/>
      <c r="D17" s="5"/>
      <c r="E17" s="5"/>
      <c r="F17" s="60"/>
      <c r="G17" s="5"/>
      <c r="H17" s="5"/>
      <c r="I17" s="5"/>
      <c r="J17" s="5"/>
      <c r="K17" s="122" t="s">
        <v>75</v>
      </c>
      <c r="L17" s="122"/>
      <c r="M17" s="6"/>
    </row>
    <row r="18" spans="1:13" ht="20.25" thickTop="1" thickBot="1">
      <c r="A18" s="5"/>
      <c r="B18" s="8"/>
      <c r="C18" s="8"/>
      <c r="D18" s="8"/>
      <c r="E18" s="8"/>
      <c r="F18" s="8"/>
      <c r="G18" s="8"/>
      <c r="H18" s="61"/>
      <c r="I18" s="61"/>
      <c r="J18" s="61"/>
      <c r="K18" s="122"/>
      <c r="L18" s="122"/>
      <c r="M18" s="6"/>
    </row>
    <row r="19" spans="1:13" ht="13.5" thickBot="1">
      <c r="A19" s="5"/>
      <c r="B19" s="5"/>
      <c r="C19" s="5"/>
      <c r="D19" s="5"/>
      <c r="E19" s="5"/>
      <c r="F19" s="5"/>
      <c r="G19" s="5"/>
      <c r="H19" s="5"/>
      <c r="I19" s="5"/>
      <c r="J19" s="5"/>
      <c r="K19" s="122"/>
      <c r="L19" s="122"/>
      <c r="M19" s="6"/>
    </row>
    <row r="20" spans="1:13">
      <c r="A20" s="5"/>
      <c r="B20" s="5"/>
      <c r="C20" s="5"/>
      <c r="D20" s="5"/>
      <c r="E20" s="5"/>
      <c r="F20" s="5"/>
      <c r="G20" s="5"/>
      <c r="H20" s="5"/>
      <c r="I20" s="5"/>
      <c r="J20" s="5"/>
      <c r="K20" s="5"/>
      <c r="L20" s="5"/>
      <c r="M20" s="6"/>
    </row>
    <row r="21" spans="1:13" ht="18">
      <c r="A21" s="5"/>
      <c r="B21" s="5" t="s">
        <v>4</v>
      </c>
      <c r="C21" s="123" t="s">
        <v>27</v>
      </c>
      <c r="D21" s="123"/>
      <c r="E21" s="123"/>
      <c r="F21" s="123"/>
      <c r="G21" s="123"/>
      <c r="H21" s="123"/>
      <c r="I21" s="5"/>
      <c r="J21" s="62" t="s">
        <v>28</v>
      </c>
      <c r="K21" s="124">
        <v>45443</v>
      </c>
      <c r="L21" s="124"/>
      <c r="M21" s="6"/>
    </row>
    <row r="22" spans="1:13">
      <c r="A22" s="5"/>
      <c r="B22" s="5" t="s">
        <v>7</v>
      </c>
      <c r="C22" s="126" t="s">
        <v>29</v>
      </c>
      <c r="D22" s="126"/>
      <c r="E22" s="126"/>
      <c r="F22" s="126"/>
      <c r="G22" s="126"/>
      <c r="H22" s="126"/>
      <c r="I22" s="5"/>
      <c r="J22" s="62" t="s">
        <v>30</v>
      </c>
      <c r="K22" s="137" t="s">
        <v>72</v>
      </c>
      <c r="L22" s="137"/>
      <c r="M22" s="6"/>
    </row>
    <row r="23" spans="1:13">
      <c r="A23" s="5"/>
      <c r="B23" s="5" t="s">
        <v>10</v>
      </c>
      <c r="C23" s="64">
        <v>2094</v>
      </c>
      <c r="D23" s="65" t="s">
        <v>12</v>
      </c>
      <c r="E23" s="127" t="s">
        <v>31</v>
      </c>
      <c r="F23" s="127"/>
      <c r="G23" s="66" t="s">
        <v>14</v>
      </c>
      <c r="H23" s="63" t="s">
        <v>32</v>
      </c>
      <c r="I23" s="5"/>
      <c r="J23" s="62" t="s">
        <v>33</v>
      </c>
      <c r="K23" s="128" t="s">
        <v>67</v>
      </c>
      <c r="L23" s="128"/>
      <c r="M23" s="6"/>
    </row>
    <row r="24" spans="1:13">
      <c r="A24" s="5"/>
      <c r="B24" s="5" t="s">
        <v>34</v>
      </c>
      <c r="C24" s="129" t="s">
        <v>35</v>
      </c>
      <c r="D24" s="129"/>
      <c r="E24" s="129"/>
      <c r="F24" s="129"/>
      <c r="G24" s="129"/>
      <c r="H24" s="129"/>
      <c r="I24" s="5"/>
      <c r="J24" s="62" t="s">
        <v>36</v>
      </c>
      <c r="K24" s="130" t="s">
        <v>37</v>
      </c>
      <c r="L24" s="130"/>
      <c r="M24" s="6"/>
    </row>
    <row r="25" spans="1:13">
      <c r="A25" s="5"/>
      <c r="B25" s="5"/>
      <c r="C25" s="5"/>
      <c r="D25" s="5"/>
      <c r="E25" s="5"/>
      <c r="F25" s="5"/>
      <c r="G25" s="5"/>
      <c r="H25" s="5"/>
      <c r="I25" s="5"/>
      <c r="J25" s="5"/>
      <c r="K25" s="5"/>
      <c r="L25" s="5"/>
      <c r="M25" s="6"/>
    </row>
    <row r="26" spans="1:13">
      <c r="A26" s="5"/>
      <c r="B26" s="67" t="s">
        <v>38</v>
      </c>
      <c r="C26" s="67" t="s">
        <v>39</v>
      </c>
      <c r="D26" s="131" t="s">
        <v>40</v>
      </c>
      <c r="E26" s="131"/>
      <c r="F26" s="131"/>
      <c r="G26" s="131"/>
      <c r="H26" s="131"/>
      <c r="I26" s="131"/>
      <c r="J26" s="131"/>
      <c r="K26" s="68" t="s">
        <v>41</v>
      </c>
      <c r="L26" s="69" t="s">
        <v>42</v>
      </c>
      <c r="M26" s="6"/>
    </row>
    <row r="27" spans="1:13" ht="15">
      <c r="A27" s="5"/>
      <c r="B27" s="71"/>
      <c r="C27" s="72"/>
      <c r="D27" s="132"/>
      <c r="E27" s="132"/>
      <c r="F27" s="132"/>
      <c r="G27" s="132"/>
      <c r="H27" s="132"/>
      <c r="I27" s="132"/>
      <c r="J27" s="73"/>
      <c r="K27" s="74"/>
      <c r="L27" s="74" t="str">
        <f>IF(C27&lt;&gt;"",C27*K27,"")</f>
        <v/>
      </c>
      <c r="M27" s="6"/>
    </row>
    <row r="28" spans="1:13" ht="15">
      <c r="A28" s="5"/>
      <c r="B28" s="75"/>
      <c r="C28" s="72"/>
      <c r="D28" s="107"/>
      <c r="E28" s="5"/>
      <c r="F28" s="76"/>
      <c r="G28" s="5"/>
      <c r="H28" s="5"/>
      <c r="I28" s="76"/>
      <c r="J28" s="5"/>
      <c r="K28" s="74"/>
      <c r="L28" s="74"/>
      <c r="M28" s="6"/>
    </row>
    <row r="29" spans="1:13" ht="18">
      <c r="A29" s="5"/>
      <c r="B29" s="75"/>
      <c r="C29" s="72"/>
      <c r="D29" s="111" t="s">
        <v>68</v>
      </c>
      <c r="E29" s="5"/>
      <c r="F29" s="76"/>
      <c r="G29" s="5"/>
      <c r="H29" s="5"/>
      <c r="I29" s="76"/>
      <c r="J29" s="5"/>
      <c r="K29" s="74" t="s">
        <v>70</v>
      </c>
      <c r="L29" s="74"/>
      <c r="M29" s="6"/>
    </row>
    <row r="30" spans="1:13" ht="18">
      <c r="A30" s="5"/>
      <c r="B30" s="75"/>
      <c r="C30" s="72"/>
      <c r="D30" s="112" t="s">
        <v>69</v>
      </c>
      <c r="E30" s="5"/>
      <c r="F30" s="76"/>
      <c r="G30" s="5"/>
      <c r="H30" s="5"/>
      <c r="I30" s="76"/>
      <c r="J30" s="5"/>
      <c r="K30" s="74"/>
      <c r="L30" s="74"/>
      <c r="M30" s="6"/>
    </row>
    <row r="31" spans="1:13" ht="25.5" customHeight="1">
      <c r="A31" s="5"/>
      <c r="B31" s="75"/>
      <c r="C31" s="72"/>
      <c r="D31" s="107"/>
      <c r="E31" s="101"/>
      <c r="F31" s="76"/>
      <c r="G31" s="101"/>
      <c r="H31" s="101"/>
      <c r="I31" s="76"/>
      <c r="J31" s="101"/>
      <c r="K31" s="74"/>
      <c r="L31" s="74"/>
      <c r="M31" s="6"/>
    </row>
    <row r="32" spans="1:13" ht="25.5" customHeight="1">
      <c r="A32" s="5"/>
      <c r="B32" s="75"/>
      <c r="C32" s="72">
        <v>11</v>
      </c>
      <c r="D32" s="116" t="s">
        <v>73</v>
      </c>
      <c r="E32" s="101"/>
      <c r="F32" s="76"/>
      <c r="G32" s="101"/>
      <c r="H32" s="101"/>
      <c r="I32" s="76"/>
      <c r="J32" s="101"/>
      <c r="K32" s="74">
        <v>250</v>
      </c>
      <c r="L32" s="74">
        <f>+K32*C32</f>
        <v>2750</v>
      </c>
      <c r="M32" s="6"/>
    </row>
    <row r="33" spans="1:13" ht="25.5" customHeight="1">
      <c r="A33" s="5"/>
      <c r="B33" s="75"/>
      <c r="C33" s="72"/>
      <c r="D33" s="116"/>
      <c r="E33" s="101"/>
      <c r="F33" s="76"/>
      <c r="G33" s="101"/>
      <c r="H33" s="101"/>
      <c r="I33" s="76"/>
      <c r="J33" s="101"/>
      <c r="K33" s="74"/>
      <c r="L33" s="74"/>
      <c r="M33" s="6"/>
    </row>
    <row r="34" spans="1:13" ht="25.5" customHeight="1">
      <c r="A34" s="5"/>
      <c r="B34" s="75"/>
      <c r="C34" s="72">
        <v>10</v>
      </c>
      <c r="D34" s="116" t="s">
        <v>74</v>
      </c>
      <c r="E34" s="101"/>
      <c r="F34" s="76"/>
      <c r="G34" s="101"/>
      <c r="H34" s="101"/>
      <c r="I34" s="76"/>
      <c r="J34" s="101"/>
      <c r="K34" s="74">
        <v>250</v>
      </c>
      <c r="L34" s="74">
        <f t="shared" ref="L34" si="0">+K34*C34</f>
        <v>2500</v>
      </c>
      <c r="M34" s="6"/>
    </row>
    <row r="35" spans="1:13" ht="25.5" customHeight="1">
      <c r="A35" s="5"/>
      <c r="B35" s="75"/>
      <c r="C35" s="72"/>
      <c r="D35" s="109"/>
      <c r="E35" s="101"/>
      <c r="F35" s="76"/>
      <c r="G35" s="101"/>
      <c r="H35" s="101"/>
      <c r="I35" s="76"/>
      <c r="J35" s="101"/>
      <c r="K35" s="74"/>
      <c r="L35" s="74"/>
      <c r="M35" s="6"/>
    </row>
    <row r="36" spans="1:13" ht="18">
      <c r="A36" s="5"/>
      <c r="B36" s="75"/>
      <c r="C36" s="72"/>
      <c r="D36" s="109"/>
      <c r="E36" s="101"/>
      <c r="F36" s="76"/>
      <c r="G36" s="101"/>
      <c r="H36" s="101"/>
      <c r="I36" s="76"/>
      <c r="J36" s="101"/>
      <c r="K36" s="74"/>
      <c r="L36" s="74"/>
      <c r="M36" s="6"/>
    </row>
    <row r="37" spans="1:13" ht="18">
      <c r="A37" s="5"/>
      <c r="B37" s="75"/>
      <c r="C37" s="72"/>
      <c r="D37" s="109"/>
      <c r="E37" s="5"/>
      <c r="F37" s="76"/>
      <c r="G37" s="5"/>
      <c r="H37" s="5"/>
      <c r="I37" s="76"/>
      <c r="J37" s="5"/>
      <c r="K37" s="74"/>
      <c r="L37" s="74"/>
      <c r="M37" s="6"/>
    </row>
    <row r="38" spans="1:13" ht="18">
      <c r="A38" s="5"/>
      <c r="B38" s="75"/>
      <c r="C38" s="72"/>
      <c r="D38" s="109"/>
      <c r="E38" s="5"/>
      <c r="F38" s="5"/>
      <c r="G38" s="5"/>
      <c r="H38" s="5"/>
      <c r="I38" s="76"/>
      <c r="J38" s="5"/>
      <c r="K38" s="74"/>
      <c r="L38" s="74"/>
      <c r="M38" s="6"/>
    </row>
    <row r="39" spans="1:13" ht="18">
      <c r="A39" s="5"/>
      <c r="B39" s="75"/>
      <c r="C39" s="77"/>
      <c r="D39" s="110"/>
      <c r="E39" s="62"/>
      <c r="F39" s="62"/>
      <c r="G39" s="62"/>
      <c r="H39" s="62"/>
      <c r="I39" s="62"/>
      <c r="J39" s="76"/>
      <c r="K39" s="74"/>
      <c r="L39" s="74"/>
      <c r="M39" s="6"/>
    </row>
    <row r="40" spans="1:13" ht="18">
      <c r="A40" s="5"/>
      <c r="B40" s="75"/>
      <c r="C40" s="77"/>
      <c r="D40" s="110"/>
      <c r="E40" s="62"/>
      <c r="F40" s="62"/>
      <c r="G40" s="62"/>
      <c r="H40" s="62"/>
      <c r="I40" s="62"/>
      <c r="J40" s="76"/>
      <c r="K40" s="74"/>
      <c r="L40" s="74"/>
      <c r="M40" s="6"/>
    </row>
    <row r="41" spans="1:13" ht="15">
      <c r="A41" s="5"/>
      <c r="B41" s="75"/>
      <c r="C41" s="77"/>
      <c r="D41" s="62"/>
      <c r="E41" s="62"/>
      <c r="F41" s="62"/>
      <c r="G41" s="62"/>
      <c r="H41" s="62"/>
      <c r="I41" s="62"/>
      <c r="J41" s="76"/>
      <c r="K41" s="74"/>
      <c r="L41" s="74"/>
      <c r="M41" s="6"/>
    </row>
    <row r="42" spans="1:13" ht="15">
      <c r="A42" s="5"/>
      <c r="B42" s="75"/>
      <c r="C42" s="77"/>
      <c r="D42" s="62"/>
      <c r="E42" s="62"/>
      <c r="F42" s="62"/>
      <c r="G42" s="62"/>
      <c r="H42" s="62"/>
      <c r="I42" s="62"/>
      <c r="J42" s="76"/>
      <c r="K42" s="74"/>
      <c r="L42" s="74"/>
      <c r="M42" s="6"/>
    </row>
    <row r="43" spans="1:13" ht="15">
      <c r="A43" s="5"/>
      <c r="B43" s="78"/>
      <c r="C43" s="79"/>
      <c r="D43" s="133"/>
      <c r="E43" s="133"/>
      <c r="F43" s="133"/>
      <c r="G43" s="133"/>
      <c r="H43" s="133"/>
      <c r="I43" s="133"/>
      <c r="J43" s="80"/>
      <c r="K43" s="74"/>
      <c r="L43" s="74" t="str">
        <f>IF(C43&lt;&gt;"",C43*K43,"")</f>
        <v/>
      </c>
      <c r="M43" s="6"/>
    </row>
    <row r="44" spans="1:13" ht="15" customHeight="1">
      <c r="A44" s="114" t="s">
        <v>71</v>
      </c>
      <c r="B44" s="5"/>
      <c r="C44" s="5"/>
      <c r="D44" s="5"/>
      <c r="E44" s="5"/>
      <c r="F44" s="5"/>
      <c r="G44" s="5"/>
      <c r="H44" s="81"/>
      <c r="I44" s="81"/>
      <c r="J44" s="81"/>
      <c r="K44" s="82" t="s">
        <v>43</v>
      </c>
      <c r="L44" s="83">
        <f>SUM(L27:L43)</f>
        <v>5250</v>
      </c>
      <c r="M44" s="6"/>
    </row>
    <row r="45" spans="1:13" ht="15">
      <c r="A45" s="115" t="s">
        <v>76</v>
      </c>
      <c r="B45" s="5"/>
      <c r="C45" s="5"/>
      <c r="D45" s="5"/>
      <c r="E45" s="5"/>
      <c r="F45" s="5"/>
      <c r="G45" s="5"/>
      <c r="H45" s="81"/>
      <c r="I45" s="81"/>
      <c r="J45" s="81"/>
      <c r="K45" s="84" t="s">
        <v>18</v>
      </c>
      <c r="L45" s="85">
        <v>1</v>
      </c>
      <c r="M45" s="6"/>
    </row>
    <row r="46" spans="1:13" ht="18">
      <c r="A46" s="5"/>
      <c r="B46" s="5"/>
      <c r="C46" s="86"/>
      <c r="D46" s="113" t="s">
        <v>44</v>
      </c>
      <c r="E46" s="5"/>
      <c r="F46" s="5"/>
      <c r="G46" s="5"/>
      <c r="H46" s="81"/>
      <c r="I46" s="81"/>
      <c r="J46" s="87"/>
      <c r="K46" s="88">
        <v>0.19</v>
      </c>
      <c r="L46" s="85">
        <f>L44*0.19</f>
        <v>997.5</v>
      </c>
      <c r="M46" s="6"/>
    </row>
    <row r="47" spans="1:13" ht="15.75">
      <c r="A47" s="5"/>
      <c r="B47" s="5"/>
      <c r="C47" s="86"/>
      <c r="D47" s="62"/>
      <c r="E47" s="89"/>
      <c r="F47" s="86"/>
      <c r="G47" s="5"/>
      <c r="H47" s="90"/>
      <c r="I47" s="81"/>
      <c r="J47" s="81"/>
      <c r="K47" s="91" t="s">
        <v>45</v>
      </c>
      <c r="L47" s="83">
        <f>+L44+L45+L46</f>
        <v>6248.5</v>
      </c>
      <c r="M47" s="6"/>
    </row>
    <row r="48" spans="1:13" ht="15.75">
      <c r="A48" s="5"/>
      <c r="B48" s="5"/>
      <c r="C48" s="86">
        <v>3</v>
      </c>
      <c r="D48" s="108"/>
      <c r="E48" s="5"/>
      <c r="F48" s="5"/>
      <c r="G48" s="5"/>
      <c r="H48" s="81" t="s">
        <v>46</v>
      </c>
      <c r="I48" s="81"/>
      <c r="J48" s="81"/>
      <c r="K48" s="92"/>
      <c r="L48" s="93"/>
      <c r="M48" s="6"/>
    </row>
    <row r="49" spans="1:13" ht="15.75">
      <c r="A49" s="5"/>
      <c r="B49" s="5"/>
      <c r="C49" s="86"/>
      <c r="D49" s="62"/>
      <c r="E49" s="5"/>
      <c r="F49" s="5"/>
      <c r="G49" s="5"/>
      <c r="H49" s="81"/>
      <c r="I49" s="81"/>
      <c r="J49" s="81"/>
      <c r="K49" s="94" t="s">
        <v>47</v>
      </c>
      <c r="L49" s="93"/>
      <c r="M49" s="6"/>
    </row>
    <row r="50" spans="1:13" ht="15">
      <c r="A50" s="5"/>
      <c r="B50" s="5"/>
      <c r="C50" s="5"/>
      <c r="D50" s="5"/>
      <c r="E50" s="5"/>
      <c r="F50" s="5"/>
      <c r="G50" s="5"/>
      <c r="H50" s="81" t="s">
        <v>46</v>
      </c>
      <c r="I50" s="81"/>
      <c r="J50" s="5"/>
      <c r="K50" s="5"/>
      <c r="L50" s="5"/>
      <c r="M50" s="6"/>
    </row>
    <row r="51" spans="1:13" ht="17.100000000000001" customHeight="1">
      <c r="A51" s="95" t="s">
        <v>48</v>
      </c>
      <c r="B51" s="96"/>
      <c r="C51" s="96"/>
      <c r="D51" s="96"/>
      <c r="E51" s="96"/>
      <c r="F51" s="96"/>
      <c r="G51" s="96"/>
      <c r="H51" s="96"/>
      <c r="I51" s="96"/>
      <c r="J51" s="96"/>
      <c r="K51" s="5"/>
      <c r="L51" s="93"/>
      <c r="M51" s="6"/>
    </row>
    <row r="52" spans="1:13" ht="17.100000000000001" customHeight="1">
      <c r="A52" s="134" t="s">
        <v>49</v>
      </c>
      <c r="B52" s="134"/>
      <c r="C52" s="134"/>
      <c r="D52" s="134"/>
      <c r="E52" s="134"/>
      <c r="F52" s="134"/>
      <c r="G52" s="134"/>
      <c r="H52" s="134"/>
      <c r="I52" s="134"/>
      <c r="J52" s="94"/>
      <c r="K52" s="94"/>
      <c r="L52" s="94"/>
      <c r="M52" s="6"/>
    </row>
    <row r="53" spans="1:13" ht="15.75">
      <c r="A53" s="5"/>
      <c r="B53" s="5"/>
      <c r="C53" s="65"/>
      <c r="D53" s="97"/>
      <c r="E53" s="76"/>
      <c r="F53" s="76"/>
      <c r="G53" s="76"/>
      <c r="H53" s="81"/>
      <c r="I53" s="94"/>
      <c r="J53" s="94"/>
      <c r="K53" s="94"/>
      <c r="L53" s="94"/>
      <c r="M53" s="6"/>
    </row>
    <row r="54" spans="1:13" ht="15" customHeight="1">
      <c r="A54" s="5"/>
      <c r="B54" s="5"/>
      <c r="C54" s="70" t="s">
        <v>50</v>
      </c>
      <c r="D54" s="70"/>
      <c r="E54" s="70"/>
      <c r="F54" s="70"/>
      <c r="G54" s="70"/>
      <c r="H54" s="70"/>
      <c r="I54" s="70"/>
      <c r="J54" s="70"/>
      <c r="K54" s="70"/>
      <c r="L54" s="94"/>
      <c r="M54" s="6"/>
    </row>
    <row r="55" spans="1:13" ht="15" customHeight="1">
      <c r="A55" s="5"/>
      <c r="B55" s="5"/>
      <c r="C55" s="65"/>
      <c r="D55" s="135" t="s">
        <v>51</v>
      </c>
      <c r="E55" s="135"/>
      <c r="F55" s="135"/>
      <c r="G55" s="135"/>
      <c r="H55" s="135"/>
      <c r="I55" s="135"/>
      <c r="J55" s="135"/>
      <c r="K55" s="94"/>
      <c r="L55" s="94"/>
      <c r="M55" s="6"/>
    </row>
    <row r="56" spans="1:13" ht="15" customHeight="1" thickBot="1">
      <c r="A56" s="5"/>
      <c r="B56" s="5"/>
      <c r="C56" s="136" t="s">
        <v>52</v>
      </c>
      <c r="D56" s="136"/>
      <c r="E56" s="136"/>
      <c r="F56" s="136"/>
      <c r="G56" s="136"/>
      <c r="H56" s="136"/>
      <c r="I56" s="136"/>
      <c r="J56" s="136"/>
      <c r="K56" s="136"/>
      <c r="L56" s="94"/>
      <c r="M56" s="6"/>
    </row>
    <row r="57" spans="1:13" ht="17.25" thickTop="1" thickBot="1">
      <c r="A57" s="5"/>
      <c r="B57" s="5"/>
      <c r="C57" s="136"/>
      <c r="D57" s="136"/>
      <c r="E57" s="136"/>
      <c r="F57" s="136"/>
      <c r="G57" s="136"/>
      <c r="H57" s="136"/>
      <c r="I57" s="136"/>
      <c r="J57" s="136"/>
      <c r="K57" s="136"/>
      <c r="L57" s="94"/>
      <c r="M57" s="6"/>
    </row>
    <row r="58" spans="1:13" ht="14.25" thickTop="1" thickBot="1">
      <c r="A58" s="70"/>
      <c r="B58" s="70"/>
      <c r="C58" s="136"/>
      <c r="D58" s="136"/>
      <c r="E58" s="136"/>
      <c r="F58" s="136"/>
      <c r="G58" s="136"/>
      <c r="H58" s="136"/>
      <c r="I58" s="136"/>
      <c r="J58" s="136"/>
      <c r="K58" s="136"/>
      <c r="L58" s="98"/>
      <c r="M58" s="6"/>
    </row>
    <row r="59" spans="1:13" ht="13.5" thickTop="1">
      <c r="A59" s="8"/>
      <c r="B59" s="8"/>
      <c r="C59" s="8"/>
      <c r="D59" s="8"/>
      <c r="E59" s="8"/>
      <c r="F59" s="8"/>
      <c r="G59" s="8"/>
      <c r="H59" s="8"/>
      <c r="I59" s="8"/>
      <c r="J59" s="8"/>
      <c r="K59" s="8"/>
      <c r="L59" s="8"/>
      <c r="M59" s="6"/>
    </row>
    <row r="60" spans="1:13" ht="15" customHeight="1">
      <c r="A60" s="99"/>
      <c r="B60" s="99"/>
      <c r="C60" s="99"/>
      <c r="D60" s="99"/>
      <c r="E60" s="99"/>
      <c r="F60" s="99"/>
      <c r="G60" s="99"/>
      <c r="H60" s="99"/>
      <c r="I60" s="125"/>
      <c r="J60" s="125"/>
      <c r="K60" s="125"/>
      <c r="L60" s="125"/>
      <c r="M60" s="6"/>
    </row>
    <row r="61" spans="1:13" ht="15" customHeight="1">
      <c r="A61" s="100"/>
      <c r="B61" s="100"/>
      <c r="C61" s="100"/>
      <c r="D61" s="100"/>
      <c r="E61" s="100"/>
      <c r="F61" s="100"/>
      <c r="G61" s="100"/>
      <c r="H61" s="100"/>
      <c r="I61" s="125"/>
      <c r="J61" s="125"/>
      <c r="K61" s="125"/>
      <c r="L61" s="125"/>
    </row>
    <row r="62" spans="1:13" ht="12.75" customHeight="1"/>
    <row r="63" spans="1:13" ht="3" customHeight="1"/>
    <row r="67" ht="0.95" customHeight="1"/>
    <row r="68" ht="6" customHeight="1"/>
    <row r="72" ht="12.75" customHeight="1"/>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9">
    <mergeCell ref="I60:L61"/>
    <mergeCell ref="C22:H22"/>
    <mergeCell ref="E23:F23"/>
    <mergeCell ref="K23:L23"/>
    <mergeCell ref="C24:H24"/>
    <mergeCell ref="K24:L24"/>
    <mergeCell ref="D26:J26"/>
    <mergeCell ref="D27:I27"/>
    <mergeCell ref="D43:I43"/>
    <mergeCell ref="A52:I52"/>
    <mergeCell ref="D55:J55"/>
    <mergeCell ref="C56:K58"/>
    <mergeCell ref="K22:L22"/>
    <mergeCell ref="K9:L9"/>
    <mergeCell ref="K13:L13"/>
    <mergeCell ref="F14:J15"/>
    <mergeCell ref="K17:L19"/>
    <mergeCell ref="C21:H21"/>
    <mergeCell ref="K21:L21"/>
  </mergeCells>
  <dataValidations count="12">
    <dataValidation type="textLength" errorStyle="warning" allowBlank="1" showErrorMessage="1" errorTitle="T.V.A." error="Les cellules ombrées contiennent des formules et sont calculées automatiquement par Excel. N'y tapez aucune information." promptTitle="T.V.A." sqref="K46 K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7 L51">
      <formula1>0</formula1>
      <formula2>0</formula2>
    </dataValidation>
    <dataValidation type="list" allowBlank="1" showInputMessage="1" showErrorMessage="1" errorTitle="Code TVA" error="Tapez 1, 2, ou 3." sqref="J39:J43 J27:J37">
      <formula1>"1,2,3"</formula1>
    </dataValidation>
    <dataValidation errorStyle="warning" allowBlank="1" showInputMessage="1" errorTitle="Numéro de carte de crédit" promptTitle="Numéro de carte de crédit" prompt="Tapez ici le numéro de carte de crédit du client" sqref="D53 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 I53"/>
    <dataValidation type="decimal" allowBlank="1" showErrorMessage="1" errorTitle="Prix unitaire" error="Tapez un nombre dans cette cellule." promptTitle="Prix unitaire" sqref="K27:K43 L28:L39">
      <formula1>0</formula1>
      <formula2>1000000000</formula2>
    </dataValidation>
    <dataValidation type="whole" errorStyle="warning" allowBlank="1" showErrorMessage="1" errorTitle="Quantité" error="Tapez un nombre dans cette cellule." promptTitle="Quantité" sqref="C27:C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 L40: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5">
      <formula1>0</formula1>
      <formula2>0</formula2>
    </dataValidation>
    <dataValidation allowBlank="1" showErrorMessage="1" sqref="E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6 L48:L49">
      <formula1>0</formula1>
      <formula2>0</formula2>
    </dataValidation>
  </dataValidations>
  <hyperlinks>
    <hyperlink ref="K13" r:id="rId1"/>
  </hyperlinks>
  <printOptions horizontalCentered="1"/>
  <pageMargins left="0.511811023622047" right="0.511811023622047" top="0.511811023622047" bottom="0.511811023622047" header="0.511811023622047" footer="0.511811023622047"/>
  <pageSetup paperSize="9" scale="79" fitToWidth="0" fitToHeight="0" orientation="portrait" r:id="rId2"/>
  <headerFooter alignWithMargins="0"/>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02" customWidth="1"/>
    <col min="2" max="16384" width="9.140625" style="102"/>
  </cols>
  <sheetData>
    <row r="1" spans="1:11">
      <c r="A1" s="102" t="s">
        <v>53</v>
      </c>
    </row>
    <row r="2" spans="1:11">
      <c r="A2" s="102" t="s">
        <v>54</v>
      </c>
      <c r="B2" s="102" t="s">
        <v>55</v>
      </c>
    </row>
    <row r="3" spans="1:11">
      <c r="A3" s="102" t="s">
        <v>56</v>
      </c>
      <c r="B3" s="102" t="s">
        <v>57</v>
      </c>
    </row>
    <row r="4" spans="1:11">
      <c r="A4" s="102" t="s">
        <v>58</v>
      </c>
    </row>
    <row r="5" spans="1:11">
      <c r="A5" s="102" t="s">
        <v>59</v>
      </c>
      <c r="B5" s="102">
        <v>1</v>
      </c>
    </row>
    <row r="6" spans="1:11">
      <c r="A6" s="102">
        <v>1</v>
      </c>
      <c r="B6" s="102" t="s">
        <v>60</v>
      </c>
      <c r="C6" s="102" t="s">
        <v>61</v>
      </c>
      <c r="D6" s="102" t="s">
        <v>62</v>
      </c>
      <c r="E6" s="102">
        <v>10</v>
      </c>
      <c r="G6" s="102">
        <v>-1383939328</v>
      </c>
    </row>
    <row r="7" spans="1:11">
      <c r="A7" s="102" t="s">
        <v>63</v>
      </c>
      <c r="B7" s="102" t="s">
        <v>64</v>
      </c>
      <c r="C7" s="102" t="s">
        <v>28</v>
      </c>
      <c r="D7" s="102" t="s">
        <v>4</v>
      </c>
      <c r="E7" s="102" t="s">
        <v>7</v>
      </c>
      <c r="F7" s="102" t="s">
        <v>10</v>
      </c>
      <c r="G7" s="102" t="s">
        <v>12</v>
      </c>
      <c r="H7" s="102" t="s">
        <v>14</v>
      </c>
      <c r="I7" s="102" t="s">
        <v>34</v>
      </c>
      <c r="J7" s="102" t="s">
        <v>65</v>
      </c>
      <c r="K7" s="102" t="s">
        <v>33</v>
      </c>
    </row>
    <row r="8" spans="1:11">
      <c r="A8" s="102" t="s">
        <v>66</v>
      </c>
      <c r="B8" s="103" t="e">
        <f>Facture!#REF!</f>
        <v>#REF!</v>
      </c>
      <c r="C8" s="104">
        <f>Facture!$K$21</f>
        <v>45443</v>
      </c>
      <c r="D8" s="105" t="str">
        <f>Facture!$C$21</f>
        <v xml:space="preserve">COMETEL </v>
      </c>
      <c r="E8" s="102" t="str">
        <f>Facture!$C$22</f>
        <v>RS LILIA JMZH 2AP01 MNIHLA</v>
      </c>
      <c r="F8" s="102">
        <f>Facture!$C$23</f>
        <v>2094</v>
      </c>
      <c r="G8" s="105" t="str">
        <f>Facture!$E$23</f>
        <v>ARIANA</v>
      </c>
      <c r="H8" s="105" t="str">
        <f>Facture!$H$23</f>
        <v>TN</v>
      </c>
      <c r="I8" s="102" t="str">
        <f>Facture!$C$24</f>
        <v xml:space="preserve">22619085   fax: </v>
      </c>
      <c r="J8" s="106">
        <f>Facture!$L$47</f>
        <v>6248.5</v>
      </c>
      <c r="K8" s="102" t="str">
        <f>Facture!$K$23</f>
        <v xml:space="preserve"> MR SLIM</v>
      </c>
    </row>
    <row r="9" spans="1:11">
      <c r="A9" s="102" t="s">
        <v>58</v>
      </c>
    </row>
    <row r="10" spans="1:11">
      <c r="G10" s="102">
        <v>-1261995520</v>
      </c>
    </row>
    <row r="14" spans="1:11">
      <c r="G14" s="102">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2024-05-31T09:05:47Z</cp:lastPrinted>
  <dcterms:created xsi:type="dcterms:W3CDTF">1995-05-29T15:50:39Z</dcterms:created>
  <dcterms:modified xsi:type="dcterms:W3CDTF">2024-05-31T09:06:40Z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