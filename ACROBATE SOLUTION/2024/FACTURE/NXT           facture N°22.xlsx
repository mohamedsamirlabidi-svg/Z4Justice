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Facture!$E$19</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Facture!$D$19:$I$19</definedName>
    <definedName name="qzqzqz30">Facture!$F$56:$H$56</definedName>
    <definedName name="qzqzqz31">Facture!$F$56:$G$56</definedName>
    <definedName name="qzqzqz32">Facture!$J$52:$M$56</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43" i="3" l="1"/>
  <c r="M44" i="3" s="1"/>
  <c r="M30" i="3" l="1"/>
  <c r="M31" i="3"/>
  <c r="M32" i="3"/>
  <c r="M33" i="3"/>
  <c r="M29" i="3"/>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<sst xmlns="http://schemas.openxmlformats.org/spreadsheetml/2006/main" count="86" uniqueCount="70">
  <si>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</si>
  <si>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</si>
  <si>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</si>
  <si>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</si>
  <si>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</si>
  <si>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</si>
  <si>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</si>
  <si>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</si>
  <si>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</si>
  <si>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</si>
  <si>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</si>
  <si>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</si>
  <si>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</si>
  <si>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</si>
  <si>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</si>
  <si>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</si>
  <si>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</si>
  <si>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</si>
  <si>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</si>
  <si>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</si>
  <si>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</si>
  <si>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</si>
  <si>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</si>
  <si>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</si>
  <si>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</si>
  <si>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</si>
  <si>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</si>
  <si>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</si>
  <si>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</si>
  <si>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</si>
  <si>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</si>
  <si>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</si>
  <si>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</si>
  <si>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</si>
  <si>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</si>
  <si>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</si>
  <si>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</si>
  <si>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</si>
  <si>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</si>
  <si>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</si>
  <si>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</si>
  <si>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</si>
  <si>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</si>
  <si>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</si>
  <si>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</si>
  <si>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</si>
  <si>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</si>
  <si>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</si>
  <si>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</si>
  <si>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</si>
  <si>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</si>
  <si>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</si>
  <si>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</si>
  <si>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</si>
  <si>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</si>
  <si>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</si>
  <si>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</si>
  <si>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</si>
  <si>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</si>
  <si>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</si>
  <si>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</si>
  <si>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</si>
  <si>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</si>
  <si>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</si>
  <si>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</si>
  <si>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</si>
  <si>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Chaussure de securité HARDEDGE P47</t>
  </si>
  <si>
    <t xml:space="preserve">COMMANDE N° </t>
  </si>
  <si>
    <t>BC 2024/64</t>
  </si>
  <si>
    <t>FACTURE  N°2024-022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</si>
</sst>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b/>
      <sz val="14"/>
      <color rgb="FFFF0000"/>
      <name val="Calibri"/>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4" fillId="3" borderId="0" xfId="0" applyFont="1" applyFill="1" applyBorder="1" applyAlignment="1">
      <alignment horizontal="center"/>
    </xf>
    <xf numFmtId="0" fontId="30" fillId="6" borderId="0" xfId="0" applyFont="1" applyFill="1" applyAlignment="1">
      <alignment vertical="center"/>
    </xf>
    <xf numFmtId="0" fontId="31" fillId="3" borderId="0" xfId="0" applyFont="1" applyFill="1" applyBorder="1" applyAlignment="1">
      <alignment horizontal="left"/>
    </xf>
    <xf numFmtId="0" fontId="19" fillId="3" borderId="0" xfId="0" applyFont="1" applyFill="1" applyBorder="1" applyAlignment="1">
      <alignment horizontal="left"/>
    </xf>
    <xf numFmtId="0" fontId="17" fillId="6" borderId="32" xfId="0" applyFont="1" applyFill="1" applyBorder="1"/>
    <xf numFmtId="49" fontId="25" fillId="3" borderId="32" xfId="0" applyNumberFormat="1" applyFont="1" applyFill="1" applyBorder="1" applyAlignment="1">
      <alignment wrapText="1"/>
    </xf>
    <xf numFmtId="49" fontId="25" fillId="3" borderId="0" xfId="0" applyNumberFormat="1" applyFont="1" applyFill="1" applyBorder="1" applyAlignment="1"/>
    <xf numFmtId="49" fontId="25" fillId="3"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3</xdr:row>
      <xdr:rowOff>110290</xdr:rowOff>
    </xdr:from>
    <xdr:to>
      <xdr:col>12</xdr:col>
      <xdr:colOff>561475</xdr:colOff>
      <xdr:row>8</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4</xdr:row>
      <xdr:rowOff>130343</xdr:rowOff>
    </xdr:from>
    <xdr:to>
      <xdr:col>10</xdr:col>
      <xdr:colOff>782053</xdr:colOff>
      <xdr:row>9</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2" zoomScale="95" workbookViewId="0">
      <selection activeCell="B4" sqref="B4:P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64"/>
      <c r="M6" s="165"/>
      <c r="N6" s="3"/>
      <c r="O6" s="8"/>
    </row>
    <row r="7" spans="1:15" x14ac:dyDescent="0.2">
      <c r="A7" s="7"/>
      <c r="B7" s="3"/>
      <c r="C7" s="3"/>
      <c r="D7" s="3"/>
      <c r="E7" s="3"/>
      <c r="F7" s="3"/>
      <c r="G7" s="3"/>
      <c r="H7" s="3"/>
      <c r="I7" s="3"/>
      <c r="J7" s="3"/>
      <c r="K7" s="3"/>
      <c r="L7" s="99"/>
      <c r="M7" s="99"/>
      <c r="N7" s="3"/>
      <c r="O7" s="8"/>
    </row>
    <row r="8" spans="1:15" x14ac:dyDescent="0.2">
      <c r="A8" s="7"/>
      <c r="B8" s="3"/>
      <c r="C8" s="3"/>
      <c r="D8" s="3"/>
      <c r="E8" s="3"/>
      <c r="F8" s="3"/>
      <c r="G8" s="3"/>
      <c r="H8" s="3"/>
      <c r="I8" s="3"/>
      <c r="J8" s="3"/>
      <c r="K8" s="3"/>
      <c r="L8" s="110"/>
      <c r="M8" s="111"/>
      <c r="N8" s="3"/>
      <c r="O8" s="8"/>
    </row>
    <row r="9" spans="1:15" x14ac:dyDescent="0.2">
      <c r="A9" s="7"/>
      <c r="B9" s="3"/>
      <c r="C9" s="3"/>
      <c r="D9" s="3"/>
      <c r="E9" s="3"/>
      <c r="F9" s="3"/>
      <c r="G9" s="3"/>
      <c r="H9" s="3"/>
      <c r="I9" s="3"/>
      <c r="J9" s="3"/>
      <c r="K9" s="3"/>
      <c r="L9" s="110"/>
      <c r="M9" s="111"/>
      <c r="N9" s="3"/>
      <c r="O9" s="8"/>
    </row>
    <row r="10" spans="1:15" x14ac:dyDescent="0.2">
      <c r="A10" s="7"/>
      <c r="B10" s="3"/>
      <c r="C10" s="3"/>
      <c r="D10" s="3"/>
      <c r="E10" s="3"/>
      <c r="F10" s="3"/>
      <c r="G10" s="3"/>
      <c r="H10" s="3"/>
      <c r="I10" s="3"/>
      <c r="J10" s="3"/>
      <c r="K10" s="3"/>
      <c r="L10" s="174" t="s">
        <v>54</v>
      </c>
      <c r="M10" s="175"/>
      <c r="N10" s="3"/>
      <c r="O10" s="8"/>
    </row>
    <row r="11" spans="1:15" x14ac:dyDescent="0.2">
      <c r="A11" s="7"/>
      <c r="B11" s="3"/>
      <c r="C11" s="3"/>
      <c r="D11" s="3"/>
      <c r="E11" s="3"/>
      <c r="F11" s="3"/>
      <c r="G11" s="163"/>
      <c r="H11" s="163"/>
      <c r="I11" s="163"/>
      <c r="J11" s="163"/>
      <c r="K11" s="163"/>
      <c r="L11" s="3"/>
      <c r="M11" s="3"/>
      <c r="N11" s="3"/>
      <c r="O11" s="8"/>
    </row>
    <row r="12" spans="1:15" ht="20.100000000000001" customHeight="1" x14ac:dyDescent="0.2">
      <c r="A12" s="7"/>
      <c r="B12" s="3"/>
      <c r="C12" s="3"/>
      <c r="D12" s="3"/>
      <c r="E12" s="3"/>
      <c r="F12" s="3"/>
      <c r="G12" s="163"/>
      <c r="H12" s="163"/>
      <c r="I12" s="163"/>
      <c r="J12" s="163"/>
      <c r="K12" s="163"/>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9"/>
      <c r="H14" s="3"/>
      <c r="I14" s="99"/>
      <c r="J14" s="3"/>
      <c r="K14" s="3"/>
      <c r="L14" s="149" t="s">
        <v>69</v>
      </c>
      <c r="M14" s="150"/>
      <c r="N14" s="3"/>
      <c r="O14" s="8"/>
    </row>
    <row r="15" spans="1:15" ht="19.5" thickTop="1" x14ac:dyDescent="0.3">
      <c r="A15" s="7"/>
      <c r="B15" s="3"/>
      <c r="C15" s="58"/>
      <c r="D15" s="58"/>
      <c r="E15" s="58"/>
      <c r="F15" s="58"/>
      <c r="G15" s="58"/>
      <c r="H15" s="58"/>
      <c r="I15" s="59"/>
      <c r="J15" s="59"/>
      <c r="K15" s="59"/>
      <c r="L15" s="151"/>
      <c r="M15" s="152"/>
      <c r="N15" s="19"/>
      <c r="O15" s="8"/>
    </row>
    <row r="16" spans="1:15" ht="13.5" thickBot="1" x14ac:dyDescent="0.25">
      <c r="A16" s="7"/>
      <c r="B16" s="3"/>
      <c r="C16" s="3"/>
      <c r="D16" s="3"/>
      <c r="E16" s="3"/>
      <c r="F16" s="3"/>
      <c r="G16" s="3"/>
      <c r="H16" s="3"/>
      <c r="I16" s="3"/>
      <c r="J16" s="3"/>
      <c r="K16" s="3"/>
      <c r="L16" s="153"/>
      <c r="M16" s="154"/>
      <c r="N16" s="3"/>
      <c r="O16" s="8"/>
    </row>
    <row r="17" spans="1:15" x14ac:dyDescent="0.2">
      <c r="A17" s="7"/>
      <c r="B17" s="3"/>
      <c r="C17" s="3"/>
      <c r="D17" s="3"/>
      <c r="E17" s="3"/>
      <c r="F17" s="3"/>
      <c r="G17" s="3"/>
      <c r="H17" s="3"/>
      <c r="I17" s="3"/>
      <c r="J17" s="3"/>
      <c r="K17" s="3"/>
      <c r="L17" s="130"/>
      <c r="M17" s="3"/>
      <c r="N17" s="3"/>
      <c r="O17" s="8"/>
    </row>
    <row r="18" spans="1:15" ht="18" x14ac:dyDescent="0.25">
      <c r="A18" s="7"/>
      <c r="B18" s="3"/>
      <c r="C18" s="82" t="s">
        <v>3</v>
      </c>
      <c r="D18" s="180" t="s">
        <v>60</v>
      </c>
      <c r="E18" s="181"/>
      <c r="F18" s="181"/>
      <c r="G18" s="181"/>
      <c r="H18" s="181"/>
      <c r="I18" s="181"/>
      <c r="J18" s="82"/>
      <c r="K18" s="131" t="s">
        <v>18</v>
      </c>
      <c r="L18" s="168">
        <v>45363</v>
      </c>
      <c r="M18" s="169"/>
      <c r="N18" s="55"/>
      <c r="O18" s="8"/>
    </row>
    <row r="19" spans="1:15" ht="14.25" x14ac:dyDescent="0.2">
      <c r="A19" s="7"/>
      <c r="B19" s="3"/>
      <c r="C19" s="82" t="s">
        <v>5</v>
      </c>
      <c r="D19" s="178" t="s">
        <v>61</v>
      </c>
      <c r="E19" s="179"/>
      <c r="F19" s="179"/>
      <c r="G19" s="179"/>
      <c r="H19" s="179"/>
      <c r="I19" s="179"/>
      <c r="J19" s="82"/>
      <c r="K19" s="122" t="s">
        <v>67</v>
      </c>
      <c r="L19" s="159" t="s">
        <v>68</v>
      </c>
      <c r="M19" s="160"/>
      <c r="N19" s="56"/>
      <c r="O19" s="8"/>
    </row>
    <row r="20" spans="1:15" x14ac:dyDescent="0.2">
      <c r="A20" s="7"/>
      <c r="B20" s="3"/>
      <c r="C20" s="82" t="s">
        <v>7</v>
      </c>
      <c r="D20" s="89"/>
      <c r="E20" s="90" t="s">
        <v>8</v>
      </c>
      <c r="F20" s="176"/>
      <c r="G20" s="177"/>
      <c r="H20" s="91" t="s">
        <v>9</v>
      </c>
      <c r="I20" s="88" t="s">
        <v>51</v>
      </c>
      <c r="J20" s="82"/>
      <c r="K20" s="84" t="s">
        <v>19</v>
      </c>
      <c r="L20" s="170" t="s">
        <v>64</v>
      </c>
      <c r="M20" s="171"/>
      <c r="N20" s="3"/>
      <c r="O20" s="8"/>
    </row>
    <row r="21" spans="1:15" x14ac:dyDescent="0.2">
      <c r="A21" s="7"/>
      <c r="B21" s="3"/>
      <c r="C21" s="82" t="s">
        <v>20</v>
      </c>
      <c r="D21" s="182" t="s">
        <v>62</v>
      </c>
      <c r="E21" s="183"/>
      <c r="F21" s="183"/>
      <c r="G21" s="183"/>
      <c r="H21" s="183"/>
      <c r="I21" s="183"/>
      <c r="J21" s="82"/>
      <c r="K21" s="131" t="s">
        <v>47</v>
      </c>
      <c r="L21" s="172" t="s">
        <v>63</v>
      </c>
      <c r="M21" s="173"/>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55" t="s">
        <v>22</v>
      </c>
      <c r="F23" s="156"/>
      <c r="G23" s="156"/>
      <c r="H23" s="156"/>
      <c r="I23" s="156"/>
      <c r="J23" s="156"/>
      <c r="K23" s="157"/>
      <c r="L23" s="52" t="s">
        <v>53</v>
      </c>
      <c r="M23" s="112" t="s">
        <v>23</v>
      </c>
      <c r="N23" s="57"/>
      <c r="O23" s="8"/>
    </row>
    <row r="24" spans="1:15" ht="15.75" x14ac:dyDescent="0.25">
      <c r="A24" s="7"/>
      <c r="B24" s="3"/>
      <c r="C24" s="93"/>
      <c r="D24" s="75"/>
      <c r="E24" s="184"/>
      <c r="F24" s="185"/>
      <c r="G24" s="185"/>
      <c r="H24" s="185"/>
      <c r="I24" s="185"/>
      <c r="J24" s="185"/>
      <c r="K24" s="127"/>
      <c r="L24" s="126"/>
      <c r="M24" s="96" t="str">
        <f t="shared" ref="M24" si="0">IF(D24&lt;&gt;"",D24*L24,"")</f>
        <v/>
      </c>
      <c r="N24" s="57"/>
      <c r="O24" s="8"/>
    </row>
    <row r="25" spans="1:15" ht="15.75" x14ac:dyDescent="0.25">
      <c r="A25" s="7"/>
      <c r="B25" s="3"/>
      <c r="C25" s="93"/>
      <c r="D25" s="75"/>
      <c r="E25" s="161"/>
      <c r="F25" s="162"/>
      <c r="G25" s="162"/>
      <c r="H25" s="162"/>
      <c r="I25" s="162"/>
      <c r="J25" s="162"/>
      <c r="K25" s="128"/>
      <c r="L25" s="126"/>
      <c r="M25" s="126"/>
      <c r="N25" s="57"/>
      <c r="O25" s="8"/>
    </row>
    <row r="26" spans="1:15" ht="15.75" x14ac:dyDescent="0.25">
      <c r="A26" s="7"/>
      <c r="B26" s="3"/>
      <c r="C26" s="93"/>
      <c r="D26" s="53">
        <v>1</v>
      </c>
      <c r="E26" s="161" t="s">
        <v>66</v>
      </c>
      <c r="F26" s="162"/>
      <c r="G26" s="162"/>
      <c r="H26" s="162"/>
      <c r="I26" s="162"/>
      <c r="J26" s="162"/>
      <c r="K26" s="128"/>
      <c r="L26" s="96">
        <v>160</v>
      </c>
      <c r="M26" s="96">
        <v>160</v>
      </c>
      <c r="N26" s="57"/>
      <c r="O26" s="8"/>
    </row>
    <row r="27" spans="1:15" ht="15.75" x14ac:dyDescent="0.25">
      <c r="A27" s="7"/>
      <c r="B27" s="3"/>
      <c r="C27" s="107"/>
      <c r="D27" s="75"/>
      <c r="E27" s="135"/>
      <c r="F27" s="108"/>
      <c r="G27" s="81"/>
      <c r="H27" s="108"/>
      <c r="I27" s="108"/>
      <c r="J27" s="81"/>
      <c r="K27" s="128"/>
      <c r="L27" s="114"/>
      <c r="M27" s="96"/>
      <c r="N27" s="57"/>
      <c r="O27" s="8"/>
    </row>
    <row r="28" spans="1:15" ht="18.75" x14ac:dyDescent="0.2">
      <c r="A28" s="7"/>
      <c r="B28" s="3"/>
      <c r="C28" s="107"/>
      <c r="D28" s="75"/>
      <c r="E28" s="132"/>
      <c r="F28" s="108"/>
      <c r="G28" s="81"/>
      <c r="H28" s="108"/>
      <c r="I28" s="108"/>
      <c r="J28" s="81"/>
      <c r="K28" s="128"/>
      <c r="L28" s="114"/>
      <c r="M28" s="96"/>
      <c r="N28" s="57"/>
      <c r="O28" s="8"/>
    </row>
    <row r="29" spans="1:15" ht="15.75" x14ac:dyDescent="0.25">
      <c r="A29" s="7"/>
      <c r="B29" s="3"/>
      <c r="C29" s="107"/>
      <c r="D29" s="75"/>
      <c r="E29" s="161"/>
      <c r="F29" s="162"/>
      <c r="G29" s="162"/>
      <c r="H29" s="162"/>
      <c r="I29" s="162"/>
      <c r="J29" s="162"/>
      <c r="K29" s="128"/>
      <c r="L29" s="114"/>
      <c r="M29" s="96" t="str">
        <f t="shared" ref="M29:M33" si="1">IF(D29&lt;&gt;"",D29*L29,"")</f>
        <v/>
      </c>
      <c r="N29" s="57"/>
      <c r="O29" s="8"/>
    </row>
    <row r="30" spans="1:15" ht="18.75" x14ac:dyDescent="0.2">
      <c r="A30" s="7"/>
      <c r="B30" s="3"/>
      <c r="C30" s="107"/>
      <c r="D30" s="75"/>
      <c r="E30" s="132"/>
      <c r="F30" s="108"/>
      <c r="G30" s="81"/>
      <c r="H30" s="108"/>
      <c r="I30" s="108"/>
      <c r="J30" s="81"/>
      <c r="K30" s="128"/>
      <c r="L30" s="114"/>
      <c r="M30" s="96" t="str">
        <f t="shared" si="1"/>
        <v/>
      </c>
      <c r="N30" s="57"/>
      <c r="O30" s="8"/>
    </row>
    <row r="31" spans="1:15" ht="15" x14ac:dyDescent="0.2">
      <c r="A31" s="7"/>
      <c r="B31" s="3"/>
      <c r="C31" s="107"/>
      <c r="D31" s="75"/>
      <c r="E31" s="81"/>
      <c r="F31" s="129"/>
      <c r="G31" s="81"/>
      <c r="H31" s="108"/>
      <c r="I31" s="81"/>
      <c r="J31" s="81"/>
      <c r="K31" s="128"/>
      <c r="L31" s="114"/>
      <c r="M31" s="96" t="str">
        <f t="shared" si="1"/>
        <v/>
      </c>
      <c r="N31" s="57"/>
      <c r="O31" s="8"/>
    </row>
    <row r="32" spans="1:15" ht="15" x14ac:dyDescent="0.2">
      <c r="A32" s="7"/>
      <c r="B32" s="3"/>
      <c r="C32" s="107"/>
      <c r="D32" s="75"/>
      <c r="E32" s="113"/>
      <c r="F32" s="108"/>
      <c r="G32" s="81"/>
      <c r="H32" s="108"/>
      <c r="I32" s="108"/>
      <c r="J32" s="81"/>
      <c r="K32" s="108"/>
      <c r="L32" s="96"/>
      <c r="M32" s="96" t="str">
        <f t="shared" si="1"/>
        <v/>
      </c>
      <c r="N32" s="57"/>
      <c r="O32" s="8"/>
    </row>
    <row r="33" spans="1:15" ht="17.100000000000001" customHeight="1" x14ac:dyDescent="0.2">
      <c r="A33" s="7"/>
      <c r="B33" s="3"/>
      <c r="C33" s="107"/>
      <c r="D33" s="75"/>
      <c r="E33" s="113"/>
      <c r="F33" s="108"/>
      <c r="G33" s="81"/>
      <c r="H33" s="108"/>
      <c r="I33" s="108"/>
      <c r="J33" s="81"/>
      <c r="K33" s="108"/>
      <c r="L33" s="96"/>
      <c r="M33" s="96" t="str">
        <f t="shared" si="1"/>
        <v/>
      </c>
      <c r="N33" s="57"/>
      <c r="O33" s="8"/>
    </row>
    <row r="34" spans="1:15" ht="17.100000000000001" customHeight="1" x14ac:dyDescent="0.25">
      <c r="A34" s="7"/>
      <c r="B34" s="3"/>
      <c r="C34" s="107"/>
      <c r="D34" s="53"/>
      <c r="E34" s="161"/>
      <c r="F34" s="162"/>
      <c r="G34" s="162"/>
      <c r="H34" s="162"/>
      <c r="I34" s="162"/>
      <c r="J34" s="162"/>
      <c r="K34" s="128"/>
      <c r="L34" s="96"/>
      <c r="M34" s="96"/>
      <c r="N34" s="57"/>
      <c r="O34" s="8"/>
    </row>
    <row r="35" spans="1:15" ht="17.100000000000001" customHeight="1" x14ac:dyDescent="0.25">
      <c r="A35" s="7"/>
      <c r="B35" s="3"/>
      <c r="C35" s="107"/>
      <c r="D35" s="53"/>
      <c r="E35" s="136"/>
      <c r="F35" s="137"/>
      <c r="G35" s="137"/>
      <c r="H35" s="138"/>
      <c r="I35" s="137"/>
      <c r="J35" s="137"/>
      <c r="K35" s="108"/>
      <c r="L35" s="96"/>
      <c r="M35" s="96"/>
      <c r="N35" s="57"/>
      <c r="O35" s="8"/>
    </row>
    <row r="36" spans="1:15" ht="17.100000000000001" customHeight="1" x14ac:dyDescent="0.25">
      <c r="A36" s="7"/>
      <c r="B36" s="3"/>
      <c r="C36" s="107"/>
      <c r="D36" s="53"/>
      <c r="E36" s="136"/>
      <c r="F36" s="137"/>
      <c r="G36" s="137"/>
      <c r="H36" s="137"/>
      <c r="I36" s="137"/>
      <c r="J36" s="137"/>
      <c r="K36" s="108"/>
      <c r="L36" s="96"/>
      <c r="M36" s="96"/>
      <c r="N36" s="57"/>
      <c r="O36" s="8"/>
    </row>
    <row r="37" spans="1:15" ht="17.100000000000001" customHeight="1" x14ac:dyDescent="0.25">
      <c r="A37" s="7"/>
      <c r="B37" s="3"/>
      <c r="C37" s="107"/>
      <c r="D37" s="53"/>
      <c r="E37" s="136"/>
      <c r="F37" s="137"/>
      <c r="G37" s="137"/>
      <c r="H37" s="137"/>
      <c r="I37" s="137"/>
      <c r="J37" s="137"/>
      <c r="K37" s="108"/>
      <c r="L37" s="96"/>
      <c r="M37" s="96"/>
      <c r="N37" s="57"/>
      <c r="O37" s="8"/>
    </row>
    <row r="38" spans="1:15" ht="17.100000000000001" customHeight="1" x14ac:dyDescent="0.25">
      <c r="A38" s="7"/>
      <c r="B38" s="3"/>
      <c r="C38" s="107"/>
      <c r="D38" s="53"/>
      <c r="E38" s="136"/>
      <c r="F38" s="137"/>
      <c r="G38" s="137"/>
      <c r="H38" s="137"/>
      <c r="I38" s="137"/>
      <c r="J38" s="137"/>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66"/>
      <c r="F40" s="167"/>
      <c r="G40" s="167"/>
      <c r="H40" s="167"/>
      <c r="I40" s="167"/>
      <c r="J40" s="167"/>
      <c r="K40" s="116"/>
      <c r="L40" s="96"/>
      <c r="M40" s="96"/>
      <c r="N40" s="57"/>
      <c r="O40" s="8"/>
    </row>
    <row r="41" spans="1:15" ht="15" customHeight="1" x14ac:dyDescent="0.25">
      <c r="A41" s="7"/>
      <c r="B41" s="3"/>
      <c r="C41" s="3"/>
      <c r="D41" s="82"/>
      <c r="E41" s="82"/>
      <c r="F41" s="82"/>
      <c r="G41" s="82"/>
      <c r="H41" s="82"/>
      <c r="I41" s="76"/>
      <c r="J41" s="76"/>
      <c r="K41" s="76"/>
      <c r="L41" s="102" t="s">
        <v>24</v>
      </c>
      <c r="M41" s="97">
        <v>160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8" x14ac:dyDescent="0.25">
      <c r="A43" s="7"/>
      <c r="B43" s="3"/>
      <c r="C43" s="3"/>
      <c r="D43" s="83"/>
      <c r="E43" s="134" t="s">
        <v>25</v>
      </c>
      <c r="F43" s="82"/>
      <c r="G43" s="82"/>
      <c r="H43" s="82"/>
      <c r="I43" s="78"/>
      <c r="J43" s="78"/>
      <c r="K43" s="77"/>
      <c r="L43" s="104">
        <v>0.19</v>
      </c>
      <c r="M43" s="103">
        <f>+M41*0.19</f>
        <v>30.4</v>
      </c>
      <c r="N43" s="57"/>
      <c r="O43" s="8"/>
    </row>
    <row r="44" spans="1:15" ht="15.75" x14ac:dyDescent="0.25">
      <c r="A44" s="7"/>
      <c r="B44" s="3"/>
      <c r="C44" s="3"/>
      <c r="D44" s="85"/>
      <c r="E44" s="133" t="s">
        <v>65</v>
      </c>
      <c r="F44" s="87"/>
      <c r="G44" s="85"/>
      <c r="H44" s="82"/>
      <c r="I44" s="79"/>
      <c r="J44" s="76"/>
      <c r="K44" s="76"/>
      <c r="L44" s="146" t="s">
        <v>27</v>
      </c>
      <c r="M44" s="147">
        <f>SUM(M41:M43)</f>
        <v>191.4</v>
      </c>
      <c r="N44" s="57"/>
      <c r="O44" s="8"/>
    </row>
    <row r="45" spans="1:15" ht="15" x14ac:dyDescent="0.2">
      <c r="A45" s="7"/>
      <c r="B45" s="3"/>
      <c r="C45" s="3"/>
      <c r="D45" s="85">
        <v>1</v>
      </c>
      <c r="E45" s="106" t="s">
        <v>56</v>
      </c>
      <c r="F45" s="82"/>
      <c r="G45" s="86"/>
      <c r="H45" s="82"/>
      <c r="I45" s="80" t="s">
        <v>26</v>
      </c>
      <c r="J45" s="76"/>
      <c r="K45" s="76"/>
      <c r="L45" s="146"/>
      <c r="M45" s="148"/>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c r="D49" s="122"/>
      <c r="E49" s="122"/>
      <c r="F49" s="122"/>
      <c r="G49" s="122"/>
      <c r="H49" s="122"/>
      <c r="I49" s="122"/>
      <c r="J49" s="122"/>
      <c r="K49" s="122"/>
      <c r="L49" s="101"/>
      <c r="M49" s="101"/>
      <c r="N49" s="57"/>
      <c r="O49" s="8"/>
    </row>
    <row r="50" spans="1:15" x14ac:dyDescent="0.2">
      <c r="A50" s="7"/>
      <c r="B50" s="122"/>
      <c r="C50" s="122"/>
      <c r="D50" s="122"/>
      <c r="E50" s="122"/>
      <c r="F50" s="122"/>
      <c r="G50" s="122"/>
      <c r="H50" s="122"/>
      <c r="I50" s="122"/>
      <c r="J50" s="122"/>
      <c r="K50" s="122"/>
      <c r="L50" s="101"/>
      <c r="M50" s="101"/>
      <c r="N50" s="57"/>
      <c r="O50" s="8"/>
    </row>
    <row r="51" spans="1:15" ht="15.75" customHeight="1" x14ac:dyDescent="0.2">
      <c r="A51" s="7"/>
      <c r="B51" s="158"/>
      <c r="C51" s="158"/>
      <c r="D51" s="158"/>
      <c r="E51" s="158"/>
      <c r="F51" s="158"/>
      <c r="G51" s="158"/>
      <c r="H51" s="158"/>
      <c r="I51" s="158"/>
      <c r="J51" s="158"/>
      <c r="K51" s="158"/>
      <c r="L51" s="99"/>
      <c r="M51" s="100"/>
      <c r="N51" s="57"/>
      <c r="O51" s="8"/>
    </row>
    <row r="52" spans="1:15" ht="15.75" customHeight="1" x14ac:dyDescent="0.2">
      <c r="A52" s="7"/>
      <c r="B52" s="3"/>
      <c r="C52" s="3"/>
      <c r="D52" s="190" t="s">
        <v>58</v>
      </c>
      <c r="E52" s="191"/>
      <c r="F52" s="191"/>
      <c r="G52" s="191"/>
      <c r="H52" s="191"/>
      <c r="I52" s="191"/>
      <c r="J52" s="191"/>
      <c r="K52" s="191"/>
      <c r="L52" s="191"/>
      <c r="M52" s="191"/>
      <c r="N52" s="57"/>
      <c r="O52" s="8"/>
    </row>
    <row r="53" spans="1:15" ht="0.95" customHeight="1" x14ac:dyDescent="0.2">
      <c r="A53" s="7"/>
      <c r="B53" s="3"/>
      <c r="C53" s="3"/>
      <c r="D53" s="191"/>
      <c r="E53" s="191"/>
      <c r="F53" s="191"/>
      <c r="G53" s="191"/>
      <c r="H53" s="191"/>
      <c r="I53" s="191"/>
      <c r="J53" s="191"/>
      <c r="K53" s="191"/>
      <c r="L53" s="191"/>
      <c r="M53" s="191"/>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8" t="s">
        <v>55</v>
      </c>
      <c r="F55" s="188"/>
      <c r="G55" s="188"/>
      <c r="H55" s="188"/>
      <c r="I55" s="188"/>
      <c r="J55" s="188"/>
      <c r="K55" s="188"/>
      <c r="L55" s="98"/>
      <c r="M55" s="98"/>
      <c r="N55" s="57"/>
      <c r="O55" s="8"/>
    </row>
    <row r="56" spans="1:15" ht="16.5" thickTop="1" x14ac:dyDescent="0.2">
      <c r="A56" s="58"/>
      <c r="B56" s="3"/>
      <c r="C56" s="3"/>
      <c r="D56" s="189" t="s">
        <v>57</v>
      </c>
      <c r="E56" s="189"/>
      <c r="F56" s="189"/>
      <c r="G56" s="189"/>
      <c r="H56" s="189"/>
      <c r="I56" s="189"/>
      <c r="J56" s="189"/>
      <c r="K56" s="189"/>
      <c r="L56" s="189"/>
      <c r="M56" s="98"/>
      <c r="N56" s="57"/>
    </row>
    <row r="57" spans="1:15" ht="15.75" x14ac:dyDescent="0.2">
      <c r="A57" s="121"/>
      <c r="B57" s="3"/>
      <c r="C57" s="3"/>
      <c r="D57" s="189"/>
      <c r="E57" s="189"/>
      <c r="F57" s="189"/>
      <c r="G57" s="189"/>
      <c r="H57" s="189"/>
      <c r="I57" s="189"/>
      <c r="J57" s="189"/>
      <c r="K57" s="189"/>
      <c r="L57" s="189"/>
      <c r="M57" s="98"/>
      <c r="N57" s="57"/>
    </row>
    <row r="58" spans="1:15" ht="12.75" customHeight="1" thickBot="1" x14ac:dyDescent="0.25">
      <c r="A58" s="120"/>
      <c r="B58" s="117"/>
      <c r="C58" s="117"/>
      <c r="D58" s="118"/>
      <c r="E58" s="118"/>
      <c r="F58" s="118"/>
      <c r="G58" s="187"/>
      <c r="H58" s="187"/>
      <c r="I58" s="187"/>
      <c r="J58" s="187"/>
      <c r="K58" s="187"/>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86"/>
      <c r="K60" s="186"/>
      <c r="L60" s="186"/>
      <c r="M60" s="186"/>
      <c r="N60" s="186"/>
    </row>
    <row r="61" spans="1:15" x14ac:dyDescent="0.2">
      <c r="B61" s="120"/>
      <c r="C61" s="120"/>
      <c r="D61" s="120"/>
      <c r="E61" s="120"/>
      <c r="F61" s="120"/>
      <c r="G61" s="120"/>
      <c r="H61" s="120"/>
      <c r="I61" s="120"/>
      <c r="J61" s="187"/>
      <c r="K61" s="187"/>
      <c r="L61" s="187"/>
      <c r="M61" s="187"/>
      <c r="N61" s="187"/>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7">
    <mergeCell ref="J60:N61"/>
    <mergeCell ref="E55:K55"/>
    <mergeCell ref="G58:K58"/>
    <mergeCell ref="D56:L57"/>
    <mergeCell ref="D52:M53"/>
    <mergeCell ref="G11:K12"/>
    <mergeCell ref="L6:M6"/>
    <mergeCell ref="E40:J40"/>
    <mergeCell ref="L18:M18"/>
    <mergeCell ref="L20:M20"/>
    <mergeCell ref="L21:M21"/>
    <mergeCell ref="L10:M10"/>
    <mergeCell ref="F20:G20"/>
    <mergeCell ref="D19:I19"/>
    <mergeCell ref="D18:I18"/>
    <mergeCell ref="D21:I21"/>
    <mergeCell ref="E24:J24"/>
    <mergeCell ref="L44:L45"/>
    <mergeCell ref="M44:M45"/>
    <mergeCell ref="L14:M16"/>
    <mergeCell ref="E23:K23"/>
    <mergeCell ref="B51:K51"/>
    <mergeCell ref="L19:M19"/>
    <mergeCell ref="E25:J25"/>
    <mergeCell ref="E29:J29"/>
    <mergeCell ref="E34:J34"/>
    <mergeCell ref="E26:J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8:K40 K24:K26">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5:M26 L24:L40">
      <formula1>0</formula1>
      <formula2>1000000000</formula2>
    </dataValidation>
    <dataValidation type="whole" errorStyle="warning" allowBlank="1" showErrorMessage="1" errorTitle="Quantité" error="Tapez un nombre dans cette cellule." promptTitle="Quantité" sqref="D24:D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4 M27:M40">
      <formula1>0</formula1>
      <formula2>0</formula2>
    </dataValidation>
  </dataValidations>
  <hyperlinks>
    <hyperlink ref="L10"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45363</v>
      </c>
      <c r="D8" s="71" t="str">
        <f>Facture!$D$18</f>
        <v>NXT</v>
      </c>
      <c r="E8" s="68" t="str">
        <f>Facture!$D$19</f>
        <v>AV MOSBAH JARBOU EL MANAR II</v>
      </c>
      <c r="F8" s="68">
        <f>Facture!$D$20</f>
        <v>0</v>
      </c>
      <c r="G8" s="71">
        <f>Facture!$F$20</f>
        <v>0</v>
      </c>
      <c r="H8" s="71" t="str">
        <f>Facture!$I$20</f>
        <v>TN</v>
      </c>
      <c r="I8" s="68" t="str">
        <f>Facture!$D$21</f>
        <v xml:space="preserve">     71882832       Fax: </v>
      </c>
      <c r="J8" s="72">
        <f>Facture!$M$44</f>
        <v>191.4</v>
      </c>
      <c r="K8" s="68" t="str">
        <f>Facture!$L$20</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2024-03-13T08:37:00Z</cp:lastPrinted>
  <dcterms:created xsi:type="dcterms:W3CDTF">1995-05-29T15:50:39Z</dcterms:created>
  <dcterms:modified xsi:type="dcterms:W3CDTF">2024-03-13T12:12:55Z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191.4</vt:r8>
  </property>
</Properties>
</file>