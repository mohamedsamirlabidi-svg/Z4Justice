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Facture!$A$1:$N$65</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Facture!$L$52:$M$53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5" i="3" l="1"/>
  <c r="M45" i="3"/>
  <c r="M47" i="3"/>
  <c r="M48" i="3" s="1"/>
  <c r="M31" i="3" l="1"/>
  <c r="M42" i="3" l="1"/>
  <c r="M29" i="3" l="1"/>
  <c r="M4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H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<sst xmlns="http://schemas.openxmlformats.org/spreadsheetml/2006/main" count="95" uniqueCount="85">
  <si>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</si>
  <si>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</si>
  <si>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</si>
  <si>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</si>
  <si>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</si>
  <si>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</si>
  <si>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</si>
  <si>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</si>
  <si>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</si>
  <si>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</si>
  <si>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</si>
  <si>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</si>
  <si>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</si>
  <si>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</si>
  <si>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</si>
  <si>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</si>
  <si>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</si>
  <si>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</si>
  <si>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</si>
  <si>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</si>
  <si>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</si>
  <si>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</si>
  <si>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</si>
  <si>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</si>
  <si>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</si>
  <si>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</si>
  <si>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</si>
  <si>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</si>
  <si>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</si>
  <si>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</si>
  <si>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</si>
  <si>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</si>
  <si>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</si>
  <si>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</si>
  <si>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</si>
  <si>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</si>
  <si>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</si>
  <si>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</si>
  <si>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</si>
  <si>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</si>
  <si>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</si>
  <si>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</si>
  <si>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</si>
  <si>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</si>
  <si>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</si>
  <si>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</si>
  <si>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</si>
  <si>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</si>
  <si>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</si>
  <si>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</si>
  <si>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</si>
  <si>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</si>
  <si>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</si>
  <si>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</si>
  <si>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</si>
  <si>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</si>
  <si>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</si>
  <si>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</si>
  <si>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</si>
  <si>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</si>
  <si>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</si>
  <si>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</si>
  <si>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</si>
  <si>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</si>
  <si>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</si>
  <si>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</si>
  <si>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</si>
  <si>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</si>
  <si>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</si>
  <si>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</si>
  <si>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</si>
  <si>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OOREDOO </t>
  </si>
  <si>
    <t>LDV45M</t>
  </si>
  <si>
    <t>LONGUEUR  45 M</t>
  </si>
  <si>
    <t>Réf commande: 11183</t>
  </si>
  <si>
    <t>Date : 16/07/2024</t>
  </si>
  <si>
    <t>ARRETE LA PRESENTE FACTURE A LA SOMME DE :</t>
  </si>
  <si>
    <t>* Norme Européenne EN353-1 :2014+A1:2017</t>
  </si>
  <si>
    <t>* la réglementation nationale américaine,</t>
  </si>
  <si>
    <t>OSHA 1910</t>
  </si>
  <si>
    <t>ANSI A14 -3</t>
  </si>
  <si>
    <t>LIGNE DE VIE   conforme aux:</t>
  </si>
  <si>
    <t>SOS 1245</t>
  </si>
  <si>
    <t>Facture N°2024-068</t>
  </si>
  <si>
    <t xml:space="preserve">CINQ MILLE QUARANTE TROIS   DINARS ET 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</si>
</sst>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b/>
      <u/>
      <sz val="14"/>
      <name val="Arial"/>
      <family val="2"/>
    </font>
    <font>
      <b/>
      <sz val="22"/>
      <name val="Arial"/>
      <family val="2"/>
    </font>
    <font>
      <b/>
      <sz val="24"/>
      <name val="Times New Roman"/>
      <family val="1"/>
    </font>
    <font>
      <b/>
      <sz val="18"/>
      <color rgb="FF000000"/>
      <name val="Arial"/>
      <family val="2"/>
    </font>
    <font>
      <u/>
      <sz val="16"/>
      <color theme="1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0" fontId="20" fillId="3" borderId="28" xfId="0" applyFont="1" applyFill="1" applyBorder="1" applyAlignment="1">
      <alignment horizontal="center"/>
    </xf>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0" fillId="0" borderId="0"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0" fillId="0" borderId="39" xfId="5"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35" fillId="3" borderId="0" xfId="0" applyFont="1" applyFill="1" applyBorder="1" applyAlignment="1"/>
    <xf numFmtId="0" fontId="22" fillId="3" borderId="0" xfId="0" quotePrefix="1" applyFont="1" applyFill="1" applyBorder="1" applyAlignment="1"/>
    <xf numFmtId="0" fontId="42"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2" fillId="6" borderId="49" xfId="0" applyFont="1" applyFill="1" applyBorder="1" applyAlignment="1">
      <alignment horizontal="center"/>
    </xf>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30"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49" fontId="41" fillId="0" borderId="28" xfId="0" applyNumberFormat="1" applyFont="1" applyFill="1" applyBorder="1" applyAlignment="1">
      <alignment horizontal="left"/>
    </xf>
    <xf numFmtId="0" fontId="20" fillId="0" borderId="28" xfId="0" applyFont="1" applyFill="1" applyBorder="1" applyAlignment="1">
      <alignment horizontal="center" vertical="center"/>
    </xf>
    <xf numFmtId="0" fontId="30" fillId="0" borderId="0" xfId="0" applyFont="1" applyFill="1" applyAlignment="1"/>
    <xf numFmtId="49" fontId="43" fillId="0" borderId="28" xfId="0" applyNumberFormat="1" applyFont="1" applyFill="1" applyBorder="1" applyAlignment="1"/>
    <xf numFmtId="49" fontId="43" fillId="3" borderId="34" xfId="0" applyNumberFormat="1" applyFont="1" applyFill="1" applyBorder="1" applyAlignment="1">
      <alignment horizontal="left"/>
    </xf>
    <xf numFmtId="0" fontId="45" fillId="7" borderId="0" xfId="0" applyFont="1" applyFill="1"/>
    <xf numFmtId="0" fontId="41" fillId="3" borderId="0" xfId="0" applyFont="1" applyFill="1" applyBorder="1"/>
    <xf numFmtId="49" fontId="31" fillId="0" borderId="51" xfId="0" applyNumberFormat="1" applyFont="1" applyFill="1" applyBorder="1" applyAlignment="1"/>
    <xf numFmtId="49" fontId="31" fillId="0" borderId="52" xfId="0" applyNumberFormat="1" applyFont="1" applyFill="1" applyBorder="1" applyAlignment="1"/>
    <xf numFmtId="49" fontId="46" fillId="6" borderId="52" xfId="5" applyNumberFormat="1" applyFont="1" applyFill="1" applyBorder="1" applyAlignment="1" applyProtection="1"/>
    <xf numFmtId="49" fontId="31" fillId="0" borderId="28" xfId="0" applyNumberFormat="1" applyFont="1" applyFill="1" applyBorder="1" applyAlignment="1"/>
    <xf numFmtId="49" fontId="31" fillId="0" borderId="0" xfId="0" applyNumberFormat="1" applyFont="1" applyFill="1" applyBorder="1" applyAlignment="1"/>
    <xf numFmtId="49" fontId="46" fillId="6" borderId="0" xfId="5" applyNumberFormat="1" applyFont="1" applyFill="1" applyBorder="1" applyAlignment="1" applyProtection="1"/>
    <xf numFmtId="0" fontId="3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31" fillId="0" borderId="28"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xf>
    <xf numFmtId="49" fontId="31" fillId="0" borderId="53"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28" xfId="0" applyNumberFormat="1" applyFont="1" applyFill="1" applyBorder="1" applyAlignment="1">
      <alignment horizontal="left"/>
    </xf>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0" fontId="44"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63499</xdr:rowOff>
    </xdr:from>
    <xdr:to>
      <xdr:col>13</xdr:col>
      <xdr:colOff>87866</xdr:colOff>
      <xdr:row>12</xdr:row>
      <xdr:rowOff>111124</xdr:rowOff>
    </xdr:to>
    <xdr:pic>
      <xdr:nvPicPr>
        <xdr:cNvPr id="2" name="Image 1"/>
        <xdr:cNvPicPr>
          <a:picLocks noChangeAspect="1"/>
        </xdr:cNvPicPr>
      </xdr:nvPicPr>
      <xdr:blipFill>
        <a:blip xmlns:r="http://schemas.openxmlformats.org/officeDocument/2006/relationships" r:embed="rId2"/>
        <a:stretch>
          <a:fillRect/>
        </a:stretch>
      </xdr:blipFill>
      <xdr:spPr>
        <a:xfrm>
          <a:off x="12080875" y="730249"/>
          <a:ext cx="1421366" cy="1222375"/>
        </a:xfrm>
        <a:prstGeom prst="rect">
          <a:avLst/>
        </a:prstGeom>
      </xdr:spPr>
    </xdr:pic>
    <xdr:clientData/>
  </xdr:twoCellAnchor>
  <xdr:twoCellAnchor editAs="oneCell">
    <xdr:from>
      <xdr:col>11</xdr:col>
      <xdr:colOff>1936750</xdr:colOff>
      <xdr:row>8</xdr:row>
      <xdr:rowOff>47625</xdr:rowOff>
    </xdr:from>
    <xdr:to>
      <xdr:col>12</xdr:col>
      <xdr:colOff>566485</xdr:colOff>
      <xdr:row>12</xdr:row>
      <xdr:rowOff>151230</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75875" y="119062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46</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C37" zoomScale="60" zoomScaleNormal="60" workbookViewId="0">
      <selection activeCell="D50" sqref="D50:I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60</v>
      </c>
      <c r="E18" s="75"/>
      <c r="F18" s="75"/>
      <c r="G18" s="75"/>
      <c r="H18" s="3"/>
      <c r="I18" s="3"/>
      <c r="J18" s="3"/>
      <c r="K18" s="3"/>
      <c r="L18" s="202" t="s">
        <v>83</v>
      </c>
      <c r="M18" s="3"/>
      <c r="N18" s="3"/>
    </row>
    <row r="19" spans="2:14" ht="21.95" customHeight="1" thickTop="1" x14ac:dyDescent="0.3">
      <c r="B19" s="7"/>
      <c r="C19" s="3"/>
      <c r="D19" s="55"/>
      <c r="E19" s="55"/>
      <c r="F19" s="55"/>
      <c r="G19" s="55"/>
      <c r="H19" s="55"/>
      <c r="I19" s="55"/>
      <c r="J19" s="56"/>
      <c r="K19" s="56"/>
      <c r="L19" s="203"/>
      <c r="M19" s="56"/>
      <c r="N19" s="20"/>
    </row>
    <row r="20" spans="2:14" ht="21.95" customHeight="1" thickBot="1" x14ac:dyDescent="0.25">
      <c r="B20" s="7"/>
      <c r="C20" s="3"/>
      <c r="D20" s="3"/>
      <c r="E20" s="3"/>
      <c r="F20" s="3"/>
      <c r="G20" s="3"/>
      <c r="H20" s="3"/>
      <c r="I20" s="3"/>
      <c r="J20" s="3"/>
      <c r="K20" s="3"/>
      <c r="L20" s="204"/>
      <c r="M20" s="3"/>
      <c r="N20" s="3"/>
    </row>
    <row r="21" spans="2:14" ht="13.5" thickTop="1" x14ac:dyDescent="0.2">
      <c r="B21" s="7"/>
      <c r="C21" s="3"/>
      <c r="D21" s="3"/>
      <c r="E21" s="3"/>
      <c r="F21" s="3"/>
      <c r="G21" s="3"/>
      <c r="H21" s="3"/>
      <c r="I21" s="3"/>
      <c r="J21" s="3"/>
      <c r="K21" s="3"/>
      <c r="L21" s="3"/>
      <c r="M21" s="3"/>
      <c r="N21" s="3"/>
    </row>
    <row r="22" spans="2:14" ht="35.25" x14ac:dyDescent="0.5">
      <c r="B22" s="7"/>
      <c r="C22" s="3"/>
      <c r="D22" s="94" t="s">
        <v>52</v>
      </c>
      <c r="E22" s="208" t="s">
        <v>65</v>
      </c>
      <c r="F22" s="208"/>
      <c r="G22" s="208"/>
      <c r="H22" s="208"/>
      <c r="I22" s="208"/>
      <c r="J22" s="208"/>
      <c r="K22" s="95"/>
      <c r="L22" s="205" t="s">
        <v>75</v>
      </c>
      <c r="M22" s="205"/>
      <c r="N22" s="52"/>
    </row>
    <row r="23" spans="2:14" ht="33.75" x14ac:dyDescent="0.5">
      <c r="B23" s="7"/>
      <c r="C23" s="3"/>
      <c r="D23" s="94" t="s">
        <v>53</v>
      </c>
      <c r="E23" s="187" t="s">
        <v>64</v>
      </c>
      <c r="F23" s="188"/>
      <c r="G23" s="188"/>
      <c r="H23" s="188"/>
      <c r="I23" s="188"/>
      <c r="J23" s="188"/>
      <c r="K23" s="188"/>
      <c r="L23" s="168" t="s">
        <v>74</v>
      </c>
      <c r="M23" s="96"/>
      <c r="N23" s="53"/>
    </row>
    <row r="24" spans="2:14" ht="33.75" x14ac:dyDescent="0.5">
      <c r="B24" s="7"/>
      <c r="C24" s="3"/>
      <c r="D24" s="94" t="s">
        <v>54</v>
      </c>
      <c r="E24" s="106"/>
      <c r="F24" s="97" t="s">
        <v>8</v>
      </c>
      <c r="G24" s="189"/>
      <c r="H24" s="189"/>
      <c r="I24" s="98" t="s">
        <v>9</v>
      </c>
      <c r="J24" s="99" t="s">
        <v>57</v>
      </c>
      <c r="K24" s="95"/>
      <c r="L24" s="206" t="s">
        <v>70</v>
      </c>
      <c r="M24" s="207"/>
      <c r="N24" s="3"/>
    </row>
    <row r="25" spans="2:14" ht="33.75" x14ac:dyDescent="0.5">
      <c r="B25" s="7"/>
      <c r="C25" s="3"/>
      <c r="D25" s="94" t="s">
        <v>55</v>
      </c>
      <c r="E25" s="209" t="s">
        <v>66</v>
      </c>
      <c r="F25" s="209"/>
      <c r="G25" s="209"/>
      <c r="H25" s="209"/>
      <c r="I25" s="209"/>
      <c r="J25" s="209"/>
      <c r="K25" s="95"/>
      <c r="L25" s="207" t="s">
        <v>63</v>
      </c>
      <c r="M25" s="207"/>
      <c r="N25" s="3"/>
    </row>
    <row r="26" spans="2:14" x14ac:dyDescent="0.2">
      <c r="B26" s="7"/>
      <c r="C26" s="3"/>
      <c r="D26" s="73"/>
      <c r="E26" s="73"/>
      <c r="F26" s="73"/>
      <c r="G26" s="73"/>
      <c r="H26" s="73"/>
      <c r="I26" s="73"/>
      <c r="J26" s="73"/>
      <c r="K26" s="73"/>
      <c r="L26" s="73"/>
      <c r="M26" s="73"/>
      <c r="N26" s="3"/>
    </row>
    <row r="27" spans="2:14" ht="18" x14ac:dyDescent="0.25">
      <c r="B27" s="7"/>
      <c r="C27" s="3"/>
      <c r="D27" s="84" t="s">
        <v>35</v>
      </c>
      <c r="E27" s="84" t="s">
        <v>22</v>
      </c>
      <c r="F27" s="190" t="s">
        <v>23</v>
      </c>
      <c r="G27" s="191"/>
      <c r="H27" s="191"/>
      <c r="I27" s="191"/>
      <c r="J27" s="191"/>
      <c r="K27" s="192"/>
      <c r="L27" s="84" t="s">
        <v>24</v>
      </c>
      <c r="M27" s="85" t="s">
        <v>25</v>
      </c>
      <c r="N27" s="86"/>
    </row>
    <row r="28" spans="2:14" ht="30" x14ac:dyDescent="0.4">
      <c r="B28" s="7"/>
      <c r="C28" s="3"/>
      <c r="D28" s="131"/>
      <c r="E28" s="132"/>
      <c r="F28" s="147"/>
      <c r="G28" s="148"/>
      <c r="H28" s="149"/>
      <c r="I28" s="127"/>
      <c r="J28" s="127"/>
      <c r="K28" s="128"/>
      <c r="L28" s="102"/>
      <c r="M28" s="107"/>
      <c r="N28" s="54"/>
    </row>
    <row r="29" spans="2:14" ht="30" x14ac:dyDescent="0.4">
      <c r="B29" s="7"/>
      <c r="C29" s="3"/>
      <c r="D29" s="155"/>
      <c r="E29" s="156"/>
      <c r="F29" s="171" t="s">
        <v>81</v>
      </c>
      <c r="G29" s="172"/>
      <c r="H29" s="172"/>
      <c r="I29" s="172"/>
      <c r="J29" s="173"/>
      <c r="K29" s="173"/>
      <c r="L29" s="102"/>
      <c r="M29" s="102" t="str">
        <f>IF(E29&lt;&gt;"",E29*L29,"")</f>
        <v/>
      </c>
      <c r="N29" s="54"/>
    </row>
    <row r="30" spans="2:14" ht="30" x14ac:dyDescent="0.4">
      <c r="B30" s="7"/>
      <c r="C30" s="3"/>
      <c r="D30" s="157"/>
      <c r="E30" s="156"/>
      <c r="F30" s="174" t="s">
        <v>77</v>
      </c>
      <c r="G30" s="175"/>
      <c r="H30" s="175"/>
      <c r="I30" s="175"/>
      <c r="J30" s="176"/>
      <c r="K30" s="176"/>
      <c r="L30" s="159"/>
      <c r="M30" s="159"/>
      <c r="N30" s="54"/>
    </row>
    <row r="31" spans="2:14" ht="30" customHeight="1" x14ac:dyDescent="0.4">
      <c r="B31" s="7"/>
      <c r="C31" s="3"/>
      <c r="D31" s="157"/>
      <c r="E31" s="156"/>
      <c r="F31" s="197" t="s">
        <v>78</v>
      </c>
      <c r="G31" s="198"/>
      <c r="H31" s="198"/>
      <c r="I31" s="198"/>
      <c r="J31" s="198"/>
      <c r="K31" s="198"/>
      <c r="L31" s="159"/>
      <c r="M31" s="159" t="str">
        <f>IF(E31&lt;&gt;"",E31*L31,"")</f>
        <v/>
      </c>
      <c r="N31" s="54"/>
    </row>
    <row r="32" spans="2:14" ht="30" x14ac:dyDescent="0.4">
      <c r="B32" s="7"/>
      <c r="C32" s="3"/>
      <c r="D32" s="160"/>
      <c r="E32" s="161"/>
      <c r="F32" s="199" t="s">
        <v>79</v>
      </c>
      <c r="G32" s="200"/>
      <c r="H32" s="200"/>
      <c r="I32" s="200"/>
      <c r="J32" s="200"/>
      <c r="K32" s="200"/>
      <c r="L32" s="159"/>
      <c r="M32" s="159"/>
      <c r="N32" s="54"/>
    </row>
    <row r="33" spans="2:14" ht="30" x14ac:dyDescent="0.4">
      <c r="B33" s="7"/>
      <c r="C33" s="3"/>
      <c r="D33" s="160"/>
      <c r="E33" s="161"/>
      <c r="F33" s="201" t="s">
        <v>80</v>
      </c>
      <c r="G33" s="200"/>
      <c r="H33" s="200"/>
      <c r="I33" s="200"/>
      <c r="J33" s="200"/>
      <c r="K33" s="200"/>
      <c r="L33" s="159"/>
      <c r="M33" s="159"/>
      <c r="N33" s="54"/>
    </row>
    <row r="34" spans="2:14" ht="30" x14ac:dyDescent="0.4">
      <c r="B34" s="7"/>
      <c r="C34" s="3"/>
      <c r="D34" s="160"/>
      <c r="E34" s="161"/>
      <c r="F34" s="158"/>
      <c r="G34" s="162"/>
      <c r="H34" s="162"/>
      <c r="I34" s="162"/>
      <c r="J34" s="162"/>
      <c r="K34" s="163"/>
      <c r="L34" s="159"/>
      <c r="M34" s="159"/>
      <c r="N34" s="54"/>
    </row>
    <row r="35" spans="2:14" ht="30" x14ac:dyDescent="0.4">
      <c r="B35" s="7"/>
      <c r="C35" s="3"/>
      <c r="D35" s="160" t="s">
        <v>72</v>
      </c>
      <c r="E35" s="161">
        <v>1</v>
      </c>
      <c r="F35" s="167" t="s">
        <v>73</v>
      </c>
      <c r="G35" s="162"/>
      <c r="H35" s="162"/>
      <c r="I35" s="162"/>
      <c r="J35" s="162"/>
      <c r="K35" s="163"/>
      <c r="L35" s="159">
        <v>4237</v>
      </c>
      <c r="M35" s="159">
        <f>L35*E35</f>
        <v>4237</v>
      </c>
      <c r="N35" s="54"/>
    </row>
    <row r="36" spans="2:14" ht="30" x14ac:dyDescent="0.4">
      <c r="B36" s="7"/>
      <c r="C36" s="3"/>
      <c r="D36" s="160"/>
      <c r="E36" s="161"/>
      <c r="F36" s="164" t="s">
        <v>71</v>
      </c>
      <c r="G36" s="162"/>
      <c r="H36" s="162"/>
      <c r="I36" s="162"/>
      <c r="J36" s="162"/>
      <c r="K36" s="163"/>
      <c r="L36" s="159"/>
      <c r="M36" s="159"/>
      <c r="N36" s="54"/>
    </row>
    <row r="37" spans="2:14" ht="30" x14ac:dyDescent="0.4">
      <c r="B37" s="7"/>
      <c r="C37" s="3"/>
      <c r="D37" s="160"/>
      <c r="E37" s="161"/>
      <c r="F37" s="158" t="s">
        <v>82</v>
      </c>
      <c r="G37" s="162"/>
      <c r="H37" s="162"/>
      <c r="I37" s="162"/>
      <c r="J37" s="162"/>
      <c r="K37" s="163"/>
      <c r="L37" s="159"/>
      <c r="M37" s="159"/>
      <c r="N37" s="54"/>
    </row>
    <row r="38" spans="2:14" ht="30" x14ac:dyDescent="0.4">
      <c r="B38" s="7"/>
      <c r="C38" s="3"/>
      <c r="D38" s="165"/>
      <c r="E38" s="161"/>
      <c r="F38" s="166"/>
      <c r="G38" s="127"/>
      <c r="H38" s="127"/>
      <c r="I38" s="127"/>
      <c r="J38" s="127"/>
      <c r="K38" s="128"/>
      <c r="L38" s="159"/>
      <c r="M38" s="159"/>
      <c r="N38" s="54"/>
    </row>
    <row r="39" spans="2:14" ht="30" x14ac:dyDescent="0.4">
      <c r="B39" s="7"/>
      <c r="C39" s="3"/>
      <c r="D39" s="165"/>
      <c r="E39" s="161"/>
      <c r="F39" s="166"/>
      <c r="G39" s="127"/>
      <c r="H39" s="127"/>
      <c r="I39" s="127"/>
      <c r="J39" s="127"/>
      <c r="K39" s="128"/>
      <c r="L39" s="159"/>
      <c r="M39" s="159"/>
      <c r="N39" s="54"/>
    </row>
    <row r="40" spans="2:14" ht="30" x14ac:dyDescent="0.4">
      <c r="B40" s="7"/>
      <c r="C40" s="3"/>
      <c r="D40" s="165"/>
      <c r="E40" s="161"/>
      <c r="F40" s="166"/>
      <c r="G40" s="127"/>
      <c r="H40" s="127"/>
      <c r="I40" s="127"/>
      <c r="J40" s="127"/>
      <c r="K40" s="128"/>
      <c r="L40" s="159"/>
      <c r="M40" s="159"/>
      <c r="N40" s="54"/>
    </row>
    <row r="41" spans="2:14" ht="30" x14ac:dyDescent="0.4">
      <c r="B41" s="7"/>
      <c r="C41" s="3"/>
      <c r="D41" s="112"/>
      <c r="E41" s="101"/>
      <c r="F41" s="144"/>
      <c r="G41" s="143"/>
      <c r="H41" s="145"/>
      <c r="I41" s="143"/>
      <c r="J41" s="145"/>
      <c r="K41" s="146"/>
      <c r="L41" s="102"/>
      <c r="M41" s="107" t="str">
        <f t="shared" ref="M41:M42" si="0">IF(E41&lt;&gt;"",E41*L41,"")</f>
        <v/>
      </c>
      <c r="N41" s="54"/>
    </row>
    <row r="42" spans="2:14" ht="30" x14ac:dyDescent="0.4">
      <c r="B42" s="7"/>
      <c r="C42" s="3"/>
      <c r="D42" s="112"/>
      <c r="E42" s="101"/>
      <c r="F42" s="144"/>
      <c r="G42" s="143"/>
      <c r="H42" s="145"/>
      <c r="I42" s="143"/>
      <c r="J42" s="145"/>
      <c r="K42" s="146"/>
      <c r="L42" s="102"/>
      <c r="M42" s="107" t="str">
        <f t="shared" si="0"/>
        <v/>
      </c>
      <c r="N42" s="54"/>
    </row>
    <row r="43" spans="2:14" ht="30" x14ac:dyDescent="0.4">
      <c r="B43" s="7"/>
      <c r="C43" s="3"/>
      <c r="D43" s="112"/>
      <c r="E43" s="101"/>
      <c r="F43" s="126"/>
      <c r="G43" s="127"/>
      <c r="H43" s="127"/>
      <c r="I43" s="127"/>
      <c r="J43" s="127"/>
      <c r="K43" s="128"/>
      <c r="L43" s="102"/>
      <c r="M43" s="107"/>
      <c r="N43" s="54"/>
    </row>
    <row r="44" spans="2:14" ht="26.25" x14ac:dyDescent="0.35">
      <c r="B44" s="7"/>
      <c r="C44" s="3"/>
      <c r="D44" s="123"/>
      <c r="E44" s="120"/>
      <c r="F44" s="129"/>
      <c r="G44" s="130"/>
      <c r="H44" s="130"/>
      <c r="I44" s="124"/>
      <c r="J44" s="124"/>
      <c r="K44" s="125"/>
      <c r="L44" s="133"/>
      <c r="M44" s="107"/>
      <c r="N44" s="54"/>
    </row>
    <row r="45" spans="2:14" ht="30" customHeight="1" x14ac:dyDescent="0.5">
      <c r="B45" s="7"/>
      <c r="C45" s="3"/>
      <c r="D45" s="80"/>
      <c r="E45" s="89"/>
      <c r="F45" s="116"/>
      <c r="G45" s="113"/>
      <c r="H45" s="113"/>
      <c r="I45" s="113"/>
      <c r="J45" s="114"/>
      <c r="K45" s="115"/>
      <c r="L45" s="134" t="s">
        <v>26</v>
      </c>
      <c r="M45" s="100">
        <f>SUM(M29:M40)</f>
        <v>4237</v>
      </c>
      <c r="N45" s="54"/>
    </row>
    <row r="46" spans="2:14" ht="35.25" x14ac:dyDescent="0.5">
      <c r="B46" s="7"/>
      <c r="C46" s="3"/>
      <c r="D46" s="93"/>
      <c r="E46" s="177" t="s">
        <v>56</v>
      </c>
      <c r="F46" s="76"/>
      <c r="G46" s="76"/>
      <c r="H46" s="76"/>
      <c r="I46" s="76"/>
      <c r="J46" s="77"/>
      <c r="K46" s="87"/>
      <c r="L46" s="135" t="s">
        <v>47</v>
      </c>
      <c r="M46" s="100">
        <v>1</v>
      </c>
      <c r="N46" s="54"/>
    </row>
    <row r="47" spans="2:14" ht="35.25" x14ac:dyDescent="0.5">
      <c r="B47" s="7"/>
      <c r="C47" s="3"/>
      <c r="D47" s="91"/>
      <c r="E47" s="90" t="s">
        <v>62</v>
      </c>
      <c r="F47" s="76"/>
      <c r="G47" s="76"/>
      <c r="H47" s="76"/>
      <c r="I47" s="76"/>
      <c r="J47" s="78"/>
      <c r="K47" s="88"/>
      <c r="L47" s="136">
        <v>0.19</v>
      </c>
      <c r="M47" s="100">
        <f>+M45*0.19</f>
        <v>805.03</v>
      </c>
      <c r="N47" s="54"/>
    </row>
    <row r="48" spans="2:14" ht="35.25" x14ac:dyDescent="0.5">
      <c r="B48" s="7"/>
      <c r="C48" s="3"/>
      <c r="D48" s="111"/>
      <c r="E48" s="81"/>
      <c r="F48" s="92"/>
      <c r="G48" s="76"/>
      <c r="H48" s="64"/>
      <c r="I48" s="76"/>
      <c r="J48" s="79" t="s">
        <v>27</v>
      </c>
      <c r="K48" s="77"/>
      <c r="L48" s="137" t="s">
        <v>28</v>
      </c>
      <c r="M48" s="100">
        <f>+M45+M46+M47</f>
        <v>5043.03</v>
      </c>
      <c r="N48" s="54"/>
    </row>
    <row r="49" spans="1:14" ht="15.75" x14ac:dyDescent="0.25">
      <c r="B49" s="7"/>
      <c r="C49" s="3"/>
      <c r="D49" s="193"/>
      <c r="E49" s="193"/>
      <c r="F49" s="193"/>
      <c r="G49" s="193"/>
      <c r="H49" s="193"/>
      <c r="I49" s="193"/>
      <c r="J49" s="193"/>
      <c r="K49" s="193"/>
      <c r="L49" s="193"/>
      <c r="M49" s="111"/>
      <c r="N49" s="54"/>
    </row>
    <row r="50" spans="1:14" ht="23.25" x14ac:dyDescent="0.35">
      <c r="B50" s="7"/>
      <c r="C50" s="3"/>
      <c r="D50" s="169" t="s">
        <v>76</v>
      </c>
      <c r="E50" s="170"/>
      <c r="F50" s="170"/>
      <c r="G50" s="170"/>
      <c r="H50" s="170"/>
      <c r="I50" s="170"/>
      <c r="J50" s="170"/>
      <c r="K50" s="170"/>
      <c r="L50" s="170"/>
      <c r="M50" s="170"/>
      <c r="N50" s="54"/>
    </row>
    <row r="51" spans="1:14" ht="23.25" x14ac:dyDescent="0.35">
      <c r="B51" s="7"/>
      <c r="C51" s="3"/>
      <c r="D51" s="170" t="s">
        <v>84</v>
      </c>
      <c r="E51" s="170"/>
      <c r="F51" s="170"/>
      <c r="G51" s="170"/>
      <c r="H51" s="170"/>
      <c r="I51" s="170"/>
      <c r="J51" s="170"/>
      <c r="K51" s="170"/>
      <c r="L51" s="170"/>
      <c r="M51" s="170"/>
      <c r="N51" s="54"/>
    </row>
    <row r="52" spans="1:14" ht="26.25" x14ac:dyDescent="0.4">
      <c r="B52" s="7"/>
      <c r="C52" s="3"/>
      <c r="D52" s="111"/>
      <c r="E52" s="111"/>
      <c r="F52" s="119"/>
      <c r="G52" s="121"/>
      <c r="H52" s="121"/>
      <c r="I52" s="121"/>
      <c r="J52" s="77"/>
      <c r="K52" s="110"/>
      <c r="L52" s="139" t="s">
        <v>61</v>
      </c>
      <c r="M52" s="139"/>
      <c r="N52" s="104"/>
    </row>
    <row r="53" spans="1:14" ht="23.25" x14ac:dyDescent="0.25">
      <c r="B53" s="7"/>
      <c r="C53" s="3"/>
      <c r="D53" s="111"/>
      <c r="E53" s="111"/>
      <c r="F53" s="122"/>
      <c r="G53" s="186"/>
      <c r="H53" s="186"/>
      <c r="I53" s="186"/>
      <c r="J53" s="77"/>
      <c r="K53" s="110"/>
      <c r="L53" s="104"/>
      <c r="M53" s="104"/>
      <c r="N53" s="104"/>
    </row>
    <row r="54" spans="1:14" ht="20.25" x14ac:dyDescent="0.3">
      <c r="B54" s="7"/>
      <c r="C54" s="3"/>
      <c r="D54" s="108" t="s">
        <v>58</v>
      </c>
      <c r="E54" s="138"/>
      <c r="F54" s="77"/>
      <c r="G54" s="77"/>
      <c r="H54" s="77"/>
      <c r="I54" s="77"/>
      <c r="J54" s="77"/>
      <c r="K54" s="82"/>
      <c r="L54" s="82"/>
      <c r="M54" s="83"/>
      <c r="N54" s="54"/>
    </row>
    <row r="55" spans="1:14" ht="20.25" x14ac:dyDescent="0.3">
      <c r="B55" s="7"/>
      <c r="C55" s="3"/>
      <c r="D55" s="109" t="s">
        <v>59</v>
      </c>
      <c r="E55" s="109"/>
      <c r="F55" s="77"/>
      <c r="G55" s="77"/>
      <c r="H55" s="77"/>
      <c r="I55" s="77"/>
      <c r="J55" s="77"/>
      <c r="K55" s="82"/>
      <c r="L55" s="82"/>
      <c r="M55" s="82"/>
      <c r="N55" s="86"/>
    </row>
    <row r="56" spans="1:14" ht="20.25" x14ac:dyDescent="0.3">
      <c r="B56" s="7"/>
      <c r="C56" s="3"/>
      <c r="D56" s="109"/>
      <c r="E56" s="109"/>
      <c r="F56" s="77"/>
      <c r="G56" s="77"/>
      <c r="H56" s="77"/>
      <c r="I56" s="77"/>
      <c r="J56" s="77"/>
      <c r="K56" s="82"/>
      <c r="L56" s="82"/>
      <c r="M56" s="82"/>
      <c r="N56" s="86"/>
    </row>
    <row r="57" spans="1:14" ht="20.25" x14ac:dyDescent="0.3">
      <c r="B57" s="7"/>
      <c r="C57" s="3"/>
      <c r="D57" s="109"/>
      <c r="E57" s="109"/>
      <c r="F57" s="77"/>
      <c r="G57" s="77"/>
      <c r="H57" s="77"/>
      <c r="I57" s="77"/>
      <c r="J57" s="77"/>
      <c r="K57" s="82"/>
      <c r="L57" s="82"/>
      <c r="M57" s="82"/>
      <c r="N57" s="86"/>
    </row>
    <row r="58" spans="1:14" ht="18" customHeight="1" x14ac:dyDescent="0.25">
      <c r="B58" s="7"/>
      <c r="C58" s="153"/>
      <c r="D58" s="194" t="s">
        <v>67</v>
      </c>
      <c r="E58" s="194"/>
      <c r="F58" s="194"/>
      <c r="G58" s="194"/>
      <c r="H58" s="194"/>
      <c r="I58" s="194"/>
      <c r="J58" s="194"/>
      <c r="K58" s="194"/>
      <c r="L58" s="194"/>
      <c r="M58" s="194"/>
      <c r="N58" s="154"/>
    </row>
    <row r="59" spans="1:14" ht="18" customHeight="1" x14ac:dyDescent="0.25">
      <c r="B59" s="7"/>
      <c r="C59" s="3"/>
      <c r="D59" s="195"/>
      <c r="E59" s="195"/>
      <c r="F59" s="195"/>
      <c r="G59" s="195"/>
      <c r="H59" s="195"/>
      <c r="I59" s="195"/>
      <c r="J59" s="195"/>
      <c r="K59" s="195"/>
      <c r="L59" s="195"/>
      <c r="M59" s="195"/>
      <c r="N59" s="86"/>
    </row>
    <row r="60" spans="1:14" ht="18" customHeight="1" x14ac:dyDescent="0.25">
      <c r="B60" s="7"/>
      <c r="C60" s="3"/>
      <c r="D60" s="150"/>
      <c r="E60" s="150"/>
      <c r="F60" s="150"/>
      <c r="G60" s="150"/>
      <c r="H60" s="150"/>
      <c r="I60" s="150"/>
      <c r="J60" s="150"/>
      <c r="K60" s="150"/>
      <c r="L60" s="150"/>
      <c r="M60" s="151"/>
      <c r="N60" s="54"/>
    </row>
    <row r="61" spans="1:14" ht="15" customHeight="1" x14ac:dyDescent="0.25">
      <c r="B61" s="7"/>
      <c r="C61" s="3"/>
      <c r="D61" s="152"/>
      <c r="E61" s="196" t="s">
        <v>68</v>
      </c>
      <c r="F61" s="196"/>
      <c r="G61" s="196"/>
      <c r="H61" s="196"/>
      <c r="I61" s="196"/>
      <c r="J61" s="196"/>
      <c r="K61" s="196"/>
      <c r="L61" s="151"/>
      <c r="M61" s="151"/>
      <c r="N61" s="54"/>
    </row>
    <row r="62" spans="1:14" ht="20.100000000000001" customHeight="1" x14ac:dyDescent="0.2">
      <c r="B62" s="7"/>
      <c r="C62" s="3"/>
      <c r="D62" s="185" t="s">
        <v>69</v>
      </c>
      <c r="E62" s="185"/>
      <c r="F62" s="185"/>
      <c r="G62" s="185"/>
      <c r="H62" s="185"/>
      <c r="I62" s="185"/>
      <c r="J62" s="185"/>
      <c r="K62" s="185"/>
      <c r="L62" s="185"/>
      <c r="M62" s="151"/>
      <c r="N62" s="54"/>
    </row>
    <row r="63" spans="1:14" ht="26.25" customHeight="1" x14ac:dyDescent="0.2">
      <c r="A63" s="140"/>
      <c r="B63" s="141"/>
      <c r="C63" s="3"/>
      <c r="D63" s="185"/>
      <c r="E63" s="185"/>
      <c r="F63" s="185"/>
      <c r="G63" s="185"/>
      <c r="H63" s="185"/>
      <c r="I63" s="185"/>
      <c r="J63" s="185"/>
      <c r="K63" s="185"/>
      <c r="L63" s="185"/>
      <c r="M63" s="151"/>
      <c r="N63" s="54"/>
    </row>
    <row r="64" spans="1:14" x14ac:dyDescent="0.2">
      <c r="A64" s="140"/>
      <c r="B64" s="141"/>
      <c r="C64" s="3"/>
      <c r="D64" s="3"/>
      <c r="E64" s="3"/>
      <c r="F64" s="3"/>
      <c r="G64" s="3"/>
      <c r="H64" s="3"/>
      <c r="I64" s="3"/>
      <c r="J64" s="3"/>
      <c r="K64" s="3"/>
      <c r="L64" s="3"/>
      <c r="M64" s="118"/>
      <c r="N64" s="142"/>
    </row>
    <row r="65" spans="1:14" x14ac:dyDescent="0.2">
      <c r="A65" s="117"/>
      <c r="B65" s="117"/>
      <c r="C65" s="3"/>
      <c r="D65" s="3"/>
      <c r="E65" s="3"/>
      <c r="F65" s="118"/>
      <c r="G65" s="118"/>
      <c r="H65" s="118"/>
      <c r="I65" s="118"/>
      <c r="J65" s="118"/>
      <c r="K65" s="118"/>
      <c r="L65" s="118"/>
      <c r="M65" s="118"/>
      <c r="N65" s="118"/>
    </row>
    <row r="66" spans="1:14" x14ac:dyDescent="0.2">
      <c r="C66" s="3"/>
      <c r="D66" s="118"/>
      <c r="E66" s="118"/>
      <c r="F66" s="118"/>
      <c r="G66" s="118"/>
      <c r="H66" s="118"/>
      <c r="I66" s="118"/>
      <c r="J66" s="118"/>
      <c r="K66" s="118"/>
      <c r="L66" s="118"/>
      <c r="M66" s="118"/>
      <c r="N66" s="118"/>
    </row>
    <row r="67" spans="1:14" x14ac:dyDescent="0.2">
      <c r="C67" s="3"/>
      <c r="D67" s="118"/>
      <c r="E67" s="118"/>
      <c r="F67" s="118"/>
      <c r="G67" s="118"/>
      <c r="H67" s="118"/>
      <c r="I67" s="118"/>
      <c r="J67" s="118"/>
      <c r="K67" s="118"/>
      <c r="L67" s="118"/>
      <c r="M67" s="118"/>
      <c r="N67"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L18:L20"/>
    <mergeCell ref="L22:M22"/>
    <mergeCell ref="L24:M24"/>
    <mergeCell ref="L25:M25"/>
    <mergeCell ref="E22:J22"/>
    <mergeCell ref="E25:J25"/>
    <mergeCell ref="D62:L63"/>
    <mergeCell ref="G53:I53"/>
    <mergeCell ref="E23:K23"/>
    <mergeCell ref="G24:H24"/>
    <mergeCell ref="F27:K27"/>
    <mergeCell ref="D49:L49"/>
    <mergeCell ref="D58:M59"/>
    <mergeCell ref="E61:K61"/>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3 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1:M44">
      <formula1>0</formula1>
      <formula2>0</formula2>
    </dataValidation>
    <dataValidation type="decimal" allowBlank="1" showErrorMessage="1" errorTitle="Prix unitaire" error="Tapez un nombre dans cette cellule." promptTitle="Prix unitaire" sqref="L28:L44 M32:M40">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16/07/2024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Facture!$M$48</f>
        <v>5043.03</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2024-07-16T10:49:14Z</cp:lastPrinted>
  <dcterms:created xsi:type="dcterms:W3CDTF">1995-05-29T15:50:39Z</dcterms:created>
  <dcterms:modified xsi:type="dcterms:W3CDTF">2024-08-12T13:02:48Z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5043.03</vt:r8>
  </property>
</Properties>
</file>