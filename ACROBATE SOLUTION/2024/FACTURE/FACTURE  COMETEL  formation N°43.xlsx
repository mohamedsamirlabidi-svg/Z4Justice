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User\Desktop\ACROBATE SOLUTION\2024\FACTURE\"/>
    </mc:Choice>
  </mc:AlternateContent>
  <bookViews>
    <workbookView xWindow="0" yWindow="0" windowWidth="19200" windowHeight="10335" firstSheet="2" activeTab="2"/>
  </bookViews>
  <sheets>
    <sheet name="AutoOpen_Stub_Data" sheetId="1" state="hidden" r:id="rId1"/>
    <sheet name="Personnaliser_votre_facture" sheetId="2" state="hidden" r:id="rId2"/>
    <sheet name="Facture" sheetId="3" r:id="rId3"/>
    <sheet name="Patientez_un_instant___" sheetId="4" state="hidden" r:id="rId4"/>
    <sheet name="TemplateInformation" sheetId="5" state="hidden" r:id="rId5"/>
    <sheet name="Macros" sheetId="6" state="hidden" r:id="rId6"/>
  </sheets>
  <externalReferences>
    <externalReference r:id="rId7"/>
  </externalReferences>
  <definedNames>
    <definedName name="_SHR1">Personnaliser_votre_facture!$D$30</definedName>
    <definedName name="_SHR2">Personnaliser_votre_facture!$G$30</definedName>
    <definedName name="_Tax1">Facture!#REF!</definedName>
    <definedName name="_Tax2">Facture!$K$46</definedName>
    <definedName name="_Tax3">Facture!$K$48</definedName>
    <definedName name="_tax4">Facture!$K$48</definedName>
    <definedName name="_xlnm.Auto_Open21">AutoOpen_Stub_Data!$A$1</definedName>
    <definedName name="boxes">Facture!$C$46:$C$47</definedName>
    <definedName name="CC">Personnaliser_votre_facture!$G$22:$G$25</definedName>
    <definedName name="CCT">Facture!$F$48</definedName>
    <definedName name="CDB">Personnaliser_votre_facture!$E$50</definedName>
    <definedName name="Country">33</definedName>
    <definedName name="CS">Personnaliser_votre_facture!$E$51</definedName>
    <definedName name="data1">Facture!$K$21</definedName>
    <definedName name="data10">Facture!$D$24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Facture!$L$22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Facture!$L$23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Facture!$L$24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Facture!$C$27</definedName>
    <definedName name="data48">Facture!$D$27</definedName>
    <definedName name="data49">Facture!$K$27</definedName>
    <definedName name="data5">Facture!$C$21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Facture!$C$43</definedName>
    <definedName name="data6">Facture!$D$22</definedName>
    <definedName name="data60">Facture!$D$43</definedName>
    <definedName name="data61">Facture!$K$43</definedName>
    <definedName name="data62">Facture!$C$46</definedName>
    <definedName name="data63">Facture!$C$47</definedName>
    <definedName name="data64">Facture!$C$48</definedName>
    <definedName name="data65">Facture!$F$47</definedName>
    <definedName name="data66">Facture!$D$51</definedName>
    <definedName name="data67">Facture!$D$52</definedName>
    <definedName name="data68">Facture!$E$56</definedName>
    <definedName name="data69">Facture!$I$56</definedName>
    <definedName name="data7">Facture!$F$23</definedName>
    <definedName name="data70">Facture!#REF!</definedName>
    <definedName name="data8">Facture!$H$23</definedName>
    <definedName name="dflt1">Personnaliser_votre_facture!$E$22</definedName>
    <definedName name="dflt2">Personnaliser_votre_facture!$E$23</definedName>
    <definedName name="dflt3">Personnaliser_votre_facture!$E$24</definedName>
    <definedName name="dflt4">Personnaliser_votre_facture!$E$26</definedName>
    <definedName name="dflt5">Personnaliser_votre_facture!$E$27</definedName>
    <definedName name="dflt6">Personnaliser_votre_facture!$D$28</definedName>
    <definedName name="dflt7">Personnaliser_votre_facture!$G$27</definedName>
    <definedName name="display_area_1">Personnaliser_votre_facture!$C$3:$I$44</definedName>
    <definedName name="display_area_2">Facture!$A$3:$M$61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Personnaliser_votre_facture!$E$47</definedName>
    <definedName name="LTR">Personnaliser_votre_facture!$F$38</definedName>
    <definedName name="NO">Facture!#REF!</definedName>
    <definedName name="NS">Personnaliser_votre_facture!$E$49</definedName>
    <definedName name="qzqzqz1">Facture!$C$21:$H$21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Facture!$K$21:$L$21</definedName>
    <definedName name="qzqzqz20">Facture!#REF!</definedName>
    <definedName name="qzqzqz21">Facture!$D$27:$I$27</definedName>
    <definedName name="qzqzqz22">Facture!#REF!</definedName>
    <definedName name="qzqzqz23">Facture!#REF!</definedName>
    <definedName name="qzqzqz24">Facture!#REF!</definedName>
    <definedName name="qzqzqz25">Facture!$D$43:$I$43</definedName>
    <definedName name="qzqzqz26">Facture!$D$51:$G$51</definedName>
    <definedName name="qzqzqz27">Facture!#REF!</definedName>
    <definedName name="qzqzqz28">Facture!$D$52:$G$52</definedName>
    <definedName name="qzqzqz29">Facture!$I$56:$L$56</definedName>
    <definedName name="qzqzqz3">Facture!$C$22:$H$22</definedName>
    <definedName name="qzqzqz30">Facture!$E$56:$G$56</definedName>
    <definedName name="qzqzqz31">Facture!$E$56:$F$56</definedName>
    <definedName name="qzqzqz32">Facture!$I$52:$L$56</definedName>
    <definedName name="qzqzqz4">Facture!$E$23:$F$23</definedName>
    <definedName name="qzqzqz5">Facture!$K$23:$L$23</definedName>
    <definedName name="qzqzqz6">Facture!$C$24:$H$24</definedName>
    <definedName name="qzqzqz7">Facture!$K$24:$L$24</definedName>
    <definedName name="qzqzqz8">Facture!$D$26:$I$26</definedName>
    <definedName name="qzqzqz9">Facture!#REF!</definedName>
    <definedName name="SS">Personnaliser_votre_facture!$E$48</definedName>
    <definedName name="TOT">Facture!$L$47</definedName>
    <definedName name="vital1">Personnaliser_votre_facture!$E$12</definedName>
    <definedName name="vital2">Personnaliser_votre_facture!$E$13</definedName>
    <definedName name="vital4">Personnaliser_votre_facture!$E$15</definedName>
    <definedName name="vital5">Personnaliser_votre_facture!$E$16</definedName>
    <definedName name="vital6">Personnaliser_votre_facture!$E$14</definedName>
    <definedName name="vital8">Personnaliser_votre_facture!$G$12</definedName>
    <definedName name="vital9">Personnaliser_votre_facture!$G$13</definedName>
    <definedName name="_xlnm.Print_Area" localSheetId="2">Facture!$A$3:$M$61</definedName>
  </definedNames>
  <calcPr calcId="152511"/>
</workbook>
</file>

<file path=xl/calcChain.xml><?xml version="1.0" encoding="utf-8"?>
<calcChain xmlns="http://schemas.openxmlformats.org/spreadsheetml/2006/main">
  <c r="L32" i="3" l="1"/>
  <c r="L34" i="3"/>
  <c r="L36" i="3"/>
  <c r="L38" i="3"/>
  <c r="L43" i="3"/>
  <c r="L44" i="3" l="1"/>
  <c r="L46" i="3"/>
  <c r="L47" i="3"/>
  <c r="K8" i="5"/>
  <c r="I8" i="5"/>
  <c r="H8" i="5"/>
  <c r="G8" i="5"/>
  <c r="F8" i="5"/>
  <c r="E8" i="5"/>
  <c r="D8" i="5"/>
  <c r="C8" i="5"/>
  <c r="B8" i="5"/>
  <c r="F33" i="2"/>
  <c r="L27" i="3"/>
  <c r="J8" i="5" l="1"/>
</calcChain>
</file>

<file path=xl/comments1.xml><?xml version="1.0" encoding="utf-8"?>
<comments xmlns="http://schemas.openxmlformats.org/spreadsheetml/2006/main">
  <authors>
    <author>Un utilisateur satisfait de Microsoft Office</author>
  </authors>
  <commentList>
    <comment ref="D4" authorId="0" shapeId="0">
      <text>
        <r>
          <rPr>
            <sz val="8"/>
            <color rgb="FF000000"/>
            <rFont val="Tahoma"/>
            <family val="2"/>
          </rPr>
          <t>PERSONNALISER VOTRE FACTURE</t>
        </r>
        <r>
          <rPr>
            <sz val="8"/>
            <color rgb="FF000000"/>
            <rFont val="Tahoma"/>
            <family val="2"/>
          </rPr>
          <t xml:space="preserv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rgb="FF000000"/>
            <rFont val="Tahoma"/>
            <family val="2"/>
          </rPr>
          <t>VERROUILLER/DÉVERROUILLER LA FEUILLE</t>
        </r>
        <r>
          <rPr>
            <sz val="8"/>
            <color rgb="FF000000"/>
            <rFont val="Tahoma"/>
            <family val="2"/>
          </rPr>
          <t xml:space="preserv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rgb="FF000000"/>
            <rFont val="Tahoma"/>
            <family val="2"/>
          </rPr>
          <t>INFO-BULLES</t>
        </r>
        <r>
          <rPr>
            <sz val="8"/>
            <color rgb="FF000000"/>
            <rFont val="Tahoma"/>
            <family val="2"/>
          </rPr>
          <t xml:space="preserve">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rgb="FF000000"/>
            <rFont val="Tahoma"/>
            <family val="2"/>
          </rPr>
          <t>INFORMATIONS SUR LA SOCIÉTÉ</t>
        </r>
        <r>
          <rPr>
            <sz val="8"/>
            <color rgb="FF000000"/>
            <rFont val="Tahoma"/>
            <family val="2"/>
          </rPr>
          <t xml:space="preserve">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rgb="FF000000"/>
            <rFont val="Tahoma"/>
            <family val="2"/>
          </rPr>
          <t>INFORMATIONS PAR DÉFAUT SUR LA FACTURE</t>
        </r>
        <r>
          <rPr>
            <sz val="8"/>
            <color rgb="FF000000"/>
            <rFont val="Tahoma"/>
            <family val="2"/>
          </rPr>
          <t xml:space="preserve">
Les informations tapées dans ces cellules mettront à jour automatiquement le modèle de facture. Vous pouvez modifier l'information de ces cellules en tapant directement sur les anciennes informations. </t>
        </r>
      </text>
    </comment>
    <comment ref="E30" authorId="0" shapeId="0">
      <text>
        <r>
          <rPr>
            <sz val="8"/>
            <color rgb="FF000000"/>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rgb="FF000000"/>
            <rFont val="Tahoma"/>
            <family val="2"/>
          </rPr>
          <t>INFORMATIONS DE MISE EN FORME</t>
        </r>
        <r>
          <rPr>
            <sz val="8"/>
            <color rgb="FF000000"/>
            <rFont val="Tahoma"/>
            <family val="2"/>
          </rPr>
          <t xml:space="preserv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A3" authorId="0" shapeId="0">
      <text>
        <r>
          <rPr>
            <sz val="8"/>
            <color rgb="FF000000"/>
            <rFont val="Tahoma"/>
            <family val="2"/>
          </rPr>
          <t>Si vous n'avez pas inséré de logo dans votre modèle de facture personnalisé, cette zone n'apparaîtra pas sur vos documents imprimés.</t>
        </r>
      </text>
    </comment>
    <comment ref="K14" authorId="0" shapeId="0">
      <text>
        <r>
          <rPr>
            <sz val="8"/>
            <color rgb="FF000000"/>
            <rFont val="Tahoma"/>
            <family val="2"/>
          </rPr>
          <t>Cliquez sur ce bouton pour retourner à la feuille Personnaliser vos frais et modifier vos informations personnelles.</t>
        </r>
      </text>
    </comment>
    <comment ref="J24" authorId="0" shapeId="0">
      <text>
        <r>
          <rPr>
            <sz val="8"/>
            <color rgb="FF000000"/>
            <rFont val="Tahoma"/>
            <family val="2"/>
          </rPr>
          <t>FAB signifie franco à bord. Il s'agit du lieu de chargement: par exemple, si vous passez une commande en Inde, mais que le chargement a lieu à Boston, vous taperez Boston.</t>
        </r>
      </text>
    </comment>
    <comment ref="E45" authorId="0" shapeId="0">
      <text>
        <r>
          <rPr>
            <sz val="8"/>
            <color rgb="FF000000"/>
            <rFont val="Tahoma"/>
            <family val="2"/>
          </rPr>
          <t>DÉTAILS DE PAIEMENT</t>
        </r>
        <r>
          <rPr>
            <sz val="8"/>
            <color rgb="FF000000"/>
            <rFont val="Tahoma"/>
            <family val="2"/>
          </rPr>
          <t xml:space="preserve">
Sélectionnez une option de paiement. Si vous choisissez la carte de crédit, sélectionnez le type de carte et tapez l'information correspondante.</t>
        </r>
        <r>
          <rPr>
            <sz val="8"/>
            <color rgb="FF000000"/>
            <rFont val="Tahoma"/>
            <family val="2"/>
          </rPr>
          <t xml:space="preserve">
</t>
        </r>
      </text>
    </comment>
  </commentList>
</comments>
</file>

<file path=xl/sharedStrings.xml><?xml version="1.0" encoding="utf-8"?>
<sst xmlns="http://schemas.openxmlformats.org/spreadsheetml/2006/main" count="95" uniqueCount="78">
  <si>
    <t>PERSONNALISER VOTRE FACTURE</t>
  </si>
  <si>
    <t>Placez votre point</t>
  </si>
  <si>
    <t>ICI pour un conseil utile</t>
  </si>
  <si>
    <t>Tapez les informations sur la société...</t>
  </si>
  <si>
    <t>Nom</t>
  </si>
  <si>
    <t xml:space="preserve">GAMESTREAM ATLAS  ORGANISME DE FORMATION N° D'AGREMENT : 01 069 11 </t>
  </si>
  <si>
    <t>Numéro de téléphone</t>
  </si>
  <si>
    <t>Adresse</t>
  </si>
  <si>
    <t>4 RUE DU CAIRE 1001 TUNIS</t>
  </si>
  <si>
    <t>Numéro de télécopie</t>
  </si>
  <si>
    <t>Code postal</t>
  </si>
  <si>
    <t>TEL:  71 258108</t>
  </si>
  <si>
    <t>Ville</t>
  </si>
  <si>
    <t>FAX : 71 259346</t>
  </si>
  <si>
    <t>Pays</t>
  </si>
  <si>
    <t>Spécifiez les informations par défaut…</t>
  </si>
  <si>
    <t>Taux de TVA à appliquer</t>
  </si>
  <si>
    <t>Cartes de crédit acceptées</t>
  </si>
  <si>
    <t>TIMBRE FISCAL</t>
  </si>
  <si>
    <t>Partage de la numérotation du</t>
  </si>
  <si>
    <t>Emplacement</t>
  </si>
  <si>
    <t>modèle de facture sur le réseau</t>
  </si>
  <si>
    <t>du compteur</t>
  </si>
  <si>
    <t xml:space="preserve">Base de données de l'Assistant Modèle  </t>
  </si>
  <si>
    <t>Informations sur la mise en forme</t>
  </si>
  <si>
    <t>Facture</t>
  </si>
  <si>
    <t>http://www.camp.it</t>
  </si>
  <si>
    <t xml:space="preserve">COMETEL </t>
  </si>
  <si>
    <t>Date</t>
  </si>
  <si>
    <t>RS LILIA JMZH 2AP01 MNIHLA</t>
  </si>
  <si>
    <t xml:space="preserve">Commande N°:             </t>
  </si>
  <si>
    <t>ARIANA</t>
  </si>
  <si>
    <t>TN</t>
  </si>
  <si>
    <t>Responsable</t>
  </si>
  <si>
    <t>Téléphone</t>
  </si>
  <si>
    <t xml:space="preserve">22619085   fax: </t>
  </si>
  <si>
    <t>MF</t>
  </si>
  <si>
    <t>1114374R/A/M/000</t>
  </si>
  <si>
    <t>Référence</t>
  </si>
  <si>
    <t>Quantité</t>
  </si>
  <si>
    <t>Description</t>
  </si>
  <si>
    <t>P.U</t>
  </si>
  <si>
    <t>Montant</t>
  </si>
  <si>
    <t>Total H.T.</t>
  </si>
  <si>
    <t>Comptant</t>
  </si>
  <si>
    <t>Total T.T.C.</t>
  </si>
  <si>
    <t xml:space="preserve"> </t>
  </si>
  <si>
    <t>SIGNATURE &amp; CACHET  :</t>
  </si>
  <si>
    <t>RIB: 10 000 000 080746 3788 95</t>
  </si>
  <si>
    <t>STB THAMEUR</t>
  </si>
  <si>
    <t>4 RUE DU CAIRE 1001 TUNIS TEL:  71 258108 FAX : 71 259346 RC:B161701999  MF:645 267 KMA 000</t>
  </si>
  <si>
    <t>Site web:www.acrobatsolution.com</t>
  </si>
  <si>
    <t>MAIL: gamestream@plane.tn///////gamestream.formation@gmail.com</t>
  </si>
  <si>
    <t>AutoTemplateWizardDONTMESSWITHIT</t>
  </si>
  <si>
    <t>Database Type:</t>
  </si>
  <si>
    <t>Excel 5.0</t>
  </si>
  <si>
    <t>Database Location:</t>
  </si>
  <si>
    <t>C:\PROGRAM FILES\MICROSOFT OFFICE\OFFICE\MACROLIB\factbd.xls</t>
  </si>
  <si>
    <t>Reserved</t>
  </si>
  <si>
    <t>Number of Tables:</t>
  </si>
  <si>
    <t>Table Name:</t>
  </si>
  <si>
    <t>France</t>
  </si>
  <si>
    <t>Number of Fields:</t>
  </si>
  <si>
    <t>Field Name:</t>
  </si>
  <si>
    <t>Facture N°</t>
  </si>
  <si>
    <t>TOTAL</t>
  </si>
  <si>
    <t>Refers To:</t>
  </si>
  <si>
    <t xml:space="preserve"> MR SLIM</t>
  </si>
  <si>
    <t>FORMATION THEORIQUE ET PRATIQUE :</t>
  </si>
  <si>
    <t>SUR LES THEMES:</t>
  </si>
  <si>
    <t xml:space="preserve">Prevention et lutte contre l'incendie </t>
  </si>
  <si>
    <t xml:space="preserve">Sauvetage secourisme </t>
  </si>
  <si>
    <t xml:space="preserve">Evacuation  en hauteur </t>
  </si>
  <si>
    <t xml:space="preserve">Habilitation a la conduite defensive </t>
  </si>
  <si>
    <t/>
  </si>
  <si>
    <t>ARRETE LA PRESENTE FACTURE A LA SOMME DE :</t>
  </si>
  <si>
    <t xml:space="preserve">TROIS MILLE CINQ CENT SOIXANTE ET  ONZE DINARS </t>
  </si>
  <si>
    <t>FACTURE  N°  2024-043</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</si>
</sst>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quot; &quot;##0.000&quot; DT&quot;;[Red]&quot;-&quot;#&quot; &quot;##0.00&quot;2 DT&quot;"/>
    <numFmt numFmtId="165" formatCode=";;;"/>
    <numFmt numFmtId="166" formatCode="#,##0.00&quot; F&quot;;[Red]&quot;-&quot;#,##0.00&quot; F&quot;"/>
    <numFmt numFmtId="167" formatCode="&quot; $&quot;#,##0&quot; &quot;;&quot; $(&quot;#,##0&quot;)&quot;;&quot; $- &quot;;&quot; &quot;@&quot; &quot;"/>
    <numFmt numFmtId="168" formatCode="&quot; $&quot;#,##0.00&quot; &quot;;&quot; $(&quot;#,##0.00&quot;)&quot;;&quot; $-&quot;00&quot; &quot;;&quot; &quot;@&quot; &quot;"/>
  </numFmts>
  <fonts count="23">
    <font>
      <sz val="10"/>
      <color rgb="FF000000"/>
      <name val="Arial"/>
      <family val="2"/>
    </font>
    <font>
      <sz val="10"/>
      <color rgb="FF000000"/>
      <name val="Arial"/>
      <family val="2"/>
    </font>
    <font>
      <u/>
      <sz val="9"/>
      <color rgb="FF0000FF"/>
      <name val="Arial"/>
      <family val="2"/>
    </font>
    <font>
      <b/>
      <i/>
      <sz val="18"/>
      <color rgb="FF000000"/>
      <name val="Arial"/>
      <family val="2"/>
    </font>
    <font>
      <sz val="8"/>
      <color rgb="FF000000"/>
      <name val="Tahoma"/>
      <family val="2"/>
    </font>
    <font>
      <b/>
      <i/>
      <sz val="14"/>
      <color rgb="FF000000"/>
      <name val="Arial"/>
      <family val="2"/>
    </font>
    <font>
      <sz val="8"/>
      <color rgb="FF000000"/>
      <name val="Arial"/>
      <family val="2"/>
    </font>
    <font>
      <sz val="10"/>
      <color rgb="FFFF0000"/>
      <name val="Arial"/>
      <family val="2"/>
    </font>
    <font>
      <b/>
      <sz val="10"/>
      <color rgb="FF000000"/>
      <name val="Arial"/>
      <family val="2"/>
    </font>
    <font>
      <sz val="11"/>
      <color rgb="FF000000"/>
      <name val="Arial"/>
      <family val="2"/>
    </font>
    <font>
      <sz val="11"/>
      <color rgb="FF0000FF"/>
      <name val="Arial"/>
      <family val="2"/>
    </font>
    <font>
      <i/>
      <sz val="10"/>
      <color rgb="FF424242"/>
      <name val="Times New Roman CE"/>
      <family val="1"/>
    </font>
    <font>
      <b/>
      <sz val="10"/>
      <color rgb="FFFF0000"/>
      <name val="Arial"/>
      <family val="2"/>
    </font>
    <font>
      <b/>
      <sz val="11"/>
      <color rgb="FF000000"/>
      <name val="Arial"/>
      <family val="2"/>
    </font>
    <font>
      <b/>
      <sz val="14"/>
      <color rgb="FF000000"/>
      <name val="Arial"/>
      <family val="2"/>
    </font>
    <font>
      <sz val="12"/>
      <color rgb="FF000000"/>
      <name val="Arial"/>
      <family val="2"/>
    </font>
    <font>
      <sz val="9"/>
      <color rgb="FF000000"/>
      <name val="Arial"/>
      <family val="2"/>
    </font>
    <font>
      <b/>
      <sz val="12"/>
      <color rgb="FF000000"/>
      <name val="Arial"/>
      <family val="2"/>
    </font>
    <font>
      <b/>
      <u/>
      <sz val="12"/>
      <color rgb="FF000000"/>
      <name val="Arial"/>
      <family val="2"/>
    </font>
    <font>
      <i/>
      <sz val="10"/>
      <color rgb="FF000000"/>
      <name val="Arial"/>
      <family val="2"/>
    </font>
    <font>
      <b/>
      <u/>
      <sz val="9"/>
      <color rgb="FF000000"/>
      <name val="Arial"/>
      <family val="2"/>
    </font>
    <font>
      <sz val="14"/>
      <color theme="1"/>
      <name val="Arial"/>
      <family val="2"/>
    </font>
    <font>
      <b/>
      <sz val="14"/>
      <color theme="1"/>
      <name val="Arial"/>
      <family val="2"/>
    </font>
  </fonts>
  <fills count="6">
    <fill>
      <patternFill patternType="none"/>
    </fill>
    <fill>
      <patternFill patternType="gray125"/>
    </fill>
    <fill>
      <patternFill patternType="solid">
        <fgColor rgb="FF003300"/>
        <bgColor rgb="FF003300"/>
      </patternFill>
    </fill>
    <fill>
      <patternFill patternType="solid">
        <fgColor rgb="FFFFFFFF"/>
        <bgColor rgb="FFFFFFFF"/>
      </patternFill>
    </fill>
    <fill>
      <patternFill patternType="solid">
        <fgColor rgb="FFC0C0C0"/>
        <bgColor rgb="FFC0C0C0"/>
      </patternFill>
    </fill>
    <fill>
      <patternFill patternType="solid">
        <fgColor rgb="FF69FFFF"/>
        <bgColor rgb="FF69FFFF"/>
      </patternFill>
    </fill>
  </fills>
  <borders count="42">
    <border>
      <left/>
      <right/>
      <top/>
      <bottom/>
      <diagonal/>
    </border>
    <border>
      <left style="thick">
        <color rgb="FFC0C0C0"/>
      </left>
      <right/>
      <top style="thick">
        <color rgb="FFC0C0C0"/>
      </top>
      <bottom/>
      <diagonal/>
    </border>
    <border>
      <left/>
      <right/>
      <top style="thick">
        <color rgb="FFC0C0C0"/>
      </top>
      <bottom/>
      <diagonal/>
    </border>
    <border>
      <left/>
      <right style="thick">
        <color rgb="FFC0C0C0"/>
      </right>
      <top style="thick">
        <color rgb="FFC0C0C0"/>
      </top>
      <bottom/>
      <diagonal/>
    </border>
    <border>
      <left style="thick">
        <color rgb="FFC0C0C0"/>
      </left>
      <right/>
      <top/>
      <bottom/>
      <diagonal/>
    </border>
    <border>
      <left/>
      <right style="thick">
        <color rgb="FFC0C0C0"/>
      </right>
      <top/>
      <bottom/>
      <diagonal/>
    </border>
    <border>
      <left/>
      <right/>
      <top/>
      <bottom style="thick">
        <color rgb="FF3366FF"/>
      </bottom>
      <diagonal/>
    </border>
    <border>
      <left style="thick">
        <color rgb="FFC0C0C0"/>
      </left>
      <right/>
      <top style="thick">
        <color rgb="FF3366FF"/>
      </top>
      <bottom style="thin">
        <color rgb="FF000080"/>
      </bottom>
      <diagonal/>
    </border>
    <border>
      <left/>
      <right/>
      <top style="thick">
        <color rgb="FF3366FF"/>
      </top>
      <bottom style="thin">
        <color rgb="FF000080"/>
      </bottom>
      <diagonal/>
    </border>
    <border>
      <left/>
      <right style="thick">
        <color rgb="FFC0C0C0"/>
      </right>
      <top style="thick">
        <color rgb="FF3366FF"/>
      </top>
      <bottom style="thin">
        <color rgb="FF000080"/>
      </bottom>
      <diagonal/>
    </border>
    <border>
      <left/>
      <right/>
      <top/>
      <bottom style="medium">
        <color rgb="FF000080"/>
      </bottom>
      <diagonal/>
    </border>
    <border>
      <left style="medium">
        <color rgb="FF000080"/>
      </left>
      <right/>
      <top style="medium">
        <color rgb="FF000080"/>
      </top>
      <bottom/>
      <diagonal/>
    </border>
    <border>
      <left/>
      <right/>
      <top style="medium">
        <color rgb="FF000080"/>
      </top>
      <bottom/>
      <diagonal/>
    </border>
    <border>
      <left/>
      <right style="medium">
        <color rgb="FF000080"/>
      </right>
      <top style="medium">
        <color rgb="FF000080"/>
      </top>
      <bottom/>
      <diagonal/>
    </border>
    <border>
      <left style="medium">
        <color rgb="FF000080"/>
      </left>
      <right style="medium">
        <color rgb="FF000080"/>
      </right>
      <top/>
      <bottom/>
      <diagonal/>
    </border>
    <border>
      <left/>
      <right style="medium">
        <color rgb="FF000080"/>
      </right>
      <top style="medium">
        <color rgb="FF000080"/>
      </top>
      <bottom style="thin">
        <color rgb="FF000080"/>
      </bottom>
      <diagonal/>
    </border>
    <border>
      <left/>
      <right style="medium">
        <color rgb="FF000080"/>
      </right>
      <top/>
      <bottom/>
      <diagonal/>
    </border>
    <border>
      <left style="medium">
        <color rgb="FF000080"/>
      </left>
      <right style="medium">
        <color rgb="FF000080"/>
      </right>
      <top style="medium">
        <color rgb="FF000080"/>
      </top>
      <bottom style="thin">
        <color rgb="FF000080"/>
      </bottom>
      <diagonal/>
    </border>
    <border>
      <left/>
      <right style="medium">
        <color rgb="FF000080"/>
      </right>
      <top/>
      <bottom style="thin">
        <color rgb="FF000080"/>
      </bottom>
      <diagonal/>
    </border>
    <border>
      <left style="medium">
        <color rgb="FF000080"/>
      </left>
      <right style="medium">
        <color rgb="FF000080"/>
      </right>
      <top/>
      <bottom style="medium">
        <color rgb="FF000080"/>
      </bottom>
      <diagonal/>
    </border>
    <border>
      <left/>
      <right style="medium">
        <color rgb="FF000080"/>
      </right>
      <top/>
      <bottom style="medium">
        <color rgb="FF000080"/>
      </bottom>
      <diagonal/>
    </border>
    <border>
      <left style="medium">
        <color rgb="FF000080"/>
      </left>
      <right/>
      <top/>
      <bottom style="medium">
        <color rgb="FF000080"/>
      </bottom>
      <diagonal/>
    </border>
    <border>
      <left style="medium">
        <color rgb="FF000080"/>
      </left>
      <right/>
      <top/>
      <bottom/>
      <diagonal/>
    </border>
    <border>
      <left style="medium">
        <color rgb="FF000080"/>
      </left>
      <right style="medium">
        <color rgb="FF000080"/>
      </right>
      <top/>
      <bottom style="thin">
        <color rgb="FF000080"/>
      </bottom>
      <diagonal/>
    </border>
    <border>
      <left style="medium">
        <color rgb="FF000080"/>
      </left>
      <right style="medium">
        <color rgb="FF000080"/>
      </right>
      <top style="thin">
        <color rgb="FF000080"/>
      </top>
      <bottom style="medium">
        <color rgb="FF000080"/>
      </bottom>
      <diagonal/>
    </border>
    <border>
      <left style="medium">
        <color rgb="FF000080"/>
      </left>
      <right style="medium">
        <color rgb="FF000080"/>
      </right>
      <top style="medium">
        <color rgb="FF000080"/>
      </top>
      <bottom style="medium">
        <color rgb="FF000080"/>
      </bottom>
      <diagonal/>
    </border>
    <border>
      <left style="thick">
        <color rgb="FFC0C0C0"/>
      </left>
      <right/>
      <top/>
      <bottom style="thick">
        <color rgb="FFC0C0C0"/>
      </bottom>
      <diagonal/>
    </border>
    <border>
      <left/>
      <right/>
      <top/>
      <bottom style="thick">
        <color rgb="FFC0C0C0"/>
      </bottom>
      <diagonal/>
    </border>
    <border>
      <left/>
      <right style="thick">
        <color rgb="FFC0C0C0"/>
      </right>
      <top/>
      <bottom style="thick">
        <color rgb="FFC0C0C0"/>
      </bottom>
      <diagonal/>
    </border>
    <border>
      <left style="medium">
        <color rgb="FF000000"/>
      </left>
      <right style="medium">
        <color rgb="FF000000"/>
      </right>
      <top style="medium">
        <color rgb="FF000000"/>
      </top>
      <bottom style="medium">
        <color rgb="FF000000"/>
      </bottom>
      <diagonal/>
    </border>
    <border>
      <left/>
      <right/>
      <top/>
      <bottom style="thin">
        <color rgb="FFC0C0C0"/>
      </bottom>
      <diagonal/>
    </border>
    <border>
      <left/>
      <right/>
      <top style="thin">
        <color rgb="FFC0C0C0"/>
      </top>
      <bottom style="thin">
        <color rgb="FFC0C0C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right/>
      <top/>
      <bottom style="thin">
        <color rgb="FF000000"/>
      </bottom>
      <diagonal/>
    </border>
    <border>
      <left/>
      <right/>
      <top style="thin">
        <color rgb="FF000080"/>
      </top>
      <bottom/>
      <diagonal/>
    </border>
  </borders>
  <cellStyleXfs count="6">
    <xf numFmtId="0" fontId="0" fillId="2" borderId="0"/>
    <xf numFmtId="9" fontId="1" fillId="2" borderId="0" applyFont="0" applyFill="0" applyBorder="0" applyAlignment="0" applyProtection="0"/>
    <xf numFmtId="0" fontId="2" fillId="2" borderId="0" applyNumberFormat="0" applyFill="0" applyBorder="0" applyAlignment="0" applyProtection="0"/>
    <xf numFmtId="0" fontId="1" fillId="2" borderId="0" applyNumberFormat="0" applyFont="0" applyBorder="0" applyProtection="0"/>
    <xf numFmtId="167" fontId="1" fillId="2" borderId="0" applyFont="0" applyFill="0" applyBorder="0" applyAlignment="0" applyProtection="0"/>
    <xf numFmtId="168" fontId="1" fillId="2" borderId="0" applyFont="0" applyFill="0" applyBorder="0" applyAlignment="0" applyProtection="0"/>
  </cellStyleXfs>
  <cellXfs count="137">
    <xf numFmtId="0" fontId="0" fillId="2" borderId="0" xfId="0"/>
    <xf numFmtId="0" fontId="0" fillId="3" borderId="1" xfId="0" applyFill="1" applyBorder="1"/>
    <xf numFmtId="0" fontId="0" fillId="3" borderId="2" xfId="0" applyFill="1" applyBorder="1"/>
    <xf numFmtId="0" fontId="0" fillId="3" borderId="3" xfId="0" applyFill="1" applyBorder="1"/>
    <xf numFmtId="0" fontId="0" fillId="3" borderId="4" xfId="0" applyFill="1" applyBorder="1"/>
    <xf numFmtId="0" fontId="0" fillId="3" borderId="0" xfId="0" applyFill="1"/>
    <xf numFmtId="0" fontId="0" fillId="3" borderId="5" xfId="0" applyFill="1" applyBorder="1"/>
    <xf numFmtId="0" fontId="0" fillId="3" borderId="7" xfId="0" applyFill="1" applyBorder="1"/>
    <xf numFmtId="0" fontId="0" fillId="3" borderId="8" xfId="0" applyFill="1" applyBorder="1"/>
    <xf numFmtId="0" fontId="0" fillId="3" borderId="9" xfId="0" applyFill="1" applyBorder="1"/>
    <xf numFmtId="0" fontId="5" fillId="3" borderId="0" xfId="0" applyFont="1" applyFill="1"/>
    <xf numFmtId="0" fontId="6" fillId="3" borderId="0" xfId="0" applyFont="1" applyFill="1" applyAlignment="1">
      <alignment horizontal="center"/>
    </xf>
    <xf numFmtId="0" fontId="7" fillId="3" borderId="0" xfId="0" applyFont="1" applyFill="1"/>
    <xf numFmtId="0" fontId="9" fillId="4" borderId="11" xfId="0" applyFont="1" applyFill="1" applyBorder="1"/>
    <xf numFmtId="0" fontId="0" fillId="4" borderId="12" xfId="0" applyFill="1" applyBorder="1"/>
    <xf numFmtId="0" fontId="0" fillId="4" borderId="13" xfId="0" applyFill="1" applyBorder="1"/>
    <xf numFmtId="0" fontId="0" fillId="4" borderId="14" xfId="0" applyFill="1" applyBorder="1" applyAlignment="1">
      <alignment horizontal="right"/>
    </xf>
    <xf numFmtId="49" fontId="0" fillId="3" borderId="15" xfId="0" applyNumberFormat="1" applyFill="1" applyBorder="1" applyAlignment="1">
      <alignment horizontal="left"/>
    </xf>
    <xf numFmtId="0" fontId="0" fillId="4" borderId="16" xfId="0" applyFill="1" applyBorder="1" applyAlignment="1">
      <alignment horizontal="right"/>
    </xf>
    <xf numFmtId="49" fontId="0" fillId="3" borderId="17" xfId="0" applyNumberFormat="1" applyFill="1" applyBorder="1"/>
    <xf numFmtId="0" fontId="0" fillId="4" borderId="16" xfId="0" applyFill="1" applyBorder="1"/>
    <xf numFmtId="49" fontId="0" fillId="3" borderId="18" xfId="0" applyNumberFormat="1" applyFill="1" applyBorder="1" applyAlignment="1">
      <alignment horizontal="left"/>
    </xf>
    <xf numFmtId="49" fontId="0" fillId="3" borderId="19" xfId="0" applyNumberFormat="1" applyFill="1" applyBorder="1"/>
    <xf numFmtId="49" fontId="0" fillId="3" borderId="18" xfId="0" applyNumberFormat="1" applyFill="1" applyBorder="1"/>
    <xf numFmtId="0" fontId="0" fillId="4" borderId="0" xfId="0" applyFill="1" applyAlignment="1">
      <alignment horizontal="right"/>
    </xf>
    <xf numFmtId="0" fontId="0" fillId="4" borderId="0" xfId="0" applyFill="1"/>
    <xf numFmtId="49" fontId="0" fillId="3" borderId="20" xfId="0" applyNumberFormat="1" applyFill="1" applyBorder="1"/>
    <xf numFmtId="0" fontId="0" fillId="4" borderId="21" xfId="0" applyFill="1" applyBorder="1"/>
    <xf numFmtId="0" fontId="0" fillId="4" borderId="10" xfId="0" applyFill="1" applyBorder="1"/>
    <xf numFmtId="0" fontId="0" fillId="4" borderId="20" xfId="0" applyFill="1" applyBorder="1"/>
    <xf numFmtId="0" fontId="0" fillId="4" borderId="11" xfId="0" applyFill="1" applyBorder="1"/>
    <xf numFmtId="0" fontId="0" fillId="4" borderId="22" xfId="0" applyFill="1" applyBorder="1"/>
    <xf numFmtId="0" fontId="0" fillId="4" borderId="0" xfId="0" applyFill="1" applyAlignment="1">
      <alignment horizontal="center"/>
    </xf>
    <xf numFmtId="10" fontId="1" fillId="3" borderId="17" xfId="1" applyNumberFormat="1" applyFill="1" applyBorder="1" applyAlignment="1">
      <alignment horizontal="left"/>
    </xf>
    <xf numFmtId="49" fontId="0" fillId="3" borderId="17" xfId="0" applyNumberFormat="1" applyFill="1" applyBorder="1" applyAlignment="1">
      <alignment horizontal="left"/>
    </xf>
    <xf numFmtId="0" fontId="0" fillId="4" borderId="22" xfId="0" applyFill="1" applyBorder="1" applyAlignment="1">
      <alignment horizontal="right"/>
    </xf>
    <xf numFmtId="10" fontId="0" fillId="3" borderId="14" xfId="0" applyNumberFormat="1" applyFill="1" applyBorder="1" applyAlignment="1">
      <alignment horizontal="left"/>
    </xf>
    <xf numFmtId="49" fontId="0" fillId="3" borderId="23" xfId="0" applyNumberFormat="1" applyFill="1" applyBorder="1" applyAlignment="1">
      <alignment horizontal="left"/>
    </xf>
    <xf numFmtId="10" fontId="0" fillId="3" borderId="24" xfId="0" applyNumberFormat="1" applyFill="1" applyBorder="1" applyAlignment="1">
      <alignment horizontal="left"/>
    </xf>
    <xf numFmtId="49" fontId="0" fillId="3" borderId="23" xfId="0" applyNumberFormat="1" applyFill="1" applyBorder="1"/>
    <xf numFmtId="49" fontId="0" fillId="3" borderId="19" xfId="0" applyNumberFormat="1" applyFill="1" applyBorder="1" applyAlignment="1">
      <alignment horizontal="left"/>
    </xf>
    <xf numFmtId="164" fontId="0" fillId="3" borderId="25" xfId="0" applyNumberFormat="1" applyFill="1" applyBorder="1" applyAlignment="1">
      <alignment horizontal="left"/>
    </xf>
    <xf numFmtId="165" fontId="0" fillId="4" borderId="22" xfId="0" applyNumberFormat="1" applyFill="1" applyBorder="1"/>
    <xf numFmtId="0" fontId="0" fillId="3" borderId="25" xfId="0" applyFill="1" applyBorder="1" applyAlignment="1">
      <alignment horizontal="left"/>
    </xf>
    <xf numFmtId="0" fontId="10" fillId="4" borderId="22" xfId="0" applyFont="1" applyFill="1" applyBorder="1" applyAlignment="1"/>
    <xf numFmtId="0" fontId="10" fillId="4" borderId="0" xfId="0" applyFont="1" applyFill="1" applyAlignment="1"/>
    <xf numFmtId="0" fontId="11" fillId="4" borderId="0" xfId="0" applyFont="1" applyFill="1" applyAlignment="1"/>
    <xf numFmtId="0" fontId="10" fillId="4" borderId="16" xfId="0" applyFont="1" applyFill="1" applyBorder="1" applyAlignment="1"/>
    <xf numFmtId="0" fontId="10" fillId="3" borderId="0" xfId="0" applyFont="1" applyFill="1" applyAlignment="1"/>
    <xf numFmtId="0" fontId="10" fillId="3" borderId="5" xfId="0" applyFont="1" applyFill="1" applyBorder="1" applyAlignment="1"/>
    <xf numFmtId="0" fontId="9" fillId="4" borderId="0" xfId="0" applyFont="1" applyFill="1" applyAlignment="1"/>
    <xf numFmtId="0" fontId="10" fillId="4" borderId="21" xfId="0" applyFont="1" applyFill="1" applyBorder="1" applyAlignment="1"/>
    <xf numFmtId="0" fontId="10" fillId="4" borderId="10" xfId="0" applyFont="1" applyFill="1" applyBorder="1" applyAlignment="1"/>
    <xf numFmtId="0" fontId="10" fillId="4" borderId="20" xfId="0" applyFont="1" applyFill="1" applyBorder="1" applyAlignment="1"/>
    <xf numFmtId="0" fontId="0" fillId="3" borderId="26" xfId="0" applyFill="1" applyBorder="1"/>
    <xf numFmtId="0" fontId="0" fillId="3" borderId="27" xfId="0" applyFill="1" applyBorder="1"/>
    <xf numFmtId="0" fontId="0" fillId="3" borderId="28" xfId="0" applyFill="1" applyBorder="1"/>
    <xf numFmtId="165" fontId="0" fillId="2" borderId="0" xfId="0" applyNumberFormat="1" applyProtection="1">
      <protection locked="0"/>
    </xf>
    <xf numFmtId="0" fontId="2" fillId="3" borderId="0" xfId="2" applyFont="1" applyFill="1" applyAlignment="1">
      <alignment horizontal="center"/>
    </xf>
    <xf numFmtId="0" fontId="0" fillId="3" borderId="0" xfId="0" applyFill="1" applyAlignment="1">
      <alignment horizontal="center"/>
    </xf>
    <xf numFmtId="0" fontId="12" fillId="3" borderId="0" xfId="0" applyFont="1" applyFill="1"/>
    <xf numFmtId="0" fontId="5" fillId="3" borderId="8" xfId="0" applyFont="1" applyFill="1" applyBorder="1"/>
    <xf numFmtId="0" fontId="0" fillId="3" borderId="0" xfId="0" applyFill="1" applyAlignment="1">
      <alignment horizontal="left"/>
    </xf>
    <xf numFmtId="14" fontId="0" fillId="3" borderId="0" xfId="0" applyNumberFormat="1" applyFill="1" applyAlignment="1">
      <alignment horizontal="left"/>
    </xf>
    <xf numFmtId="49" fontId="0" fillId="3" borderId="30" xfId="0" applyNumberFormat="1" applyFill="1" applyBorder="1" applyAlignment="1">
      <alignment horizontal="center"/>
    </xf>
    <xf numFmtId="49" fontId="0" fillId="3" borderId="30" xfId="0" applyNumberFormat="1" applyFill="1" applyBorder="1" applyAlignment="1">
      <alignment horizontal="left"/>
    </xf>
    <xf numFmtId="49" fontId="0" fillId="3" borderId="0" xfId="0" applyNumberFormat="1" applyFill="1"/>
    <xf numFmtId="0" fontId="0" fillId="3" borderId="31" xfId="0" applyFill="1" applyBorder="1"/>
    <xf numFmtId="0" fontId="0" fillId="3" borderId="0" xfId="0" applyFill="1" applyAlignment="1">
      <alignment horizontal="right"/>
    </xf>
    <xf numFmtId="49" fontId="0" fillId="3" borderId="0" xfId="0" applyNumberFormat="1" applyFill="1" applyAlignment="1">
      <alignment horizontal="left"/>
    </xf>
    <xf numFmtId="0" fontId="8" fillId="3" borderId="32" xfId="0" applyFont="1" applyFill="1" applyBorder="1" applyAlignment="1">
      <alignment horizontal="center"/>
    </xf>
    <xf numFmtId="0" fontId="8" fillId="3" borderId="33" xfId="0" applyFont="1" applyFill="1" applyBorder="1" applyAlignment="1">
      <alignment horizontal="center"/>
    </xf>
    <xf numFmtId="0" fontId="8" fillId="3" borderId="32" xfId="0" applyFont="1" applyFill="1" applyBorder="1" applyAlignment="1"/>
    <xf numFmtId="0" fontId="0" fillId="3" borderId="0" xfId="0" applyFill="1" applyAlignment="1"/>
    <xf numFmtId="0" fontId="16" fillId="3" borderId="34" xfId="0" applyFont="1" applyFill="1" applyBorder="1" applyAlignment="1">
      <alignment horizontal="left"/>
    </xf>
    <xf numFmtId="0" fontId="15" fillId="3" borderId="35" xfId="0" applyFont="1" applyFill="1" applyBorder="1" applyAlignment="1">
      <alignment horizontal="center"/>
    </xf>
    <xf numFmtId="0" fontId="15" fillId="3" borderId="37" xfId="0" applyFont="1" applyFill="1" applyBorder="1" applyAlignment="1"/>
    <xf numFmtId="164" fontId="15" fillId="0" borderId="35" xfId="0" applyNumberFormat="1" applyFont="1" applyFill="1" applyBorder="1"/>
    <xf numFmtId="0" fontId="16" fillId="3" borderId="34" xfId="0" applyFont="1" applyFill="1" applyBorder="1" applyAlignment="1">
      <alignment horizontal="center"/>
    </xf>
    <xf numFmtId="0" fontId="15" fillId="3" borderId="0" xfId="0" applyFont="1" applyFill="1" applyAlignment="1"/>
    <xf numFmtId="0" fontId="0" fillId="3" borderId="35" xfId="0" applyFill="1" applyBorder="1" applyAlignment="1">
      <alignment horizontal="center"/>
    </xf>
    <xf numFmtId="0" fontId="16" fillId="3" borderId="38" xfId="0" applyFont="1" applyFill="1" applyBorder="1" applyAlignment="1">
      <alignment horizontal="left"/>
    </xf>
    <xf numFmtId="0" fontId="0" fillId="3" borderId="39" xfId="0" applyFill="1" applyBorder="1" applyAlignment="1">
      <alignment horizontal="center"/>
    </xf>
    <xf numFmtId="0" fontId="15" fillId="3" borderId="40" xfId="0" applyFont="1" applyFill="1" applyBorder="1" applyAlignment="1"/>
    <xf numFmtId="0" fontId="15" fillId="3" borderId="0" xfId="0" applyFont="1" applyFill="1"/>
    <xf numFmtId="0" fontId="15" fillId="3" borderId="33" xfId="0" applyFont="1" applyFill="1" applyBorder="1" applyAlignment="1">
      <alignment horizontal="right"/>
    </xf>
    <xf numFmtId="164" fontId="17" fillId="0" borderId="33" xfId="0" applyNumberFormat="1" applyFont="1" applyFill="1" applyBorder="1"/>
    <xf numFmtId="0" fontId="16" fillId="3" borderId="33" xfId="0" applyFont="1" applyFill="1" applyBorder="1" applyAlignment="1">
      <alignment horizontal="right"/>
    </xf>
    <xf numFmtId="164" fontId="15" fillId="0" borderId="33" xfId="0" applyNumberFormat="1" applyFont="1" applyFill="1" applyBorder="1"/>
    <xf numFmtId="165" fontId="0" fillId="3" borderId="0" xfId="0" applyNumberFormat="1" applyFill="1"/>
    <xf numFmtId="0" fontId="15" fillId="3" borderId="0" xfId="0" applyFont="1" applyFill="1" applyAlignment="1">
      <alignment horizontal="right"/>
    </xf>
    <xf numFmtId="10" fontId="15" fillId="0" borderId="33" xfId="0" applyNumberFormat="1" applyFont="1" applyFill="1" applyBorder="1" applyAlignment="1">
      <alignment horizontal="center"/>
    </xf>
    <xf numFmtId="0" fontId="0" fillId="3" borderId="0" xfId="0" applyFill="1" applyAlignment="1">
      <alignment vertical="top"/>
    </xf>
    <xf numFmtId="9" fontId="17" fillId="3" borderId="0" xfId="0" applyNumberFormat="1" applyFont="1" applyFill="1"/>
    <xf numFmtId="0" fontId="17" fillId="3" borderId="33" xfId="0" applyFont="1" applyFill="1" applyBorder="1" applyAlignment="1">
      <alignment horizontal="right"/>
    </xf>
    <xf numFmtId="10" fontId="15" fillId="3" borderId="0" xfId="0" applyNumberFormat="1" applyFont="1" applyFill="1" applyAlignment="1">
      <alignment horizontal="center"/>
    </xf>
    <xf numFmtId="164" fontId="15" fillId="3" borderId="0" xfId="0" applyNumberFormat="1" applyFont="1" applyFill="1"/>
    <xf numFmtId="0" fontId="18" fillId="3" borderId="0" xfId="0" applyFont="1" applyFill="1" applyAlignment="1">
      <alignment vertical="top"/>
    </xf>
    <xf numFmtId="0" fontId="17" fillId="0" borderId="0" xfId="0" applyFont="1" applyFill="1"/>
    <xf numFmtId="0" fontId="6" fillId="3" borderId="0" xfId="0" applyFont="1" applyFill="1" applyAlignment="1">
      <alignment horizontal="left"/>
    </xf>
    <xf numFmtId="49" fontId="15" fillId="3" borderId="0" xfId="0" applyNumberFormat="1" applyFont="1" applyFill="1" applyAlignment="1"/>
    <xf numFmtId="0" fontId="19" fillId="3" borderId="0" xfId="0" applyFont="1" applyFill="1" applyAlignment="1">
      <alignment vertical="center" wrapText="1"/>
    </xf>
    <xf numFmtId="0" fontId="19" fillId="3" borderId="41" xfId="0" applyFont="1" applyFill="1" applyBorder="1" applyAlignment="1">
      <alignment horizontal="center" vertical="center" wrapText="1"/>
    </xf>
    <xf numFmtId="0" fontId="19" fillId="3" borderId="0" xfId="0" applyFont="1" applyFill="1" applyAlignment="1">
      <alignment horizontal="center" vertical="center" wrapText="1"/>
    </xf>
    <xf numFmtId="0" fontId="0" fillId="3" borderId="0" xfId="0" applyFill="1"/>
    <xf numFmtId="0" fontId="0" fillId="0" borderId="0" xfId="0" applyFill="1"/>
    <xf numFmtId="1" fontId="0" fillId="0" borderId="0" xfId="0" applyNumberFormat="1" applyFill="1"/>
    <xf numFmtId="14" fontId="0" fillId="0" borderId="0" xfId="0" applyNumberFormat="1" applyFill="1"/>
    <xf numFmtId="49" fontId="0" fillId="0" borderId="0" xfId="0" applyNumberFormat="1" applyFill="1"/>
    <xf numFmtId="166" fontId="0" fillId="0" borderId="0" xfId="0" applyNumberFormat="1" applyFill="1"/>
    <xf numFmtId="0" fontId="20" fillId="3" borderId="34" xfId="0" applyFont="1" applyFill="1" applyBorder="1"/>
    <xf numFmtId="0" fontId="17" fillId="3" borderId="0" xfId="0" applyFont="1" applyFill="1" applyAlignment="1">
      <alignment horizontal="left"/>
    </xf>
    <xf numFmtId="0" fontId="21" fillId="3" borderId="34" xfId="0" applyFont="1" applyFill="1" applyBorder="1"/>
    <xf numFmtId="49" fontId="21" fillId="0" borderId="34" xfId="0" applyNumberFormat="1" applyFont="1" applyFill="1" applyBorder="1" applyAlignment="1"/>
    <xf numFmtId="0" fontId="22" fillId="3" borderId="34" xfId="0" applyFont="1" applyFill="1" applyBorder="1"/>
    <xf numFmtId="0" fontId="14" fillId="3" borderId="34" xfId="0" applyFont="1" applyFill="1" applyBorder="1"/>
    <xf numFmtId="0" fontId="14" fillId="3" borderId="0" xfId="0" applyFont="1" applyFill="1" applyAlignment="1">
      <alignment horizontal="left"/>
    </xf>
    <xf numFmtId="0" fontId="3" fillId="3" borderId="6" xfId="0" applyFont="1" applyFill="1" applyBorder="1" applyAlignment="1"/>
    <xf numFmtId="0" fontId="8" fillId="3" borderId="10" xfId="0" applyFont="1" applyFill="1" applyBorder="1" applyAlignment="1"/>
    <xf numFmtId="0" fontId="0" fillId="5" borderId="25" xfId="0" applyFill="1" applyBorder="1" applyAlignment="1"/>
    <xf numFmtId="0" fontId="0" fillId="3" borderId="41" xfId="0" applyFill="1" applyBorder="1"/>
    <xf numFmtId="0" fontId="16" fillId="3" borderId="31" xfId="0" applyFont="1" applyFill="1" applyBorder="1" applyAlignment="1"/>
    <xf numFmtId="49" fontId="6" fillId="3" borderId="31" xfId="0" applyNumberFormat="1" applyFont="1" applyFill="1" applyBorder="1" applyAlignment="1">
      <alignment horizontal="left"/>
    </xf>
    <xf numFmtId="0" fontId="8" fillId="3" borderId="31" xfId="0" applyFont="1" applyFill="1" applyBorder="1" applyAlignment="1">
      <alignment horizontal="center"/>
    </xf>
    <xf numFmtId="3" fontId="0" fillId="3" borderId="30" xfId="0" applyNumberFormat="1" applyFill="1" applyBorder="1" applyAlignment="1"/>
    <xf numFmtId="0" fontId="0" fillId="3" borderId="31" xfId="0" applyFill="1" applyBorder="1" applyAlignment="1">
      <alignment horizontal="center"/>
    </xf>
    <xf numFmtId="0" fontId="8" fillId="3" borderId="33" xfId="0" applyFont="1" applyFill="1" applyBorder="1" applyAlignment="1">
      <alignment horizontal="center"/>
    </xf>
    <xf numFmtId="0" fontId="0" fillId="3" borderId="36" xfId="0" applyFill="1" applyBorder="1"/>
    <xf numFmtId="0" fontId="0" fillId="3" borderId="38" xfId="0" applyFill="1" applyBorder="1"/>
    <xf numFmtId="0" fontId="17" fillId="3" borderId="0" xfId="0" applyFont="1" applyFill="1" applyAlignment="1">
      <alignment shrinkToFit="1"/>
    </xf>
    <xf numFmtId="49" fontId="15" fillId="3" borderId="0" xfId="0" applyNumberFormat="1" applyFont="1" applyFill="1" applyAlignment="1">
      <alignment horizontal="center"/>
    </xf>
    <xf numFmtId="0" fontId="15" fillId="3" borderId="6" xfId="0" applyFont="1" applyFill="1" applyBorder="1" applyAlignment="1">
      <alignment horizontal="center" vertical="center"/>
    </xf>
    <xf numFmtId="0" fontId="0" fillId="3" borderId="0" xfId="0" applyFill="1"/>
    <xf numFmtId="0" fontId="2" fillId="3" borderId="0" xfId="2" applyFont="1" applyFill="1" applyAlignment="1">
      <alignment horizontal="center"/>
    </xf>
    <xf numFmtId="2" fontId="13" fillId="3" borderId="29" xfId="0" applyNumberFormat="1" applyFont="1" applyFill="1" applyBorder="1" applyAlignment="1">
      <alignment horizontal="center" vertical="center" wrapText="1"/>
    </xf>
    <xf numFmtId="49" fontId="14" fillId="3" borderId="30" xfId="0" applyNumberFormat="1" applyFont="1" applyFill="1" applyBorder="1" applyAlignment="1"/>
    <xf numFmtId="14" fontId="15" fillId="3" borderId="30" xfId="0" applyNumberFormat="1" applyFont="1" applyFill="1" applyBorder="1" applyAlignment="1">
      <alignment horizontal="center"/>
    </xf>
  </cellXfs>
  <cellStyles count="6">
    <cellStyle name="Lien hypertexte" xfId="2"/>
    <cellStyle name="Normal" xfId="0" builtinId="0" customBuiltin="1"/>
    <cellStyle name="Pourcentage" xfId="1" builtinId="5" customBuiltin="1"/>
    <cellStyle name="Standard_Anpassen der Amortisation" xfId="3"/>
    <cellStyle name="Währung [0]_Budget" xfId="4"/>
    <cellStyle name="Währung_Budget" xf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4</xdr:col>
      <xdr:colOff>952503</xdr:colOff>
      <xdr:row>37</xdr:row>
      <xdr:rowOff>0</xdr:rowOff>
    </xdr:from>
    <xdr:ext cx="3841586" cy="991602"/>
    <xdr:sp macro="" textlink="">
      <xdr:nvSpPr>
        <xdr:cNvPr id="3" name="LT"/>
        <xdr:cNvSpPr txBox="1"/>
      </xdr:nvSpPr>
      <xdr:spPr>
        <a:xfrm>
          <a:off x="2562228" y="5486400"/>
          <a:ext cx="3841586" cy="991602"/>
        </a:xfrm>
        <a:prstGeom prst="rect">
          <a:avLst/>
        </a:prstGeom>
        <a:solidFill>
          <a:srgbClr val="FFFFFF"/>
        </a:solidFill>
        <a:ln w="0" cap="flat">
          <a:solidFill>
            <a:srgbClr val="000000"/>
          </a:solidFill>
          <a:prstDash val="solid"/>
          <a:miter/>
        </a:ln>
      </xdr:spPr>
      <xdr:txBody>
        <a:bodyPr vert="horz" wrap="square" lIns="45720" tIns="41148" rIns="0" bIns="0" anchor="t" anchorCtr="0" compatLnSpc="0">
          <a:noAutofit/>
        </a:bodyPr>
        <a:lstStyle/>
        <a:p>
          <a:pPr marL="0" marR="0" lvl="0" indent="0" algn="l" defTabSz="914400" rtl="0" fontAlgn="auto" hangingPunct="1">
            <a:lnSpc>
              <a:spcPct val="100000"/>
            </a:lnSpc>
            <a:spcBef>
              <a:spcPts val="0"/>
            </a:spcBef>
            <a:spcAft>
              <a:spcPts val="0"/>
            </a:spcAft>
            <a:buNone/>
            <a:tabLst/>
            <a:defRPr sz="1000" b="0" i="0" u="none" strike="noStrike" kern="0" cap="none" spc="0" baseline="0">
              <a:solidFill>
                <a:srgbClr val="000000"/>
              </a:solidFill>
              <a:uFillTx/>
            </a:defRPr>
          </a:pPr>
          <a:r>
            <a:rPr lang="fr-FR" sz="2000" b="0" i="1" u="none" strike="noStrike" kern="0" cap="none" spc="0" baseline="0">
              <a:solidFill>
                <a:srgbClr val="424242"/>
              </a:solidFill>
              <a:uFillTx/>
              <a:latin typeface="Times New Roman CE"/>
              <a:cs typeface="Times New Roman CE"/>
            </a:rPr>
            <a:t>GAMESTREAM ATLAS  ORGANISME DE FORMATION N° D'AGREMENT : 01 069 11 </a:t>
          </a:r>
          <a:endParaRPr lang="fr-FR" sz="1000" b="0" i="1" u="none" strike="noStrike" kern="0" cap="none" spc="0" baseline="0">
            <a:solidFill>
              <a:srgbClr val="424242"/>
            </a:solidFill>
            <a:uFillTx/>
            <a:latin typeface="Times New Roman CE"/>
            <a:cs typeface="Times New Roman CE"/>
          </a:endParaRPr>
        </a:p>
        <a:p>
          <a:pPr marL="0" marR="0" lvl="0" indent="0" algn="l" defTabSz="914400" rtl="0" fontAlgn="auto" hangingPunct="1">
            <a:lnSpc>
              <a:spcPct val="100000"/>
            </a:lnSpc>
            <a:spcBef>
              <a:spcPts val="0"/>
            </a:spcBef>
            <a:spcAft>
              <a:spcPts val="0"/>
            </a:spcAft>
            <a:buNone/>
            <a:tabLst/>
            <a:defRPr sz="1000" b="0" i="0" u="none" strike="noStrike" kern="0" cap="none" spc="0" baseline="0">
              <a:solidFill>
                <a:srgbClr val="000000"/>
              </a:solidFill>
              <a:uFillTx/>
            </a:defRPr>
          </a:pPr>
          <a:r>
            <a:rPr lang="fr-FR" sz="1000" b="0" i="1" u="none" strike="noStrike" kern="0" cap="none" spc="0" baseline="0">
              <a:solidFill>
                <a:srgbClr val="424242"/>
              </a:solidFill>
              <a:uFillTx/>
              <a:latin typeface="Times New Roman CE"/>
              <a:cs typeface="Times New Roman CE"/>
            </a:rPr>
            <a:t>4 RUE DU CAIRE 1001 TUNIS</a:t>
          </a:r>
        </a:p>
        <a:p>
          <a:pPr marL="0" marR="0" lvl="0" indent="0" algn="l" defTabSz="914400" rtl="0" fontAlgn="auto" hangingPunct="1">
            <a:lnSpc>
              <a:spcPct val="100000"/>
            </a:lnSpc>
            <a:spcBef>
              <a:spcPts val="0"/>
            </a:spcBef>
            <a:spcAft>
              <a:spcPts val="0"/>
            </a:spcAft>
            <a:buNone/>
            <a:tabLst/>
            <a:defRPr sz="1000" b="0" i="0" u="none" strike="noStrike" kern="0" cap="none" spc="0" baseline="0">
              <a:solidFill>
                <a:srgbClr val="000000"/>
              </a:solidFill>
              <a:uFillTx/>
            </a:defRPr>
          </a:pPr>
          <a:r>
            <a:rPr lang="fr-FR" sz="1000" b="0" i="1" u="none" strike="noStrike" kern="0" cap="none" spc="0" baseline="0">
              <a:solidFill>
                <a:srgbClr val="424242"/>
              </a:solidFill>
              <a:uFillTx/>
              <a:latin typeface="Times New Roman CE"/>
              <a:cs typeface="Times New Roman CE"/>
            </a:rPr>
            <a:t>TEL:  71 258108 FAX : 71 259346</a:t>
          </a:r>
        </a:p>
        <a:p>
          <a:pPr marL="0" marR="0" lvl="0" indent="0" algn="l" defTabSz="914400" rtl="0" fontAlgn="auto" hangingPunct="1">
            <a:lnSpc>
              <a:spcPct val="100000"/>
            </a:lnSpc>
            <a:spcBef>
              <a:spcPts val="0"/>
            </a:spcBef>
            <a:spcAft>
              <a:spcPts val="0"/>
            </a:spcAft>
            <a:buNone/>
            <a:tabLst/>
            <a:defRPr sz="1000" b="0" i="0" u="none" strike="noStrike" kern="0" cap="none" spc="0" baseline="0">
              <a:solidFill>
                <a:srgbClr val="000000"/>
              </a:solidFill>
              <a:uFillTx/>
            </a:defRPr>
          </a:pPr>
          <a:endParaRPr lang="fr-FR" sz="1000" b="0" i="1" u="none" strike="noStrike" kern="0" cap="none" spc="0" baseline="0">
            <a:solidFill>
              <a:srgbClr val="424242"/>
            </a:solidFill>
            <a:uFillTx/>
            <a:latin typeface="Times New Roman CE"/>
            <a:cs typeface="Times New Roman CE"/>
          </a:endParaRPr>
        </a:p>
      </xdr:txBody>
    </xdr:sp>
    <xdr:clientData/>
  </xdr:oneCellAnchor>
  <xdr:oneCellAnchor>
    <xdr:from>
      <xdr:col>3</xdr:col>
      <xdr:colOff>752478</xdr:colOff>
      <xdr:row>37</xdr:row>
      <xdr:rowOff>28575</xdr:rowOff>
    </xdr:from>
    <xdr:ext cx="843213" cy="845719"/>
    <xdr:sp macro="" textlink="">
      <xdr:nvSpPr>
        <xdr:cNvPr id="2" name="LG"/>
        <xdr:cNvSpPr txBox="1"/>
      </xdr:nvSpPr>
      <xdr:spPr>
        <a:xfrm>
          <a:off x="1114428" y="5514975"/>
          <a:ext cx="843213" cy="845719"/>
        </a:xfrm>
        <a:prstGeom prst="rect">
          <a:avLst/>
        </a:prstGeom>
        <a:solidFill>
          <a:srgbClr val="C0C0C0"/>
        </a:solidFill>
        <a:ln w="9528" cap="flat">
          <a:solidFill>
            <a:srgbClr val="000000"/>
          </a:solidFill>
          <a:prstDash val="solid"/>
          <a:miter/>
        </a:ln>
        <a:effectLst>
          <a:outerShdw dist="35924" dir="2700000" algn="tl">
            <a:srgbClr val="000000"/>
          </a:outerShdw>
        </a:effectLst>
      </xdr:spPr>
      <xdr:txBody>
        <a:bodyPr vert="horz" wrap="square" lIns="27432" tIns="22860" rIns="27432" bIns="22860" anchor="ctr" anchorCtr="1" compatLnSpc="0">
          <a:noAutofit/>
        </a:bodyPr>
        <a:lstStyle/>
        <a:p>
          <a:pPr marL="0" marR="0" lvl="0" indent="0" algn="ctr" defTabSz="914400" rtl="0" fontAlgn="auto" hangingPunct="1">
            <a:lnSpc>
              <a:spcPct val="100000"/>
            </a:lnSpc>
            <a:spcBef>
              <a:spcPts val="0"/>
            </a:spcBef>
            <a:spcAft>
              <a:spcPts val="0"/>
            </a:spcAft>
            <a:buNone/>
            <a:tabLst/>
            <a:defRPr sz="1000" b="0" i="0" u="none" strike="noStrike" kern="0" cap="none" spc="0" baseline="0">
              <a:solidFill>
                <a:srgbClr val="000000"/>
              </a:solidFill>
              <a:uFillTx/>
            </a:defRPr>
          </a:pPr>
          <a:r>
            <a:rPr lang="fr-FR" sz="1000" b="0" i="1" u="none" strike="noStrike" kern="0" cap="none" spc="0" baseline="0">
              <a:solidFill>
                <a:srgbClr val="000000"/>
              </a:solidFill>
              <a:uFillTx/>
              <a:latin typeface="Arial"/>
              <a:cs typeface="Arial"/>
            </a:rPr>
            <a:t>Insérer un logo</a:t>
          </a:r>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1</xdr:col>
      <xdr:colOff>0</xdr:colOff>
      <xdr:row>14</xdr:row>
      <xdr:rowOff>20052</xdr:rowOff>
    </xdr:from>
    <xdr:ext cx="360950" cy="272216"/>
    <xdr:sp macro="" textlink="">
      <xdr:nvSpPr>
        <xdr:cNvPr id="5" name="LT"/>
        <xdr:cNvSpPr txBox="1"/>
      </xdr:nvSpPr>
      <xdr:spPr>
        <a:xfrm>
          <a:off x="361950" y="2048877"/>
          <a:ext cx="360950" cy="272216"/>
        </a:xfrm>
        <a:prstGeom prst="rect">
          <a:avLst/>
        </a:prstGeom>
        <a:solidFill>
          <a:srgbClr val="FFFFFF"/>
        </a:solidFill>
        <a:ln cap="flat">
          <a:noFill/>
        </a:ln>
      </xdr:spPr>
      <xdr:txBody>
        <a:bodyPr vert="horz" wrap="square" lIns="27432" tIns="22860" rIns="0" bIns="0" anchor="t" anchorCtr="0" compatLnSpc="0">
          <a:noAutofit/>
        </a:bodyPr>
        <a:lstStyle/>
        <a:p>
          <a:pPr marL="0" marR="0" lvl="0" indent="0" algn="l" defTabSz="914400" rtl="0" fontAlgn="auto" hangingPunct="1">
            <a:lnSpc>
              <a:spcPct val="100000"/>
            </a:lnSpc>
            <a:spcBef>
              <a:spcPts val="0"/>
            </a:spcBef>
            <a:spcAft>
              <a:spcPts val="0"/>
            </a:spcAft>
            <a:buNone/>
            <a:tabLst/>
            <a:defRPr sz="1000" b="0" i="0" u="none" strike="noStrike" kern="0" cap="none" spc="0" baseline="0">
              <a:solidFill>
                <a:srgbClr val="000000"/>
              </a:solidFill>
              <a:uFillTx/>
            </a:defRPr>
          </a:pPr>
          <a:endParaRPr lang="fr-FR" sz="1000" b="0" i="1" u="none" strike="noStrike" kern="0" cap="none" spc="0" baseline="0">
            <a:solidFill>
              <a:srgbClr val="424242"/>
            </a:solidFill>
            <a:uFillTx/>
            <a:latin typeface="Times New Roman CE"/>
            <a:cs typeface="Times New Roman CE"/>
          </a:endParaRPr>
        </a:p>
      </xdr:txBody>
    </xdr:sp>
    <xdr:clientData/>
  </xdr:oneCellAnchor>
  <xdr:oneCellAnchor>
    <xdr:from>
      <xdr:col>0</xdr:col>
      <xdr:colOff>104775</xdr:colOff>
      <xdr:row>18</xdr:row>
      <xdr:rowOff>152400</xdr:rowOff>
    </xdr:from>
    <xdr:ext cx="4613601" cy="948491"/>
    <xdr:sp macro="" textlink="">
      <xdr:nvSpPr>
        <xdr:cNvPr id="7" name="INVB1"/>
        <xdr:cNvSpPr/>
      </xdr:nvSpPr>
      <xdr:spPr>
        <a:xfrm>
          <a:off x="219075" y="2895600"/>
          <a:ext cx="4613601" cy="948491"/>
        </a:xfrm>
        <a:custGeom>
          <a:avLst>
            <a:gd name="f0" fmla="val 3600"/>
          </a:avLst>
          <a:gdLst>
            <a:gd name="f1" fmla="val 10800000"/>
            <a:gd name="f2" fmla="val 5400000"/>
            <a:gd name="f3" fmla="val 16200000"/>
            <a:gd name="f4" fmla="val w"/>
            <a:gd name="f5" fmla="val h"/>
            <a:gd name="f6" fmla="val ss"/>
            <a:gd name="f7" fmla="val 0"/>
            <a:gd name="f8" fmla="*/ 5419351 1 1725033"/>
            <a:gd name="f9" fmla="val 45"/>
            <a:gd name="f10" fmla="val 10800"/>
            <a:gd name="f11" fmla="val -2147483647"/>
            <a:gd name="f12" fmla="val 2147483647"/>
            <a:gd name="f13" fmla="abs f4"/>
            <a:gd name="f14" fmla="abs f5"/>
            <a:gd name="f15" fmla="abs f6"/>
            <a:gd name="f16" fmla="*/ f8 1 180"/>
            <a:gd name="f17" fmla="pin 0 f0 10800"/>
            <a:gd name="f18" fmla="+- 0 0 f2"/>
            <a:gd name="f19" fmla="?: f13 f4 1"/>
            <a:gd name="f20" fmla="?: f14 f5 1"/>
            <a:gd name="f21" fmla="?: f15 f6 1"/>
            <a:gd name="f22" fmla="*/ f9 f16 1"/>
            <a:gd name="f23" fmla="+- f7 f17 0"/>
            <a:gd name="f24" fmla="*/ f19 1 21600"/>
            <a:gd name="f25" fmla="*/ f20 1 21600"/>
            <a:gd name="f26" fmla="*/ 21600 f19 1"/>
            <a:gd name="f27" fmla="*/ 21600 f20 1"/>
            <a:gd name="f28" fmla="+- 0 0 f22"/>
            <a:gd name="f29" fmla="min f25 f24"/>
            <a:gd name="f30" fmla="*/ f26 1 f21"/>
            <a:gd name="f31" fmla="*/ f27 1 f21"/>
            <a:gd name="f32" fmla="*/ f28 f1 1"/>
            <a:gd name="f33" fmla="*/ f32 1 f8"/>
            <a:gd name="f34" fmla="+- f31 0 f17"/>
            <a:gd name="f35" fmla="+- f30 0 f17"/>
            <a:gd name="f36" fmla="*/ f17 f29 1"/>
            <a:gd name="f37" fmla="*/ f7 f29 1"/>
            <a:gd name="f38" fmla="*/ f23 f29 1"/>
            <a:gd name="f39" fmla="*/ f31 f29 1"/>
            <a:gd name="f40" fmla="*/ f30 f29 1"/>
            <a:gd name="f41" fmla="+- f33 0 f2"/>
            <a:gd name="f42" fmla="+- f37 0 f38"/>
            <a:gd name="f43" fmla="+- f38 0 f37"/>
            <a:gd name="f44" fmla="*/ f34 f29 1"/>
            <a:gd name="f45" fmla="*/ f35 f29 1"/>
            <a:gd name="f46" fmla="cos 1 f41"/>
            <a:gd name="f47" fmla="abs f42"/>
            <a:gd name="f48" fmla="abs f43"/>
            <a:gd name="f49" fmla="?: f42 f18 f2"/>
            <a:gd name="f50" fmla="?: f42 f2 f18"/>
            <a:gd name="f51" fmla="?: f42 f3 f2"/>
            <a:gd name="f52" fmla="?: f42 f2 f3"/>
            <a:gd name="f53" fmla="+- f39 0 f44"/>
            <a:gd name="f54" fmla="?: f43 f18 f2"/>
            <a:gd name="f55" fmla="?: f43 f2 f18"/>
            <a:gd name="f56" fmla="+- f40 0 f45"/>
            <a:gd name="f57" fmla="+- f44 0 f39"/>
            <a:gd name="f58" fmla="+- f45 0 f40"/>
            <a:gd name="f59" fmla="?: f42 0 f1"/>
            <a:gd name="f60" fmla="?: f42 f1 0"/>
            <a:gd name="f61" fmla="+- 0 0 f46"/>
            <a:gd name="f62" fmla="?: f42 f52 f51"/>
            <a:gd name="f63" fmla="?: f42 f51 f52"/>
            <a:gd name="f64" fmla="?: f43 f50 f49"/>
            <a:gd name="f65" fmla="abs f53"/>
            <a:gd name="f66" fmla="?: f53 0 f1"/>
            <a:gd name="f67" fmla="?: f53 f1 0"/>
            <a:gd name="f68" fmla="?: f53 f54 f55"/>
            <a:gd name="f69" fmla="abs f56"/>
            <a:gd name="f70" fmla="abs f57"/>
            <a:gd name="f71" fmla="?: f56 f18 f2"/>
            <a:gd name="f72" fmla="?: f56 f2 f18"/>
            <a:gd name="f73" fmla="?: f56 f3 f2"/>
            <a:gd name="f74" fmla="?: f56 f2 f3"/>
            <a:gd name="f75" fmla="abs f58"/>
            <a:gd name="f76" fmla="?: f58 f18 f2"/>
            <a:gd name="f77" fmla="?: f58 f2 f18"/>
            <a:gd name="f78" fmla="?: f58 f60 f59"/>
            <a:gd name="f79" fmla="?: f58 f59 f60"/>
            <a:gd name="f80" fmla="*/ f17 f61 1"/>
            <a:gd name="f81" fmla="?: f43 f63 f62"/>
            <a:gd name="f82" fmla="?: f43 f67 f66"/>
            <a:gd name="f83" fmla="?: f43 f66 f67"/>
            <a:gd name="f84" fmla="?: f56 f74 f73"/>
            <a:gd name="f85" fmla="?: f56 f73 f74"/>
            <a:gd name="f86" fmla="?: f57 f72 f71"/>
            <a:gd name="f87" fmla="?: f42 f78 f79"/>
            <a:gd name="f88" fmla="?: f42 f76 f77"/>
            <a:gd name="f89" fmla="*/ f80 3163 1"/>
            <a:gd name="f90" fmla="?: f53 f82 f83"/>
            <a:gd name="f91" fmla="?: f57 f85 f84"/>
            <a:gd name="f92" fmla="*/ f89 1 7636"/>
            <a:gd name="f93" fmla="+- f7 f92 0"/>
            <a:gd name="f94" fmla="+- f30 0 f92"/>
            <a:gd name="f95" fmla="+- f31 0 f92"/>
            <a:gd name="f96" fmla="*/ f93 f29 1"/>
            <a:gd name="f97" fmla="*/ f94 f29 1"/>
            <a:gd name="f98" fmla="*/ f95 f29 1"/>
          </a:gdLst>
          <a:ahLst>
            <a:ahXY gdRefX="f0" minX="f7" maxX="f10">
              <a:pos x="f36" y="f37"/>
            </a:ahXY>
          </a:ahLst>
          <a:cxnLst>
            <a:cxn ang="3cd4">
              <a:pos x="hc" y="t"/>
            </a:cxn>
            <a:cxn ang="0">
              <a:pos x="r" y="vc"/>
            </a:cxn>
            <a:cxn ang="cd4">
              <a:pos x="hc" y="b"/>
            </a:cxn>
            <a:cxn ang="cd2">
              <a:pos x="l" y="vc"/>
            </a:cxn>
          </a:cxnLst>
          <a:rect l="f96" t="f96" r="f97" b="f98"/>
          <a:pathLst>
            <a:path>
              <a:moveTo>
                <a:pt x="f38" y="f37"/>
              </a:moveTo>
              <a:arcTo wR="f47" hR="f48" stAng="f81" swAng="f64"/>
              <a:lnTo>
                <a:pt x="f37" y="f44"/>
              </a:lnTo>
              <a:arcTo wR="f48" hR="f65" stAng="f90" swAng="f68"/>
              <a:lnTo>
                <a:pt x="f45" y="f39"/>
              </a:lnTo>
              <a:arcTo wR="f69" hR="f70" stAng="f91" swAng="f86"/>
              <a:lnTo>
                <a:pt x="f40" y="f38"/>
              </a:lnTo>
              <a:arcTo wR="f75" hR="f47" stAng="f87" swAng="f88"/>
              <a:close/>
            </a:path>
          </a:pathLst>
        </a:custGeom>
        <a:noFill/>
        <a:ln w="9528" cap="flat">
          <a:solidFill>
            <a:srgbClr val="000080"/>
          </a:solidFill>
          <a:prstDash val="solid"/>
          <a:round/>
        </a:ln>
      </xdr:spPr>
      <xdr:txBody>
        <a:bodyPr lIns="0" tIns="0" rIns="0" bIns="0"/>
        <a:lstStyle/>
        <a:p>
          <a:endParaRPr lang="fr-FR"/>
        </a:p>
      </xdr:txBody>
    </xdr:sp>
    <xdr:clientData/>
  </xdr:oneCellAnchor>
  <xdr:oneCellAnchor>
    <xdr:from>
      <xdr:col>9</xdr:col>
      <xdr:colOff>502</xdr:colOff>
      <xdr:row>19</xdr:row>
      <xdr:rowOff>56647</xdr:rowOff>
    </xdr:from>
    <xdr:ext cx="2991349" cy="862763"/>
    <xdr:sp macro="" textlink="">
      <xdr:nvSpPr>
        <xdr:cNvPr id="8" name="INVB2"/>
        <xdr:cNvSpPr/>
      </xdr:nvSpPr>
      <xdr:spPr>
        <a:xfrm>
          <a:off x="4982077" y="2971297"/>
          <a:ext cx="2991349" cy="862763"/>
        </a:xfrm>
        <a:custGeom>
          <a:avLst>
            <a:gd name="f0" fmla="val 3600"/>
          </a:avLst>
          <a:gdLst>
            <a:gd name="f1" fmla="val 10800000"/>
            <a:gd name="f2" fmla="val 5400000"/>
            <a:gd name="f3" fmla="val 16200000"/>
            <a:gd name="f4" fmla="val w"/>
            <a:gd name="f5" fmla="val h"/>
            <a:gd name="f6" fmla="val ss"/>
            <a:gd name="f7" fmla="val 0"/>
            <a:gd name="f8" fmla="*/ 5419351 1 1725033"/>
            <a:gd name="f9" fmla="val 45"/>
            <a:gd name="f10" fmla="val 10800"/>
            <a:gd name="f11" fmla="val -2147483647"/>
            <a:gd name="f12" fmla="val 2147483647"/>
            <a:gd name="f13" fmla="abs f4"/>
            <a:gd name="f14" fmla="abs f5"/>
            <a:gd name="f15" fmla="abs f6"/>
            <a:gd name="f16" fmla="*/ f8 1 180"/>
            <a:gd name="f17" fmla="pin 0 f0 10800"/>
            <a:gd name="f18" fmla="+- 0 0 f2"/>
            <a:gd name="f19" fmla="?: f13 f4 1"/>
            <a:gd name="f20" fmla="?: f14 f5 1"/>
            <a:gd name="f21" fmla="?: f15 f6 1"/>
            <a:gd name="f22" fmla="*/ f9 f16 1"/>
            <a:gd name="f23" fmla="+- f7 f17 0"/>
            <a:gd name="f24" fmla="*/ f19 1 21600"/>
            <a:gd name="f25" fmla="*/ f20 1 21600"/>
            <a:gd name="f26" fmla="*/ 21600 f19 1"/>
            <a:gd name="f27" fmla="*/ 21600 f20 1"/>
            <a:gd name="f28" fmla="+- 0 0 f22"/>
            <a:gd name="f29" fmla="min f25 f24"/>
            <a:gd name="f30" fmla="*/ f26 1 f21"/>
            <a:gd name="f31" fmla="*/ f27 1 f21"/>
            <a:gd name="f32" fmla="*/ f28 f1 1"/>
            <a:gd name="f33" fmla="*/ f32 1 f8"/>
            <a:gd name="f34" fmla="+- f31 0 f17"/>
            <a:gd name="f35" fmla="+- f30 0 f17"/>
            <a:gd name="f36" fmla="*/ f17 f29 1"/>
            <a:gd name="f37" fmla="*/ f7 f29 1"/>
            <a:gd name="f38" fmla="*/ f23 f29 1"/>
            <a:gd name="f39" fmla="*/ f31 f29 1"/>
            <a:gd name="f40" fmla="*/ f30 f29 1"/>
            <a:gd name="f41" fmla="+- f33 0 f2"/>
            <a:gd name="f42" fmla="+- f37 0 f38"/>
            <a:gd name="f43" fmla="+- f38 0 f37"/>
            <a:gd name="f44" fmla="*/ f34 f29 1"/>
            <a:gd name="f45" fmla="*/ f35 f29 1"/>
            <a:gd name="f46" fmla="cos 1 f41"/>
            <a:gd name="f47" fmla="abs f42"/>
            <a:gd name="f48" fmla="abs f43"/>
            <a:gd name="f49" fmla="?: f42 f18 f2"/>
            <a:gd name="f50" fmla="?: f42 f2 f18"/>
            <a:gd name="f51" fmla="?: f42 f3 f2"/>
            <a:gd name="f52" fmla="?: f42 f2 f3"/>
            <a:gd name="f53" fmla="+- f39 0 f44"/>
            <a:gd name="f54" fmla="?: f43 f18 f2"/>
            <a:gd name="f55" fmla="?: f43 f2 f18"/>
            <a:gd name="f56" fmla="+- f40 0 f45"/>
            <a:gd name="f57" fmla="+- f44 0 f39"/>
            <a:gd name="f58" fmla="+- f45 0 f40"/>
            <a:gd name="f59" fmla="?: f42 0 f1"/>
            <a:gd name="f60" fmla="?: f42 f1 0"/>
            <a:gd name="f61" fmla="+- 0 0 f46"/>
            <a:gd name="f62" fmla="?: f42 f52 f51"/>
            <a:gd name="f63" fmla="?: f42 f51 f52"/>
            <a:gd name="f64" fmla="?: f43 f50 f49"/>
            <a:gd name="f65" fmla="abs f53"/>
            <a:gd name="f66" fmla="?: f53 0 f1"/>
            <a:gd name="f67" fmla="?: f53 f1 0"/>
            <a:gd name="f68" fmla="?: f53 f54 f55"/>
            <a:gd name="f69" fmla="abs f56"/>
            <a:gd name="f70" fmla="abs f57"/>
            <a:gd name="f71" fmla="?: f56 f18 f2"/>
            <a:gd name="f72" fmla="?: f56 f2 f18"/>
            <a:gd name="f73" fmla="?: f56 f3 f2"/>
            <a:gd name="f74" fmla="?: f56 f2 f3"/>
            <a:gd name="f75" fmla="abs f58"/>
            <a:gd name="f76" fmla="?: f58 f18 f2"/>
            <a:gd name="f77" fmla="?: f58 f2 f18"/>
            <a:gd name="f78" fmla="?: f58 f60 f59"/>
            <a:gd name="f79" fmla="?: f58 f59 f60"/>
            <a:gd name="f80" fmla="*/ f17 f61 1"/>
            <a:gd name="f81" fmla="?: f43 f63 f62"/>
            <a:gd name="f82" fmla="?: f43 f67 f66"/>
            <a:gd name="f83" fmla="?: f43 f66 f67"/>
            <a:gd name="f84" fmla="?: f56 f74 f73"/>
            <a:gd name="f85" fmla="?: f56 f73 f74"/>
            <a:gd name="f86" fmla="?: f57 f72 f71"/>
            <a:gd name="f87" fmla="?: f42 f78 f79"/>
            <a:gd name="f88" fmla="?: f42 f76 f77"/>
            <a:gd name="f89" fmla="*/ f80 3163 1"/>
            <a:gd name="f90" fmla="?: f53 f82 f83"/>
            <a:gd name="f91" fmla="?: f57 f85 f84"/>
            <a:gd name="f92" fmla="*/ f89 1 7636"/>
            <a:gd name="f93" fmla="+- f7 f92 0"/>
            <a:gd name="f94" fmla="+- f30 0 f92"/>
            <a:gd name="f95" fmla="+- f31 0 f92"/>
            <a:gd name="f96" fmla="*/ f93 f29 1"/>
            <a:gd name="f97" fmla="*/ f94 f29 1"/>
            <a:gd name="f98" fmla="*/ f95 f29 1"/>
          </a:gdLst>
          <a:ahLst>
            <a:ahXY gdRefX="f0" minX="f7" maxX="f10">
              <a:pos x="f36" y="f37"/>
            </a:ahXY>
          </a:ahLst>
          <a:cxnLst>
            <a:cxn ang="3cd4">
              <a:pos x="hc" y="t"/>
            </a:cxn>
            <a:cxn ang="0">
              <a:pos x="r" y="vc"/>
            </a:cxn>
            <a:cxn ang="cd4">
              <a:pos x="hc" y="b"/>
            </a:cxn>
            <a:cxn ang="cd2">
              <a:pos x="l" y="vc"/>
            </a:cxn>
          </a:cxnLst>
          <a:rect l="f96" t="f96" r="f97" b="f98"/>
          <a:pathLst>
            <a:path>
              <a:moveTo>
                <a:pt x="f38" y="f37"/>
              </a:moveTo>
              <a:arcTo wR="f47" hR="f48" stAng="f81" swAng="f64"/>
              <a:lnTo>
                <a:pt x="f37" y="f44"/>
              </a:lnTo>
              <a:arcTo wR="f48" hR="f65" stAng="f90" swAng="f68"/>
              <a:lnTo>
                <a:pt x="f45" y="f39"/>
              </a:lnTo>
              <a:arcTo wR="f69" hR="f70" stAng="f91" swAng="f86"/>
              <a:lnTo>
                <a:pt x="f40" y="f38"/>
              </a:lnTo>
              <a:arcTo wR="f75" hR="f47" stAng="f87" swAng="f88"/>
              <a:close/>
            </a:path>
          </a:pathLst>
        </a:custGeom>
        <a:noFill/>
        <a:ln w="9528" cap="flat">
          <a:solidFill>
            <a:srgbClr val="000080"/>
          </a:solidFill>
          <a:prstDash val="solid"/>
          <a:round/>
        </a:ln>
      </xdr:spPr>
      <xdr:txBody>
        <a:bodyPr lIns="0" tIns="0" rIns="0" bIns="0"/>
        <a:lstStyle/>
        <a:p>
          <a:endParaRPr lang="fr-FR"/>
        </a:p>
      </xdr:txBody>
    </xdr:sp>
    <xdr:clientData/>
  </xdr:oneCellAnchor>
  <xdr:oneCellAnchor>
    <xdr:from>
      <xdr:col>10</xdr:col>
      <xdr:colOff>601583</xdr:colOff>
      <xdr:row>6</xdr:row>
      <xdr:rowOff>110285</xdr:rowOff>
    </xdr:from>
    <xdr:ext cx="942472" cy="715618"/>
    <xdr:pic>
      <xdr:nvPicPr>
        <xdr:cNvPr id="3" name="Image 6"/>
        <xdr:cNvPicPr>
          <a:picLocks noChangeAspect="1"/>
        </xdr:cNvPicPr>
      </xdr:nvPicPr>
      <xdr:blipFill>
        <a:blip xmlns:r="http://schemas.openxmlformats.org/officeDocument/2006/relationships" r:embed="rId1"/>
        <a:srcRect/>
        <a:stretch>
          <a:fillRect/>
        </a:stretch>
      </xdr:blipFill>
      <xdr:spPr>
        <a:xfrm>
          <a:off x="6383258" y="843710"/>
          <a:ext cx="942472" cy="715618"/>
        </a:xfrm>
        <a:prstGeom prst="rect">
          <a:avLst/>
        </a:prstGeom>
        <a:noFill/>
        <a:ln cap="flat">
          <a:noFill/>
        </a:ln>
      </xdr:spPr>
    </xdr:pic>
    <xdr:clientData/>
  </xdr:oneCellAnchor>
  <xdr:oneCellAnchor>
    <xdr:from>
      <xdr:col>0</xdr:col>
      <xdr:colOff>220580</xdr:colOff>
      <xdr:row>6</xdr:row>
      <xdr:rowOff>10021</xdr:rowOff>
    </xdr:from>
    <xdr:ext cx="3268577" cy="1062788"/>
    <xdr:pic>
      <xdr:nvPicPr>
        <xdr:cNvPr id="2" name="Image 12" descr="C:\Users\User\Desktop\sigle acrobat.png"/>
        <xdr:cNvPicPr>
          <a:picLocks noChangeAspect="1"/>
        </xdr:cNvPicPr>
      </xdr:nvPicPr>
      <xdr:blipFill>
        <a:blip xmlns:r="http://schemas.openxmlformats.org/officeDocument/2006/relationships" r:embed="rId2"/>
        <a:srcRect/>
        <a:stretch>
          <a:fillRect/>
        </a:stretch>
      </xdr:blipFill>
      <xdr:spPr>
        <a:xfrm>
          <a:off x="334880" y="743446"/>
          <a:ext cx="3268577" cy="1062788"/>
        </a:xfrm>
        <a:prstGeom prst="rect">
          <a:avLst/>
        </a:prstGeom>
        <a:noFill/>
        <a:ln cap="flat">
          <a:noFill/>
        </a:ln>
      </xdr:spPr>
    </xdr:pic>
    <xdr:clientData/>
  </xdr:oneCellAnchor>
  <xdr:oneCellAnchor>
    <xdr:from>
      <xdr:col>6</xdr:col>
      <xdr:colOff>250664</xdr:colOff>
      <xdr:row>7</xdr:row>
      <xdr:rowOff>130338</xdr:rowOff>
    </xdr:from>
    <xdr:ext cx="1614236" cy="802102"/>
    <xdr:pic>
      <xdr:nvPicPr>
        <xdr:cNvPr id="4" name="Image 11" descr="Résultat de recherche d'images pour &quot;FALLPROTEC&quot;"/>
        <xdr:cNvPicPr>
          <a:picLocks noChangeAspect="1"/>
        </xdr:cNvPicPr>
      </xdr:nvPicPr>
      <xdr:blipFill>
        <a:blip xmlns:r="http://schemas.openxmlformats.org/officeDocument/2006/relationships" r:embed="rId3"/>
        <a:srcRect/>
        <a:stretch>
          <a:fillRect/>
        </a:stretch>
      </xdr:blipFill>
      <xdr:spPr>
        <a:xfrm>
          <a:off x="4146389" y="1025688"/>
          <a:ext cx="1614236" cy="802102"/>
        </a:xfrm>
        <a:prstGeom prst="rect">
          <a:avLst/>
        </a:prstGeom>
        <a:noFill/>
        <a:ln cap="flat">
          <a:noFill/>
        </a:ln>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User/Desktop/ACROBATE%20SOLUTION/2022/FACTURE/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hyperlink" Target="http://www.camp.it/" TargetMode="External"/><Relationship Id="rId5" Type="http://schemas.openxmlformats.org/officeDocument/2006/relationships/comments" Target="../comments2.xml"/><Relationship Id="rId4"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cols>
    <col min="1" max="1" width="11.42578125" customWidth="1"/>
  </cols>
  <sheetData/>
  <pageMargins left="0.78740157499999996" right="0.78740157499999996" top="0.98425196900000012" bottom="0.98425196900000012" header="0.49212598450000006" footer="0.49212598450000006"/>
  <headerFooter alignWithMargins="0">
    <oddHeader>&amp;C&amp;A</oddHeader>
    <oddFooter>&amp;CPage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1:J52"/>
  <sheetViews>
    <sheetView workbookViewId="0"/>
  </sheetViews>
  <sheetFormatPr baseColWidth="10" defaultColWidth="9.140625" defaultRowHeight="12.75"/>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 min="11" max="11" width="9.140625" customWidth="1"/>
  </cols>
  <sheetData>
    <row r="1" spans="2:10" ht="6" customHeight="1" thickBot="1"/>
    <row r="2" spans="2:10" ht="0.95" customHeight="1" thickTop="1">
      <c r="B2" s="1"/>
      <c r="C2" s="2"/>
      <c r="D2" s="2"/>
      <c r="E2" s="2"/>
      <c r="F2" s="2"/>
      <c r="G2" s="2"/>
      <c r="H2" s="2"/>
      <c r="I2" s="2"/>
      <c r="J2" s="3"/>
    </row>
    <row r="3" spans="2:10">
      <c r="B3" s="4"/>
      <c r="C3" s="5"/>
      <c r="D3" s="5"/>
      <c r="E3" s="5"/>
      <c r="F3" s="5"/>
      <c r="G3" s="5"/>
      <c r="H3" s="5"/>
      <c r="I3" s="5"/>
      <c r="J3" s="6"/>
    </row>
    <row r="4" spans="2:10" ht="24" thickBot="1">
      <c r="B4" s="4"/>
      <c r="C4" s="5"/>
      <c r="D4" s="117" t="s">
        <v>0</v>
      </c>
      <c r="E4" s="117"/>
      <c r="F4" s="117"/>
      <c r="G4" s="5"/>
      <c r="H4" s="5"/>
      <c r="I4" s="5"/>
      <c r="J4" s="6"/>
    </row>
    <row r="5" spans="2:10" ht="3" customHeight="1" thickTop="1">
      <c r="B5" s="7"/>
      <c r="C5" s="8"/>
      <c r="D5" s="8"/>
      <c r="E5" s="8"/>
      <c r="F5" s="8"/>
      <c r="G5" s="8"/>
      <c r="H5" s="8"/>
      <c r="I5" s="8"/>
      <c r="J5" s="9"/>
    </row>
    <row r="6" spans="2:10" ht="12.75" customHeight="1">
      <c r="B6" s="4"/>
      <c r="C6" s="5"/>
      <c r="D6" s="10"/>
      <c r="E6" s="5"/>
      <c r="F6" s="5"/>
      <c r="G6" s="5"/>
      <c r="H6" s="5"/>
      <c r="I6" s="5"/>
      <c r="J6" s="6"/>
    </row>
    <row r="7" spans="2:10">
      <c r="B7" s="4"/>
      <c r="C7" s="5"/>
      <c r="D7" s="5"/>
      <c r="E7" s="5"/>
      <c r="F7" s="5"/>
      <c r="G7" s="11" t="s">
        <v>1</v>
      </c>
      <c r="H7" s="5"/>
      <c r="I7" s="5"/>
      <c r="J7" s="6"/>
    </row>
    <row r="8" spans="2:10">
      <c r="B8" s="4"/>
      <c r="C8" s="5"/>
      <c r="D8" s="5"/>
      <c r="E8" s="5"/>
      <c r="F8" s="5"/>
      <c r="G8" s="11" t="s">
        <v>2</v>
      </c>
      <c r="H8" s="5"/>
      <c r="I8" s="5"/>
      <c r="J8" s="6"/>
    </row>
    <row r="9" spans="2:10">
      <c r="B9" s="4"/>
      <c r="C9" s="5"/>
      <c r="D9" s="12"/>
      <c r="E9" s="5"/>
      <c r="F9" s="5"/>
      <c r="G9" s="5"/>
      <c r="H9" s="5"/>
      <c r="I9" s="5"/>
      <c r="J9" s="6"/>
    </row>
    <row r="10" spans="2:10" ht="13.5" thickBot="1">
      <c r="B10" s="4"/>
      <c r="C10" s="5"/>
      <c r="D10" s="118" t="s">
        <v>3</v>
      </c>
      <c r="E10" s="118"/>
      <c r="F10" s="5"/>
      <c r="G10" s="5"/>
      <c r="H10" s="5"/>
      <c r="I10" s="5"/>
      <c r="J10" s="6"/>
    </row>
    <row r="11" spans="2:10" ht="5.25" customHeight="1" thickBot="1">
      <c r="B11" s="4"/>
      <c r="C11" s="5"/>
      <c r="D11" s="13"/>
      <c r="E11" s="14"/>
      <c r="F11" s="14"/>
      <c r="G11" s="14"/>
      <c r="H11" s="15"/>
      <c r="I11" s="5"/>
      <c r="J11" s="6"/>
    </row>
    <row r="12" spans="2:10">
      <c r="B12" s="4"/>
      <c r="C12" s="5"/>
      <c r="D12" s="16" t="s">
        <v>4</v>
      </c>
      <c r="E12" s="17" t="s">
        <v>5</v>
      </c>
      <c r="F12" s="18" t="s">
        <v>6</v>
      </c>
      <c r="G12" s="19"/>
      <c r="H12" s="20"/>
      <c r="I12" s="5"/>
      <c r="J12" s="6"/>
    </row>
    <row r="13" spans="2:10" ht="13.5" thickBot="1">
      <c r="B13" s="4"/>
      <c r="C13" s="5"/>
      <c r="D13" s="16" t="s">
        <v>7</v>
      </c>
      <c r="E13" s="21" t="s">
        <v>8</v>
      </c>
      <c r="F13" s="18" t="s">
        <v>9</v>
      </c>
      <c r="G13" s="22"/>
      <c r="H13" s="20"/>
      <c r="I13" s="5"/>
      <c r="J13" s="6"/>
    </row>
    <row r="14" spans="2:10">
      <c r="B14" s="4"/>
      <c r="C14" s="5"/>
      <c r="D14" s="16" t="s">
        <v>10</v>
      </c>
      <c r="E14" s="23" t="s">
        <v>11</v>
      </c>
      <c r="F14" s="24"/>
      <c r="G14" s="25"/>
      <c r="H14" s="20"/>
      <c r="I14" s="5"/>
      <c r="J14" s="6"/>
    </row>
    <row r="15" spans="2:10">
      <c r="B15" s="4"/>
      <c r="C15" s="5"/>
      <c r="D15" s="16" t="s">
        <v>12</v>
      </c>
      <c r="E15" s="21" t="s">
        <v>13</v>
      </c>
      <c r="F15" s="25"/>
      <c r="G15" s="25"/>
      <c r="H15" s="20"/>
      <c r="I15" s="5"/>
      <c r="J15" s="6"/>
    </row>
    <row r="16" spans="2:10" ht="13.5" thickBot="1">
      <c r="B16" s="4"/>
      <c r="C16" s="5"/>
      <c r="D16" s="16" t="s">
        <v>14</v>
      </c>
      <c r="E16" s="26"/>
      <c r="F16" s="25"/>
      <c r="G16" s="25"/>
      <c r="H16" s="20"/>
      <c r="I16" s="5"/>
      <c r="J16" s="6"/>
    </row>
    <row r="17" spans="2:10" ht="6" customHeight="1" thickBot="1">
      <c r="B17" s="4"/>
      <c r="C17" s="5"/>
      <c r="D17" s="27"/>
      <c r="E17" s="28"/>
      <c r="F17" s="28"/>
      <c r="G17" s="28"/>
      <c r="H17" s="29"/>
      <c r="I17" s="5"/>
      <c r="J17" s="6"/>
    </row>
    <row r="18" spans="2:10" ht="6" customHeight="1">
      <c r="B18" s="4"/>
      <c r="C18" s="5"/>
      <c r="D18" s="5"/>
      <c r="E18" s="5"/>
      <c r="F18" s="5"/>
      <c r="G18" s="5"/>
      <c r="H18" s="5"/>
      <c r="I18" s="5"/>
      <c r="J18" s="6"/>
    </row>
    <row r="19" spans="2:10" ht="13.5" thickBot="1">
      <c r="B19" s="4"/>
      <c r="C19" s="5"/>
      <c r="D19" s="118" t="s">
        <v>15</v>
      </c>
      <c r="E19" s="118"/>
      <c r="F19" s="5"/>
      <c r="G19" s="5"/>
      <c r="H19" s="5"/>
      <c r="I19" s="5"/>
      <c r="J19" s="6"/>
    </row>
    <row r="20" spans="2:10" ht="5.25" customHeight="1">
      <c r="B20" s="4"/>
      <c r="C20" s="5"/>
      <c r="D20" s="30"/>
      <c r="E20" s="14"/>
      <c r="F20" s="14"/>
      <c r="G20" s="14"/>
      <c r="H20" s="15"/>
      <c r="I20" s="5"/>
      <c r="J20" s="6"/>
    </row>
    <row r="21" spans="2:10" ht="13.5" thickBot="1">
      <c r="B21" s="4"/>
      <c r="C21" s="5"/>
      <c r="D21" s="31"/>
      <c r="E21" s="25" t="s">
        <v>16</v>
      </c>
      <c r="F21" s="24"/>
      <c r="G21" s="32" t="s">
        <v>17</v>
      </c>
      <c r="H21" s="20"/>
      <c r="I21" s="5"/>
      <c r="J21" s="6"/>
    </row>
    <row r="22" spans="2:10">
      <c r="B22" s="4"/>
      <c r="C22" s="5"/>
      <c r="D22" s="16">
        <v>1</v>
      </c>
      <c r="E22" s="33">
        <v>0.1</v>
      </c>
      <c r="F22" s="24"/>
      <c r="G22" s="34"/>
      <c r="H22" s="20"/>
      <c r="I22" s="5"/>
      <c r="J22" s="6"/>
    </row>
    <row r="23" spans="2:10">
      <c r="B23" s="4"/>
      <c r="C23" s="5"/>
      <c r="D23" s="35">
        <v>2</v>
      </c>
      <c r="E23" s="36">
        <v>0.18</v>
      </c>
      <c r="F23" s="24"/>
      <c r="G23" s="37"/>
      <c r="H23" s="20"/>
      <c r="I23" s="5"/>
      <c r="J23" s="6"/>
    </row>
    <row r="24" spans="2:10" ht="13.5" thickBot="1">
      <c r="B24" s="4"/>
      <c r="C24" s="5"/>
      <c r="D24" s="35">
        <v>3</v>
      </c>
      <c r="E24" s="38">
        <v>0.28999999999999998</v>
      </c>
      <c r="F24" s="24"/>
      <c r="G24" s="39"/>
      <c r="H24" s="20"/>
      <c r="I24" s="5"/>
      <c r="J24" s="6"/>
    </row>
    <row r="25" spans="2:10" ht="13.5" thickBot="1">
      <c r="B25" s="4"/>
      <c r="C25" s="5"/>
      <c r="D25" s="31"/>
      <c r="E25" s="25"/>
      <c r="F25" s="24"/>
      <c r="G25" s="40"/>
      <c r="H25" s="20"/>
      <c r="I25" s="5"/>
      <c r="J25" s="6"/>
    </row>
    <row r="26" spans="2:10" ht="13.5" thickBot="1">
      <c r="B26" s="4"/>
      <c r="C26" s="5"/>
      <c r="D26" s="35"/>
      <c r="E26" s="25"/>
      <c r="F26" s="24"/>
      <c r="G26" s="24"/>
      <c r="H26" s="20"/>
      <c r="I26" s="5"/>
      <c r="J26" s="6"/>
    </row>
    <row r="27" spans="2:10" ht="13.5" thickBot="1">
      <c r="B27" s="4"/>
      <c r="C27" s="5"/>
      <c r="D27" s="35"/>
      <c r="E27" s="25"/>
      <c r="F27" s="24" t="s">
        <v>18</v>
      </c>
      <c r="G27" s="41">
        <v>0.2</v>
      </c>
      <c r="H27" s="20"/>
      <c r="I27" s="5"/>
      <c r="J27" s="6"/>
    </row>
    <row r="28" spans="2:10">
      <c r="B28" s="4"/>
      <c r="C28" s="5"/>
      <c r="D28" s="42"/>
      <c r="E28" s="25"/>
      <c r="F28" s="24"/>
      <c r="G28" s="24"/>
      <c r="H28" s="20"/>
      <c r="I28" s="5"/>
      <c r="J28" s="6"/>
    </row>
    <row r="29" spans="2:10" ht="13.5" thickBot="1">
      <c r="B29" s="4"/>
      <c r="C29" s="5"/>
      <c r="D29" s="42"/>
      <c r="E29" s="25"/>
      <c r="F29" s="24"/>
      <c r="G29" s="24"/>
      <c r="H29" s="20"/>
      <c r="I29" s="5"/>
      <c r="J29" s="6"/>
    </row>
    <row r="30" spans="2:10" ht="13.5" thickBot="1">
      <c r="B30" s="4"/>
      <c r="C30" s="5"/>
      <c r="D30" s="42" t="b">
        <v>0</v>
      </c>
      <c r="E30" s="25" t="s">
        <v>19</v>
      </c>
      <c r="F30" s="24" t="s">
        <v>20</v>
      </c>
      <c r="G30" s="43"/>
      <c r="H30" s="20"/>
      <c r="I30" s="5"/>
      <c r="J30" s="6"/>
    </row>
    <row r="31" spans="2:10">
      <c r="B31" s="4"/>
      <c r="C31" s="5"/>
      <c r="D31" s="42"/>
      <c r="E31" s="25" t="s">
        <v>21</v>
      </c>
      <c r="F31" s="24" t="s">
        <v>22</v>
      </c>
      <c r="G31" s="25"/>
      <c r="H31" s="20"/>
      <c r="I31" s="5"/>
      <c r="J31" s="6"/>
    </row>
    <row r="32" spans="2:10" ht="13.5" thickBot="1">
      <c r="B32" s="4"/>
      <c r="C32" s="5"/>
      <c r="D32" s="42"/>
      <c r="E32" s="25"/>
      <c r="F32" s="24"/>
      <c r="G32" s="25"/>
      <c r="H32" s="20"/>
      <c r="I32" s="5"/>
      <c r="J32" s="6"/>
    </row>
    <row r="33" spans="2:10" ht="13.5" thickBot="1">
      <c r="B33" s="4"/>
      <c r="C33" s="5"/>
      <c r="D33" s="42"/>
      <c r="E33" s="24" t="s">
        <v>23</v>
      </c>
      <c r="F33" s="119" t="str">
        <f>LOWER(TemplateInformation!B3)</f>
        <v>c:\program files\microsoft office\office\macrolib\factbd.xls</v>
      </c>
      <c r="G33" s="119"/>
      <c r="H33" s="20"/>
      <c r="I33" s="5"/>
      <c r="J33" s="6"/>
    </row>
    <row r="34" spans="2:10" ht="13.5" thickBot="1">
      <c r="B34" s="4"/>
      <c r="C34" s="5"/>
      <c r="D34" s="27"/>
      <c r="E34" s="28"/>
      <c r="F34" s="28"/>
      <c r="G34" s="28"/>
      <c r="H34" s="29"/>
      <c r="I34" s="5"/>
      <c r="J34" s="6"/>
    </row>
    <row r="35" spans="2:10" ht="6" customHeight="1">
      <c r="B35" s="4"/>
      <c r="C35" s="5"/>
      <c r="D35" s="5"/>
      <c r="E35" s="5"/>
      <c r="F35" s="5"/>
      <c r="G35" s="5"/>
      <c r="H35" s="5"/>
      <c r="I35" s="5"/>
      <c r="J35" s="6"/>
    </row>
    <row r="36" spans="2:10" ht="13.5" thickBot="1">
      <c r="B36" s="4"/>
      <c r="C36" s="5"/>
      <c r="D36" s="118" t="s">
        <v>24</v>
      </c>
      <c r="E36" s="118"/>
      <c r="F36" s="5"/>
      <c r="G36" s="5"/>
      <c r="H36" s="5"/>
      <c r="I36" s="5"/>
      <c r="J36" s="6"/>
    </row>
    <row r="37" spans="2:10" ht="14.25">
      <c r="B37" s="4"/>
      <c r="C37" s="5"/>
      <c r="D37" s="13"/>
      <c r="E37" s="14"/>
      <c r="F37" s="14"/>
      <c r="G37" s="14"/>
      <c r="H37" s="15"/>
      <c r="I37" s="5"/>
      <c r="J37" s="6"/>
    </row>
    <row r="38" spans="2:10" ht="14.25">
      <c r="B38" s="4"/>
      <c r="C38" s="5"/>
      <c r="D38" s="44"/>
      <c r="E38" s="45"/>
      <c r="F38" s="46"/>
      <c r="G38" s="45"/>
      <c r="H38" s="47"/>
      <c r="I38" s="48"/>
      <c r="J38" s="49"/>
    </row>
    <row r="39" spans="2:10" ht="14.25">
      <c r="B39" s="4"/>
      <c r="C39" s="5"/>
      <c r="D39" s="44"/>
      <c r="E39" s="45"/>
      <c r="F39" s="50"/>
      <c r="G39" s="45"/>
      <c r="H39" s="47"/>
      <c r="I39" s="48"/>
      <c r="J39" s="49"/>
    </row>
    <row r="40" spans="2:10" ht="14.25">
      <c r="B40" s="4"/>
      <c r="C40" s="5"/>
      <c r="D40" s="44"/>
      <c r="E40" s="45"/>
      <c r="F40" s="45"/>
      <c r="G40" s="45"/>
      <c r="H40" s="47"/>
      <c r="I40" s="48"/>
      <c r="J40" s="49"/>
    </row>
    <row r="41" spans="2:10" ht="14.25">
      <c r="B41" s="4"/>
      <c r="C41" s="5"/>
      <c r="D41" s="44"/>
      <c r="E41" s="45"/>
      <c r="F41" s="45"/>
      <c r="G41" s="45"/>
      <c r="H41" s="47"/>
      <c r="I41" s="48"/>
      <c r="J41" s="49"/>
    </row>
    <row r="42" spans="2:10" ht="20.100000000000001" customHeight="1">
      <c r="B42" s="4"/>
      <c r="C42" s="5"/>
      <c r="D42" s="44"/>
      <c r="E42" s="45"/>
      <c r="F42" s="45"/>
      <c r="G42" s="45"/>
      <c r="H42" s="47"/>
      <c r="I42" s="48"/>
      <c r="J42" s="49"/>
    </row>
    <row r="43" spans="2:10" ht="14.25">
      <c r="B43" s="4"/>
      <c r="C43" s="5"/>
      <c r="D43" s="44"/>
      <c r="E43" s="45"/>
      <c r="F43" s="45"/>
      <c r="G43" s="45"/>
      <c r="H43" s="47"/>
      <c r="I43" s="48"/>
      <c r="J43" s="49"/>
    </row>
    <row r="44" spans="2:10" ht="26.25" customHeight="1" thickBot="1">
      <c r="B44" s="4"/>
      <c r="C44" s="5"/>
      <c r="D44" s="51"/>
      <c r="E44" s="52"/>
      <c r="F44" s="52"/>
      <c r="G44" s="52"/>
      <c r="H44" s="53"/>
      <c r="I44" s="48"/>
      <c r="J44" s="49"/>
    </row>
    <row r="45" spans="2:10">
      <c r="B45" s="4"/>
      <c r="C45" s="5"/>
      <c r="D45" s="5"/>
      <c r="E45" s="5"/>
      <c r="F45" s="5"/>
      <c r="G45" s="5"/>
      <c r="H45" s="5"/>
      <c r="I45" s="5"/>
      <c r="J45" s="6"/>
    </row>
    <row r="46" spans="2:10" ht="0.95" customHeight="1" thickBot="1">
      <c r="B46" s="54"/>
      <c r="C46" s="55"/>
      <c r="D46" s="55"/>
      <c r="E46" s="55"/>
      <c r="F46" s="55"/>
      <c r="G46" s="55"/>
      <c r="H46" s="55"/>
      <c r="I46" s="55"/>
      <c r="J46" s="56"/>
    </row>
    <row r="47" spans="2:10" ht="13.5" thickTop="1">
      <c r="E47">
        <v>33</v>
      </c>
    </row>
    <row r="48" spans="2:10">
      <c r="E48" s="57">
        <v>0</v>
      </c>
    </row>
    <row r="49" spans="5:5">
      <c r="E49" s="57" t="b">
        <v>0</v>
      </c>
    </row>
    <row r="50" spans="5:5">
      <c r="E50" s="57" t="b">
        <v>0</v>
      </c>
    </row>
    <row r="51" spans="5:5">
      <c r="E51" s="57" t="s">
        <v>25</v>
      </c>
    </row>
    <row r="52" spans="5:5">
      <c r="E52" s="57" t="s">
        <v>25</v>
      </c>
    </row>
  </sheetData>
  <sheetProtection sheet="1" objects="1" scenarios="1"/>
  <mergeCells count="5">
    <mergeCell ref="D4:F4"/>
    <mergeCell ref="D10:E10"/>
    <mergeCell ref="D19:E19"/>
    <mergeCell ref="F33:G33"/>
    <mergeCell ref="D36:E36"/>
  </mergeCells>
  <dataValidations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paperSize="0" scale="86" fitToWidth="0" fitToHeight="0" orientation="portrait" horizontalDpi="0" verticalDpi="0" copies="0"/>
  <headerFooter alignWithMargins="0"/>
  <drawing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N72"/>
  <sheetViews>
    <sheetView tabSelected="1" topLeftCell="A17" workbookViewId="0">
      <selection activeCell="K17" sqref="K17:L19"/>
    </sheetView>
  </sheetViews>
  <sheetFormatPr baseColWidth="10" defaultColWidth="9.140625" defaultRowHeight="12.75"/>
  <cols>
    <col min="1" max="1" width="3.7109375" customWidth="1"/>
    <col min="2" max="2" width="10.7109375" customWidth="1"/>
    <col min="3" max="3" width="11.7109375" customWidth="1"/>
    <col min="4" max="4" width="7.7109375" customWidth="1"/>
    <col min="5" max="5" width="9.140625" customWidth="1"/>
    <col min="6" max="6" width="13.7109375" customWidth="1"/>
    <col min="7" max="7" width="5.7109375" customWidth="1"/>
    <col min="8" max="8" width="7.28515625" customWidth="1"/>
    <col min="9" max="9" width="3.28515625" customWidth="1"/>
    <col min="10" max="10" width="12" customWidth="1"/>
    <col min="11" max="11" width="14.7109375" customWidth="1"/>
    <col min="12" max="12" width="15.7109375" customWidth="1"/>
    <col min="13" max="13" width="3.7109375" customWidth="1"/>
    <col min="14" max="14" width="0.42578125" customWidth="1"/>
    <col min="15" max="15" width="1.7109375" customWidth="1"/>
    <col min="16" max="16" width="9.140625" customWidth="1"/>
  </cols>
  <sheetData>
    <row r="1" spans="1:14" ht="6" customHeight="1" thickBot="1"/>
    <row r="2" spans="1:14" ht="0.95" customHeight="1" thickTop="1">
      <c r="A2" s="2"/>
      <c r="B2" s="2"/>
      <c r="C2" s="2"/>
      <c r="D2" s="2"/>
      <c r="E2" s="2"/>
      <c r="F2" s="2"/>
      <c r="G2" s="2"/>
      <c r="H2" s="2"/>
      <c r="I2" s="2"/>
      <c r="J2" s="2"/>
      <c r="K2" s="2"/>
      <c r="L2" s="2"/>
      <c r="M2" s="2"/>
      <c r="N2" s="3"/>
    </row>
    <row r="3" spans="1:14">
      <c r="A3" s="5"/>
      <c r="B3" s="5"/>
      <c r="C3" s="5"/>
      <c r="D3" s="5"/>
      <c r="E3" s="5"/>
      <c r="F3" s="5"/>
      <c r="G3" s="5"/>
      <c r="H3" s="5"/>
      <c r="I3" s="5"/>
      <c r="J3" s="5"/>
      <c r="K3" s="5"/>
      <c r="L3" s="5"/>
      <c r="M3" s="5"/>
      <c r="N3" s="6"/>
    </row>
    <row r="4" spans="1:14">
      <c r="A4" s="5"/>
      <c r="B4" s="5"/>
      <c r="C4" s="5"/>
      <c r="D4" s="5"/>
      <c r="E4" s="5"/>
      <c r="F4" s="5"/>
      <c r="G4" s="5"/>
      <c r="H4" s="5"/>
      <c r="I4" s="5"/>
      <c r="J4" s="5"/>
      <c r="K4" s="5"/>
      <c r="L4" s="5"/>
      <c r="M4" s="5"/>
      <c r="N4" s="6"/>
    </row>
    <row r="5" spans="1:14">
      <c r="A5" s="5"/>
      <c r="B5" s="5"/>
      <c r="C5" s="5"/>
      <c r="D5" s="5"/>
      <c r="E5" s="5"/>
      <c r="F5" s="5"/>
      <c r="G5" s="5"/>
      <c r="H5" s="5"/>
      <c r="I5" s="5"/>
      <c r="J5" s="5"/>
      <c r="K5" s="5"/>
      <c r="L5" s="5"/>
      <c r="M5" s="5"/>
      <c r="N5" s="6"/>
    </row>
    <row r="6" spans="1:14">
      <c r="A6" s="5"/>
      <c r="B6" s="5"/>
      <c r="C6" s="5"/>
      <c r="D6" s="5"/>
      <c r="E6" s="5"/>
      <c r="F6" s="5"/>
      <c r="G6" s="5"/>
      <c r="H6" s="5"/>
      <c r="I6" s="5"/>
      <c r="J6" s="5"/>
      <c r="K6" s="5"/>
      <c r="L6" s="5"/>
      <c r="M6" s="5"/>
      <c r="N6" s="6"/>
    </row>
    <row r="7" spans="1:14">
      <c r="A7" s="5"/>
      <c r="B7" s="5"/>
      <c r="C7" s="5"/>
      <c r="D7" s="5"/>
      <c r="E7" s="5"/>
      <c r="F7" s="5"/>
      <c r="G7" s="5"/>
      <c r="H7" s="5"/>
      <c r="I7" s="5"/>
      <c r="J7" s="5"/>
      <c r="K7" s="5"/>
      <c r="L7" s="5"/>
      <c r="M7" s="5"/>
      <c r="N7" s="6"/>
    </row>
    <row r="8" spans="1:14">
      <c r="A8" s="5"/>
      <c r="B8" s="5"/>
      <c r="C8" s="5"/>
      <c r="D8" s="5"/>
      <c r="E8" s="5"/>
      <c r="F8" s="5"/>
      <c r="G8" s="5"/>
      <c r="H8" s="5"/>
      <c r="I8" s="5"/>
      <c r="J8" s="5"/>
      <c r="K8" s="5"/>
      <c r="L8" s="5"/>
      <c r="M8" s="5"/>
      <c r="N8" s="6"/>
    </row>
    <row r="9" spans="1:14">
      <c r="A9" s="5"/>
      <c r="B9" s="5"/>
      <c r="C9" s="5"/>
      <c r="D9" s="5"/>
      <c r="E9" s="5"/>
      <c r="F9" s="5"/>
      <c r="G9" s="5"/>
      <c r="H9" s="5"/>
      <c r="I9" s="5"/>
      <c r="J9" s="5"/>
      <c r="K9" s="132"/>
      <c r="L9" s="132"/>
      <c r="M9" s="5"/>
      <c r="N9" s="6"/>
    </row>
    <row r="10" spans="1:14">
      <c r="A10" s="5"/>
      <c r="B10" s="5"/>
      <c r="C10" s="5"/>
      <c r="D10" s="5"/>
      <c r="E10" s="5"/>
      <c r="F10" s="5"/>
      <c r="G10" s="5"/>
      <c r="H10" s="5"/>
      <c r="I10" s="5"/>
      <c r="J10" s="5"/>
      <c r="K10" s="5"/>
      <c r="L10" s="5"/>
      <c r="M10" s="5"/>
      <c r="N10" s="6"/>
    </row>
    <row r="11" spans="1:14">
      <c r="A11" s="5"/>
      <c r="B11" s="5"/>
      <c r="C11" s="5"/>
      <c r="D11" s="5"/>
      <c r="E11" s="5"/>
      <c r="F11" s="5"/>
      <c r="G11" s="5"/>
      <c r="H11" s="5"/>
      <c r="I11" s="5"/>
      <c r="J11" s="5"/>
      <c r="K11" s="58"/>
      <c r="L11" s="59"/>
      <c r="M11" s="5"/>
      <c r="N11" s="6"/>
    </row>
    <row r="12" spans="1:14">
      <c r="A12" s="5"/>
      <c r="B12" s="5"/>
      <c r="C12" s="5"/>
      <c r="D12" s="5"/>
      <c r="E12" s="5"/>
      <c r="F12" s="5"/>
      <c r="G12" s="5"/>
      <c r="H12" s="5"/>
      <c r="I12" s="5"/>
      <c r="J12" s="5"/>
      <c r="K12" s="58"/>
      <c r="L12" s="59"/>
      <c r="M12" s="5"/>
      <c r="N12" s="6"/>
    </row>
    <row r="13" spans="1:14">
      <c r="A13" s="5"/>
      <c r="B13" s="5"/>
      <c r="C13" s="5"/>
      <c r="D13" s="5"/>
      <c r="E13" s="5"/>
      <c r="F13" s="5"/>
      <c r="G13" s="5"/>
      <c r="H13" s="5"/>
      <c r="I13" s="5"/>
      <c r="J13" s="5"/>
      <c r="K13" s="133" t="s">
        <v>26</v>
      </c>
      <c r="L13" s="133"/>
      <c r="M13" s="5"/>
      <c r="N13" s="6"/>
    </row>
    <row r="14" spans="1:14">
      <c r="A14" s="5"/>
      <c r="B14" s="5"/>
      <c r="C14" s="5"/>
      <c r="D14" s="5"/>
      <c r="E14" s="5"/>
      <c r="F14" s="132"/>
      <c r="G14" s="132"/>
      <c r="H14" s="132"/>
      <c r="I14" s="132"/>
      <c r="J14" s="132"/>
      <c r="K14" s="5"/>
      <c r="L14" s="5"/>
      <c r="M14" s="5"/>
      <c r="N14" s="6"/>
    </row>
    <row r="15" spans="1:14" ht="20.100000000000001" customHeight="1">
      <c r="A15" s="5"/>
      <c r="B15" s="5"/>
      <c r="C15" s="5"/>
      <c r="D15" s="5"/>
      <c r="E15" s="5"/>
      <c r="F15" s="132"/>
      <c r="G15" s="132"/>
      <c r="H15" s="132"/>
      <c r="I15" s="132"/>
      <c r="J15" s="132"/>
      <c r="K15" s="5"/>
      <c r="L15" s="5"/>
      <c r="M15" s="5"/>
      <c r="N15" s="6"/>
    </row>
    <row r="16" spans="1:14" ht="3" customHeight="1" thickBot="1">
      <c r="A16" s="5"/>
      <c r="B16" s="5"/>
      <c r="C16" s="5"/>
      <c r="D16" s="5"/>
      <c r="E16" s="5"/>
      <c r="F16" s="5"/>
      <c r="G16" s="5"/>
      <c r="H16" s="5"/>
      <c r="I16" s="5"/>
      <c r="J16" s="5"/>
      <c r="K16" s="5"/>
      <c r="L16" s="5"/>
      <c r="M16" s="5"/>
      <c r="N16" s="6"/>
    </row>
    <row r="17" spans="1:14" ht="14.1" customHeight="1" thickBot="1">
      <c r="A17" s="5"/>
      <c r="B17" s="5"/>
      <c r="C17" s="5"/>
      <c r="D17" s="5"/>
      <c r="E17" s="5"/>
      <c r="F17" s="60"/>
      <c r="G17" s="5"/>
      <c r="H17" s="5"/>
      <c r="I17" s="5"/>
      <c r="J17" s="5"/>
      <c r="K17" s="134" t="s">
        <v>77</v>
      </c>
      <c r="L17" s="134"/>
      <c r="M17" s="5"/>
      <c r="N17" s="6"/>
    </row>
    <row r="18" spans="1:14" ht="20.25" thickTop="1" thickBot="1">
      <c r="A18" s="5"/>
      <c r="B18" s="8"/>
      <c r="C18" s="8"/>
      <c r="D18" s="8"/>
      <c r="E18" s="8"/>
      <c r="F18" s="8"/>
      <c r="G18" s="8"/>
      <c r="H18" s="61"/>
      <c r="I18" s="61"/>
      <c r="J18" s="61"/>
      <c r="K18" s="134"/>
      <c r="L18" s="134"/>
      <c r="M18" s="10"/>
      <c r="N18" s="6"/>
    </row>
    <row r="19" spans="1:14" ht="13.5" thickBot="1">
      <c r="A19" s="5"/>
      <c r="B19" s="5"/>
      <c r="C19" s="5"/>
      <c r="D19" s="5"/>
      <c r="E19" s="5"/>
      <c r="F19" s="5"/>
      <c r="G19" s="5"/>
      <c r="H19" s="5"/>
      <c r="I19" s="5"/>
      <c r="J19" s="5"/>
      <c r="K19" s="134"/>
      <c r="L19" s="134"/>
      <c r="M19" s="5"/>
      <c r="N19" s="6"/>
    </row>
    <row r="20" spans="1:14">
      <c r="A20" s="5"/>
      <c r="B20" s="5"/>
      <c r="C20" s="5"/>
      <c r="D20" s="5"/>
      <c r="E20" s="5"/>
      <c r="F20" s="5"/>
      <c r="G20" s="5"/>
      <c r="H20" s="5"/>
      <c r="I20" s="5"/>
      <c r="J20" s="5"/>
      <c r="K20" s="5"/>
      <c r="L20" s="5"/>
      <c r="M20" s="5"/>
      <c r="N20" s="6"/>
    </row>
    <row r="21" spans="1:14" ht="18">
      <c r="A21" s="5"/>
      <c r="B21" s="5" t="s">
        <v>4</v>
      </c>
      <c r="C21" s="135" t="s">
        <v>27</v>
      </c>
      <c r="D21" s="135"/>
      <c r="E21" s="135"/>
      <c r="F21" s="135"/>
      <c r="G21" s="135"/>
      <c r="H21" s="135"/>
      <c r="I21" s="5"/>
      <c r="J21" s="62" t="s">
        <v>28</v>
      </c>
      <c r="K21" s="136">
        <v>45420</v>
      </c>
      <c r="L21" s="136"/>
      <c r="M21" s="63"/>
      <c r="N21" s="6"/>
    </row>
    <row r="22" spans="1:14">
      <c r="A22" s="5"/>
      <c r="B22" s="5" t="s">
        <v>7</v>
      </c>
      <c r="C22" s="121" t="s">
        <v>29</v>
      </c>
      <c r="D22" s="121"/>
      <c r="E22" s="121"/>
      <c r="F22" s="121"/>
      <c r="G22" s="121"/>
      <c r="H22" s="121"/>
      <c r="I22" s="5"/>
      <c r="J22" s="62" t="s">
        <v>30</v>
      </c>
      <c r="K22" s="64"/>
      <c r="L22" s="65"/>
      <c r="M22" s="66"/>
      <c r="N22" s="6"/>
    </row>
    <row r="23" spans="1:14">
      <c r="A23" s="5"/>
      <c r="B23" s="5" t="s">
        <v>10</v>
      </c>
      <c r="C23" s="67">
        <v>2094</v>
      </c>
      <c r="D23" s="68" t="s">
        <v>12</v>
      </c>
      <c r="E23" s="122" t="s">
        <v>31</v>
      </c>
      <c r="F23" s="122"/>
      <c r="G23" s="69" t="s">
        <v>14</v>
      </c>
      <c r="H23" s="65" t="s">
        <v>32</v>
      </c>
      <c r="I23" s="5"/>
      <c r="J23" s="62" t="s">
        <v>33</v>
      </c>
      <c r="K23" s="123" t="s">
        <v>67</v>
      </c>
      <c r="L23" s="123"/>
      <c r="M23" s="5"/>
      <c r="N23" s="6"/>
    </row>
    <row r="24" spans="1:14">
      <c r="A24" s="5"/>
      <c r="B24" s="5" t="s">
        <v>34</v>
      </c>
      <c r="C24" s="124" t="s">
        <v>35</v>
      </c>
      <c r="D24" s="124"/>
      <c r="E24" s="124"/>
      <c r="F24" s="124"/>
      <c r="G24" s="124"/>
      <c r="H24" s="124"/>
      <c r="I24" s="5"/>
      <c r="J24" s="62" t="s">
        <v>36</v>
      </c>
      <c r="K24" s="125" t="s">
        <v>37</v>
      </c>
      <c r="L24" s="125"/>
      <c r="M24" s="5"/>
      <c r="N24" s="6"/>
    </row>
    <row r="25" spans="1:14">
      <c r="A25" s="5"/>
      <c r="B25" s="5"/>
      <c r="C25" s="5"/>
      <c r="D25" s="5"/>
      <c r="E25" s="5"/>
      <c r="F25" s="5"/>
      <c r="G25" s="5"/>
      <c r="H25" s="5"/>
      <c r="I25" s="5"/>
      <c r="J25" s="5"/>
      <c r="K25" s="5"/>
      <c r="L25" s="5"/>
      <c r="M25" s="5"/>
      <c r="N25" s="6"/>
    </row>
    <row r="26" spans="1:14">
      <c r="A26" s="5"/>
      <c r="B26" s="70" t="s">
        <v>38</v>
      </c>
      <c r="C26" s="70" t="s">
        <v>39</v>
      </c>
      <c r="D26" s="126" t="s">
        <v>40</v>
      </c>
      <c r="E26" s="126"/>
      <c r="F26" s="126"/>
      <c r="G26" s="126"/>
      <c r="H26" s="126"/>
      <c r="I26" s="126"/>
      <c r="J26" s="126"/>
      <c r="K26" s="71" t="s">
        <v>41</v>
      </c>
      <c r="L26" s="72" t="s">
        <v>42</v>
      </c>
      <c r="M26" s="73"/>
      <c r="N26" s="6"/>
    </row>
    <row r="27" spans="1:14" ht="15">
      <c r="A27" s="5"/>
      <c r="B27" s="74"/>
      <c r="C27" s="75"/>
      <c r="D27" s="127"/>
      <c r="E27" s="127"/>
      <c r="F27" s="127"/>
      <c r="G27" s="127"/>
      <c r="H27" s="127"/>
      <c r="I27" s="127"/>
      <c r="J27" s="76"/>
      <c r="K27" s="77"/>
      <c r="L27" s="77" t="str">
        <f>IF(C27&lt;&gt;"",C27*K27,"")</f>
        <v/>
      </c>
      <c r="M27" s="73"/>
      <c r="N27" s="6"/>
    </row>
    <row r="28" spans="1:14" ht="15">
      <c r="A28" s="5"/>
      <c r="B28" s="78"/>
      <c r="C28" s="75"/>
      <c r="D28" s="110"/>
      <c r="E28" s="5"/>
      <c r="F28" s="79"/>
      <c r="G28" s="5"/>
      <c r="H28" s="5"/>
      <c r="I28" s="79"/>
      <c r="J28" s="5"/>
      <c r="K28" s="77"/>
      <c r="L28" s="77"/>
      <c r="M28" s="73"/>
      <c r="N28" s="6"/>
    </row>
    <row r="29" spans="1:14" ht="18">
      <c r="A29" s="5"/>
      <c r="B29" s="78"/>
      <c r="C29" s="75"/>
      <c r="D29" s="114" t="s">
        <v>68</v>
      </c>
      <c r="E29" s="5"/>
      <c r="F29" s="79"/>
      <c r="G29" s="5"/>
      <c r="H29" s="5"/>
      <c r="I29" s="79"/>
      <c r="J29" s="5"/>
      <c r="K29" s="77" t="s">
        <v>74</v>
      </c>
      <c r="L29" s="77"/>
      <c r="M29" s="73"/>
      <c r="N29" s="6"/>
    </row>
    <row r="30" spans="1:14" ht="18">
      <c r="A30" s="5"/>
      <c r="B30" s="78"/>
      <c r="C30" s="75"/>
      <c r="D30" s="115" t="s">
        <v>69</v>
      </c>
      <c r="E30" s="5"/>
      <c r="F30" s="79"/>
      <c r="G30" s="5"/>
      <c r="H30" s="5"/>
      <c r="I30" s="79"/>
      <c r="J30" s="5"/>
      <c r="K30" s="77"/>
      <c r="L30" s="77"/>
      <c r="M30" s="73"/>
      <c r="N30" s="6"/>
    </row>
    <row r="31" spans="1:14" ht="25.5" customHeight="1">
      <c r="A31" s="5"/>
      <c r="B31" s="78"/>
      <c r="C31" s="75"/>
      <c r="D31" s="110"/>
      <c r="E31" s="104"/>
      <c r="F31" s="79"/>
      <c r="G31" s="104"/>
      <c r="H31" s="104"/>
      <c r="I31" s="79"/>
      <c r="J31" s="104"/>
      <c r="K31" s="77"/>
      <c r="L31" s="77"/>
      <c r="M31" s="73"/>
      <c r="N31" s="6"/>
    </row>
    <row r="32" spans="1:14" ht="25.5" customHeight="1">
      <c r="A32" s="5"/>
      <c r="B32" s="78"/>
      <c r="C32" s="75">
        <v>4</v>
      </c>
      <c r="D32" s="112" t="s">
        <v>70</v>
      </c>
      <c r="E32" s="104"/>
      <c r="F32" s="79"/>
      <c r="G32" s="104"/>
      <c r="H32" s="104"/>
      <c r="I32" s="79"/>
      <c r="J32" s="104"/>
      <c r="K32" s="77">
        <v>250</v>
      </c>
      <c r="L32" s="77">
        <f>+K32*C32</f>
        <v>1000</v>
      </c>
      <c r="M32" s="73"/>
      <c r="N32" s="6"/>
    </row>
    <row r="33" spans="1:14" ht="25.5" customHeight="1">
      <c r="A33" s="5"/>
      <c r="B33" s="78"/>
      <c r="C33" s="75"/>
      <c r="D33" s="112"/>
      <c r="E33" s="104"/>
      <c r="F33" s="79"/>
      <c r="G33" s="104"/>
      <c r="H33" s="104"/>
      <c r="I33" s="79"/>
      <c r="J33" s="104"/>
      <c r="K33" s="77"/>
      <c r="L33" s="77"/>
      <c r="M33" s="73"/>
      <c r="N33" s="6"/>
    </row>
    <row r="34" spans="1:14" ht="25.5" customHeight="1">
      <c r="A34" s="5"/>
      <c r="B34" s="78"/>
      <c r="C34" s="75">
        <v>2</v>
      </c>
      <c r="D34" s="112" t="s">
        <v>71</v>
      </c>
      <c r="E34" s="104"/>
      <c r="F34" s="79"/>
      <c r="G34" s="104"/>
      <c r="H34" s="104"/>
      <c r="I34" s="79"/>
      <c r="J34" s="104"/>
      <c r="K34" s="77">
        <v>250</v>
      </c>
      <c r="L34" s="77">
        <f t="shared" ref="L34:L38" si="0">+K34*C34</f>
        <v>500</v>
      </c>
      <c r="M34" s="73"/>
      <c r="N34" s="6"/>
    </row>
    <row r="35" spans="1:14" ht="25.5" customHeight="1">
      <c r="A35" s="5"/>
      <c r="B35" s="78"/>
      <c r="C35" s="75"/>
      <c r="D35" s="112"/>
      <c r="E35" s="104"/>
      <c r="F35" s="79"/>
      <c r="G35" s="104"/>
      <c r="H35" s="104"/>
      <c r="I35" s="79"/>
      <c r="J35" s="104"/>
      <c r="K35" s="77"/>
      <c r="L35" s="77"/>
      <c r="M35" s="73"/>
      <c r="N35" s="6"/>
    </row>
    <row r="36" spans="1:14" ht="18">
      <c r="A36" s="5"/>
      <c r="B36" s="78"/>
      <c r="C36" s="75">
        <v>4</v>
      </c>
      <c r="D36" s="112" t="s">
        <v>72</v>
      </c>
      <c r="E36" s="104"/>
      <c r="F36" s="79"/>
      <c r="G36" s="104"/>
      <c r="H36" s="104"/>
      <c r="I36" s="79"/>
      <c r="J36" s="104"/>
      <c r="K36" s="77">
        <v>250</v>
      </c>
      <c r="L36" s="77">
        <f t="shared" si="0"/>
        <v>1000</v>
      </c>
      <c r="M36" s="73"/>
      <c r="N36" s="6"/>
    </row>
    <row r="37" spans="1:14" ht="18">
      <c r="A37" s="5"/>
      <c r="B37" s="78"/>
      <c r="C37" s="75"/>
      <c r="D37" s="112"/>
      <c r="E37" s="5"/>
      <c r="F37" s="79"/>
      <c r="G37" s="5"/>
      <c r="H37" s="5"/>
      <c r="I37" s="79"/>
      <c r="J37" s="5"/>
      <c r="K37" s="77"/>
      <c r="L37" s="77"/>
      <c r="M37" s="73"/>
      <c r="N37" s="6"/>
    </row>
    <row r="38" spans="1:14" ht="18">
      <c r="A38" s="5"/>
      <c r="B38" s="78"/>
      <c r="C38" s="75">
        <v>2</v>
      </c>
      <c r="D38" s="112" t="s">
        <v>73</v>
      </c>
      <c r="E38" s="5"/>
      <c r="F38" s="5"/>
      <c r="G38" s="5"/>
      <c r="H38" s="5"/>
      <c r="I38" s="79"/>
      <c r="J38" s="5"/>
      <c r="K38" s="77">
        <v>250</v>
      </c>
      <c r="L38" s="77">
        <f t="shared" si="0"/>
        <v>500</v>
      </c>
      <c r="M38" s="73"/>
      <c r="N38" s="6"/>
    </row>
    <row r="39" spans="1:14" ht="18">
      <c r="A39" s="5"/>
      <c r="B39" s="78"/>
      <c r="C39" s="80"/>
      <c r="D39" s="113"/>
      <c r="E39" s="62"/>
      <c r="F39" s="62"/>
      <c r="G39" s="62"/>
      <c r="H39" s="62"/>
      <c r="I39" s="62"/>
      <c r="J39" s="79"/>
      <c r="K39" s="77"/>
      <c r="L39" s="77"/>
      <c r="M39" s="73"/>
      <c r="N39" s="6"/>
    </row>
    <row r="40" spans="1:14" ht="18">
      <c r="A40" s="5"/>
      <c r="B40" s="78"/>
      <c r="C40" s="80"/>
      <c r="D40" s="113"/>
      <c r="E40" s="62"/>
      <c r="F40" s="62"/>
      <c r="G40" s="62"/>
      <c r="H40" s="62"/>
      <c r="I40" s="62"/>
      <c r="J40" s="79"/>
      <c r="K40" s="77"/>
      <c r="L40" s="77"/>
      <c r="M40" s="73"/>
      <c r="N40" s="6"/>
    </row>
    <row r="41" spans="1:14" ht="15">
      <c r="A41" s="5"/>
      <c r="B41" s="78"/>
      <c r="C41" s="80"/>
      <c r="D41" s="62"/>
      <c r="E41" s="62"/>
      <c r="F41" s="62"/>
      <c r="G41" s="62"/>
      <c r="H41" s="62"/>
      <c r="I41" s="62"/>
      <c r="J41" s="79"/>
      <c r="K41" s="77"/>
      <c r="L41" s="77"/>
      <c r="M41" s="73"/>
      <c r="N41" s="6"/>
    </row>
    <row r="42" spans="1:14" ht="15">
      <c r="A42" s="5"/>
      <c r="B42" s="78"/>
      <c r="C42" s="80"/>
      <c r="D42" s="62"/>
      <c r="E42" s="62"/>
      <c r="F42" s="62"/>
      <c r="G42" s="62"/>
      <c r="H42" s="62"/>
      <c r="I42" s="62"/>
      <c r="J42" s="79"/>
      <c r="K42" s="77"/>
      <c r="L42" s="77"/>
      <c r="M42" s="73"/>
      <c r="N42" s="6"/>
    </row>
    <row r="43" spans="1:14" ht="15">
      <c r="A43" s="5"/>
      <c r="B43" s="81"/>
      <c r="C43" s="82"/>
      <c r="D43" s="128"/>
      <c r="E43" s="128"/>
      <c r="F43" s="128"/>
      <c r="G43" s="128"/>
      <c r="H43" s="128"/>
      <c r="I43" s="128"/>
      <c r="J43" s="83"/>
      <c r="K43" s="77"/>
      <c r="L43" s="77" t="str">
        <f>IF(C43&lt;&gt;"",C43*K43,"")</f>
        <v/>
      </c>
      <c r="M43" s="73"/>
      <c r="N43" s="6"/>
    </row>
    <row r="44" spans="1:14" ht="15" customHeight="1">
      <c r="A44" s="5"/>
      <c r="B44" s="5"/>
      <c r="C44" s="5"/>
      <c r="D44" s="5"/>
      <c r="E44" s="5"/>
      <c r="F44" s="5"/>
      <c r="G44" s="5"/>
      <c r="H44" s="84"/>
      <c r="I44" s="84"/>
      <c r="J44" s="84"/>
      <c r="K44" s="85" t="s">
        <v>43</v>
      </c>
      <c r="L44" s="86">
        <f>SUM(L27:L43)</f>
        <v>3000</v>
      </c>
      <c r="M44" s="73"/>
      <c r="N44" s="6"/>
    </row>
    <row r="45" spans="1:14" ht="15">
      <c r="A45" s="5"/>
      <c r="B45" s="5"/>
      <c r="C45" s="5"/>
      <c r="D45" s="5"/>
      <c r="E45" s="5"/>
      <c r="F45" s="5"/>
      <c r="G45" s="5"/>
      <c r="H45" s="84"/>
      <c r="I45" s="84"/>
      <c r="J45" s="84"/>
      <c r="K45" s="87" t="s">
        <v>18</v>
      </c>
      <c r="L45" s="88">
        <v>1</v>
      </c>
      <c r="M45" s="73"/>
      <c r="N45" s="6"/>
    </row>
    <row r="46" spans="1:14" ht="18">
      <c r="A46" s="5"/>
      <c r="B46" s="5"/>
      <c r="C46" s="89"/>
      <c r="D46" s="116" t="s">
        <v>44</v>
      </c>
      <c r="E46" s="5"/>
      <c r="F46" s="5"/>
      <c r="G46" s="5"/>
      <c r="H46" s="84"/>
      <c r="I46" s="84"/>
      <c r="J46" s="90"/>
      <c r="K46" s="91">
        <v>0.19</v>
      </c>
      <c r="L46" s="88">
        <f>L44*0.19</f>
        <v>570</v>
      </c>
      <c r="M46" s="73"/>
      <c r="N46" s="6"/>
    </row>
    <row r="47" spans="1:14" ht="15.75">
      <c r="A47" s="5"/>
      <c r="B47" s="5"/>
      <c r="C47" s="89"/>
      <c r="D47" s="62"/>
      <c r="E47" s="92"/>
      <c r="F47" s="89"/>
      <c r="G47" s="5"/>
      <c r="H47" s="93"/>
      <c r="I47" s="84"/>
      <c r="J47" s="84"/>
      <c r="K47" s="94" t="s">
        <v>45</v>
      </c>
      <c r="L47" s="86">
        <f>+L44+L45+L46</f>
        <v>3571</v>
      </c>
      <c r="M47" s="73"/>
      <c r="N47" s="6"/>
    </row>
    <row r="48" spans="1:14" ht="15.75">
      <c r="A48" s="5"/>
      <c r="B48" s="5"/>
      <c r="C48" s="89">
        <v>3</v>
      </c>
      <c r="D48" s="111"/>
      <c r="E48" s="5"/>
      <c r="F48" s="5"/>
      <c r="G48" s="5"/>
      <c r="H48" s="84" t="s">
        <v>46</v>
      </c>
      <c r="I48" s="84"/>
      <c r="J48" s="84"/>
      <c r="K48" s="95"/>
      <c r="L48" s="96"/>
      <c r="M48" s="73"/>
      <c r="N48" s="6"/>
    </row>
    <row r="49" spans="1:14" ht="15.75">
      <c r="A49" s="5" t="s">
        <v>75</v>
      </c>
      <c r="B49" s="5"/>
      <c r="C49" s="89"/>
      <c r="D49" s="62"/>
      <c r="E49" s="5"/>
      <c r="F49" s="5"/>
      <c r="G49" s="5"/>
      <c r="H49" s="84"/>
      <c r="I49" s="84"/>
      <c r="J49" s="84"/>
      <c r="K49" s="97" t="s">
        <v>47</v>
      </c>
      <c r="L49" s="96"/>
      <c r="M49" s="73"/>
      <c r="N49" s="6"/>
    </row>
    <row r="50" spans="1:14" ht="15">
      <c r="A50" s="5" t="s">
        <v>76</v>
      </c>
      <c r="B50" s="5"/>
      <c r="C50" s="5"/>
      <c r="D50" s="5"/>
      <c r="E50" s="5"/>
      <c r="F50" s="5"/>
      <c r="G50" s="5"/>
      <c r="H50" s="84" t="s">
        <v>46</v>
      </c>
      <c r="I50" s="84"/>
      <c r="J50" s="5"/>
      <c r="K50" s="5"/>
      <c r="L50" s="5"/>
      <c r="M50" s="73"/>
      <c r="N50" s="6"/>
    </row>
    <row r="51" spans="1:14" ht="17.100000000000001" customHeight="1">
      <c r="A51" s="98" t="s">
        <v>48</v>
      </c>
      <c r="B51" s="99"/>
      <c r="C51" s="99"/>
      <c r="D51" s="99"/>
      <c r="E51" s="99"/>
      <c r="F51" s="99"/>
      <c r="G51" s="99"/>
      <c r="H51" s="99"/>
      <c r="I51" s="99"/>
      <c r="J51" s="99"/>
      <c r="K51" s="5"/>
      <c r="L51" s="96"/>
      <c r="M51" s="73"/>
      <c r="N51" s="6"/>
    </row>
    <row r="52" spans="1:14" ht="17.100000000000001" customHeight="1">
      <c r="A52" s="129" t="s">
        <v>49</v>
      </c>
      <c r="B52" s="129"/>
      <c r="C52" s="129"/>
      <c r="D52" s="129"/>
      <c r="E52" s="129"/>
      <c r="F52" s="129"/>
      <c r="G52" s="129"/>
      <c r="H52" s="129"/>
      <c r="I52" s="129"/>
      <c r="J52" s="97"/>
      <c r="K52" s="97"/>
      <c r="L52" s="97"/>
      <c r="M52" s="73"/>
      <c r="N52" s="6"/>
    </row>
    <row r="53" spans="1:14" ht="15.75">
      <c r="A53" s="5"/>
      <c r="B53" s="5"/>
      <c r="C53" s="68"/>
      <c r="D53" s="100"/>
      <c r="E53" s="79"/>
      <c r="F53" s="79"/>
      <c r="G53" s="79"/>
      <c r="H53" s="84"/>
      <c r="I53" s="97"/>
      <c r="J53" s="97"/>
      <c r="K53" s="97"/>
      <c r="L53" s="97"/>
      <c r="M53" s="73"/>
      <c r="N53" s="6"/>
    </row>
    <row r="54" spans="1:14" ht="15" customHeight="1">
      <c r="A54" s="5"/>
      <c r="B54" s="5"/>
      <c r="C54" s="73" t="s">
        <v>50</v>
      </c>
      <c r="D54" s="73"/>
      <c r="E54" s="73"/>
      <c r="F54" s="73"/>
      <c r="G54" s="73"/>
      <c r="H54" s="73"/>
      <c r="I54" s="73"/>
      <c r="J54" s="73"/>
      <c r="K54" s="73"/>
      <c r="L54" s="97"/>
      <c r="M54" s="73"/>
      <c r="N54" s="6"/>
    </row>
    <row r="55" spans="1:14" ht="15" customHeight="1">
      <c r="A55" s="5"/>
      <c r="B55" s="5"/>
      <c r="C55" s="68"/>
      <c r="D55" s="130" t="s">
        <v>51</v>
      </c>
      <c r="E55" s="130"/>
      <c r="F55" s="130"/>
      <c r="G55" s="130"/>
      <c r="H55" s="130"/>
      <c r="I55" s="130"/>
      <c r="J55" s="130"/>
      <c r="K55" s="97"/>
      <c r="L55" s="97"/>
      <c r="M55" s="73"/>
      <c r="N55" s="6"/>
    </row>
    <row r="56" spans="1:14" ht="15" customHeight="1" thickBot="1">
      <c r="A56" s="5"/>
      <c r="B56" s="5"/>
      <c r="C56" s="131" t="s">
        <v>52</v>
      </c>
      <c r="D56" s="131"/>
      <c r="E56" s="131"/>
      <c r="F56" s="131"/>
      <c r="G56" s="131"/>
      <c r="H56" s="131"/>
      <c r="I56" s="131"/>
      <c r="J56" s="131"/>
      <c r="K56" s="131"/>
      <c r="L56" s="97"/>
      <c r="M56" s="73"/>
      <c r="N56" s="6"/>
    </row>
    <row r="57" spans="1:14" ht="17.25" thickTop="1" thickBot="1">
      <c r="A57" s="5"/>
      <c r="B57" s="5"/>
      <c r="C57" s="131"/>
      <c r="D57" s="131"/>
      <c r="E57" s="131"/>
      <c r="F57" s="131"/>
      <c r="G57" s="131"/>
      <c r="H57" s="131"/>
      <c r="I57" s="131"/>
      <c r="J57" s="131"/>
      <c r="K57" s="131"/>
      <c r="L57" s="97"/>
      <c r="M57" s="73"/>
      <c r="N57" s="6"/>
    </row>
    <row r="58" spans="1:14" ht="14.25" thickTop="1" thickBot="1">
      <c r="A58" s="73"/>
      <c r="B58" s="73"/>
      <c r="C58" s="131"/>
      <c r="D58" s="131"/>
      <c r="E58" s="131"/>
      <c r="F58" s="131"/>
      <c r="G58" s="131"/>
      <c r="H58" s="131"/>
      <c r="I58" s="131"/>
      <c r="J58" s="131"/>
      <c r="K58" s="131"/>
      <c r="L58" s="101"/>
      <c r="M58" s="73"/>
      <c r="N58" s="6"/>
    </row>
    <row r="59" spans="1:14" ht="13.5" thickTop="1">
      <c r="A59" s="8"/>
      <c r="B59" s="8"/>
      <c r="C59" s="8"/>
      <c r="D59" s="8"/>
      <c r="E59" s="8"/>
      <c r="F59" s="8"/>
      <c r="G59" s="8"/>
      <c r="H59" s="8"/>
      <c r="I59" s="8"/>
      <c r="J59" s="8"/>
      <c r="K59" s="8"/>
      <c r="L59" s="8"/>
      <c r="M59" s="8"/>
      <c r="N59" s="6"/>
    </row>
    <row r="60" spans="1:14" ht="15" customHeight="1">
      <c r="A60" s="102"/>
      <c r="B60" s="102"/>
      <c r="C60" s="102"/>
      <c r="D60" s="102"/>
      <c r="E60" s="102"/>
      <c r="F60" s="102"/>
      <c r="G60" s="102"/>
      <c r="H60" s="102"/>
      <c r="I60" s="120"/>
      <c r="J60" s="120"/>
      <c r="K60" s="120"/>
      <c r="L60" s="120"/>
      <c r="M60" s="120"/>
      <c r="N60" s="6"/>
    </row>
    <row r="61" spans="1:14" ht="15" customHeight="1">
      <c r="A61" s="103"/>
      <c r="B61" s="103"/>
      <c r="C61" s="103"/>
      <c r="D61" s="103"/>
      <c r="E61" s="103"/>
      <c r="F61" s="103"/>
      <c r="G61" s="103"/>
      <c r="H61" s="103"/>
      <c r="I61" s="120"/>
      <c r="J61" s="120"/>
      <c r="K61" s="120"/>
      <c r="L61" s="120"/>
      <c r="M61" s="120"/>
    </row>
    <row r="62" spans="1:14" ht="12.75" customHeight="1"/>
    <row r="63" spans="1:14" ht="3" customHeight="1"/>
    <row r="67" ht="0.95" customHeight="1"/>
    <row r="68" ht="6" customHeight="1"/>
    <row r="72" ht="12.75" customHeight="1"/>
  </sheetData>
  <scenarios current="0" show="0">
    <scenario name="sample1" locked="1" count="10" comment="Created by Nickte on 23/10/96">
      <inputCells r="E21" undone="1" val="M. Antoine CIVAUX"/>
      <inputCells r="E22" undone="1" val="34, route de Marseille"/>
      <inputCells r="E23" undone="1" val="84000"/>
      <inputCells r="E24" undone="1" val="04.90.26.45.78"/>
      <inputCells r="G23" undone="1" val="Avignon"/>
      <inputCells r="J23" undone="1" val="France"/>
      <inputCells r="M21" undone="1" val="35343"/>
      <inputCells r="M22" undone="1" val="452"/>
      <inputCells r="M23" undone="1" val="T. Farot"/>
      <inputCells r="M24" undone="1" val="Le Havre"/>
    </scenario>
  </scenarios>
  <mergeCells count="18">
    <mergeCell ref="K9:L9"/>
    <mergeCell ref="K13:L13"/>
    <mergeCell ref="F14:J15"/>
    <mergeCell ref="K17:L19"/>
    <mergeCell ref="C21:H21"/>
    <mergeCell ref="K21:L21"/>
    <mergeCell ref="I60:M61"/>
    <mergeCell ref="C22:H22"/>
    <mergeCell ref="E23:F23"/>
    <mergeCell ref="K23:L23"/>
    <mergeCell ref="C24:H24"/>
    <mergeCell ref="K24:L24"/>
    <mergeCell ref="D26:J26"/>
    <mergeCell ref="D27:I27"/>
    <mergeCell ref="D43:I43"/>
    <mergeCell ref="A52:I52"/>
    <mergeCell ref="D55:J55"/>
    <mergeCell ref="C56:K58"/>
  </mergeCells>
  <dataValidations count="12">
    <dataValidation type="textLength" errorStyle="warning" allowBlank="1" showErrorMessage="1" errorTitle="T.V.A." error="Les cellules ombrées contiennent des formules et sont calculées automatiquement par Excel. N'y tapez aucune information." promptTitle="T.V.A." sqref="K46 K48">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L47 L51">
      <formula1>0</formula1>
      <formula2>0</formula2>
    </dataValidation>
    <dataValidation type="list" allowBlank="1" showInputMessage="1" showErrorMessage="1" errorTitle="Code TVA" error="Tapez 1, 2, ou 3." sqref="J39:J43 J27:J37">
      <formula1>"1,2,3"</formula1>
    </dataValidation>
    <dataValidation errorStyle="warning" allowBlank="1" showInputMessage="1" errorTitle="Numéro de carte de crédit" promptTitle="Numéro de carte de crédit" prompt="Tapez ici le numéro de carte de crédit du client" sqref="D53 D5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9 I53"/>
    <dataValidation type="decimal" allowBlank="1" showErrorMessage="1" errorTitle="Prix unitaire" error="Tapez un nombre dans cette cellule." promptTitle="Prix unitaire" sqref="K27:K43 L28:L39">
      <formula1>0</formula1>
      <formula2>1000000000</formula2>
    </dataValidation>
    <dataValidation type="whole" errorStyle="warning" allowBlank="1" showErrorMessage="1" errorTitle="Quantité" error="Tapez un nombre dans cette cellule." promptTitle="Quantité" sqref="C27:C4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L27 L40:L43">
      <formula1>0</formula1>
      <formula2>0</formula2>
    </dataValidation>
    <dataValidation type="textLength" errorStyle="warning" allowBlank="1" showErrorMessage="1" errorTitle="Sous-total" error="Les cellules ombrées contiennent des formules et sont calculées automatiquement par Excel. N'y tapez aucune information." promptTitle="Sous-total" sqref="L44">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L45">
      <formula1>0</formula1>
      <formula2>0</formula2>
    </dataValidation>
    <dataValidation allowBlank="1" showErrorMessage="1" sqref="E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L46 L48:L49">
      <formula1>0</formula1>
      <formula2>0</formula2>
    </dataValidation>
  </dataValidations>
  <hyperlinks>
    <hyperlink ref="K13" r:id="rId1"/>
  </hyperlinks>
  <printOptions horizontalCentered="1"/>
  <pageMargins left="0.511811023622047" right="0.511811023622047" top="0.511811023622047" bottom="0.511811023622047" header="0.511811023622047" footer="0.511811023622047"/>
  <pageSetup paperSize="9" scale="79" fitToWidth="0" fitToHeight="0" orientation="portrait" r:id="rId2"/>
  <headerFooter alignWithMargins="0"/>
  <drawing r:id="rId3"/>
  <legacy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9.140625" defaultRowHeight="12.75"/>
  <cols>
    <col min="1" max="1" width="9.140625" customWidth="1"/>
  </cols>
  <sheetData/>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4"/>
  <sheetViews>
    <sheetView workbookViewId="0"/>
  </sheetViews>
  <sheetFormatPr baseColWidth="10" defaultColWidth="9.140625" defaultRowHeight="12.75"/>
  <cols>
    <col min="1" max="1" width="9.140625" style="105" customWidth="1"/>
    <col min="2" max="16384" width="9.140625" style="105"/>
  </cols>
  <sheetData>
    <row r="1" spans="1:11">
      <c r="A1" s="105" t="s">
        <v>53</v>
      </c>
    </row>
    <row r="2" spans="1:11">
      <c r="A2" s="105" t="s">
        <v>54</v>
      </c>
      <c r="B2" s="105" t="s">
        <v>55</v>
      </c>
    </row>
    <row r="3" spans="1:11">
      <c r="A3" s="105" t="s">
        <v>56</v>
      </c>
      <c r="B3" s="105" t="s">
        <v>57</v>
      </c>
    </row>
    <row r="4" spans="1:11">
      <c r="A4" s="105" t="s">
        <v>58</v>
      </c>
    </row>
    <row r="5" spans="1:11">
      <c r="A5" s="105" t="s">
        <v>59</v>
      </c>
      <c r="B5" s="105">
        <v>1</v>
      </c>
    </row>
    <row r="6" spans="1:11">
      <c r="A6" s="105">
        <v>1</v>
      </c>
      <c r="B6" s="105" t="s">
        <v>60</v>
      </c>
      <c r="C6" s="105" t="s">
        <v>61</v>
      </c>
      <c r="D6" s="105" t="s">
        <v>62</v>
      </c>
      <c r="E6" s="105">
        <v>10</v>
      </c>
      <c r="G6" s="105">
        <v>-1383939328</v>
      </c>
    </row>
    <row r="7" spans="1:11">
      <c r="A7" s="105" t="s">
        <v>63</v>
      </c>
      <c r="B7" s="105" t="s">
        <v>64</v>
      </c>
      <c r="C7" s="105" t="s">
        <v>28</v>
      </c>
      <c r="D7" s="105" t="s">
        <v>4</v>
      </c>
      <c r="E7" s="105" t="s">
        <v>7</v>
      </c>
      <c r="F7" s="105" t="s">
        <v>10</v>
      </c>
      <c r="G7" s="105" t="s">
        <v>12</v>
      </c>
      <c r="H7" s="105" t="s">
        <v>14</v>
      </c>
      <c r="I7" s="105" t="s">
        <v>34</v>
      </c>
      <c r="J7" s="105" t="s">
        <v>65</v>
      </c>
      <c r="K7" s="105" t="s">
        <v>33</v>
      </c>
    </row>
    <row r="8" spans="1:11">
      <c r="A8" s="105" t="s">
        <v>66</v>
      </c>
      <c r="B8" s="106" t="e">
        <f>Facture!#REF!</f>
        <v>#REF!</v>
      </c>
      <c r="C8" s="107">
        <f>Facture!$K$21</f>
        <v>45420</v>
      </c>
      <c r="D8" s="108" t="str">
        <f>Facture!$C$21</f>
        <v xml:space="preserve">COMETEL </v>
      </c>
      <c r="E8" s="105" t="str">
        <f>Facture!$C$22</f>
        <v>RS LILIA JMZH 2AP01 MNIHLA</v>
      </c>
      <c r="F8" s="105">
        <f>Facture!$C$23</f>
        <v>2094</v>
      </c>
      <c r="G8" s="108" t="str">
        <f>Facture!$E$23</f>
        <v>ARIANA</v>
      </c>
      <c r="H8" s="108" t="str">
        <f>Facture!$H$23</f>
        <v>TN</v>
      </c>
      <c r="I8" s="105" t="str">
        <f>Facture!$C$24</f>
        <v xml:space="preserve">22619085   fax: </v>
      </c>
      <c r="J8" s="109">
        <f>Facture!$L$47</f>
        <v>3571</v>
      </c>
      <c r="K8" s="105" t="str">
        <f>Facture!$K$23</f>
        <v xml:space="preserve"> MR SLIM</v>
      </c>
    </row>
    <row r="9" spans="1:11">
      <c r="A9" s="105" t="s">
        <v>58</v>
      </c>
    </row>
    <row r="10" spans="1:11">
      <c r="G10" s="105">
        <v>-1261995520</v>
      </c>
    </row>
    <row r="14" spans="1:11">
      <c r="G14" s="105">
        <v>-462007040</v>
      </c>
    </row>
  </sheetData>
  <pageMargins left="0.78740157499999996" right="0.78740157499999996" top="0.98425196900000012" bottom="0.98425196900000012" header="0.49212598450000006" footer="0.49212598450000006"/>
  <headerFooter alignWithMargins="0">
    <oddHeader>&amp;C&amp;A</oddHeader>
    <oddFooter>&amp;CPage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cols>
    <col min="1" max="1" width="11.42578125" customWidth="1"/>
  </cols>
  <sheetData/>
  <pageMargins left="0.70000000000000007" right="0.70000000000000007" top="0.75" bottom="0.75" header="0.30000000000000004" footer="0.3000000000000000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6</vt:i4>
      </vt:variant>
      <vt:variant>
        <vt:lpstr>Plages nommées</vt:lpstr>
      </vt:variant>
      <vt:variant>
        <vt:i4>72</vt:i4>
      </vt:variant>
    </vt:vector>
  </HeadingPairs>
  <TitlesOfParts>
    <vt:vector size="78" baseType="lpstr">
      <vt:lpstr>AutoOpen_Stub_Data</vt:lpstr>
      <vt:lpstr>Personnaliser_votre_facture</vt:lpstr>
      <vt:lpstr>Facture</vt:lpstr>
      <vt:lpstr>Patientez_un_instant___</vt:lpstr>
      <vt:lpstr>TemplateInformation</vt:lpstr>
      <vt:lpstr>Macros</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2024-05-08T13:06:09Z</cp:lastPrinted>
  <dcterms:created xsi:type="dcterms:W3CDTF">1995-05-29T15:50:39Z</dcterms:created>
  <dcterms:modified xsi:type="dcterms:W3CDTF">2024-05-14T16:03:16Z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vt:lpwstr>#REF!</vt:lpwstr>
  </property>
  <property fmtid="{D5CDD505-2E9C-101B-9397-08002B2CF9AE}" pid="3" name="Nom de la société">
    <vt:lpwstr>GAMESTREAM ATLAS  ORGANISME DE FORMATION N° D'AGREMENT : 01 069 11 </vt:lpwstr>
  </property>
  <property fmtid="{D5CDD505-2E9C-101B-9397-08002B2CF9AE}" pid="4" name="Adresse de la société">
    <vt:lpwstr>4 RUE DU CAIRE 1001 TUNIS</vt:lpwstr>
  </property>
  <property fmtid="{D5CDD505-2E9C-101B-9397-08002B2CF9AE}" pid="5" name="Ville de la société">
    <vt:lpwstr>FAX : 71 259346</vt:lpwstr>
  </property>
  <property fmtid="{D5CDD505-2E9C-101B-9397-08002B2CF9AE}" pid="6" name="Pays de la société">
    <vt:lpwstr/>
  </property>
  <property fmtid="{D5CDD505-2E9C-101B-9397-08002B2CF9AE}" pid="7" name="Code postal de la société">
    <vt:lpwstr>TEL:  71 258108</vt:lpwstr>
  </property>
  <property fmtid="{D5CDD505-2E9C-101B-9397-08002B2CF9AE}" pid="8" name="Téléphone de la société">
    <vt:lpwstr/>
  </property>
  <property fmtid="{D5CDD505-2E9C-101B-9397-08002B2CF9AE}" pid="9" name="Télécopie de la société">
    <vt:lpwstr/>
  </property>
  <property fmtid="{D5CDD505-2E9C-101B-9397-08002B2CF9AE}" pid="10" name="Nom du client">
    <vt:lpwstr>COMETEL </vt:lpwstr>
  </property>
  <property fmtid="{D5CDD505-2E9C-101B-9397-08002B2CF9AE}" pid="11" name="Montant de la facture">
    <vt:r8>678.9</vt:r8>
  </property>
</Properties>
</file>