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6" i="3" l="1"/>
  <c r="M44" i="3"/>
  <c r="M47" i="3" s="1"/>
  <c r="M46" i="3"/>
  <c r="M31" i="3" l="1"/>
  <c r="M2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<sst xmlns="http://schemas.openxmlformats.org/spreadsheetml/2006/main" count="96" uniqueCount="86">
  <si>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</si>
  <si>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</si>
  <si>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</si>
  <si>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</si>
  <si>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</si>
  <si>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</si>
  <si>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</si>
  <si>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</si>
  <si>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</si>
  <si>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</si>
  <si>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</si>
  <si>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</si>
  <si>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</si>
  <si>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</si>
  <si>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</si>
  <si>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</si>
  <si>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</si>
  <si>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</si>
  <si>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</si>
  <si>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</si>
  <si>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</si>
  <si>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</si>
  <si>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</si>
  <si>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</si>
  <si>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</si>
  <si>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</si>
  <si>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</si>
  <si>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</si>
  <si>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</si>
  <si>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</si>
  <si>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</si>
  <si>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</si>
  <si>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</si>
  <si>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</si>
  <si>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</si>
  <si>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</si>
  <si>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</si>
  <si>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</si>
  <si>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</si>
  <si>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</si>
  <si>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</si>
  <si>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</si>
  <si>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</si>
  <si>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</si>
  <si>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</si>
  <si>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</si>
  <si>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</si>
  <si>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</si>
  <si>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</si>
  <si>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</si>
  <si>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</si>
  <si>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</si>
  <si>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</si>
  <si>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</si>
  <si>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</si>
  <si>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</si>
  <si>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</si>
  <si>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</si>
  <si>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</si>
  <si>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</si>
  <si>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</si>
  <si>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</si>
  <si>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</si>
  <si>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</si>
  <si>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</si>
  <si>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</si>
  <si>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</si>
  <si>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</si>
  <si>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</si>
  <si>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</si>
  <si>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</si>
  <si>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</si>
  <si>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 xml:space="preserve">LONGEUR 12 M </t>
  </si>
  <si>
    <t>LDV12M</t>
  </si>
  <si>
    <t>ARRETE LA PRESENTE FACTURE A LA SOMME DE :</t>
  </si>
  <si>
    <t>LIGNE DE VIE QUICKSET  conforme aux:</t>
  </si>
  <si>
    <t>* Norme Européenne EN353-1 :2014+A1:2017</t>
  </si>
  <si>
    <t>* la réglementation nationale américaine,</t>
  </si>
  <si>
    <t>OSHA 1910</t>
  </si>
  <si>
    <t>ANSI A14 -3</t>
  </si>
  <si>
    <t>Facture N°2024-102</t>
  </si>
  <si>
    <t>Date :08/11/2024</t>
  </si>
  <si>
    <t xml:space="preserve">Réf commande: </t>
  </si>
  <si>
    <t>BAR 0200</t>
  </si>
  <si>
    <t>NAB 0179</t>
  </si>
  <si>
    <t xml:space="preserve">Trois mille huit cent trente-deux 800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</si>
</sst>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22" fillId="3" borderId="0" xfId="0" quotePrefix="1" applyFont="1" applyFill="1" applyBorder="1" applyAlignment="1"/>
    <xf numFmtId="0" fontId="40"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30"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1" fontId="41"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49" fontId="41" fillId="3" borderId="34" xfId="0" applyNumberFormat="1" applyFont="1" applyFill="1" applyBorder="1" applyAlignment="1">
      <alignment horizontal="left"/>
    </xf>
    <xf numFmtId="49" fontId="46" fillId="0" borderId="28" xfId="0" applyNumberFormat="1" applyFont="1" applyFill="1" applyBorder="1" applyAlignment="1"/>
    <xf numFmtId="49" fontId="46" fillId="0" borderId="0" xfId="0" applyNumberFormat="1" applyFont="1" applyFill="1" applyBorder="1" applyAlignment="1"/>
    <xf numFmtId="49" fontId="47" fillId="6" borderId="0" xfId="5" applyNumberFormat="1" applyFont="1" applyFill="1" applyBorder="1" applyAlignment="1"/>
    <xf numFmtId="49" fontId="47" fillId="6" borderId="39" xfId="5" applyNumberFormat="1" applyFont="1" applyFill="1" applyBorder="1" applyAlignment="1"/>
    <xf numFmtId="0" fontId="35" fillId="3" borderId="51" xfId="0" applyFont="1" applyFill="1" applyBorder="1" applyAlignment="1"/>
    <xf numFmtId="49" fontId="37" fillId="0" borderId="51" xfId="5" applyNumberFormat="1" applyFill="1" applyBorder="1" applyAlignment="1"/>
    <xf numFmtId="49" fontId="37" fillId="0" borderId="52" xfId="5" applyNumberFormat="1" applyFill="1" applyBorder="1" applyAlignment="1"/>
    <xf numFmtId="0" fontId="20" fillId="3" borderId="49" xfId="0" applyFont="1" applyFill="1" applyBorder="1" applyAlignment="1">
      <alignment horizontal="center"/>
    </xf>
    <xf numFmtId="0" fontId="3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wrapText="1"/>
    </xf>
    <xf numFmtId="49" fontId="46" fillId="0" borderId="0" xfId="0" applyNumberFormat="1" applyFont="1" applyFill="1" applyBorder="1" applyAlignment="1">
      <alignment horizontal="left" wrapText="1"/>
    </xf>
    <xf numFmtId="49" fontId="46" fillId="0" borderId="39" xfId="0" applyNumberFormat="1" applyFont="1" applyFill="1" applyBorder="1" applyAlignment="1">
      <alignment horizontal="left" wrapText="1"/>
    </xf>
    <xf numFmtId="49" fontId="46" fillId="0" borderId="28" xfId="0" applyNumberFormat="1" applyFont="1" applyFill="1" applyBorder="1" applyAlignment="1">
      <alignment horizontal="left"/>
    </xf>
    <xf numFmtId="49" fontId="46" fillId="0" borderId="0" xfId="0" applyNumberFormat="1" applyFont="1" applyFill="1" applyBorder="1" applyAlignment="1">
      <alignment horizontal="left"/>
    </xf>
    <xf numFmtId="49" fontId="46" fillId="0" borderId="39" xfId="0" applyNumberFormat="1" applyFont="1" applyFill="1" applyBorder="1" applyAlignment="1">
      <alignment horizontal="left"/>
    </xf>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8" zoomScale="50" zoomScaleNormal="5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07" t="s">
        <v>80</v>
      </c>
      <c r="M18" s="3"/>
      <c r="N18" s="3"/>
    </row>
    <row r="19" spans="2:14" ht="21.95" customHeight="1" thickTop="1" x14ac:dyDescent="0.3">
      <c r="B19" s="7"/>
      <c r="C19" s="3"/>
      <c r="D19" s="55"/>
      <c r="E19" s="55"/>
      <c r="F19" s="55"/>
      <c r="G19" s="55"/>
      <c r="H19" s="55"/>
      <c r="I19" s="55"/>
      <c r="J19" s="56"/>
      <c r="K19" s="56"/>
      <c r="L19" s="208"/>
      <c r="M19" s="56"/>
      <c r="N19" s="20"/>
    </row>
    <row r="20" spans="2:14" ht="21.95" customHeight="1" thickBot="1" x14ac:dyDescent="0.25">
      <c r="B20" s="7"/>
      <c r="C20" s="3"/>
      <c r="D20" s="3"/>
      <c r="E20" s="3"/>
      <c r="F20" s="3"/>
      <c r="G20" s="3"/>
      <c r="H20" s="3"/>
      <c r="I20" s="3"/>
      <c r="J20" s="3"/>
      <c r="K20" s="3"/>
      <c r="L20" s="209"/>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213" t="s">
        <v>65</v>
      </c>
      <c r="F22" s="213"/>
      <c r="G22" s="213"/>
      <c r="H22" s="213"/>
      <c r="I22" s="213"/>
      <c r="J22" s="213"/>
      <c r="K22" s="96"/>
      <c r="L22" s="210" t="s">
        <v>81</v>
      </c>
      <c r="M22" s="210"/>
      <c r="N22" s="52"/>
    </row>
    <row r="23" spans="2:14" ht="33.75" x14ac:dyDescent="0.5">
      <c r="B23" s="7"/>
      <c r="C23" s="3"/>
      <c r="D23" s="95" t="s">
        <v>53</v>
      </c>
      <c r="E23" s="180" t="s">
        <v>64</v>
      </c>
      <c r="F23" s="181"/>
      <c r="G23" s="181"/>
      <c r="H23" s="181"/>
      <c r="I23" s="181"/>
      <c r="J23" s="181"/>
      <c r="K23" s="181"/>
      <c r="L23" s="161" t="s">
        <v>82</v>
      </c>
      <c r="M23" s="97"/>
      <c r="N23" s="53"/>
    </row>
    <row r="24" spans="2:14" ht="33.75" x14ac:dyDescent="0.5">
      <c r="B24" s="7"/>
      <c r="C24" s="3"/>
      <c r="D24" s="95" t="s">
        <v>54</v>
      </c>
      <c r="E24" s="107"/>
      <c r="F24" s="98" t="s">
        <v>8</v>
      </c>
      <c r="G24" s="182"/>
      <c r="H24" s="182"/>
      <c r="I24" s="99" t="s">
        <v>9</v>
      </c>
      <c r="J24" s="100" t="s">
        <v>57</v>
      </c>
      <c r="K24" s="96"/>
      <c r="L24" s="211" t="s">
        <v>70</v>
      </c>
      <c r="M24" s="212"/>
      <c r="N24" s="3"/>
    </row>
    <row r="25" spans="2:14" ht="33.75" x14ac:dyDescent="0.5">
      <c r="B25" s="7"/>
      <c r="C25" s="3"/>
      <c r="D25" s="95" t="s">
        <v>55</v>
      </c>
      <c r="E25" s="214" t="s">
        <v>66</v>
      </c>
      <c r="F25" s="214"/>
      <c r="G25" s="214"/>
      <c r="H25" s="214"/>
      <c r="I25" s="214"/>
      <c r="J25" s="214"/>
      <c r="K25" s="96"/>
      <c r="L25" s="212" t="s">
        <v>63</v>
      </c>
      <c r="M25" s="212"/>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3" t="s">
        <v>23</v>
      </c>
      <c r="G27" s="184"/>
      <c r="H27" s="184"/>
      <c r="I27" s="184"/>
      <c r="J27" s="184"/>
      <c r="K27" s="185"/>
      <c r="L27" s="85" t="s">
        <v>24</v>
      </c>
      <c r="M27" s="86" t="s">
        <v>25</v>
      </c>
      <c r="N27" s="87"/>
    </row>
    <row r="28" spans="2:14" ht="30" x14ac:dyDescent="0.4">
      <c r="B28" s="7"/>
      <c r="C28" s="3"/>
      <c r="D28" s="169"/>
      <c r="E28" s="132"/>
      <c r="F28" s="143"/>
      <c r="G28" s="144"/>
      <c r="H28" s="166"/>
      <c r="I28" s="128"/>
      <c r="J28" s="167"/>
      <c r="K28" s="168"/>
      <c r="L28" s="103"/>
      <c r="M28" s="108"/>
      <c r="N28" s="54"/>
    </row>
    <row r="29" spans="2:14" ht="30" x14ac:dyDescent="0.4">
      <c r="B29" s="7"/>
      <c r="C29" s="3"/>
      <c r="D29" s="151"/>
      <c r="E29" s="150"/>
      <c r="F29" s="162" t="s">
        <v>75</v>
      </c>
      <c r="G29" s="163"/>
      <c r="H29" s="163"/>
      <c r="I29" s="163"/>
      <c r="J29" s="164"/>
      <c r="K29" s="165"/>
      <c r="L29" s="103"/>
      <c r="M29" s="103" t="str">
        <f>IF(E29&lt;&gt;"",E29*L29,"")</f>
        <v/>
      </c>
      <c r="N29" s="54"/>
    </row>
    <row r="30" spans="2:14" ht="30" x14ac:dyDescent="0.4">
      <c r="B30" s="7"/>
      <c r="C30" s="3"/>
      <c r="D30" s="151"/>
      <c r="E30" s="150"/>
      <c r="F30" s="162" t="s">
        <v>76</v>
      </c>
      <c r="G30" s="163"/>
      <c r="H30" s="163"/>
      <c r="I30" s="163"/>
      <c r="J30" s="164"/>
      <c r="K30" s="165"/>
      <c r="L30" s="153"/>
      <c r="M30" s="153"/>
      <c r="N30" s="54"/>
    </row>
    <row r="31" spans="2:14" ht="30" customHeight="1" x14ac:dyDescent="0.4">
      <c r="B31" s="7"/>
      <c r="C31" s="3"/>
      <c r="D31" s="151"/>
      <c r="E31" s="150"/>
      <c r="F31" s="201" t="s">
        <v>77</v>
      </c>
      <c r="G31" s="202"/>
      <c r="H31" s="202"/>
      <c r="I31" s="202"/>
      <c r="J31" s="202"/>
      <c r="K31" s="203"/>
      <c r="L31" s="153"/>
      <c r="M31" s="153" t="str">
        <f>IF(E31&lt;&gt;"",E31*L31,"")</f>
        <v/>
      </c>
      <c r="N31" s="54"/>
    </row>
    <row r="32" spans="2:14" ht="30" x14ac:dyDescent="0.4">
      <c r="B32" s="7"/>
      <c r="C32" s="3"/>
      <c r="D32" s="154"/>
      <c r="E32" s="155"/>
      <c r="F32" s="204" t="s">
        <v>78</v>
      </c>
      <c r="G32" s="205"/>
      <c r="H32" s="205"/>
      <c r="I32" s="205"/>
      <c r="J32" s="205"/>
      <c r="K32" s="206"/>
      <c r="L32" s="153"/>
      <c r="M32" s="153"/>
      <c r="N32" s="54"/>
    </row>
    <row r="33" spans="2:14" ht="30" x14ac:dyDescent="0.4">
      <c r="B33" s="7"/>
      <c r="C33" s="3"/>
      <c r="D33" s="154"/>
      <c r="E33" s="155"/>
      <c r="F33" s="204" t="s">
        <v>79</v>
      </c>
      <c r="G33" s="205"/>
      <c r="H33" s="205"/>
      <c r="I33" s="205"/>
      <c r="J33" s="205"/>
      <c r="K33" s="206"/>
      <c r="L33" s="153"/>
      <c r="M33" s="153"/>
      <c r="N33" s="54"/>
    </row>
    <row r="34" spans="2:14" ht="30" x14ac:dyDescent="0.4">
      <c r="B34" s="7"/>
      <c r="C34" s="3"/>
      <c r="D34" s="154"/>
      <c r="E34" s="155"/>
      <c r="F34" s="152"/>
      <c r="G34" s="156"/>
      <c r="H34" s="156"/>
      <c r="I34" s="156"/>
      <c r="J34" s="156"/>
      <c r="K34" s="157"/>
      <c r="L34" s="153"/>
      <c r="M34" s="153"/>
      <c r="N34" s="54"/>
    </row>
    <row r="35" spans="2:14" ht="30" x14ac:dyDescent="0.4">
      <c r="B35" s="7"/>
      <c r="C35" s="3"/>
      <c r="D35" s="154"/>
      <c r="E35" s="158"/>
      <c r="F35" s="192"/>
      <c r="G35" s="193"/>
      <c r="H35" s="193"/>
      <c r="I35" s="193"/>
      <c r="J35" s="193"/>
      <c r="K35" s="194"/>
      <c r="L35" s="153"/>
      <c r="M35" s="153"/>
      <c r="N35" s="54"/>
    </row>
    <row r="36" spans="2:14" ht="30" x14ac:dyDescent="0.4">
      <c r="B36" s="7"/>
      <c r="C36" s="3"/>
      <c r="D36" s="159" t="s">
        <v>73</v>
      </c>
      <c r="E36" s="155">
        <v>2</v>
      </c>
      <c r="F36" s="195" t="s">
        <v>72</v>
      </c>
      <c r="G36" s="196"/>
      <c r="H36" s="196"/>
      <c r="I36" s="196"/>
      <c r="J36" s="196"/>
      <c r="K36" s="197"/>
      <c r="L36" s="153">
        <v>1610</v>
      </c>
      <c r="M36" s="153">
        <f t="shared" ref="M36" si="0">L36*E36</f>
        <v>3220</v>
      </c>
      <c r="N36" s="54"/>
    </row>
    <row r="37" spans="2:14" ht="30" x14ac:dyDescent="0.4">
      <c r="B37" s="7"/>
      <c r="C37" s="3"/>
      <c r="D37" s="159"/>
      <c r="E37" s="155"/>
      <c r="F37" s="198" t="s">
        <v>71</v>
      </c>
      <c r="G37" s="199"/>
      <c r="H37" s="199"/>
      <c r="I37" s="199"/>
      <c r="J37" s="199"/>
      <c r="K37" s="200"/>
      <c r="L37" s="153"/>
      <c r="M37" s="153"/>
      <c r="N37" s="54"/>
    </row>
    <row r="38" spans="2:14" ht="30" x14ac:dyDescent="0.4">
      <c r="B38" s="7"/>
      <c r="C38" s="3"/>
      <c r="D38" s="159"/>
      <c r="E38" s="155"/>
      <c r="F38" s="195" t="s">
        <v>83</v>
      </c>
      <c r="G38" s="196"/>
      <c r="H38" s="196"/>
      <c r="I38" s="196"/>
      <c r="J38" s="196"/>
      <c r="K38" s="197"/>
      <c r="L38" s="153"/>
      <c r="M38" s="153"/>
      <c r="N38" s="54"/>
    </row>
    <row r="39" spans="2:14" ht="30" x14ac:dyDescent="0.4">
      <c r="B39" s="7"/>
      <c r="C39" s="3"/>
      <c r="D39" s="159"/>
      <c r="E39" s="155"/>
      <c r="F39" s="160" t="s">
        <v>84</v>
      </c>
      <c r="G39" s="128"/>
      <c r="H39" s="128"/>
      <c r="I39" s="128"/>
      <c r="J39" s="128"/>
      <c r="K39" s="129"/>
      <c r="L39" s="153"/>
      <c r="M39" s="153"/>
      <c r="N39" s="54"/>
    </row>
    <row r="40" spans="2:14" ht="30" x14ac:dyDescent="0.4">
      <c r="B40" s="7"/>
      <c r="C40" s="3"/>
      <c r="D40" s="159"/>
      <c r="E40" s="155"/>
      <c r="F40" s="160"/>
      <c r="G40" s="128"/>
      <c r="H40" s="128"/>
      <c r="I40" s="128"/>
      <c r="J40" s="128"/>
      <c r="K40" s="129"/>
      <c r="L40" s="153"/>
      <c r="M40" s="153"/>
      <c r="N40" s="54"/>
    </row>
    <row r="41" spans="2:14" ht="30" x14ac:dyDescent="0.4">
      <c r="B41" s="7"/>
      <c r="C41" s="3"/>
      <c r="D41" s="159"/>
      <c r="E41" s="155"/>
      <c r="F41" s="160"/>
      <c r="G41" s="128"/>
      <c r="H41" s="128"/>
      <c r="I41" s="128"/>
      <c r="J41" s="128"/>
      <c r="K41" s="129"/>
      <c r="L41" s="153"/>
      <c r="M41" s="153"/>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3"/>
      <c r="M43" s="108"/>
      <c r="N43" s="54"/>
    </row>
    <row r="44" spans="2:14" ht="30" customHeight="1" x14ac:dyDescent="0.5">
      <c r="B44" s="7"/>
      <c r="C44" s="3"/>
      <c r="D44" s="81"/>
      <c r="E44" s="90"/>
      <c r="F44" s="117"/>
      <c r="G44" s="114"/>
      <c r="H44" s="114"/>
      <c r="I44" s="114"/>
      <c r="J44" s="115"/>
      <c r="K44" s="116"/>
      <c r="L44" s="134" t="s">
        <v>26</v>
      </c>
      <c r="M44" s="101">
        <f>SUM(M29:M41)</f>
        <v>3220</v>
      </c>
      <c r="N44" s="54"/>
    </row>
    <row r="45" spans="2:14" ht="35.25" x14ac:dyDescent="0.5">
      <c r="B45" s="7"/>
      <c r="C45" s="3"/>
      <c r="D45" s="94"/>
      <c r="E45" s="170" t="s">
        <v>56</v>
      </c>
      <c r="F45" s="77"/>
      <c r="G45" s="77"/>
      <c r="H45" s="77"/>
      <c r="I45" s="77"/>
      <c r="J45" s="78"/>
      <c r="K45" s="88"/>
      <c r="L45" s="135" t="s">
        <v>47</v>
      </c>
      <c r="M45" s="101">
        <v>1</v>
      </c>
      <c r="N45" s="54"/>
    </row>
    <row r="46" spans="2:14" ht="35.25" x14ac:dyDescent="0.5">
      <c r="B46" s="7"/>
      <c r="C46" s="3"/>
      <c r="D46" s="92"/>
      <c r="E46" s="91" t="s">
        <v>62</v>
      </c>
      <c r="F46" s="77"/>
      <c r="G46" s="77"/>
      <c r="H46" s="77"/>
      <c r="I46" s="77"/>
      <c r="J46" s="79"/>
      <c r="K46" s="89"/>
      <c r="L46" s="136">
        <v>0.19</v>
      </c>
      <c r="M46" s="101">
        <f>+M44*0.19</f>
        <v>611.79999999999995</v>
      </c>
      <c r="N46" s="54"/>
    </row>
    <row r="47" spans="2:14" ht="35.25" x14ac:dyDescent="0.5">
      <c r="B47" s="7"/>
      <c r="C47" s="3"/>
      <c r="D47" s="76"/>
      <c r="E47" s="82"/>
      <c r="F47" s="93"/>
      <c r="G47" s="77"/>
      <c r="H47" s="64"/>
      <c r="I47" s="77"/>
      <c r="J47" s="80" t="s">
        <v>27</v>
      </c>
      <c r="K47" s="78"/>
      <c r="L47" s="137" t="s">
        <v>28</v>
      </c>
      <c r="M47" s="101">
        <f>+M44+M45+M46</f>
        <v>3832.8</v>
      </c>
      <c r="N47" s="54"/>
    </row>
    <row r="48" spans="2:14" ht="15.75" x14ac:dyDescent="0.25">
      <c r="B48" s="7"/>
      <c r="C48" s="3"/>
      <c r="D48" s="186" t="s">
        <v>74</v>
      </c>
      <c r="E48" s="187"/>
      <c r="F48" s="187"/>
      <c r="G48" s="187"/>
      <c r="H48" s="187"/>
      <c r="I48" s="187"/>
      <c r="J48" s="187"/>
      <c r="K48" s="187"/>
      <c r="L48" s="187"/>
      <c r="M48" s="112"/>
      <c r="N48" s="54"/>
    </row>
    <row r="49" spans="1:14" ht="26.25" x14ac:dyDescent="0.4">
      <c r="B49" s="7"/>
      <c r="C49" s="3"/>
      <c r="D49" s="188" t="s">
        <v>85</v>
      </c>
      <c r="E49" s="188"/>
      <c r="F49" s="188"/>
      <c r="G49" s="188"/>
      <c r="H49" s="188"/>
      <c r="I49" s="188"/>
      <c r="J49" s="188"/>
      <c r="K49" s="188"/>
      <c r="L49" s="188"/>
      <c r="M49" s="120"/>
      <c r="N49" s="54"/>
    </row>
    <row r="50" spans="1:14" ht="26.25" x14ac:dyDescent="0.4">
      <c r="B50" s="7"/>
      <c r="C50" s="3"/>
      <c r="D50" s="112"/>
      <c r="E50" s="112"/>
      <c r="F50" s="120"/>
      <c r="G50" s="122"/>
      <c r="H50" s="122"/>
      <c r="I50" s="122"/>
      <c r="J50" s="78"/>
      <c r="K50" s="111"/>
      <c r="L50" s="139" t="s">
        <v>61</v>
      </c>
      <c r="M50" s="139"/>
      <c r="N50" s="105"/>
    </row>
    <row r="51" spans="1:14" ht="23.25" x14ac:dyDescent="0.25">
      <c r="B51" s="7"/>
      <c r="C51" s="3"/>
      <c r="D51" s="112"/>
      <c r="E51" s="112"/>
      <c r="F51" s="123"/>
      <c r="G51" s="179"/>
      <c r="H51" s="179"/>
      <c r="I51" s="179"/>
      <c r="J51" s="78"/>
      <c r="K51" s="111"/>
      <c r="L51" s="105"/>
      <c r="M51" s="105"/>
      <c r="N51" s="105"/>
    </row>
    <row r="52" spans="1:14" ht="20.25" x14ac:dyDescent="0.3">
      <c r="B52" s="7"/>
      <c r="C52" s="3"/>
      <c r="D52" s="109" t="s">
        <v>58</v>
      </c>
      <c r="E52" s="138"/>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48"/>
      <c r="D56" s="189" t="s">
        <v>67</v>
      </c>
      <c r="E56" s="189"/>
      <c r="F56" s="189"/>
      <c r="G56" s="189"/>
      <c r="H56" s="189"/>
      <c r="I56" s="189"/>
      <c r="J56" s="189"/>
      <c r="K56" s="189"/>
      <c r="L56" s="189"/>
      <c r="M56" s="189"/>
      <c r="N56" s="149"/>
    </row>
    <row r="57" spans="1:14" ht="18" customHeight="1" x14ac:dyDescent="0.25">
      <c r="B57" s="7"/>
      <c r="C57" s="3"/>
      <c r="D57" s="190"/>
      <c r="E57" s="190"/>
      <c r="F57" s="190"/>
      <c r="G57" s="190"/>
      <c r="H57" s="190"/>
      <c r="I57" s="190"/>
      <c r="J57" s="190"/>
      <c r="K57" s="190"/>
      <c r="L57" s="190"/>
      <c r="M57" s="190"/>
      <c r="N57" s="87"/>
    </row>
    <row r="58" spans="1:14" ht="18" customHeight="1" x14ac:dyDescent="0.25">
      <c r="B58" s="7"/>
      <c r="C58" s="3"/>
      <c r="D58" s="145"/>
      <c r="E58" s="145"/>
      <c r="F58" s="145"/>
      <c r="G58" s="145"/>
      <c r="H58" s="145"/>
      <c r="I58" s="145"/>
      <c r="J58" s="145"/>
      <c r="K58" s="145"/>
      <c r="L58" s="145"/>
      <c r="M58" s="146"/>
      <c r="N58" s="54"/>
    </row>
    <row r="59" spans="1:14" ht="15" customHeight="1" x14ac:dyDescent="0.25">
      <c r="B59" s="7"/>
      <c r="C59" s="3"/>
      <c r="D59" s="147"/>
      <c r="E59" s="191" t="s">
        <v>68</v>
      </c>
      <c r="F59" s="191"/>
      <c r="G59" s="191"/>
      <c r="H59" s="191"/>
      <c r="I59" s="191"/>
      <c r="J59" s="191"/>
      <c r="K59" s="191"/>
      <c r="L59" s="146"/>
      <c r="M59" s="146"/>
      <c r="N59" s="54"/>
    </row>
    <row r="60" spans="1:14" ht="20.100000000000001" customHeight="1" x14ac:dyDescent="0.2">
      <c r="B60" s="7"/>
      <c r="C60" s="3"/>
      <c r="D60" s="178" t="s">
        <v>69</v>
      </c>
      <c r="E60" s="178"/>
      <c r="F60" s="178"/>
      <c r="G60" s="178"/>
      <c r="H60" s="178"/>
      <c r="I60" s="178"/>
      <c r="J60" s="178"/>
      <c r="K60" s="178"/>
      <c r="L60" s="178"/>
      <c r="M60" s="146"/>
      <c r="N60" s="54"/>
    </row>
    <row r="61" spans="1:14" ht="26.25" customHeight="1" x14ac:dyDescent="0.2">
      <c r="A61" s="140"/>
      <c r="B61" s="141"/>
      <c r="C61" s="3"/>
      <c r="D61" s="178"/>
      <c r="E61" s="178"/>
      <c r="F61" s="178"/>
      <c r="G61" s="178"/>
      <c r="H61" s="178"/>
      <c r="I61" s="178"/>
      <c r="J61" s="178"/>
      <c r="K61" s="178"/>
      <c r="L61" s="178"/>
      <c r="M61" s="146"/>
      <c r="N61" s="54"/>
    </row>
    <row r="62" spans="1:14" x14ac:dyDescent="0.2">
      <c r="A62" s="140"/>
      <c r="B62" s="141"/>
      <c r="C62" s="3"/>
      <c r="D62" s="3"/>
      <c r="E62" s="3"/>
      <c r="F62" s="3"/>
      <c r="G62" s="3"/>
      <c r="H62" s="3"/>
      <c r="I62" s="3"/>
      <c r="J62" s="3"/>
      <c r="K62" s="3"/>
      <c r="L62" s="3"/>
      <c r="M62" s="119"/>
      <c r="N62" s="142"/>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L18:L20"/>
    <mergeCell ref="L22:M22"/>
    <mergeCell ref="L24:M24"/>
    <mergeCell ref="L25:M25"/>
    <mergeCell ref="E22:J22"/>
    <mergeCell ref="E25:J25"/>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32:M41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2: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1847850</xdr:colOff>
                    <xdr:row>45</xdr:row>
                    <xdr:rowOff>342900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323850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:08/11/2024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3832.8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2024-11-08T15:24:55Z</cp:lastPrinted>
  <dcterms:created xsi:type="dcterms:W3CDTF">1995-05-29T15:50:39Z</dcterms:created>
  <dcterms:modified xsi:type="dcterms:W3CDTF">2024-11-08T15:49:33Z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3832.8</vt:r8>
  </property>
</Properties>
</file>