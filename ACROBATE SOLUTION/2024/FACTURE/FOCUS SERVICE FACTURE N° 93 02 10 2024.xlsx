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Facture!$K$53</definedName>
    <definedName name="_Tax3">Facture!$K$55</definedName>
    <definedName name="_tax4">Facture!$K$55</definedName>
    <definedName name="_xlnm.Auto_Open21">'AutoOpen Stub Data'!$A$1</definedName>
    <definedName name="boxes">Facture!$C$53:$C$54</definedName>
    <definedName name="CC">'Personnaliser votre facture'!$G$22:$G$25</definedName>
    <definedName name="CCT">Facture!$F$55</definedName>
    <definedName name="CDB">'Personnaliser votre facture'!$E$50</definedName>
    <definedName name="Country">33</definedName>
    <definedName name="CS">'Personnaliser votre 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Facture!$C$50</definedName>
    <definedName name="data6">Facture!$D$22</definedName>
    <definedName name="data60">Facture!$D$50</definedName>
    <definedName name="data61">Facture!$K$50</definedName>
    <definedName name="data62">Facture!$C$53</definedName>
    <definedName name="data63">Facture!$C$54</definedName>
    <definedName name="data64">Facture!$C$55</definedName>
    <definedName name="data65">Facture!$F$54</definedName>
    <definedName name="data66">Facture!#REF!</definedName>
    <definedName name="data67">Facture!#REF!</definedName>
    <definedName name="data68">Facture!$E$63</definedName>
    <definedName name="data69">Facture!$I$63</definedName>
    <definedName name="data7">Facture!$F$23</definedName>
    <definedName name="data70">Facture!#REF!</definedName>
    <definedName name="data8">Facture!$H$23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Facture!$A$3:$M$66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Facture!#REF!</definedName>
    <definedName name="qzqzqz22">Facture!#REF!</definedName>
    <definedName name="qzqzqz23">Facture!#REF!</definedName>
    <definedName name="qzqzqz24">Facture!#REF!</definedName>
    <definedName name="qzqzqz25">Facture!$D$50:$I$50</definedName>
    <definedName name="qzqzqz26">Facture!#REF!</definedName>
    <definedName name="qzqzqz27">Facture!#REF!</definedName>
    <definedName name="qzqzqz28">Facture!#REF!</definedName>
    <definedName name="qzqzqz29">Facture!$I$63:$L$63</definedName>
    <definedName name="qzqzqz3">Facture!$C$22:$H$22</definedName>
    <definedName name="qzqzqz30">Facture!$E$63:$G$63</definedName>
    <definedName name="qzqzqz31">Facture!$E$63:$F$63</definedName>
    <definedName name="qzqzqz32">Facture!$I$60:$L$63</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 votre facture'!$E$48</definedName>
    <definedName name="TOT">Facture!$L$54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Facture!$A$3:$M$66</definedName>
  </definedNames>
  <calcPr calcId="152511"/>
</workbook>
</file>

<file path=xl/calcChain.xml><?xml version="1.0" encoding="utf-8"?>
<calcChain xmlns="http://schemas.openxmlformats.org/spreadsheetml/2006/main">
  <c r="L43" i="3" l="1"/>
  <c r="L41" i="3" l="1"/>
  <c r="L39" i="3"/>
  <c r="L37" i="3"/>
  <c r="L35" i="3"/>
  <c r="K8" i="8" l="1"/>
  <c r="I8" i="8"/>
  <c r="H8" i="8"/>
  <c r="G8" i="8"/>
  <c r="F8" i="8"/>
  <c r="E8" i="8"/>
  <c r="D8" i="8"/>
  <c r="C8" i="8"/>
  <c r="B8" i="8"/>
  <c r="F33" i="2"/>
  <c r="L51" i="3" l="1"/>
  <c r="L53" i="3" s="1"/>
  <c r="L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 ref="K14" authorId="0" shapeId="0">
      <text>
        <r>
          <rPr>
            <sz val="8"/>
            <color indexed="81"/>
            <rFont val="Tahoma"/>
            <family val="2"/>
          </rPr>
          <t>Cliquez sur ce bouton pour retourner à la feuille Personnaliser vos frais et modifier vos informations personnelles.</t>
        </r>
      </text>
    </comment>
    <comment ref="J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52"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<sst xmlns="http://schemas.openxmlformats.org/spreadsheetml/2006/main" count="101" uniqueCount="85">
  <si>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</si>
  <si>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</si>
  <si>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</si>
  <si>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</si>
  <si>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</si>
  <si>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</si>
  <si>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</si>
  <si>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</si>
  <si>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</si>
  <si>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</si>
  <si>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</si>
  <si>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</si>
  <si>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</si>
  <si>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</si>
  <si>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</si>
  <si>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</si>
  <si>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</si>
  <si>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</si>
  <si>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</si>
  <si>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</si>
  <si>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</si>
  <si>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</si>
  <si>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</si>
  <si>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</si>
  <si>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</si>
  <si>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</si>
  <si>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</si>
  <si>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</si>
  <si>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</si>
  <si>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</si>
  <si>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</si>
  <si>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</si>
  <si>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</si>
  <si>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</si>
  <si>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</si>
  <si>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</si>
  <si>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</si>
  <si>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</si>
  <si>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</si>
  <si>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</si>
  <si>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</si>
  <si>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</si>
  <si>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</si>
  <si>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</si>
  <si>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</si>
  <si>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</si>
  <si>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</si>
  <si>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</si>
  <si>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</si>
  <si>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</si>
  <si>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</si>
  <si>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</si>
  <si>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</si>
  <si>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</si>
  <si>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</si>
  <si>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</si>
  <si>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</si>
  <si>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</si>
  <si>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</si>
  <si>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</si>
  <si>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Abdelaziz Boubaker
</t>
  </si>
  <si>
    <t>FOCUS SERVICE</t>
  </si>
  <si>
    <t>Focus Building, Rue Lac Mâlaren,
Les Berges du Lac, 1053, Tunis</t>
  </si>
  <si>
    <t>RIB: 10 000 000 080746 3788 95</t>
  </si>
  <si>
    <t>STB THAMEUR</t>
  </si>
  <si>
    <t>1293181E/M/A/000</t>
  </si>
  <si>
    <t>LDV09M</t>
  </si>
  <si>
    <t>LONGUEUR  9 M</t>
  </si>
  <si>
    <t>LDV12M</t>
  </si>
  <si>
    <t>LONGUEUR  12 M</t>
  </si>
  <si>
    <t>LDV15M</t>
  </si>
  <si>
    <t>LONGUEUR  15M</t>
  </si>
  <si>
    <t>LDV20M</t>
  </si>
  <si>
    <t>LONGUEUR 20M</t>
  </si>
  <si>
    <t>LIGNE DE VIE QUICKSET  conforme aux:</t>
  </si>
  <si>
    <t>* Norme Européenne EN353-1 :2014+A1:2017</t>
  </si>
  <si>
    <t>* la réglementation nationale américaine,</t>
  </si>
  <si>
    <t>OSHA 1910</t>
  </si>
  <si>
    <t>ANSI A14 -3</t>
  </si>
  <si>
    <t xml:space="preserve">ANTICHUTE: COULISSEAU QUICKSET </t>
  </si>
  <si>
    <t>AVEC ABSORBEUR D'ENERGIE</t>
  </si>
  <si>
    <t>BCA240033</t>
  </si>
  <si>
    <t>ARRETE LA PRESENTE FACTURE A LA SOMME DE :</t>
  </si>
  <si>
    <t xml:space="preserve">Dix-sept mille cinq cent cinquante et un dinars et 120 millimes </t>
  </si>
  <si>
    <t>Facture  N° 2024-93</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</si>
</sst>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u/>
      <sz val="11"/>
      <color theme="10"/>
      <name val="Arial"/>
      <family val="2"/>
    </font>
    <font>
      <u/>
      <sz val="12"/>
      <color theme="10"/>
      <name val="Arial"/>
      <family val="2"/>
    </font>
    <font>
      <sz val="14"/>
      <name val="Arial"/>
      <family val="2"/>
    </font>
    <font>
      <sz val="8"/>
      <color rgb="FF000000"/>
      <name val="Tahoma"/>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hair">
        <color indexed="64"/>
      </right>
      <top/>
      <bottom/>
      <diagonal/>
    </border>
    <border>
      <left style="hair">
        <color indexed="64"/>
      </left>
      <right/>
      <top style="hair">
        <color indexed="64"/>
      </top>
      <bottom/>
      <diagonal/>
    </border>
    <border>
      <left/>
      <right/>
      <top style="hair">
        <color indexed="64"/>
      </top>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29" fillId="3" borderId="0" xfId="0" applyFont="1" applyFill="1" applyBorder="1" applyAlignment="1">
      <alignment horizontal="left"/>
    </xf>
    <xf numFmtId="0" fontId="1" fillId="3" borderId="0" xfId="0" applyFont="1" applyFill="1" applyBorder="1" applyAlignment="1">
      <alignment horizontal="left"/>
    </xf>
    <xf numFmtId="0" fontId="0" fillId="7" borderId="0" xfId="0" applyFill="1"/>
    <xf numFmtId="49" fontId="16" fillId="3" borderId="0" xfId="0" applyNumberFormat="1" applyFont="1" applyFill="1" applyBorder="1" applyAlignment="1"/>
    <xf numFmtId="49" fontId="32" fillId="0" borderId="0" xfId="5" applyNumberFormat="1" applyFont="1" applyFill="1" applyBorder="1" applyAlignment="1" applyProtection="1"/>
    <xf numFmtId="0" fontId="16" fillId="6" borderId="0" xfId="0" applyFont="1" applyFill="1" applyBorder="1"/>
    <xf numFmtId="0" fontId="16" fillId="6" borderId="0" xfId="0" applyFont="1" applyFill="1" applyBorder="1" applyAlignment="1">
      <alignment horizontal="left"/>
    </xf>
    <xf numFmtId="49" fontId="16" fillId="0" borderId="0" xfId="0" applyNumberFormat="1" applyFont="1" applyFill="1" applyBorder="1" applyAlignment="1"/>
    <xf numFmtId="49" fontId="17" fillId="0" borderId="0" xfId="0" applyNumberFormat="1" applyFont="1" applyFill="1" applyBorder="1" applyAlignment="1"/>
    <xf numFmtId="0" fontId="23" fillId="3" borderId="0" xfId="0" applyFont="1" applyFill="1" applyBorder="1" applyAlignment="1">
      <alignment horizontal="left"/>
    </xf>
    <xf numFmtId="0" fontId="19" fillId="0" borderId="0" xfId="0" applyFont="1" applyFill="1" applyBorder="1"/>
    <xf numFmtId="0" fontId="23" fillId="0" borderId="0" xfId="0" applyFont="1" applyFill="1" applyBorder="1" applyAlignment="1">
      <alignment vertical="top" wrapText="1"/>
    </xf>
    <xf numFmtId="0" fontId="33" fillId="0" borderId="0" xfId="0" applyFont="1" applyFill="1" applyBorder="1" applyAlignment="1"/>
    <xf numFmtId="0" fontId="2" fillId="3" borderId="0" xfId="0" applyFont="1" applyFill="1" applyBorder="1"/>
    <xf numFmtId="49" fontId="7" fillId="3" borderId="36" xfId="0" applyNumberFormat="1" applyFont="1" applyFill="1" applyBorder="1" applyAlignment="1">
      <alignment horizontal="center"/>
    </xf>
    <xf numFmtId="0" fontId="30" fillId="3" borderId="32" xfId="0" applyFont="1" applyFill="1" applyBorder="1" applyAlignment="1">
      <alignment horizontal="center" vertical="center"/>
    </xf>
    <xf numFmtId="1" fontId="7" fillId="0" borderId="27" xfId="0" applyNumberFormat="1" applyFont="1" applyFill="1" applyBorder="1" applyAlignment="1">
      <alignment horizontal="center"/>
    </xf>
    <xf numFmtId="49" fontId="30" fillId="0" borderId="32" xfId="0" applyNumberFormat="1" applyFont="1" applyFill="1" applyBorder="1" applyAlignment="1"/>
    <xf numFmtId="49" fontId="7" fillId="0" borderId="0" xfId="0" applyNumberFormat="1" applyFont="1" applyFill="1" applyBorder="1" applyAlignment="1"/>
    <xf numFmtId="169" fontId="33" fillId="0" borderId="27" xfId="0" applyNumberFormat="1" applyFont="1" applyFill="1" applyBorder="1" applyAlignment="1"/>
    <xf numFmtId="0" fontId="16" fillId="7" borderId="49" xfId="0" applyFont="1" applyFill="1" applyBorder="1"/>
    <xf numFmtId="0" fontId="16" fillId="6" borderId="49" xfId="0" applyFont="1" applyFill="1" applyBorder="1"/>
    <xf numFmtId="0" fontId="16" fillId="3" borderId="49" xfId="0" applyFont="1" applyFill="1" applyBorder="1" applyAlignment="1"/>
    <xf numFmtId="168" fontId="17" fillId="0" borderId="27" xfId="0" applyNumberFormat="1" applyFont="1" applyFill="1" applyBorder="1"/>
    <xf numFmtId="0" fontId="6" fillId="3" borderId="32" xfId="0" applyFont="1" applyFill="1" applyBorder="1" applyAlignment="1">
      <alignment horizontal="center"/>
    </xf>
    <xf numFmtId="0" fontId="1" fillId="3" borderId="0" xfId="0" applyFont="1" applyFill="1" applyBorder="1" applyAlignment="1">
      <alignment horizontal="center"/>
    </xf>
    <xf numFmtId="0" fontId="1" fillId="3" borderId="27" xfId="0" applyFont="1" applyFill="1" applyBorder="1" applyAlignment="1">
      <alignment horizontal="center"/>
    </xf>
    <xf numFmtId="0" fontId="1" fillId="3" borderId="32" xfId="0" applyFont="1" applyFill="1" applyBorder="1" applyAlignment="1"/>
    <xf numFmtId="0" fontId="1" fillId="3" borderId="52" xfId="0" applyFont="1" applyFill="1" applyBorder="1" applyAlignment="1">
      <alignment horizontal="center"/>
    </xf>
    <xf numFmtId="49" fontId="30" fillId="0" borderId="0" xfId="0" applyNumberFormat="1" applyFont="1" applyFill="1" applyBorder="1" applyAlignment="1"/>
    <xf numFmtId="49" fontId="31" fillId="6" borderId="0" xfId="5" applyNumberFormat="1" applyFont="1" applyFill="1" applyBorder="1" applyAlignment="1" applyProtection="1"/>
    <xf numFmtId="0" fontId="1" fillId="3" borderId="49" xfId="0" applyFont="1" applyFill="1" applyBorder="1" applyAlignment="1">
      <alignment horizontal="center"/>
    </xf>
    <xf numFmtId="0" fontId="1" fillId="3" borderId="50" xfId="0" applyFont="1" applyFill="1" applyBorder="1" applyAlignment="1">
      <alignment horizontal="center"/>
    </xf>
    <xf numFmtId="0" fontId="1" fillId="3" borderId="51" xfId="0" applyFont="1" applyFill="1" applyBorder="1" applyAlignment="1">
      <alignment horizontal="center"/>
    </xf>
    <xf numFmtId="168" fontId="33" fillId="0" borderId="27" xfId="0" applyNumberFormat="1" applyFont="1" applyFill="1" applyBorder="1"/>
    <xf numFmtId="0" fontId="7" fillId="3" borderId="0" xfId="0"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9" fillId="3" borderId="43" xfId="0" applyNumberFormat="1" applyFont="1" applyFill="1" applyBorder="1" applyAlignment="1">
      <alignment horizontal="center" vertical="center" wrapText="1"/>
    </xf>
    <xf numFmtId="2" fontId="19" fillId="3" borderId="44" xfId="0" applyNumberFormat="1" applyFont="1" applyFill="1" applyBorder="1" applyAlignment="1">
      <alignment horizontal="center" vertical="center" wrapText="1"/>
    </xf>
    <xf numFmtId="2" fontId="19" fillId="3" borderId="45" xfId="0" applyNumberFormat="1" applyFont="1" applyFill="1" applyBorder="1" applyAlignment="1">
      <alignment horizontal="center" vertical="center" wrapText="1"/>
    </xf>
    <xf numFmtId="2" fontId="19" fillId="3" borderId="46" xfId="0" applyNumberFormat="1" applyFont="1" applyFill="1" applyBorder="1" applyAlignment="1">
      <alignment horizontal="center" vertical="center" wrapText="1"/>
    </xf>
    <xf numFmtId="2" fontId="19" fillId="3" borderId="47" xfId="0" applyNumberFormat="1" applyFont="1" applyFill="1" applyBorder="1" applyAlignment="1">
      <alignment horizontal="center" vertical="center" wrapText="1"/>
    </xf>
    <xf numFmtId="2" fontId="19"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27" fillId="3" borderId="0" xfId="0"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wrapText="1"/>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C5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20052</xdr:rowOff>
    </xdr:from>
    <xdr:to>
      <xdr:col>1</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0</xdr:col>
      <xdr:colOff>161925</xdr:colOff>
      <xdr:row>19</xdr:row>
      <xdr:rowOff>66675</xdr:rowOff>
    </xdr:from>
    <xdr:to>
      <xdr:col>8</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501</xdr:colOff>
      <xdr:row>19</xdr:row>
      <xdr:rowOff>56649</xdr:rowOff>
    </xdr:from>
    <xdr:to>
      <xdr:col>12</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2</xdr:col>
      <xdr:colOff>85725</xdr:colOff>
      <xdr:row>18</xdr:row>
      <xdr:rowOff>152400</xdr:rowOff>
    </xdr:from>
    <xdr:to>
      <xdr:col>4</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10</xdr:col>
          <xdr:colOff>485775</xdr:colOff>
          <xdr:row>14</xdr:row>
          <xdr:rowOff>0</xdr:rowOff>
        </xdr:from>
        <xdr:to>
          <xdr:col>11</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51</xdr:row>
          <xdr:rowOff>152400</xdr:rowOff>
        </xdr:from>
        <xdr:to>
          <xdr:col>2</xdr:col>
          <xdr:colOff>695325</xdr:colOff>
          <xdr:row>52</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53</xdr:row>
          <xdr:rowOff>0</xdr:rowOff>
        </xdr:from>
        <xdr:to>
          <xdr:col>2</xdr:col>
          <xdr:colOff>704850</xdr:colOff>
          <xdr:row>54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54</xdr:row>
          <xdr:rowOff>28575</xdr:rowOff>
        </xdr:from>
        <xdr:to>
          <xdr:col>2</xdr:col>
          <xdr:colOff>714375</xdr:colOff>
          <xdr:row>55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220577</xdr:colOff>
      <xdr:row>6</xdr:row>
      <xdr:rowOff>10026</xdr:rowOff>
    </xdr:from>
    <xdr:to>
      <xdr:col>5</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431135</xdr:colOff>
      <xdr:row>5</xdr:row>
      <xdr:rowOff>60160</xdr:rowOff>
    </xdr:from>
    <xdr:to>
      <xdr:col>11</xdr:col>
      <xdr:colOff>511343</xdr:colOff>
      <xdr:row>8</xdr:row>
      <xdr:rowOff>150397</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96003" y="631660"/>
          <a:ext cx="1062787" cy="571500"/>
        </a:xfrm>
        <a:prstGeom prst="rect">
          <a:avLst/>
        </a:prstGeom>
        <a:noFill/>
        <a:ln>
          <a:noFill/>
        </a:ln>
      </xdr:spPr>
    </xdr:pic>
    <xdr:clientData/>
  </xdr:twoCellAnchor>
  <xdr:twoCellAnchor editAs="oneCell">
    <xdr:from>
      <xdr:col>11</xdr:col>
      <xdr:colOff>531395</xdr:colOff>
      <xdr:row>5</xdr:row>
      <xdr:rowOff>0</xdr:rowOff>
    </xdr:from>
    <xdr:to>
      <xdr:col>12</xdr:col>
      <xdr:colOff>200526</xdr:colOff>
      <xdr:row>8</xdr:row>
      <xdr:rowOff>107772</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78842" y="571500"/>
          <a:ext cx="721895" cy="589035"/>
        </a:xfrm>
        <a:prstGeom prst="rect">
          <a:avLst/>
        </a:prstGeom>
      </xdr:spPr>
    </xdr:pic>
    <xdr:clientData/>
  </xdr:twoCellAnchor>
  <xdr:twoCellAnchor editAs="oneCell">
    <xdr:from>
      <xdr:col>3</xdr:col>
      <xdr:colOff>73189</xdr:colOff>
      <xdr:row>44</xdr:row>
      <xdr:rowOff>60157</xdr:rowOff>
    </xdr:from>
    <xdr:to>
      <xdr:col>4</xdr:col>
      <xdr:colOff>546142</xdr:colOff>
      <xdr:row>49</xdr:row>
      <xdr:rowOff>74500</xdr:rowOff>
    </xdr:to>
    <xdr:pic>
      <xdr:nvPicPr>
        <xdr:cNvPr id="2" name="Image 1"/>
        <xdr:cNvPicPr>
          <a:picLocks noChangeAspect="1"/>
        </xdr:cNvPicPr>
      </xdr:nvPicPr>
      <xdr:blipFill>
        <a:blip xmlns:r="http://schemas.openxmlformats.org/officeDocument/2006/relationships" r:embed="rId4"/>
        <a:stretch>
          <a:fillRect/>
        </a:stretch>
      </xdr:blipFill>
      <xdr:spPr>
        <a:xfrm>
          <a:off x="1817768" y="8071183"/>
          <a:ext cx="984295" cy="9668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6" t="s">
        <v>0</v>
      </c>
      <c r="E4" s="157"/>
      <c r="F4" s="157"/>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8" t="s">
        <v>2</v>
      </c>
      <c r="E10" s="15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60" t="s">
        <v>45</v>
      </c>
      <c r="E19" s="15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61" t="str">
        <f>LOWER(TemplateInformation!B3)</f>
        <v>c:\program files\microsoft office\office\macrolib\factbd.xls</v>
      </c>
      <c r="G33" s="16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8" t="s">
        <v>16</v>
      </c>
      <c r="E36" s="15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8"/>
  <sheetViews>
    <sheetView showGridLines="0" showRowColHeaders="0" tabSelected="1" topLeftCell="A10" zoomScale="95" workbookViewId="0">
      <selection activeCell="D32" sqref="D32:I32"/>
    </sheetView>
  </sheetViews>
  <sheetFormatPr baseColWidth="10" defaultColWidth="9.140625" defaultRowHeight="12.75" x14ac:dyDescent="0.2"/>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5"/>
      <c r="B2" s="5"/>
      <c r="C2" s="5"/>
      <c r="D2" s="5"/>
      <c r="E2" s="5"/>
      <c r="F2" s="5"/>
      <c r="G2" s="5"/>
      <c r="H2" s="5"/>
      <c r="I2" s="5"/>
      <c r="J2" s="5"/>
      <c r="K2" s="5"/>
      <c r="L2" s="5"/>
      <c r="M2" s="5"/>
      <c r="N2" s="6"/>
    </row>
    <row r="3" spans="1:14" x14ac:dyDescent="0.2">
      <c r="A3" s="3"/>
      <c r="B3" s="3"/>
      <c r="C3" s="3"/>
      <c r="D3" s="3"/>
      <c r="E3" s="3"/>
      <c r="F3" s="3"/>
      <c r="G3" s="3"/>
      <c r="H3" s="3"/>
      <c r="I3" s="3"/>
      <c r="J3" s="3"/>
      <c r="K3" s="3"/>
      <c r="L3" s="3"/>
      <c r="M3" s="3"/>
      <c r="N3" s="8"/>
    </row>
    <row r="4" spans="1:14" x14ac:dyDescent="0.2">
      <c r="A4" s="3"/>
      <c r="B4" s="3"/>
      <c r="C4" s="3"/>
      <c r="D4" s="3"/>
      <c r="E4" s="3"/>
      <c r="F4" s="3"/>
      <c r="G4" s="3"/>
      <c r="H4" s="3"/>
      <c r="I4" s="3"/>
      <c r="J4" s="3"/>
      <c r="K4" s="3"/>
      <c r="L4" s="3"/>
      <c r="M4" s="3"/>
      <c r="N4" s="8"/>
    </row>
    <row r="5" spans="1:14" x14ac:dyDescent="0.2">
      <c r="A5" s="3"/>
      <c r="B5" s="3"/>
      <c r="C5" s="3"/>
      <c r="D5" s="3"/>
      <c r="E5" s="3"/>
      <c r="F5" s="3"/>
      <c r="G5" s="3"/>
      <c r="H5" s="3"/>
      <c r="I5" s="3"/>
      <c r="J5" s="3"/>
      <c r="K5" s="3"/>
      <c r="L5" s="3"/>
      <c r="M5" s="3"/>
      <c r="N5" s="8"/>
    </row>
    <row r="6" spans="1:14" x14ac:dyDescent="0.2">
      <c r="A6" s="3"/>
      <c r="B6" s="3"/>
      <c r="C6" s="3"/>
      <c r="D6" s="3"/>
      <c r="E6" s="3"/>
      <c r="F6" s="3"/>
      <c r="G6" s="3"/>
      <c r="H6" s="3"/>
      <c r="I6" s="3"/>
      <c r="J6" s="3"/>
      <c r="K6" s="3"/>
      <c r="L6" s="3"/>
      <c r="M6" s="3"/>
      <c r="N6" s="8"/>
    </row>
    <row r="7" spans="1:14" x14ac:dyDescent="0.2">
      <c r="A7" s="3"/>
      <c r="B7" s="3"/>
      <c r="C7" s="3"/>
      <c r="D7" s="3"/>
      <c r="E7" s="3"/>
      <c r="F7" s="3"/>
      <c r="G7" s="3"/>
      <c r="H7" s="3"/>
      <c r="I7" s="3"/>
      <c r="J7" s="3"/>
      <c r="K7" s="3"/>
      <c r="L7" s="3"/>
      <c r="M7" s="3"/>
      <c r="N7" s="8"/>
    </row>
    <row r="8" spans="1:14" x14ac:dyDescent="0.2">
      <c r="A8" s="3"/>
      <c r="B8" s="3"/>
      <c r="C8" s="3"/>
      <c r="D8" s="3"/>
      <c r="E8" s="3"/>
      <c r="F8" s="3"/>
      <c r="G8" s="3"/>
      <c r="H8" s="3"/>
      <c r="I8" s="3"/>
      <c r="J8" s="3"/>
      <c r="K8" s="3"/>
      <c r="L8" s="3"/>
      <c r="M8" s="3"/>
      <c r="N8" s="8"/>
    </row>
    <row r="9" spans="1:14" x14ac:dyDescent="0.2">
      <c r="A9" s="3"/>
      <c r="B9" s="3"/>
      <c r="C9" s="3"/>
      <c r="D9" s="3"/>
      <c r="E9" s="3"/>
      <c r="F9" s="3"/>
      <c r="G9" s="3"/>
      <c r="H9" s="3"/>
      <c r="I9" s="3"/>
      <c r="J9" s="3"/>
      <c r="K9" s="179"/>
      <c r="L9" s="180"/>
      <c r="M9" s="3"/>
      <c r="N9" s="8"/>
    </row>
    <row r="10" spans="1:14" x14ac:dyDescent="0.2">
      <c r="A10" s="3"/>
      <c r="B10" s="3"/>
      <c r="C10" s="3"/>
      <c r="D10" s="3"/>
      <c r="E10" s="3"/>
      <c r="F10" s="3"/>
      <c r="G10" s="3"/>
      <c r="H10" s="3"/>
      <c r="I10" s="3"/>
      <c r="J10" s="3"/>
      <c r="K10" s="98"/>
      <c r="L10" s="98"/>
      <c r="M10" s="3"/>
      <c r="N10" s="8"/>
    </row>
    <row r="11" spans="1:14" x14ac:dyDescent="0.2">
      <c r="A11" s="3"/>
      <c r="B11" s="3"/>
      <c r="C11" s="3"/>
      <c r="D11" s="3"/>
      <c r="E11" s="3"/>
      <c r="F11" s="3"/>
      <c r="G11" s="3"/>
      <c r="H11" s="3"/>
      <c r="I11" s="3"/>
      <c r="J11" s="3"/>
      <c r="K11" s="111"/>
      <c r="L11" s="112"/>
      <c r="M11" s="3"/>
      <c r="N11" s="8"/>
    </row>
    <row r="12" spans="1:14" x14ac:dyDescent="0.2">
      <c r="A12" s="3"/>
      <c r="B12" s="3"/>
      <c r="C12" s="3"/>
      <c r="D12" s="3"/>
      <c r="E12" s="3"/>
      <c r="F12" s="3"/>
      <c r="G12" s="3"/>
      <c r="H12" s="3"/>
      <c r="I12" s="3"/>
      <c r="J12" s="3"/>
      <c r="K12" s="111"/>
      <c r="L12" s="112"/>
      <c r="M12" s="3"/>
      <c r="N12" s="8"/>
    </row>
    <row r="13" spans="1:14" x14ac:dyDescent="0.2">
      <c r="A13" s="3"/>
      <c r="B13" s="3"/>
      <c r="C13" s="3"/>
      <c r="D13" s="3"/>
      <c r="E13" s="3"/>
      <c r="F13" s="3"/>
      <c r="G13" s="3"/>
      <c r="H13" s="3"/>
      <c r="I13" s="3"/>
      <c r="J13" s="3"/>
      <c r="K13" s="188"/>
      <c r="L13" s="189"/>
      <c r="M13" s="3"/>
      <c r="N13" s="8"/>
    </row>
    <row r="14" spans="1:14" x14ac:dyDescent="0.2">
      <c r="A14" s="3"/>
      <c r="B14" s="3"/>
      <c r="C14" s="3"/>
      <c r="D14" s="3"/>
      <c r="E14" s="3"/>
      <c r="F14" s="174"/>
      <c r="G14" s="174"/>
      <c r="H14" s="174"/>
      <c r="I14" s="174"/>
      <c r="J14" s="174"/>
      <c r="K14" s="3"/>
      <c r="L14" s="3"/>
      <c r="M14" s="3"/>
      <c r="N14" s="8"/>
    </row>
    <row r="15" spans="1:14" ht="20.100000000000001" customHeight="1" x14ac:dyDescent="0.2">
      <c r="A15" s="3"/>
      <c r="B15" s="3"/>
      <c r="C15" s="3"/>
      <c r="D15" s="3"/>
      <c r="E15" s="3"/>
      <c r="F15" s="174"/>
      <c r="G15" s="174"/>
      <c r="H15" s="174"/>
      <c r="I15" s="174"/>
      <c r="J15" s="174"/>
      <c r="K15" s="3"/>
      <c r="L15" s="3"/>
      <c r="M15" s="3"/>
      <c r="N15" s="8"/>
    </row>
    <row r="16" spans="1:14" ht="3" customHeight="1" thickBot="1" x14ac:dyDescent="0.25">
      <c r="A16" s="3"/>
      <c r="B16" s="3"/>
      <c r="C16" s="3"/>
      <c r="D16" s="3"/>
      <c r="E16" s="3"/>
      <c r="F16" s="3"/>
      <c r="G16" s="3"/>
      <c r="H16" s="3"/>
      <c r="I16" s="3"/>
      <c r="J16" s="3"/>
      <c r="K16" s="3"/>
      <c r="L16" s="3"/>
      <c r="M16" s="3"/>
      <c r="N16" s="8"/>
    </row>
    <row r="17" spans="1:14" ht="14.1" customHeight="1" thickBot="1" x14ac:dyDescent="0.25">
      <c r="A17" s="3"/>
      <c r="B17" s="3"/>
      <c r="C17" s="3"/>
      <c r="D17" s="3"/>
      <c r="E17" s="3"/>
      <c r="F17" s="110"/>
      <c r="G17" s="3"/>
      <c r="H17" s="98"/>
      <c r="I17" s="3"/>
      <c r="J17" s="3"/>
      <c r="K17" s="165" t="s">
        <v>84</v>
      </c>
      <c r="L17" s="166"/>
      <c r="M17" s="3"/>
      <c r="N17" s="8"/>
    </row>
    <row r="18" spans="1:14" ht="19.5" thickTop="1" x14ac:dyDescent="0.3">
      <c r="A18" s="3"/>
      <c r="B18" s="58"/>
      <c r="C18" s="58"/>
      <c r="D18" s="58"/>
      <c r="E18" s="58"/>
      <c r="F18" s="58"/>
      <c r="G18" s="58"/>
      <c r="H18" s="59"/>
      <c r="I18" s="59"/>
      <c r="J18" s="59"/>
      <c r="K18" s="167"/>
      <c r="L18" s="168"/>
      <c r="M18" s="19"/>
      <c r="N18" s="8"/>
    </row>
    <row r="19" spans="1:14" ht="13.5" thickBot="1" x14ac:dyDescent="0.25">
      <c r="A19" s="3"/>
      <c r="B19" s="3"/>
      <c r="C19" s="3"/>
      <c r="D19" s="3"/>
      <c r="E19" s="3"/>
      <c r="F19" s="3"/>
      <c r="G19" s="3"/>
      <c r="H19" s="3"/>
      <c r="I19" s="3"/>
      <c r="J19" s="3"/>
      <c r="K19" s="169"/>
      <c r="L19" s="170"/>
      <c r="M19" s="3"/>
      <c r="N19" s="8"/>
    </row>
    <row r="20" spans="1:14" x14ac:dyDescent="0.2">
      <c r="A20" s="3"/>
      <c r="B20" s="3"/>
      <c r="C20" s="3"/>
      <c r="D20" s="3"/>
      <c r="E20" s="3"/>
      <c r="F20" s="3"/>
      <c r="G20" s="3"/>
      <c r="H20" s="3"/>
      <c r="I20" s="3"/>
      <c r="J20" s="3"/>
      <c r="K20" s="3"/>
      <c r="L20" s="3"/>
      <c r="M20" s="3"/>
      <c r="N20" s="8"/>
    </row>
    <row r="21" spans="1:14" ht="18" x14ac:dyDescent="0.25">
      <c r="A21" s="3"/>
      <c r="B21" s="82" t="s">
        <v>3</v>
      </c>
      <c r="C21" s="194" t="s">
        <v>61</v>
      </c>
      <c r="D21" s="195"/>
      <c r="E21" s="195"/>
      <c r="F21" s="195"/>
      <c r="G21" s="195"/>
      <c r="H21" s="195"/>
      <c r="I21" s="82"/>
      <c r="J21" s="84" t="s">
        <v>18</v>
      </c>
      <c r="K21" s="183">
        <v>45567</v>
      </c>
      <c r="L21" s="184"/>
      <c r="M21" s="55"/>
      <c r="N21" s="8"/>
    </row>
    <row r="22" spans="1:14" ht="14.25" x14ac:dyDescent="0.2">
      <c r="A22" s="3"/>
      <c r="B22" s="82" t="s">
        <v>5</v>
      </c>
      <c r="C22" s="192" t="s">
        <v>62</v>
      </c>
      <c r="D22" s="193"/>
      <c r="E22" s="193"/>
      <c r="F22" s="193"/>
      <c r="G22" s="193"/>
      <c r="H22" s="193"/>
      <c r="I22" s="82"/>
      <c r="J22" s="129" t="s">
        <v>59</v>
      </c>
      <c r="K22" s="134" t="s">
        <v>81</v>
      </c>
      <c r="L22" s="88"/>
      <c r="M22" s="56"/>
      <c r="N22" s="8"/>
    </row>
    <row r="23" spans="1:14" x14ac:dyDescent="0.2">
      <c r="A23" s="3"/>
      <c r="B23" s="82" t="s">
        <v>7</v>
      </c>
      <c r="C23" s="89"/>
      <c r="D23" s="90" t="s">
        <v>8</v>
      </c>
      <c r="E23" s="190"/>
      <c r="F23" s="191"/>
      <c r="G23" s="91" t="s">
        <v>9</v>
      </c>
      <c r="H23" s="88" t="s">
        <v>51</v>
      </c>
      <c r="I23" s="82"/>
      <c r="J23" s="84" t="s">
        <v>19</v>
      </c>
      <c r="K23" s="185" t="s">
        <v>60</v>
      </c>
      <c r="L23" s="186"/>
      <c r="M23" s="3"/>
      <c r="N23" s="8"/>
    </row>
    <row r="24" spans="1:14" x14ac:dyDescent="0.2">
      <c r="A24" s="3"/>
      <c r="B24" s="82" t="s">
        <v>20</v>
      </c>
      <c r="C24" s="196">
        <v>17166311</v>
      </c>
      <c r="D24" s="197"/>
      <c r="E24" s="197"/>
      <c r="F24" s="197"/>
      <c r="G24" s="197"/>
      <c r="H24" s="197"/>
      <c r="I24" s="82"/>
      <c r="J24" s="84" t="s">
        <v>47</v>
      </c>
      <c r="K24" s="187" t="s">
        <v>65</v>
      </c>
      <c r="L24" s="186"/>
      <c r="M24" s="3"/>
      <c r="N24" s="8"/>
    </row>
    <row r="25" spans="1:14" x14ac:dyDescent="0.2">
      <c r="A25" s="3"/>
      <c r="B25" s="82"/>
      <c r="C25" s="82"/>
      <c r="D25" s="82"/>
      <c r="E25" s="82"/>
      <c r="F25" s="82"/>
      <c r="G25" s="82"/>
      <c r="H25" s="82"/>
      <c r="I25" s="82"/>
      <c r="J25" s="82"/>
      <c r="K25" s="82"/>
      <c r="L25" s="82"/>
      <c r="M25" s="3"/>
      <c r="N25" s="8"/>
    </row>
    <row r="26" spans="1:14" x14ac:dyDescent="0.2">
      <c r="A26" s="3"/>
      <c r="B26" s="67" t="s">
        <v>34</v>
      </c>
      <c r="C26" s="51" t="s">
        <v>21</v>
      </c>
      <c r="D26" s="171" t="s">
        <v>22</v>
      </c>
      <c r="E26" s="172"/>
      <c r="F26" s="172"/>
      <c r="G26" s="172"/>
      <c r="H26" s="172"/>
      <c r="I26" s="172"/>
      <c r="J26" s="173"/>
      <c r="K26" s="52" t="s">
        <v>53</v>
      </c>
      <c r="L26" s="113" t="s">
        <v>23</v>
      </c>
      <c r="M26" s="57"/>
      <c r="N26" s="8"/>
    </row>
    <row r="27" spans="1:14" x14ac:dyDescent="0.2">
      <c r="A27" s="3"/>
      <c r="B27" s="144"/>
      <c r="C27" s="148"/>
      <c r="D27" s="152"/>
      <c r="E27" s="153"/>
      <c r="F27" s="153"/>
      <c r="G27" s="153"/>
      <c r="H27" s="153"/>
      <c r="I27" s="153"/>
      <c r="J27" s="145"/>
      <c r="K27" s="146"/>
      <c r="L27" s="147"/>
      <c r="M27" s="57"/>
      <c r="N27" s="8"/>
    </row>
    <row r="28" spans="1:14" ht="15" x14ac:dyDescent="0.25">
      <c r="A28" s="3"/>
      <c r="B28" s="144"/>
      <c r="C28" s="146"/>
      <c r="D28" s="137" t="s">
        <v>74</v>
      </c>
      <c r="E28" s="149"/>
      <c r="F28" s="149"/>
      <c r="G28" s="149"/>
      <c r="H28" s="150"/>
      <c r="I28" s="150"/>
      <c r="J28" s="151"/>
      <c r="K28" s="146"/>
      <c r="L28" s="147"/>
      <c r="M28" s="57"/>
      <c r="N28" s="8"/>
    </row>
    <row r="29" spans="1:14" ht="15" x14ac:dyDescent="0.25">
      <c r="A29" s="3"/>
      <c r="B29" s="144"/>
      <c r="C29" s="146"/>
      <c r="D29" s="137" t="s">
        <v>75</v>
      </c>
      <c r="E29" s="149"/>
      <c r="F29" s="149"/>
      <c r="G29" s="149"/>
      <c r="H29" s="150"/>
      <c r="I29" s="150"/>
      <c r="J29" s="151"/>
      <c r="K29" s="146"/>
      <c r="L29" s="147"/>
      <c r="M29" s="57"/>
      <c r="N29" s="8"/>
    </row>
    <row r="30" spans="1:14" ht="23.25" customHeight="1" x14ac:dyDescent="0.2">
      <c r="A30" s="3"/>
      <c r="B30" s="144"/>
      <c r="C30" s="146"/>
      <c r="D30" s="175" t="s">
        <v>76</v>
      </c>
      <c r="E30" s="176"/>
      <c r="F30" s="176"/>
      <c r="G30" s="176"/>
      <c r="H30" s="176"/>
      <c r="I30" s="176"/>
      <c r="J30" s="151"/>
      <c r="K30" s="146"/>
      <c r="L30" s="147"/>
      <c r="M30" s="57"/>
      <c r="N30" s="8"/>
    </row>
    <row r="31" spans="1:14" ht="15" x14ac:dyDescent="0.25">
      <c r="A31" s="3"/>
      <c r="B31" s="144"/>
      <c r="C31" s="146"/>
      <c r="D31" s="177" t="s">
        <v>77</v>
      </c>
      <c r="E31" s="178"/>
      <c r="F31" s="178"/>
      <c r="G31" s="178"/>
      <c r="H31" s="178"/>
      <c r="I31" s="178"/>
      <c r="J31" s="151"/>
      <c r="K31" s="146"/>
      <c r="L31" s="147"/>
      <c r="M31" s="57"/>
      <c r="N31" s="8"/>
    </row>
    <row r="32" spans="1:14" ht="15" x14ac:dyDescent="0.25">
      <c r="A32" s="3"/>
      <c r="B32" s="144"/>
      <c r="C32" s="146"/>
      <c r="D32" s="177" t="s">
        <v>78</v>
      </c>
      <c r="E32" s="178"/>
      <c r="F32" s="178"/>
      <c r="G32" s="178"/>
      <c r="H32" s="178"/>
      <c r="I32" s="178"/>
      <c r="J32" s="151"/>
      <c r="K32" s="146"/>
      <c r="L32" s="147"/>
      <c r="M32" s="57"/>
      <c r="N32" s="8"/>
    </row>
    <row r="33" spans="1:14" x14ac:dyDescent="0.2">
      <c r="A33" s="3"/>
      <c r="B33" s="144"/>
      <c r="C33" s="146"/>
      <c r="D33" s="145"/>
      <c r="E33" s="145"/>
      <c r="F33" s="145"/>
      <c r="G33" s="145"/>
      <c r="H33" s="145"/>
      <c r="I33" s="145"/>
      <c r="J33" s="145"/>
      <c r="K33" s="146"/>
      <c r="L33" s="147"/>
      <c r="M33" s="57"/>
      <c r="N33" s="8"/>
    </row>
    <row r="34" spans="1:14" ht="15" x14ac:dyDescent="0.2">
      <c r="A34" s="3"/>
      <c r="B34" s="108"/>
      <c r="C34" s="75"/>
      <c r="D34" s="118"/>
      <c r="E34" s="109"/>
      <c r="F34" s="81"/>
      <c r="G34" s="109"/>
      <c r="H34" s="109"/>
      <c r="I34" s="81"/>
      <c r="J34" s="109"/>
      <c r="K34" s="95"/>
      <c r="L34" s="95"/>
      <c r="M34" s="57"/>
      <c r="N34" s="8"/>
    </row>
    <row r="35" spans="1:14" ht="23.25" customHeight="1" x14ac:dyDescent="0.25">
      <c r="A35" s="3"/>
      <c r="B35" s="135" t="s">
        <v>66</v>
      </c>
      <c r="C35" s="136">
        <v>1</v>
      </c>
      <c r="D35" s="137" t="s">
        <v>67</v>
      </c>
      <c r="E35" s="138"/>
      <c r="F35" s="138"/>
      <c r="G35" s="138"/>
      <c r="H35" s="138"/>
      <c r="I35" s="138"/>
      <c r="J35" s="122"/>
      <c r="K35" s="139">
        <v>1380</v>
      </c>
      <c r="L35" s="143">
        <f>+K35*C35</f>
        <v>1380</v>
      </c>
      <c r="M35" s="57"/>
      <c r="N35" s="8"/>
    </row>
    <row r="36" spans="1:14" ht="18" x14ac:dyDescent="0.25">
      <c r="A36" s="3"/>
      <c r="B36" s="135"/>
      <c r="C36" s="136"/>
      <c r="D36" s="137"/>
      <c r="E36" s="138"/>
      <c r="F36" s="138"/>
      <c r="G36" s="138"/>
      <c r="H36" s="138"/>
      <c r="I36" s="138"/>
      <c r="J36" s="140"/>
      <c r="K36" s="139"/>
      <c r="L36" s="143"/>
      <c r="M36" s="57"/>
      <c r="N36" s="8"/>
    </row>
    <row r="37" spans="1:14" ht="18" x14ac:dyDescent="0.25">
      <c r="A37" s="3"/>
      <c r="B37" s="135" t="s">
        <v>68</v>
      </c>
      <c r="C37" s="136">
        <v>2</v>
      </c>
      <c r="D37" s="137" t="s">
        <v>69</v>
      </c>
      <c r="E37" s="138"/>
      <c r="F37" s="138"/>
      <c r="G37" s="138"/>
      <c r="H37" s="138"/>
      <c r="I37" s="138"/>
      <c r="J37" s="141"/>
      <c r="K37" s="139">
        <v>1610</v>
      </c>
      <c r="L37" s="143">
        <f>+K37*C37</f>
        <v>3220</v>
      </c>
      <c r="M37" s="57"/>
      <c r="N37" s="8"/>
    </row>
    <row r="38" spans="1:14" ht="18" x14ac:dyDescent="0.25">
      <c r="A38" s="3"/>
      <c r="B38" s="135"/>
      <c r="C38" s="136"/>
      <c r="D38" s="137"/>
      <c r="E38" s="138"/>
      <c r="F38" s="138"/>
      <c r="G38" s="138"/>
      <c r="H38" s="138"/>
      <c r="I38" s="138"/>
      <c r="J38" s="125"/>
      <c r="K38" s="139"/>
      <c r="L38" s="143"/>
      <c r="M38" s="57"/>
      <c r="N38" s="8"/>
    </row>
    <row r="39" spans="1:14" ht="18" x14ac:dyDescent="0.25">
      <c r="A39" s="3"/>
      <c r="B39" s="135" t="s">
        <v>70</v>
      </c>
      <c r="C39" s="136">
        <v>4</v>
      </c>
      <c r="D39" s="137" t="s">
        <v>71</v>
      </c>
      <c r="E39" s="138"/>
      <c r="F39" s="138"/>
      <c r="G39" s="138"/>
      <c r="H39" s="138"/>
      <c r="I39" s="138"/>
      <c r="J39" s="125"/>
      <c r="K39" s="139">
        <v>1757</v>
      </c>
      <c r="L39" s="143">
        <f>+K39*C39</f>
        <v>7028</v>
      </c>
      <c r="M39" s="57"/>
      <c r="N39" s="8"/>
    </row>
    <row r="40" spans="1:14" ht="18" x14ac:dyDescent="0.25">
      <c r="A40" s="3"/>
      <c r="B40" s="135"/>
      <c r="C40" s="136"/>
      <c r="D40" s="137"/>
      <c r="E40" s="138"/>
      <c r="F40" s="138"/>
      <c r="G40" s="138"/>
      <c r="H40" s="138"/>
      <c r="I40" s="138"/>
      <c r="J40" s="142"/>
      <c r="K40" s="139"/>
      <c r="L40" s="143"/>
      <c r="M40" s="57"/>
      <c r="N40" s="8"/>
    </row>
    <row r="41" spans="1:14" ht="18" x14ac:dyDescent="0.25">
      <c r="A41" s="3"/>
      <c r="B41" s="135" t="s">
        <v>72</v>
      </c>
      <c r="C41" s="136">
        <v>1</v>
      </c>
      <c r="D41" s="137" t="s">
        <v>73</v>
      </c>
      <c r="E41" s="138"/>
      <c r="F41" s="138"/>
      <c r="G41" s="138"/>
      <c r="H41" s="138"/>
      <c r="I41" s="138"/>
      <c r="J41" s="142"/>
      <c r="K41" s="139">
        <v>2170</v>
      </c>
      <c r="L41" s="143">
        <f>+K41*C41</f>
        <v>2170</v>
      </c>
      <c r="M41" s="57"/>
      <c r="N41" s="8"/>
    </row>
    <row r="42" spans="1:14" ht="18" x14ac:dyDescent="0.25">
      <c r="A42" s="3"/>
      <c r="B42" s="135"/>
      <c r="C42" s="136"/>
      <c r="D42" s="137"/>
      <c r="E42" s="138"/>
      <c r="F42" s="138"/>
      <c r="G42" s="138"/>
      <c r="H42" s="138"/>
      <c r="I42" s="138"/>
      <c r="J42" s="81"/>
      <c r="K42" s="139"/>
      <c r="L42" s="95"/>
      <c r="M42" s="57"/>
      <c r="N42" s="8"/>
    </row>
    <row r="43" spans="1:14" ht="18" x14ac:dyDescent="0.25">
      <c r="A43" s="3"/>
      <c r="B43" s="135"/>
      <c r="C43" s="136">
        <v>1</v>
      </c>
      <c r="D43" s="137" t="s">
        <v>79</v>
      </c>
      <c r="E43" s="138"/>
      <c r="F43" s="138"/>
      <c r="G43" s="138"/>
      <c r="H43" s="138"/>
      <c r="I43" s="138"/>
      <c r="J43" s="142"/>
      <c r="K43" s="139">
        <v>950</v>
      </c>
      <c r="L43" s="143">
        <f>+K43*C43</f>
        <v>950</v>
      </c>
      <c r="M43" s="57"/>
      <c r="N43" s="8"/>
    </row>
    <row r="44" spans="1:14" ht="18" x14ac:dyDescent="0.25">
      <c r="A44" s="3"/>
      <c r="B44" s="93"/>
      <c r="C44" s="53"/>
      <c r="D44" s="128" t="s">
        <v>80</v>
      </c>
      <c r="E44" s="124"/>
      <c r="F44" s="124"/>
      <c r="G44" s="124"/>
      <c r="H44" s="124"/>
      <c r="I44" s="126"/>
      <c r="J44" s="81"/>
      <c r="K44" s="154"/>
      <c r="L44" s="95"/>
      <c r="M44" s="57"/>
      <c r="N44" s="8"/>
    </row>
    <row r="45" spans="1:14" ht="15" x14ac:dyDescent="0.2">
      <c r="A45" s="3"/>
      <c r="B45" s="93"/>
      <c r="C45" s="53"/>
      <c r="D45" s="127"/>
      <c r="E45" s="124"/>
      <c r="F45" s="124"/>
      <c r="G45" s="124"/>
      <c r="H45" s="124"/>
      <c r="I45" s="126"/>
      <c r="J45" s="81"/>
      <c r="K45" s="95"/>
      <c r="L45" s="95"/>
      <c r="M45" s="57"/>
      <c r="N45" s="8"/>
    </row>
    <row r="46" spans="1:14" ht="15" x14ac:dyDescent="0.2">
      <c r="A46" s="3"/>
      <c r="B46" s="93"/>
      <c r="C46" s="53"/>
      <c r="D46" s="127"/>
      <c r="E46" s="124"/>
      <c r="F46" s="124"/>
      <c r="G46" s="124"/>
      <c r="H46" s="124"/>
      <c r="I46" s="126"/>
      <c r="J46" s="81"/>
      <c r="K46" s="95"/>
      <c r="L46" s="95"/>
      <c r="M46" s="57"/>
      <c r="N46" s="8"/>
    </row>
    <row r="47" spans="1:14" ht="15" x14ac:dyDescent="0.2">
      <c r="A47" s="3"/>
      <c r="B47" s="93"/>
      <c r="C47" s="53"/>
      <c r="D47" s="127"/>
      <c r="E47" s="124"/>
      <c r="F47" s="124"/>
      <c r="G47" s="124"/>
      <c r="H47" s="124"/>
      <c r="I47" s="126"/>
      <c r="J47" s="81"/>
      <c r="K47" s="95"/>
      <c r="L47" s="95"/>
      <c r="M47" s="57"/>
      <c r="N47" s="8"/>
    </row>
    <row r="48" spans="1:14" ht="15" x14ac:dyDescent="0.2">
      <c r="A48" s="3"/>
      <c r="B48" s="93"/>
      <c r="C48" s="53"/>
      <c r="D48" s="127"/>
      <c r="E48" s="124"/>
      <c r="F48" s="124"/>
      <c r="G48" s="124"/>
      <c r="H48" s="124"/>
      <c r="I48" s="126"/>
      <c r="J48" s="81"/>
      <c r="K48" s="95"/>
      <c r="L48" s="95"/>
      <c r="M48" s="57"/>
      <c r="N48" s="8"/>
    </row>
    <row r="49" spans="1:14" ht="15" x14ac:dyDescent="0.2">
      <c r="A49" s="3"/>
      <c r="B49" s="93"/>
      <c r="C49" s="53"/>
      <c r="D49" s="127"/>
      <c r="E49" s="124"/>
      <c r="F49" s="124"/>
      <c r="G49" s="124"/>
      <c r="H49" s="124"/>
      <c r="I49" s="126"/>
      <c r="J49" s="81"/>
      <c r="K49" s="95"/>
      <c r="L49" s="95"/>
      <c r="M49" s="57"/>
      <c r="N49" s="8"/>
    </row>
    <row r="50" spans="1:14" ht="15" x14ac:dyDescent="0.2">
      <c r="A50" s="3"/>
      <c r="B50" s="94"/>
      <c r="C50" s="54"/>
      <c r="D50" s="181"/>
      <c r="E50" s="182"/>
      <c r="F50" s="182"/>
      <c r="G50" s="182"/>
      <c r="H50" s="182"/>
      <c r="I50" s="182"/>
      <c r="J50" s="114"/>
      <c r="K50" s="95"/>
      <c r="L50" s="95"/>
      <c r="M50" s="57"/>
      <c r="N50" s="8"/>
    </row>
    <row r="51" spans="1:14" ht="15.75" x14ac:dyDescent="0.25">
      <c r="A51" s="155" t="s">
        <v>82</v>
      </c>
      <c r="B51" s="122"/>
      <c r="C51" s="122"/>
      <c r="D51" s="122"/>
      <c r="E51" s="122"/>
      <c r="F51" s="122"/>
      <c r="G51" s="82"/>
      <c r="H51" s="76"/>
      <c r="I51" s="76"/>
      <c r="J51" s="76"/>
      <c r="K51" s="102"/>
      <c r="L51" s="96">
        <f>SUM(L34:L50)</f>
        <v>14748</v>
      </c>
      <c r="M51" s="57"/>
      <c r="N51" s="8"/>
    </row>
    <row r="52" spans="1:14" ht="17.100000000000001" customHeight="1" x14ac:dyDescent="0.2">
      <c r="A52" s="133" t="s">
        <v>83</v>
      </c>
      <c r="B52" s="122"/>
      <c r="C52" s="122"/>
      <c r="D52" s="122"/>
      <c r="E52" s="122"/>
      <c r="F52" s="122"/>
      <c r="G52" s="82"/>
      <c r="H52" s="76"/>
      <c r="I52" s="76"/>
      <c r="J52" s="76"/>
      <c r="K52" s="106" t="s">
        <v>46</v>
      </c>
      <c r="L52" s="103">
        <v>1</v>
      </c>
      <c r="M52" s="57"/>
      <c r="N52" s="8"/>
    </row>
    <row r="53" spans="1:14" ht="17.100000000000001" customHeight="1" x14ac:dyDescent="0.2">
      <c r="A53" s="3"/>
      <c r="B53" s="3"/>
      <c r="C53" s="83"/>
      <c r="D53" s="121" t="s">
        <v>24</v>
      </c>
      <c r="E53" s="82"/>
      <c r="F53" s="82"/>
      <c r="G53" s="82"/>
      <c r="H53" s="78"/>
      <c r="I53" s="78"/>
      <c r="J53" s="77"/>
      <c r="K53" s="104">
        <v>0.19</v>
      </c>
      <c r="L53" s="103">
        <f>L51*0.19</f>
        <v>2802.12</v>
      </c>
      <c r="M53" s="57"/>
      <c r="N53" s="8"/>
    </row>
    <row r="54" spans="1:14" ht="15.75" x14ac:dyDescent="0.25">
      <c r="A54" s="3"/>
      <c r="B54" s="3"/>
      <c r="C54" s="85"/>
      <c r="D54" s="120" t="s">
        <v>25</v>
      </c>
      <c r="E54" s="87"/>
      <c r="F54" s="85"/>
      <c r="G54" s="82"/>
      <c r="H54" s="79"/>
      <c r="I54" s="76"/>
      <c r="J54" s="76"/>
      <c r="K54" s="105" t="s">
        <v>27</v>
      </c>
      <c r="L54" s="96">
        <f>+L51+L52+L53</f>
        <v>17551.12</v>
      </c>
      <c r="M54" s="57"/>
      <c r="N54" s="8"/>
    </row>
    <row r="55" spans="1:14" ht="15" customHeight="1" x14ac:dyDescent="0.2">
      <c r="A55" s="3"/>
      <c r="B55" s="3"/>
      <c r="C55" s="85">
        <v>1</v>
      </c>
      <c r="D55" s="107" t="s">
        <v>55</v>
      </c>
      <c r="E55" s="82"/>
      <c r="F55" s="86"/>
      <c r="G55" s="82"/>
      <c r="H55" s="80" t="s">
        <v>26</v>
      </c>
      <c r="I55" s="76"/>
      <c r="J55" s="76"/>
      <c r="K55" s="99"/>
      <c r="L55" s="100"/>
      <c r="M55" s="57"/>
      <c r="N55" s="8"/>
    </row>
    <row r="56" spans="1:14" ht="15" customHeight="1" x14ac:dyDescent="0.2">
      <c r="A56" s="3"/>
      <c r="B56" s="3"/>
      <c r="C56" s="85"/>
      <c r="D56" s="107"/>
      <c r="E56" s="82"/>
      <c r="F56" s="86"/>
      <c r="G56" s="82"/>
      <c r="H56" s="80"/>
      <c r="I56" s="76"/>
      <c r="J56" s="76"/>
      <c r="K56" s="97" t="s">
        <v>56</v>
      </c>
      <c r="L56" s="100"/>
      <c r="M56" s="57"/>
      <c r="N56" s="8"/>
    </row>
    <row r="57" spans="1:14" ht="15" customHeight="1" x14ac:dyDescent="0.25">
      <c r="A57" s="130" t="s">
        <v>63</v>
      </c>
      <c r="B57" s="129"/>
      <c r="C57" s="129"/>
      <c r="D57" s="129"/>
      <c r="E57" s="129"/>
      <c r="F57" s="129"/>
      <c r="G57" s="129"/>
      <c r="H57" s="129"/>
      <c r="I57" s="129"/>
      <c r="J57" s="129"/>
      <c r="K57" s="97"/>
      <c r="L57" s="100"/>
      <c r="M57" s="57"/>
      <c r="N57" s="8"/>
    </row>
    <row r="58" spans="1:14" ht="15" customHeight="1" x14ac:dyDescent="0.25">
      <c r="A58" s="132" t="s">
        <v>64</v>
      </c>
      <c r="B58" s="129"/>
      <c r="C58" s="129"/>
      <c r="D58" s="129"/>
      <c r="E58" s="129"/>
      <c r="F58" s="129"/>
      <c r="G58" s="129"/>
      <c r="H58" s="129"/>
      <c r="I58" s="129"/>
      <c r="J58" s="129"/>
      <c r="K58" s="97"/>
      <c r="L58" s="100"/>
      <c r="M58" s="57"/>
      <c r="N58" s="8"/>
    </row>
    <row r="59" spans="1:14" ht="15" customHeight="1" x14ac:dyDescent="0.2">
      <c r="A59" s="131"/>
      <c r="B59" s="131"/>
      <c r="C59" s="131"/>
      <c r="D59" s="131"/>
      <c r="E59" s="131"/>
      <c r="F59" s="131"/>
      <c r="G59" s="131"/>
      <c r="H59" s="131"/>
      <c r="I59" s="131"/>
      <c r="J59" s="131"/>
      <c r="K59" s="101"/>
      <c r="L59" s="101"/>
      <c r="M59" s="57"/>
      <c r="N59" s="8"/>
    </row>
    <row r="60" spans="1:14" ht="15.75" customHeight="1" x14ac:dyDescent="0.2">
      <c r="A60" s="3"/>
      <c r="B60" s="3"/>
      <c r="C60" s="18"/>
      <c r="D60" s="123" t="s">
        <v>54</v>
      </c>
      <c r="E60" s="123"/>
      <c r="F60" s="123"/>
      <c r="G60" s="123"/>
      <c r="H60" s="123"/>
      <c r="I60" s="123"/>
      <c r="J60" s="123"/>
      <c r="K60" s="97"/>
      <c r="L60" s="97"/>
      <c r="M60" s="57"/>
      <c r="N60" s="8"/>
    </row>
    <row r="61" spans="1:14" ht="15" customHeight="1" x14ac:dyDescent="0.2">
      <c r="A61" s="3"/>
      <c r="B61" s="3"/>
      <c r="C61" s="117" t="s">
        <v>58</v>
      </c>
      <c r="D61" s="123"/>
      <c r="E61" s="123"/>
      <c r="F61" s="123"/>
      <c r="G61" s="123"/>
      <c r="H61" s="123"/>
      <c r="I61" s="123"/>
      <c r="J61" s="123"/>
      <c r="K61" s="117"/>
      <c r="L61" s="97"/>
      <c r="M61" s="57"/>
      <c r="N61" s="8"/>
    </row>
    <row r="62" spans="1:14" ht="15" customHeight="1" x14ac:dyDescent="0.2">
      <c r="A62" s="3"/>
      <c r="B62" s="3"/>
      <c r="C62" s="18"/>
      <c r="D62" s="119"/>
      <c r="E62" s="119"/>
      <c r="F62" s="119"/>
      <c r="G62" s="119"/>
      <c r="H62" s="119"/>
      <c r="I62" s="119"/>
      <c r="J62" s="119"/>
      <c r="K62" s="97"/>
      <c r="L62" s="97"/>
      <c r="M62" s="57"/>
      <c r="N62" s="8"/>
    </row>
    <row r="63" spans="1:14" ht="12.75" customHeight="1" x14ac:dyDescent="0.2">
      <c r="A63" s="3"/>
      <c r="B63" s="3"/>
      <c r="C63" s="163" t="s">
        <v>57</v>
      </c>
      <c r="D63" s="163"/>
      <c r="E63" s="163"/>
      <c r="F63" s="163"/>
      <c r="G63" s="163"/>
      <c r="H63" s="163"/>
      <c r="I63" s="163"/>
      <c r="J63" s="163"/>
      <c r="K63" s="163"/>
      <c r="L63" s="97"/>
      <c r="M63" s="57"/>
      <c r="N63" s="8"/>
    </row>
    <row r="64" spans="1:14" ht="3" customHeight="1" x14ac:dyDescent="0.2">
      <c r="A64" s="3"/>
      <c r="B64" s="3"/>
      <c r="C64" s="163"/>
      <c r="D64" s="163"/>
      <c r="E64" s="163"/>
      <c r="F64" s="163"/>
      <c r="G64" s="163"/>
      <c r="H64" s="163"/>
      <c r="I64" s="163"/>
      <c r="J64" s="163"/>
      <c r="K64" s="163"/>
      <c r="L64" s="97"/>
      <c r="M64" s="57"/>
      <c r="N64" s="8"/>
    </row>
    <row r="65" spans="1:14" ht="13.5" thickBot="1" x14ac:dyDescent="0.25">
      <c r="A65" s="115"/>
      <c r="B65" s="115"/>
      <c r="C65" s="116"/>
      <c r="D65" s="116"/>
      <c r="E65" s="116"/>
      <c r="F65" s="164"/>
      <c r="G65" s="164"/>
      <c r="H65" s="164"/>
      <c r="I65" s="164"/>
      <c r="J65" s="164"/>
      <c r="K65" s="116"/>
      <c r="L65" s="116"/>
      <c r="M65" s="57"/>
      <c r="N65" s="8"/>
    </row>
    <row r="66" spans="1:14" ht="13.5" thickTop="1" x14ac:dyDescent="0.2">
      <c r="A66" s="58"/>
      <c r="B66" s="58"/>
      <c r="C66" s="58"/>
      <c r="D66" s="58"/>
      <c r="E66" s="58"/>
      <c r="F66" s="58"/>
      <c r="G66" s="58"/>
      <c r="H66" s="58"/>
      <c r="I66" s="58"/>
      <c r="J66" s="58"/>
      <c r="K66" s="58"/>
      <c r="L66" s="58"/>
      <c r="M66" s="57"/>
      <c r="N66" s="8"/>
    </row>
    <row r="68" spans="1:14" ht="12.75" customHeight="1" x14ac:dyDescent="0.2"/>
  </sheetData>
  <scenarios current="0">
    <scenario name="sample1" locked="1" count="10" user="Nickte" comment="Created by Nickte on 23/10/96">
      <inputCells r="C21" val="M. Antoine CIVAUX"/>
      <inputCells r="C22" val="34, route de Marseille"/>
      <inputCells r="C23" val="84000"/>
      <inputCells r="C24" val="04.90.26.45.78"/>
      <inputCells r="E23" val="Avignon"/>
      <inputCells r="H23" val="France"/>
      <inputCells r="K21" val="35343" numFmtId="14"/>
      <inputCells r="K22" val="452"/>
      <inputCells r="K23" val="T. Farot"/>
      <inputCells r="K24" val="Le Havre"/>
    </scenario>
  </scenarios>
  <mergeCells count="18">
    <mergeCell ref="K9:L9"/>
    <mergeCell ref="D50:I50"/>
    <mergeCell ref="K21:L21"/>
    <mergeCell ref="K23:L23"/>
    <mergeCell ref="K24:L24"/>
    <mergeCell ref="K13:L13"/>
    <mergeCell ref="E23:F23"/>
    <mergeCell ref="C22:H22"/>
    <mergeCell ref="C21:H21"/>
    <mergeCell ref="C24:H24"/>
    <mergeCell ref="C63:K64"/>
    <mergeCell ref="F65:J65"/>
    <mergeCell ref="K17:L19"/>
    <mergeCell ref="D26:J26"/>
    <mergeCell ref="F14:J15"/>
    <mergeCell ref="D30:I30"/>
    <mergeCell ref="D31:I31"/>
    <mergeCell ref="D32:I3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2">
      <formula1>0</formula1>
      <formula2>0</formula2>
    </dataValidation>
    <dataValidation allowBlank="1" showErrorMessage="1" sqref="E23:F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3 L55:L5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K53 K5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4">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K58"/>
    <dataValidation type="textLength" allowBlank="1" showErrorMessage="1" errorTitle="Cellules ombrées" error="Les cellules ombrées contiennent des formules et sont calculées automatiquement par Excel. N'y tapez aucune information." promptTitle="Cellules ombrées" sqref="L34">
      <formula1>0</formula1>
      <formula2>0</formula2>
    </dataValidation>
    <dataValidation type="decimal" allowBlank="1" showErrorMessage="1" errorTitle="Prix unitaire" error="Tapez un nombre dans cette cellule." promptTitle="Prix unitaire" sqref="K50:L50 L35:L49 K34:K49">
      <formula1>0</formula1>
      <formula2>1000000000</formula2>
    </dataValidation>
    <dataValidation errorStyle="warning" allowBlank="1" showInputMessage="1" errorTitle="Numéro de carte de crédit" promptTitle="Numéro de carte de crédit" prompt="Tapez ici le numéro de carte de crédit du client" sqref="D60"/>
    <dataValidation type="list" allowBlank="1" showInputMessage="1" showErrorMessage="1" errorTitle="Code TVA" error="Tapez 1, 2, ou 3." sqref="J34:J50">
      <formula1>"1,2,3"</formula1>
    </dataValidation>
    <dataValidation type="whole" errorStyle="warning" allowBlank="1" showErrorMessage="1" errorTitle="Quantité" error="Tapez un nombre dans cette cellule." promptTitle="Quantité" sqref="C34:C50">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10</xdr:col>
                    <xdr:colOff>485775</xdr:colOff>
                    <xdr:row>14</xdr:row>
                    <xdr:rowOff>0</xdr:rowOff>
                  </from>
                  <to>
                    <xdr:col>11</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2</xdr:col>
                    <xdr:colOff>400050</xdr:colOff>
                    <xdr:row>51</xdr:row>
                    <xdr:rowOff>152400</xdr:rowOff>
                  </from>
                  <to>
                    <xdr:col>2</xdr:col>
                    <xdr:colOff>695325</xdr:colOff>
                    <xdr:row>52</xdr:row>
                    <xdr:rowOff>152400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2</xdr:col>
                    <xdr:colOff>400050</xdr:colOff>
                    <xdr:row>53</xdr:row>
                    <xdr:rowOff>0</xdr:rowOff>
                  </from>
                  <to>
                    <xdr:col>2</xdr:col>
                    <xdr:colOff>704850</xdr:colOff>
                    <xdr:row>54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2</xdr:col>
                    <xdr:colOff>409575</xdr:colOff>
                    <xdr:row>54</xdr:row>
                    <xdr:rowOff>28575</xdr:rowOff>
                  </from>
                  <to>
                    <xdr:col>2</xdr:col>
                    <xdr:colOff>714375</xdr:colOff>
                    <xdr:row>55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Facture!$K$21</f>
        <v>45567</v>
      </c>
      <c r="D8" s="71" t="str">
        <f>Facture!$C$21</f>
        <v>FOCUS SERVICE</v>
      </c>
      <c r="E8" s="68" t="str">
        <f>Facture!$C$22</f>
        <v>Focus Building, Rue Lac Mâlaren,
Les Berges du Lac, 1053, Tunis</v>
      </c>
      <c r="F8" s="68">
        <f>Facture!$C$23</f>
        <v>0</v>
      </c>
      <c r="G8" s="71">
        <f>Facture!$E$23</f>
        <v>0</v>
      </c>
      <c r="H8" s="71" t="str">
        <f>Facture!$H$23</f>
        <v>TN</v>
      </c>
      <c r="I8" s="68">
        <f>Facture!$C$24</f>
        <v>17166311</v>
      </c>
      <c r="J8" s="72">
        <f>Facture!$L$54</f>
        <v>17551.12</v>
      </c>
      <c r="K8" s="68" t="str">
        <f>Facture!$K$23</f>
        <v xml:space="preserve">Abdelaziz Boubaker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64</vt:i4>
      </vt:variant>
    </vt:vector>
  </HeadingPairs>
  <TitlesOfParts>
    <vt:vector size="68"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2022-09-15T13:33:57Z</cp:lastPrinted>
  <dcterms:created xsi:type="dcterms:W3CDTF">1995-05-29T15:50:39Z</dcterms:created>
  <dcterms:modified xsi:type="dcterms:W3CDTF">2024-10-09T15:46:40Z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FOCUS SERVICE</vt:lpwstr>
  </property>
  <property fmtid="{D5CDD505-2E9C-101B-9397-08002B2CF9AE}" pid="11" name="Montant de la facture" linkTarget="TOT">
    <vt:r8>17551.12</vt:r8>
  </property>
</Properties>
</file>