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37" i="3"/>
  <c r="M38" i="3"/>
  <c r="M39" i="3" s="1"/>
  <c r="M41" i="3" l="1"/>
  <c r="M42" i="3" s="1"/>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39"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<sst xmlns="http://schemas.openxmlformats.org/spreadsheetml/2006/main" count="101" uniqueCount="85">
  <si>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</si>
  <si>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</si>
  <si>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</si>
  <si>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</si>
  <si>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</si>
  <si>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</si>
  <si>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</si>
  <si>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</si>
  <si>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</si>
  <si>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</si>
  <si>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</si>
  <si>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</si>
  <si>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</si>
  <si>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</si>
  <si>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</si>
  <si>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</si>
  <si>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</si>
  <si>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</si>
  <si>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</si>
  <si>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</si>
  <si>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</si>
  <si>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</si>
  <si>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</si>
  <si>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</si>
  <si>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</si>
  <si>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</si>
  <si>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</si>
  <si>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</si>
  <si>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</si>
  <si>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</si>
  <si>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</si>
  <si>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</si>
  <si>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</si>
  <si>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</si>
  <si>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</si>
  <si>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</si>
  <si>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</si>
  <si>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</si>
  <si>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</si>
  <si>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</si>
  <si>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</si>
  <si>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</si>
  <si>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</si>
  <si>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</si>
  <si>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</si>
  <si>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</si>
  <si>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</si>
  <si>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</si>
  <si>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</si>
  <si>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</si>
  <si>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</si>
  <si>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</si>
  <si>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</si>
  <si>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</si>
  <si>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</si>
  <si>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</si>
  <si>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</si>
  <si>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</si>
  <si>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</si>
  <si>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</si>
  <si>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</si>
  <si>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</si>
  <si>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</si>
  <si>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</si>
  <si>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</si>
  <si>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</si>
  <si>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</si>
  <si>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</si>
  <si>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</si>
  <si>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</si>
  <si>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</si>
  <si>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</si>
  <si>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</si>
  <si>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</si>
  <si>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</si>
  <si>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</si>
  <si>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 xml:space="preserve">MODEL ORANGE </t>
  </si>
  <si>
    <t>ARRETE LA PRESENTE FACTURE A LA SOMME DE :</t>
  </si>
  <si>
    <t xml:space="preserve">QUATRE MILLE SEPT CENT SOIXANTE ET UN DINARS </t>
  </si>
  <si>
    <t>LDV 12M</t>
  </si>
  <si>
    <t>LONGUEUR 12M</t>
  </si>
  <si>
    <t>FACTURE N° 2024-065</t>
  </si>
  <si>
    <t xml:space="preserve">MILLE NEUF CENT SEIZE  DINARS ET 900 MILLIMES </t>
  </si>
  <si>
    <t>CODE SITE :  FAHS_05 ZAG_0146</t>
  </si>
  <si>
    <t>364/2024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</si>
</sst>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
      <b/>
      <sz val="11"/>
      <color rgb="FF000000"/>
      <name val="Arial"/>
      <family val="2"/>
    </font>
    <font>
      <sz val="11"/>
      <color rgb="FF000000"/>
      <name val="Arial"/>
      <family val="2"/>
    </font>
    <font>
      <sz val="12"/>
      <color rgb="FF000000"/>
      <name val="Arial"/>
      <family val="2"/>
    </font>
    <font>
      <b/>
      <sz val="12"/>
      <color rgb="FF000000"/>
      <name val="Arial"/>
      <family val="2"/>
    </font>
    <font>
      <sz val="8"/>
      <color rgb="FF000000"/>
      <name val="Tahoma"/>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33" fillId="7" borderId="0" xfId="0" applyFont="1" applyFill="1"/>
    <xf numFmtId="0" fontId="34" fillId="7" borderId="0" xfId="0" applyFont="1" applyFill="1"/>
    <xf numFmtId="0" fontId="0" fillId="7" borderId="0" xfId="0" applyFill="1"/>
    <xf numFmtId="0" fontId="35" fillId="7" borderId="0" xfId="0" applyFont="1" applyFill="1"/>
    <xf numFmtId="0" fontId="36" fillId="7" borderId="0" xfId="0" applyFont="1" applyFill="1"/>
    <xf numFmtId="0" fontId="1" fillId="7"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XT%20%20%20%20%20%20%20%20%20%20%20%20%20%20%20%20%20%20FACTURE%20N&#176;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NXT                  FACTURE N°"/>
    </sheetNames>
    <definedNames>
      <definedName name="INV_Payments"/>
    </definedNames>
    <sheetDataSet>
      <sheetData sheetId="0"/>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1" t="s">
        <v>0</v>
      </c>
      <c r="E4" s="152"/>
      <c r="F4" s="15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3" t="s">
        <v>2</v>
      </c>
      <c r="E10" s="15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5" t="s">
        <v>45</v>
      </c>
      <c r="E19" s="15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6" t="str">
        <f>LOWER(TemplateInformation!B3)</f>
        <v>c:\program files\microsoft office\office\macrolib\factbd.xls</v>
      </c>
      <c r="G33" s="15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3" t="s">
        <v>16</v>
      </c>
      <c r="E36" s="15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6"/>
      <c r="M9" s="17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83"/>
      <c r="M13" s="184"/>
      <c r="N13" s="3"/>
      <c r="O13" s="8"/>
    </row>
    <row r="14" spans="1:15" x14ac:dyDescent="0.2">
      <c r="A14" s="7"/>
      <c r="B14" s="3"/>
      <c r="C14" s="3"/>
      <c r="D14" s="3"/>
      <c r="E14" s="3"/>
      <c r="F14" s="3"/>
      <c r="G14" s="175"/>
      <c r="H14" s="175"/>
      <c r="I14" s="175"/>
      <c r="J14" s="175"/>
      <c r="K14" s="175"/>
      <c r="L14" s="3"/>
      <c r="M14" s="3"/>
      <c r="N14" s="3"/>
      <c r="O14" s="8"/>
    </row>
    <row r="15" spans="1:15" ht="20.100000000000001" customHeight="1" x14ac:dyDescent="0.2">
      <c r="A15" s="7"/>
      <c r="B15" s="3"/>
      <c r="C15" s="3"/>
      <c r="D15" s="3"/>
      <c r="E15" s="3"/>
      <c r="F15" s="3"/>
      <c r="G15" s="175"/>
      <c r="H15" s="175"/>
      <c r="I15" s="175"/>
      <c r="J15" s="175"/>
      <c r="K15" s="17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61" t="s">
        <v>81</v>
      </c>
      <c r="M17" s="162"/>
      <c r="N17" s="3"/>
      <c r="O17" s="8"/>
    </row>
    <row r="18" spans="1:15" ht="19.5" thickTop="1" x14ac:dyDescent="0.3">
      <c r="A18" s="7"/>
      <c r="B18" s="3"/>
      <c r="C18" s="58"/>
      <c r="D18" s="58"/>
      <c r="E18" s="58"/>
      <c r="F18" s="58"/>
      <c r="G18" s="58"/>
      <c r="H18" s="58"/>
      <c r="I18" s="59"/>
      <c r="J18" s="59"/>
      <c r="K18" s="59"/>
      <c r="L18" s="163"/>
      <c r="M18" s="164"/>
      <c r="N18" s="19"/>
      <c r="O18" s="8"/>
    </row>
    <row r="19" spans="1:15" ht="13.5" customHeight="1" thickBot="1" x14ac:dyDescent="0.25">
      <c r="A19" s="7"/>
      <c r="B19" s="3"/>
      <c r="C19" s="3"/>
      <c r="D19" s="3"/>
      <c r="E19" s="3"/>
      <c r="F19" s="3"/>
      <c r="G19" s="3"/>
      <c r="H19" s="3"/>
      <c r="I19" s="3"/>
      <c r="J19" s="3"/>
      <c r="K19" s="3"/>
      <c r="L19" s="165"/>
      <c r="M19" s="16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9" t="s">
        <v>62</v>
      </c>
      <c r="E21" s="190"/>
      <c r="F21" s="190"/>
      <c r="G21" s="190"/>
      <c r="H21" s="190"/>
      <c r="I21" s="190"/>
      <c r="J21" s="82"/>
      <c r="K21" s="84" t="s">
        <v>18</v>
      </c>
      <c r="L21" s="180">
        <v>45477</v>
      </c>
      <c r="M21" s="180"/>
      <c r="N21" s="55"/>
      <c r="O21" s="8"/>
    </row>
    <row r="22" spans="1:15" ht="14.25" x14ac:dyDescent="0.2">
      <c r="A22" s="7"/>
      <c r="B22" s="3"/>
      <c r="C22" s="82" t="s">
        <v>5</v>
      </c>
      <c r="D22" s="187" t="s">
        <v>61</v>
      </c>
      <c r="E22" s="188"/>
      <c r="F22" s="188"/>
      <c r="G22" s="188"/>
      <c r="H22" s="188"/>
      <c r="I22" s="188"/>
      <c r="J22" s="82"/>
      <c r="K22" s="125" t="s">
        <v>58</v>
      </c>
      <c r="L22" s="160" t="s">
        <v>84</v>
      </c>
      <c r="M22" s="160"/>
      <c r="N22" s="56"/>
      <c r="O22" s="8"/>
    </row>
    <row r="23" spans="1:15" x14ac:dyDescent="0.2">
      <c r="A23" s="7"/>
      <c r="B23" s="3"/>
      <c r="C23" s="82" t="s">
        <v>7</v>
      </c>
      <c r="D23" s="89">
        <v>2035</v>
      </c>
      <c r="E23" s="90" t="s">
        <v>8</v>
      </c>
      <c r="F23" s="185" t="s">
        <v>63</v>
      </c>
      <c r="G23" s="186"/>
      <c r="H23" s="91" t="s">
        <v>9</v>
      </c>
      <c r="I23" s="88" t="s">
        <v>51</v>
      </c>
      <c r="J23" s="82"/>
      <c r="K23" s="84" t="s">
        <v>19</v>
      </c>
      <c r="L23" s="181" t="s">
        <v>65</v>
      </c>
      <c r="M23" s="181"/>
      <c r="N23" s="3"/>
      <c r="O23" s="8"/>
    </row>
    <row r="24" spans="1:15" x14ac:dyDescent="0.2">
      <c r="A24" s="7"/>
      <c r="B24" s="3"/>
      <c r="C24" s="82" t="s">
        <v>20</v>
      </c>
      <c r="D24" s="191" t="s">
        <v>64</v>
      </c>
      <c r="E24" s="192"/>
      <c r="F24" s="192"/>
      <c r="G24" s="192"/>
      <c r="H24" s="192"/>
      <c r="I24" s="192"/>
      <c r="J24" s="82"/>
      <c r="K24" s="84" t="s">
        <v>47</v>
      </c>
      <c r="L24" s="182" t="s">
        <v>60</v>
      </c>
      <c r="M24" s="18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3" t="s">
        <v>22</v>
      </c>
      <c r="F26" s="194"/>
      <c r="G26" s="194"/>
      <c r="H26" s="194"/>
      <c r="I26" s="194"/>
      <c r="J26" s="194"/>
      <c r="K26" s="195"/>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96" t="s">
        <v>72</v>
      </c>
      <c r="F29" s="197"/>
      <c r="G29" s="197"/>
      <c r="H29" s="197"/>
      <c r="I29" s="197"/>
      <c r="J29" s="197"/>
      <c r="K29" s="131"/>
      <c r="L29" s="115"/>
      <c r="M29" s="96"/>
      <c r="N29" s="57"/>
      <c r="O29" s="8"/>
    </row>
    <row r="30" spans="1:15" ht="15.75" x14ac:dyDescent="0.25">
      <c r="A30" s="7"/>
      <c r="B30" s="3"/>
      <c r="C30" s="107"/>
      <c r="D30" s="75"/>
      <c r="E30" s="198" t="s">
        <v>73</v>
      </c>
      <c r="F30" s="199"/>
      <c r="G30" s="199"/>
      <c r="H30" s="199"/>
      <c r="I30" s="199"/>
      <c r="J30" s="199"/>
      <c r="K30" s="131"/>
      <c r="L30" s="115"/>
      <c r="M30" s="96"/>
      <c r="N30" s="57"/>
      <c r="O30" s="8"/>
    </row>
    <row r="31" spans="1:15" ht="15.75" x14ac:dyDescent="0.25">
      <c r="A31" s="7"/>
      <c r="B31" s="3"/>
      <c r="C31" s="107"/>
      <c r="D31" s="75"/>
      <c r="E31" s="198" t="s">
        <v>74</v>
      </c>
      <c r="F31" s="199"/>
      <c r="G31" s="199"/>
      <c r="H31" s="199"/>
      <c r="I31" s="199"/>
      <c r="J31" s="199"/>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79</v>
      </c>
      <c r="D33" s="75">
        <v>1</v>
      </c>
      <c r="E33" s="135" t="s">
        <v>80</v>
      </c>
      <c r="F33" s="137"/>
      <c r="G33" s="81"/>
      <c r="H33" s="108"/>
      <c r="I33" s="81"/>
      <c r="J33" s="81"/>
      <c r="K33" s="108"/>
      <c r="L33" s="96">
        <v>1610</v>
      </c>
      <c r="M33" s="96">
        <f>L33*D33</f>
        <v>1610</v>
      </c>
      <c r="N33" s="57"/>
      <c r="O33" s="8"/>
    </row>
    <row r="34" spans="1:15" ht="18" x14ac:dyDescent="0.25">
      <c r="A34" s="7"/>
      <c r="B34" s="3"/>
      <c r="C34" s="107"/>
      <c r="D34" s="75"/>
      <c r="E34" s="135" t="s">
        <v>76</v>
      </c>
      <c r="F34" s="137"/>
      <c r="G34" s="81"/>
      <c r="H34" s="108"/>
      <c r="I34" s="81"/>
      <c r="J34" s="81"/>
      <c r="K34" s="108"/>
      <c r="L34" s="96"/>
      <c r="M34" s="96"/>
      <c r="N34" s="57"/>
      <c r="O34" s="8"/>
    </row>
    <row r="35" spans="1:15" ht="18" x14ac:dyDescent="0.25">
      <c r="A35" s="7"/>
      <c r="B35" s="3"/>
      <c r="C35" s="107"/>
      <c r="D35" s="75"/>
      <c r="E35" s="135" t="s">
        <v>83</v>
      </c>
      <c r="F35" s="137"/>
      <c r="G35" s="81"/>
      <c r="H35" s="108"/>
      <c r="I35" s="108"/>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78"/>
      <c r="F38" s="179"/>
      <c r="G38" s="179"/>
      <c r="H38" s="179"/>
      <c r="I38" s="179"/>
      <c r="J38" s="179"/>
      <c r="K38" s="117"/>
      <c r="L38" s="96"/>
      <c r="M38" s="96" t="str">
        <f>IF(D39&lt;&gt;"",D39*L38,"")</f>
        <v/>
      </c>
      <c r="N38" s="57"/>
      <c r="O38" s="8"/>
    </row>
    <row r="39" spans="1:15" ht="15" customHeight="1" x14ac:dyDescent="0.25">
      <c r="A39" s="145" t="s">
        <v>77</v>
      </c>
      <c r="B39" s="146"/>
      <c r="C39" s="146"/>
      <c r="D39" s="146"/>
      <c r="E39" s="146"/>
      <c r="F39" s="147"/>
      <c r="G39" s="148"/>
      <c r="H39" s="82"/>
      <c r="I39" s="76"/>
      <c r="J39" s="76"/>
      <c r="K39" s="76"/>
      <c r="L39" s="102" t="s">
        <v>24</v>
      </c>
      <c r="M39" s="97">
        <f>SUM(M27:M38)</f>
        <v>1610</v>
      </c>
      <c r="N39" s="57"/>
      <c r="O39" s="8"/>
    </row>
    <row r="40" spans="1:15" ht="15" customHeight="1" x14ac:dyDescent="0.25">
      <c r="A40" s="149" t="s">
        <v>78</v>
      </c>
      <c r="B40" s="150" t="s">
        <v>82</v>
      </c>
      <c r="C40" s="147"/>
      <c r="D40" s="147"/>
      <c r="E40" s="147"/>
      <c r="F40" s="147"/>
      <c r="G40" s="148"/>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305.89999999999998</v>
      </c>
      <c r="N41" s="57"/>
      <c r="O41" s="8"/>
    </row>
    <row r="42" spans="1:15" ht="3" customHeight="1" x14ac:dyDescent="0.25">
      <c r="A42" s="7"/>
      <c r="B42" s="3"/>
      <c r="C42" s="3"/>
      <c r="D42" s="85"/>
      <c r="E42" s="132" t="s">
        <v>66</v>
      </c>
      <c r="F42" s="87"/>
      <c r="G42" s="85"/>
      <c r="H42" s="82"/>
      <c r="I42" s="79"/>
      <c r="J42" s="76"/>
      <c r="K42" s="76"/>
      <c r="L42" s="172" t="s">
        <v>27</v>
      </c>
      <c r="M42" s="173">
        <f>+M39+M40+M41</f>
        <v>1916.9</v>
      </c>
      <c r="N42" s="57"/>
      <c r="O42" s="8"/>
    </row>
    <row r="43" spans="1:15" ht="15" x14ac:dyDescent="0.2">
      <c r="A43" s="7"/>
      <c r="B43" s="3"/>
      <c r="C43" s="3"/>
      <c r="D43" s="85">
        <v>1</v>
      </c>
      <c r="E43" s="106" t="s">
        <v>67</v>
      </c>
      <c r="F43" s="82"/>
      <c r="G43" s="86"/>
      <c r="H43" s="82"/>
      <c r="I43" s="80" t="s">
        <v>26</v>
      </c>
      <c r="J43" s="76"/>
      <c r="K43" s="76"/>
      <c r="L43" s="172"/>
      <c r="M43" s="174"/>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67" t="s">
        <v>69</v>
      </c>
      <c r="C48" s="167"/>
      <c r="D48" s="167"/>
      <c r="E48" s="167"/>
      <c r="F48" s="167"/>
      <c r="G48" s="125"/>
      <c r="H48" s="125"/>
      <c r="I48" s="125"/>
      <c r="J48" s="125"/>
      <c r="K48" s="125"/>
      <c r="L48" s="133" t="s">
        <v>68</v>
      </c>
      <c r="M48" s="101"/>
      <c r="N48" s="57"/>
      <c r="O48" s="8"/>
    </row>
    <row r="49" spans="1:15" ht="15.75" x14ac:dyDescent="0.2">
      <c r="A49" s="7"/>
      <c r="B49" s="168" t="s">
        <v>70</v>
      </c>
      <c r="C49" s="168"/>
      <c r="D49" s="168"/>
      <c r="E49" s="168"/>
      <c r="F49" s="168"/>
      <c r="G49" s="134"/>
      <c r="H49" s="134"/>
      <c r="I49" s="134"/>
      <c r="J49" s="134"/>
      <c r="K49" s="134"/>
      <c r="L49" s="99"/>
      <c r="M49" s="100"/>
      <c r="N49" s="57"/>
      <c r="O49" s="8"/>
    </row>
    <row r="50" spans="1:15" ht="15.75" x14ac:dyDescent="0.2">
      <c r="A50" s="7"/>
      <c r="B50" s="3"/>
      <c r="C50" s="3"/>
      <c r="D50" s="18"/>
      <c r="E50" s="169"/>
      <c r="F50" s="169"/>
      <c r="G50" s="169"/>
      <c r="H50" s="169"/>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70" t="s">
        <v>54</v>
      </c>
      <c r="F53" s="170"/>
      <c r="G53" s="170"/>
      <c r="H53" s="170"/>
      <c r="I53" s="170"/>
      <c r="J53" s="170"/>
      <c r="K53" s="170"/>
      <c r="L53" s="98"/>
      <c r="M53" s="98"/>
      <c r="N53" s="57"/>
      <c r="O53" s="8"/>
    </row>
    <row r="54" spans="1:15" ht="15.75" x14ac:dyDescent="0.2">
      <c r="A54" s="124"/>
      <c r="B54" s="3"/>
      <c r="C54" s="3"/>
      <c r="D54" s="171" t="s">
        <v>56</v>
      </c>
      <c r="E54" s="171"/>
      <c r="F54" s="171"/>
      <c r="G54" s="171"/>
      <c r="H54" s="171"/>
      <c r="I54" s="171"/>
      <c r="J54" s="171"/>
      <c r="K54" s="171"/>
      <c r="L54" s="171"/>
      <c r="M54" s="98"/>
      <c r="N54" s="57"/>
      <c r="O54" s="8"/>
    </row>
    <row r="55" spans="1:15" ht="15.75" x14ac:dyDescent="0.2">
      <c r="A55" s="123"/>
      <c r="B55" s="3"/>
      <c r="C55" s="3"/>
      <c r="D55" s="171"/>
      <c r="E55" s="171"/>
      <c r="F55" s="171"/>
      <c r="G55" s="171"/>
      <c r="H55" s="171"/>
      <c r="I55" s="171"/>
      <c r="J55" s="171"/>
      <c r="K55" s="171"/>
      <c r="L55" s="171"/>
      <c r="M55" s="98"/>
      <c r="N55" s="57"/>
      <c r="O55" s="8"/>
    </row>
    <row r="56" spans="1:15" ht="13.5" thickBot="1" x14ac:dyDescent="0.25">
      <c r="B56" s="118"/>
      <c r="C56" s="118"/>
      <c r="D56" s="119"/>
      <c r="E56" s="119"/>
      <c r="F56" s="119"/>
      <c r="G56" s="159"/>
      <c r="H56" s="159"/>
      <c r="I56" s="159"/>
      <c r="J56" s="159"/>
      <c r="K56" s="159"/>
      <c r="L56" s="119"/>
      <c r="M56" s="119"/>
      <c r="N56" s="118"/>
      <c r="O56" s="8"/>
    </row>
    <row r="57" spans="1:15" ht="13.5" thickTop="1" x14ac:dyDescent="0.2">
      <c r="B57" s="58"/>
      <c r="C57" s="58"/>
      <c r="D57" s="58"/>
      <c r="E57" s="58"/>
      <c r="F57" s="58"/>
      <c r="G57" s="58"/>
      <c r="H57" s="58"/>
      <c r="I57" s="58"/>
      <c r="J57" s="58"/>
      <c r="K57" s="58"/>
      <c r="L57" s="58"/>
      <c r="M57" s="58"/>
      <c r="N57" s="58"/>
      <c r="O57" s="8"/>
    </row>
    <row r="58" spans="1:15" x14ac:dyDescent="0.2">
      <c r="B58" s="124"/>
      <c r="C58" s="124"/>
      <c r="D58" s="124"/>
      <c r="E58" s="124"/>
      <c r="F58" s="124"/>
      <c r="G58" s="124"/>
      <c r="H58" s="124"/>
      <c r="I58" s="124"/>
      <c r="J58" s="158"/>
      <c r="K58" s="158"/>
      <c r="L58" s="158"/>
      <c r="M58" s="158"/>
      <c r="N58" s="158"/>
      <c r="O58" s="8"/>
    </row>
    <row r="59" spans="1:15" x14ac:dyDescent="0.2">
      <c r="B59" s="123"/>
      <c r="C59" s="123"/>
      <c r="D59" s="123"/>
      <c r="E59" s="123"/>
      <c r="F59" s="123"/>
      <c r="G59" s="123"/>
      <c r="H59" s="123"/>
      <c r="I59" s="123"/>
      <c r="J59" s="159"/>
      <c r="K59" s="159"/>
      <c r="L59" s="159"/>
      <c r="M59" s="159"/>
      <c r="N59" s="159"/>
      <c r="O59"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 ref="J58:N59"/>
    <mergeCell ref="L22:M22"/>
    <mergeCell ref="L17:M19"/>
    <mergeCell ref="B48:F48"/>
    <mergeCell ref="B49:F49"/>
    <mergeCell ref="E50:H50"/>
    <mergeCell ref="E53:K53"/>
    <mergeCell ref="G56:K56"/>
    <mergeCell ref="D54:L55"/>
    <mergeCell ref="L42:L43"/>
    <mergeCell ref="M42:M4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M32:M34 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5: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45477</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1916.9</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2024-07-04T10:52:46Z</cp:lastPrinted>
  <dcterms:created xsi:type="dcterms:W3CDTF">1995-05-29T15:50:39Z</dcterms:created>
  <dcterms:modified xsi:type="dcterms:W3CDTF">2024-07-04T11:00:22Z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1916.9</vt:r8>
  </property>
</Properties>
</file>