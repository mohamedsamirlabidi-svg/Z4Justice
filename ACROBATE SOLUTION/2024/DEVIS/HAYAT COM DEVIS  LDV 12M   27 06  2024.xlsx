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<sst xmlns="http://schemas.openxmlformats.org/spreadsheetml/2006/main" count="95" uniqueCount="79">
  <si>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</si>
  <si>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</si>
  <si>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</si>
  <si>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</si>
  <si>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</si>
  <si>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</si>
  <si>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</si>
  <si>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</si>
  <si>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</si>
  <si>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</si>
  <si>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</si>
  <si>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</si>
  <si>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</si>
  <si>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</si>
  <si>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</si>
  <si>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</si>
  <si>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</si>
  <si>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</si>
  <si>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</si>
  <si>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</si>
  <si>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</si>
  <si>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</si>
  <si>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</si>
  <si>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</si>
  <si>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</si>
  <si>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</si>
  <si>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</si>
  <si>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</si>
  <si>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</si>
  <si>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</si>
  <si>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</si>
  <si>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</si>
  <si>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</si>
  <si>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</si>
  <si>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</si>
  <si>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</si>
  <si>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</si>
  <si>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</si>
  <si>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</si>
  <si>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</si>
  <si>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</si>
  <si>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</si>
  <si>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</si>
  <si>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</si>
  <si>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</si>
  <si>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</si>
  <si>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</si>
  <si>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</si>
  <si>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</si>
  <si>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</si>
  <si>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</si>
  <si>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</si>
  <si>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</si>
  <si>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</si>
  <si>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</si>
  <si>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</si>
  <si>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</si>
  <si>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</si>
  <si>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</si>
  <si>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</si>
  <si>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</si>
  <si>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</si>
  <si>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</si>
  <si>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</si>
  <si>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</si>
  <si>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</si>
  <si>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</si>
  <si>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</si>
  <si>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</si>
  <si>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</si>
  <si>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</si>
  <si>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</si>
  <si>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</si>
  <si>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</si>
  <si>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</si>
  <si>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</si>
  <si>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 12M</t>
  </si>
  <si>
    <t>LONGUEUR 12M</t>
  </si>
  <si>
    <t>devis  N° 2024-991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</si>
</sst>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7" zoomScale="95" workbookViewId="0">
      <selection activeCell="I35" sqref="I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7"/>
      <c r="M9" s="16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4"/>
      <c r="M13" s="175"/>
      <c r="N13" s="3"/>
      <c r="O13" s="8"/>
    </row>
    <row r="14" spans="1:15" x14ac:dyDescent="0.2">
      <c r="A14" s="7"/>
      <c r="B14" s="3"/>
      <c r="C14" s="3"/>
      <c r="D14" s="3"/>
      <c r="E14" s="3"/>
      <c r="F14" s="3"/>
      <c r="G14" s="166"/>
      <c r="H14" s="166"/>
      <c r="I14" s="166"/>
      <c r="J14" s="166"/>
      <c r="K14" s="166"/>
      <c r="L14" s="3"/>
      <c r="M14" s="3"/>
      <c r="N14" s="3"/>
      <c r="O14" s="8"/>
    </row>
    <row r="15" spans="1:15" ht="20.100000000000001" customHeight="1" x14ac:dyDescent="0.2">
      <c r="A15" s="7"/>
      <c r="B15" s="3"/>
      <c r="C15" s="3"/>
      <c r="D15" s="3"/>
      <c r="E15" s="3"/>
      <c r="F15" s="3"/>
      <c r="G15" s="166"/>
      <c r="H15" s="166"/>
      <c r="I15" s="166"/>
      <c r="J15" s="166"/>
      <c r="K15" s="16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78</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customHeight="1"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0" t="s">
        <v>62</v>
      </c>
      <c r="E21" s="181"/>
      <c r="F21" s="181"/>
      <c r="G21" s="181"/>
      <c r="H21" s="181"/>
      <c r="I21" s="181"/>
      <c r="J21" s="82"/>
      <c r="K21" s="84" t="s">
        <v>18</v>
      </c>
      <c r="L21" s="171">
        <v>45470</v>
      </c>
      <c r="M21" s="171"/>
      <c r="N21" s="55"/>
      <c r="O21" s="8"/>
    </row>
    <row r="22" spans="1:15" ht="14.25" x14ac:dyDescent="0.2">
      <c r="A22" s="7"/>
      <c r="B22" s="3"/>
      <c r="C22" s="82" t="s">
        <v>5</v>
      </c>
      <c r="D22" s="178" t="s">
        <v>61</v>
      </c>
      <c r="E22" s="179"/>
      <c r="F22" s="179"/>
      <c r="G22" s="179"/>
      <c r="H22" s="179"/>
      <c r="I22" s="179"/>
      <c r="J22" s="82"/>
      <c r="K22" s="125" t="s">
        <v>58</v>
      </c>
      <c r="L22" s="154"/>
      <c r="M22" s="154"/>
      <c r="N22" s="56"/>
      <c r="O22" s="8"/>
    </row>
    <row r="23" spans="1:15" x14ac:dyDescent="0.2">
      <c r="A23" s="7"/>
      <c r="B23" s="3"/>
      <c r="C23" s="82" t="s">
        <v>7</v>
      </c>
      <c r="D23" s="89">
        <v>2035</v>
      </c>
      <c r="E23" s="90" t="s">
        <v>8</v>
      </c>
      <c r="F23" s="176" t="s">
        <v>63</v>
      </c>
      <c r="G23" s="177"/>
      <c r="H23" s="91" t="s">
        <v>9</v>
      </c>
      <c r="I23" s="88" t="s">
        <v>51</v>
      </c>
      <c r="J23" s="82"/>
      <c r="K23" s="84" t="s">
        <v>19</v>
      </c>
      <c r="L23" s="172" t="s">
        <v>65</v>
      </c>
      <c r="M23" s="172"/>
      <c r="N23" s="3"/>
      <c r="O23" s="8"/>
    </row>
    <row r="24" spans="1:15" x14ac:dyDescent="0.2">
      <c r="A24" s="7"/>
      <c r="B24" s="3"/>
      <c r="C24" s="82" t="s">
        <v>20</v>
      </c>
      <c r="D24" s="182" t="s">
        <v>64</v>
      </c>
      <c r="E24" s="183"/>
      <c r="F24" s="183"/>
      <c r="G24" s="183"/>
      <c r="H24" s="183"/>
      <c r="I24" s="183"/>
      <c r="J24" s="82"/>
      <c r="K24" s="84" t="s">
        <v>47</v>
      </c>
      <c r="L24" s="173" t="s">
        <v>60</v>
      </c>
      <c r="M24" s="17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0" t="s">
        <v>72</v>
      </c>
      <c r="F29" s="191"/>
      <c r="G29" s="191"/>
      <c r="H29" s="191"/>
      <c r="I29" s="191"/>
      <c r="J29" s="191"/>
      <c r="K29" s="131"/>
      <c r="L29" s="115"/>
      <c r="M29" s="96"/>
      <c r="N29" s="57"/>
      <c r="O29" s="8"/>
    </row>
    <row r="30" spans="1:15" ht="15.75" x14ac:dyDescent="0.25">
      <c r="A30" s="7"/>
      <c r="B30" s="3"/>
      <c r="C30" s="107"/>
      <c r="D30" s="75"/>
      <c r="E30" s="192" t="s">
        <v>73</v>
      </c>
      <c r="F30" s="193"/>
      <c r="G30" s="193"/>
      <c r="H30" s="193"/>
      <c r="I30" s="193"/>
      <c r="J30" s="193"/>
      <c r="K30" s="131"/>
      <c r="L30" s="115"/>
      <c r="M30" s="96"/>
      <c r="N30" s="57"/>
      <c r="O30" s="8"/>
    </row>
    <row r="31" spans="1:15" ht="15.75" x14ac:dyDescent="0.25">
      <c r="A31" s="7"/>
      <c r="B31" s="3"/>
      <c r="C31" s="107"/>
      <c r="D31" s="75"/>
      <c r="E31" s="192" t="s">
        <v>74</v>
      </c>
      <c r="F31" s="193"/>
      <c r="G31" s="193"/>
      <c r="H31" s="193"/>
      <c r="I31" s="193"/>
      <c r="J31" s="193"/>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96">
        <v>1610</v>
      </c>
      <c r="M33" s="96">
        <f>L33*D33</f>
        <v>1610</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69"/>
      <c r="F38" s="170"/>
      <c r="G38" s="170"/>
      <c r="H38" s="170"/>
      <c r="I38" s="170"/>
      <c r="J38" s="170"/>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1610</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305.89999999999998</v>
      </c>
      <c r="N41" s="57"/>
      <c r="O41" s="8"/>
    </row>
    <row r="42" spans="1:15" ht="3" customHeight="1" x14ac:dyDescent="0.25">
      <c r="A42" s="7"/>
      <c r="B42" s="3"/>
      <c r="C42" s="3"/>
      <c r="D42" s="85"/>
      <c r="E42" s="132" t="s">
        <v>66</v>
      </c>
      <c r="F42" s="87"/>
      <c r="G42" s="85"/>
      <c r="H42" s="82"/>
      <c r="I42" s="79"/>
      <c r="J42" s="76"/>
      <c r="K42" s="76"/>
      <c r="L42" s="184" t="s">
        <v>27</v>
      </c>
      <c r="M42" s="185">
        <f>+M39+M40+M41</f>
        <v>1916.9</v>
      </c>
      <c r="N42" s="57"/>
      <c r="O42" s="8"/>
    </row>
    <row r="43" spans="1:15" ht="15" x14ac:dyDescent="0.2">
      <c r="A43" s="7"/>
      <c r="B43" s="3"/>
      <c r="C43" s="3"/>
      <c r="D43" s="85">
        <v>1</v>
      </c>
      <c r="E43" s="106" t="s">
        <v>67</v>
      </c>
      <c r="F43" s="82"/>
      <c r="G43" s="86"/>
      <c r="H43" s="82"/>
      <c r="I43" s="80" t="s">
        <v>26</v>
      </c>
      <c r="J43" s="76"/>
      <c r="K43" s="76"/>
      <c r="L43" s="184"/>
      <c r="M43" s="186"/>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61" t="s">
        <v>69</v>
      </c>
      <c r="C48" s="161"/>
      <c r="D48" s="161"/>
      <c r="E48" s="161"/>
      <c r="F48" s="161"/>
      <c r="G48" s="125"/>
      <c r="H48" s="125"/>
      <c r="I48" s="125"/>
      <c r="J48" s="125"/>
      <c r="K48" s="125"/>
      <c r="L48" s="133" t="s">
        <v>68</v>
      </c>
      <c r="M48" s="101"/>
      <c r="N48" s="57"/>
      <c r="O48" s="8"/>
    </row>
    <row r="49" spans="1:15" ht="15.75" x14ac:dyDescent="0.2">
      <c r="A49" s="7"/>
      <c r="B49" s="162" t="s">
        <v>70</v>
      </c>
      <c r="C49" s="162"/>
      <c r="D49" s="162"/>
      <c r="E49" s="162"/>
      <c r="F49" s="162"/>
      <c r="G49" s="134"/>
      <c r="H49" s="134"/>
      <c r="I49" s="134"/>
      <c r="J49" s="134"/>
      <c r="K49" s="134"/>
      <c r="L49" s="99"/>
      <c r="M49" s="100"/>
      <c r="N49" s="57"/>
      <c r="O49" s="8"/>
    </row>
    <row r="50" spans="1:15" ht="15.75" x14ac:dyDescent="0.2">
      <c r="A50" s="7"/>
      <c r="B50" s="3"/>
      <c r="C50" s="3"/>
      <c r="D50" s="18"/>
      <c r="E50" s="163"/>
      <c r="F50" s="163"/>
      <c r="G50" s="163"/>
      <c r="H50" s="163"/>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64" t="s">
        <v>54</v>
      </c>
      <c r="F53" s="164"/>
      <c r="G53" s="164"/>
      <c r="H53" s="164"/>
      <c r="I53" s="164"/>
      <c r="J53" s="164"/>
      <c r="K53" s="164"/>
      <c r="L53" s="98"/>
      <c r="M53" s="98"/>
      <c r="N53" s="57"/>
      <c r="O53" s="8"/>
    </row>
    <row r="54" spans="1:15" ht="15.75" x14ac:dyDescent="0.2">
      <c r="A54" s="124"/>
      <c r="B54" s="3"/>
      <c r="C54" s="3"/>
      <c r="D54" s="165" t="s">
        <v>56</v>
      </c>
      <c r="E54" s="165"/>
      <c r="F54" s="165"/>
      <c r="G54" s="165"/>
      <c r="H54" s="165"/>
      <c r="I54" s="165"/>
      <c r="J54" s="165"/>
      <c r="K54" s="165"/>
      <c r="L54" s="165"/>
      <c r="M54" s="98"/>
      <c r="N54" s="57"/>
    </row>
    <row r="55" spans="1:15" ht="15.75" x14ac:dyDescent="0.2">
      <c r="A55" s="123"/>
      <c r="B55" s="3"/>
      <c r="C55" s="3"/>
      <c r="D55" s="165"/>
      <c r="E55" s="165"/>
      <c r="F55" s="165"/>
      <c r="G55" s="165"/>
      <c r="H55" s="165"/>
      <c r="I55" s="165"/>
      <c r="J55" s="165"/>
      <c r="K55" s="165"/>
      <c r="L55" s="165"/>
      <c r="M55" s="98"/>
      <c r="N55" s="57"/>
    </row>
    <row r="56" spans="1:15" ht="13.5" thickBot="1" x14ac:dyDescent="0.25">
      <c r="B56" s="118"/>
      <c r="C56" s="118"/>
      <c r="D56" s="119"/>
      <c r="E56" s="119"/>
      <c r="F56" s="119"/>
      <c r="G56" s="153"/>
      <c r="H56" s="153"/>
      <c r="I56" s="153"/>
      <c r="J56" s="153"/>
      <c r="K56" s="153"/>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52"/>
      <c r="K58" s="152"/>
      <c r="L58" s="152"/>
      <c r="M58" s="152"/>
      <c r="N58" s="152"/>
    </row>
    <row r="59" spans="1:15" x14ac:dyDescent="0.2">
      <c r="B59" s="123"/>
      <c r="C59" s="123"/>
      <c r="D59" s="123"/>
      <c r="E59" s="123"/>
      <c r="F59" s="123"/>
      <c r="G59" s="123"/>
      <c r="H59" s="123"/>
      <c r="I59" s="123"/>
      <c r="J59" s="153"/>
      <c r="K59" s="153"/>
      <c r="L59" s="153"/>
      <c r="M59" s="153"/>
      <c r="N59" s="15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 ref="J58:N59"/>
    <mergeCell ref="L22:M22"/>
    <mergeCell ref="L17:M19"/>
    <mergeCell ref="B48:F48"/>
    <mergeCell ref="B49:F49"/>
    <mergeCell ref="E50:H50"/>
    <mergeCell ref="E53:K53"/>
    <mergeCell ref="G56:K56"/>
    <mergeCell ref="D54:L55"/>
    <mergeCell ref="L42:L43"/>
    <mergeCell ref="M42:M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4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5: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1916.9</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2024-06-27T07:08:10Z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1916.9</vt:r8>
  </property>
</Properties>
</file>