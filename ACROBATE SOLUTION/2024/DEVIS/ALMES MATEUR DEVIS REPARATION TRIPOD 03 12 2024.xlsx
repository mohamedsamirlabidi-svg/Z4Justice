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1" i="3" l="1"/>
  <c r="M32" i="3"/>
  <c r="M33" i="3"/>
  <c r="M34" i="3"/>
  <c r="M35" i="3"/>
  <c r="M36" i="3"/>
  <c r="M37" i="3"/>
  <c r="M38" i="3"/>
  <c r="M39" i="3"/>
  <c r="M40" i="3"/>
  <c r="M41" i="3"/>
  <c r="M42" i="3"/>
  <c r="M43" i="3"/>
  <c r="M44" i="3"/>
  <c r="M45" i="3"/>
  <c r="M46" i="3"/>
  <c r="M52"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<sst xmlns="http://schemas.openxmlformats.org/spreadsheetml/2006/main" count="87" uniqueCount="77">
  <si>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</si>
  <si>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</si>
  <si>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</si>
  <si>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</si>
  <si>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</si>
  <si>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</si>
  <si>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</si>
  <si>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</si>
  <si>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</si>
  <si>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</si>
  <si>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</si>
  <si>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</si>
  <si>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</si>
  <si>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</si>
  <si>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</si>
  <si>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</si>
  <si>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</si>
  <si>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</si>
  <si>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</si>
  <si>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</si>
  <si>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</si>
  <si>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</si>
  <si>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</si>
  <si>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</si>
  <si>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</si>
  <si>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</si>
  <si>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</si>
  <si>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</si>
  <si>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</si>
  <si>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</si>
  <si>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</si>
  <si>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</si>
  <si>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</si>
  <si>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</si>
  <si>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</si>
  <si>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</si>
  <si>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</si>
  <si>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</si>
  <si>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</si>
  <si>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</si>
  <si>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</si>
  <si>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</si>
  <si>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</si>
  <si>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</si>
  <si>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</si>
  <si>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</si>
  <si>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</si>
  <si>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</si>
  <si>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</si>
  <si>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</si>
  <si>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</si>
  <si>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</si>
  <si>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</si>
  <si>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</si>
  <si>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</si>
  <si>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</si>
  <si>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</si>
  <si>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</si>
  <si>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</si>
  <si>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</si>
  <si>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</si>
  <si>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</si>
  <si>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</si>
  <si>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</si>
  <si>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</si>
  <si>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SYNCRONISATION MODULE DE FREINAGE/SYSTÈME ANTIPANIQUE</t>
  </si>
  <si>
    <t>ESSAI SUR TOUR</t>
  </si>
  <si>
    <t>ENTRETIEN GENERAL</t>
  </si>
  <si>
    <t>REMISE EN CONFORMITE</t>
  </si>
  <si>
    <t>VERIFICATION ETAT GENERAL DU MACANISME  DU TRIPODE</t>
  </si>
  <si>
    <t xml:space="preserve">Responsable: </t>
  </si>
  <si>
    <t>Date : 03/12/2024</t>
  </si>
  <si>
    <t>GP1, KM 12 BOUMHEL</t>
  </si>
  <si>
    <t xml:space="preserve">ALMES </t>
  </si>
  <si>
    <t>MF:0005381A/P/M/000</t>
  </si>
  <si>
    <t>OFFRE DE PRIX 2024-1403</t>
  </si>
  <si>
    <t xml:space="preserve">SELETTE E TRAVAIL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</si>
</sst>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5"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2397125</xdr:colOff>
      <xdr:row>6</xdr:row>
      <xdr:rowOff>111125</xdr:rowOff>
    </xdr:from>
    <xdr:to>
      <xdr:col>12</xdr:col>
      <xdr:colOff>1028205</xdr:colOff>
      <xdr:row>11</xdr:row>
      <xdr:rowOff>52520</xdr:rowOff>
    </xdr:to>
    <xdr:pic>
      <xdr:nvPicPr>
        <xdr:cNvPr id="11" name="Image 10"/>
        <xdr:cNvPicPr>
          <a:picLocks noChangeAspect="1"/>
        </xdr:cNvPicPr>
      </xdr:nvPicPr>
      <xdr:blipFill>
        <a:blip xmlns:r="http://schemas.openxmlformats.org/officeDocument/2006/relationships" r:embed="rId2"/>
        <a:stretch>
          <a:fillRect/>
        </a:stretch>
      </xdr:blipFill>
      <xdr:spPr>
        <a:xfrm>
          <a:off x="10636250" y="936625"/>
          <a:ext cx="1615580" cy="798645"/>
        </a:xfrm>
        <a:prstGeom prst="rect">
          <a:avLst/>
        </a:prstGeom>
      </xdr:spPr>
    </xdr:pic>
    <xdr:clientData/>
  </xdr:twoCellAnchor>
  <xdr:twoCellAnchor editAs="oneCell">
    <xdr:from>
      <xdr:col>12</xdr:col>
      <xdr:colOff>1349375</xdr:colOff>
      <xdr:row>6</xdr:row>
      <xdr:rowOff>15875</xdr:rowOff>
    </xdr:from>
    <xdr:to>
      <xdr:col>13</xdr:col>
      <xdr:colOff>73104</xdr:colOff>
      <xdr:row>10</xdr:row>
      <xdr:rowOff>103827</xdr:rowOff>
    </xdr:to>
    <xdr:pic>
      <xdr:nvPicPr>
        <xdr:cNvPr id="13" name="Image 12"/>
        <xdr:cNvPicPr>
          <a:picLocks noChangeAspect="1"/>
        </xdr:cNvPicPr>
      </xdr:nvPicPr>
      <xdr:blipFill>
        <a:blip xmlns:r="http://schemas.openxmlformats.org/officeDocument/2006/relationships" r:embed="rId3"/>
        <a:stretch>
          <a:fillRect/>
        </a:stretch>
      </xdr:blipFill>
      <xdr:spPr>
        <a:xfrm>
          <a:off x="12573000" y="841375"/>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5" zoomScale="60" zoomScaleNormal="60" workbookViewId="0">
      <selection activeCell="G53" sqref="G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75</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6" t="s">
        <v>73</v>
      </c>
      <c r="F22" s="196"/>
      <c r="G22" s="196"/>
      <c r="H22" s="196"/>
      <c r="I22" s="196"/>
      <c r="J22" s="196"/>
      <c r="K22" s="103"/>
      <c r="L22" s="193" t="s">
        <v>71</v>
      </c>
      <c r="M22" s="193"/>
      <c r="N22" s="52"/>
      <c r="O22" s="9"/>
    </row>
    <row r="23" spans="2:15" ht="33.75" x14ac:dyDescent="0.5">
      <c r="B23" s="7"/>
      <c r="C23" s="3"/>
      <c r="D23" s="102" t="s">
        <v>54</v>
      </c>
      <c r="E23" s="184" t="s">
        <v>72</v>
      </c>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70</v>
      </c>
      <c r="M24" s="195"/>
      <c r="N24" s="3"/>
      <c r="O24" s="9"/>
    </row>
    <row r="25" spans="2:15" ht="33.75" x14ac:dyDescent="0.5">
      <c r="B25" s="7"/>
      <c r="C25" s="3"/>
      <c r="D25" s="102" t="s">
        <v>56</v>
      </c>
      <c r="E25" s="197"/>
      <c r="F25" s="197"/>
      <c r="G25" s="197"/>
      <c r="H25" s="197"/>
      <c r="I25" s="197"/>
      <c r="J25" s="197"/>
      <c r="K25" s="103"/>
      <c r="L25" s="195" t="s">
        <v>74</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30" x14ac:dyDescent="0.4">
      <c r="B28" s="7"/>
      <c r="C28" s="3"/>
      <c r="D28" s="158"/>
      <c r="E28" s="108"/>
      <c r="F28" s="159"/>
      <c r="G28" s="159"/>
      <c r="H28" s="159"/>
      <c r="I28" s="159"/>
      <c r="J28" s="159"/>
      <c r="K28" s="159"/>
      <c r="L28" s="158"/>
      <c r="M28" s="160"/>
      <c r="N28" s="91"/>
      <c r="O28" s="9"/>
    </row>
    <row r="29" spans="2:15" ht="30" x14ac:dyDescent="0.4">
      <c r="B29" s="7"/>
      <c r="C29" s="3"/>
      <c r="D29" s="158"/>
      <c r="E29" s="108"/>
      <c r="F29" s="159"/>
      <c r="G29" s="159"/>
      <c r="H29" s="159"/>
      <c r="I29" s="159"/>
      <c r="J29" s="159"/>
      <c r="K29" s="159"/>
      <c r="L29" s="158"/>
      <c r="M29" s="160"/>
      <c r="N29" s="91"/>
      <c r="O29" s="9"/>
    </row>
    <row r="30" spans="2:15" ht="30" x14ac:dyDescent="0.4">
      <c r="B30" s="7"/>
      <c r="C30" s="3"/>
      <c r="D30" s="158"/>
      <c r="E30" s="108"/>
      <c r="F30" s="159"/>
      <c r="G30" s="159"/>
      <c r="H30" s="159"/>
      <c r="I30" s="159"/>
      <c r="J30" s="159"/>
      <c r="K30" s="159"/>
      <c r="L30" s="158"/>
      <c r="M30" s="160"/>
      <c r="N30" s="91"/>
      <c r="O30" s="9"/>
    </row>
    <row r="31" spans="2:15" ht="30" x14ac:dyDescent="0.4">
      <c r="B31" s="7"/>
      <c r="C31" s="3"/>
      <c r="D31" s="127"/>
      <c r="E31" s="108">
        <v>1</v>
      </c>
      <c r="F31" s="100" t="s">
        <v>69</v>
      </c>
      <c r="G31" s="100"/>
      <c r="H31" s="100"/>
      <c r="I31" s="100"/>
      <c r="J31" s="100"/>
      <c r="K31" s="100"/>
      <c r="L31" s="110">
        <v>935</v>
      </c>
      <c r="M31" s="116">
        <f>IF(E31&lt;&gt;"",E31*L31,"")</f>
        <v>935</v>
      </c>
      <c r="N31" s="54"/>
      <c r="O31" s="9"/>
    </row>
    <row r="32" spans="2:15" ht="30" x14ac:dyDescent="0.4">
      <c r="B32" s="7"/>
      <c r="C32" s="3"/>
      <c r="D32" s="127"/>
      <c r="E32" s="108"/>
      <c r="F32" s="100" t="s">
        <v>65</v>
      </c>
      <c r="G32" s="100"/>
      <c r="H32" s="100"/>
      <c r="I32" s="100"/>
      <c r="J32" s="100"/>
      <c r="K32" s="100"/>
      <c r="L32" s="111"/>
      <c r="M32" s="116" t="str">
        <f t="shared" ref="M32:M46" si="0">IF(E32&lt;&gt;"",E32*L32,"")</f>
        <v/>
      </c>
      <c r="N32" s="54"/>
      <c r="O32" s="9"/>
    </row>
    <row r="33" spans="2:15" ht="30" x14ac:dyDescent="0.4">
      <c r="B33" s="7"/>
      <c r="C33" s="3"/>
      <c r="D33" s="127"/>
      <c r="E33" s="108"/>
      <c r="F33" s="100" t="s">
        <v>66</v>
      </c>
      <c r="G33" s="100"/>
      <c r="H33" s="100"/>
      <c r="I33" s="100"/>
      <c r="J33" s="100"/>
      <c r="K33" s="100"/>
      <c r="L33" s="111"/>
      <c r="M33" s="116" t="str">
        <f t="shared" si="0"/>
        <v/>
      </c>
      <c r="N33" s="54"/>
      <c r="O33" s="9"/>
    </row>
    <row r="34" spans="2:15" ht="30" x14ac:dyDescent="0.4">
      <c r="B34" s="7"/>
      <c r="C34" s="3"/>
      <c r="D34" s="127"/>
      <c r="E34" s="108"/>
      <c r="F34" s="153" t="s">
        <v>67</v>
      </c>
      <c r="G34" s="100"/>
      <c r="H34" s="100"/>
      <c r="I34" s="100"/>
      <c r="J34" s="100"/>
      <c r="K34" s="100"/>
      <c r="L34" s="111"/>
      <c r="M34" s="116" t="str">
        <f t="shared" si="0"/>
        <v/>
      </c>
      <c r="N34" s="54"/>
      <c r="O34" s="9"/>
    </row>
    <row r="35" spans="2:15" ht="30" x14ac:dyDescent="0.4">
      <c r="B35" s="7"/>
      <c r="C35" s="3"/>
      <c r="D35" s="127"/>
      <c r="E35" s="108"/>
      <c r="F35" s="157" t="s">
        <v>68</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v>1</v>
      </c>
      <c r="F38" s="122" t="s">
        <v>76</v>
      </c>
      <c r="G38" s="154"/>
      <c r="H38" s="154"/>
      <c r="I38" s="154"/>
      <c r="J38" s="154"/>
      <c r="K38" s="124"/>
      <c r="L38" s="156">
        <v>500</v>
      </c>
      <c r="M38" s="116">
        <f t="shared" si="0"/>
        <v>500</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68"/>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2" t="s">
        <v>26</v>
      </c>
      <c r="M49" s="163">
        <f>SUM(M30:M41)</f>
        <v>1435</v>
      </c>
      <c r="N49" s="54"/>
      <c r="O49" s="9"/>
    </row>
    <row r="50" spans="2:16" ht="35.25" x14ac:dyDescent="0.5">
      <c r="B50" s="7"/>
      <c r="C50" s="3"/>
      <c r="D50" s="101"/>
      <c r="E50" s="97" t="s">
        <v>57</v>
      </c>
      <c r="F50" s="77"/>
      <c r="G50" s="77"/>
      <c r="H50" s="77"/>
      <c r="I50" s="77"/>
      <c r="J50" s="78"/>
      <c r="K50" s="92"/>
      <c r="L50" s="164" t="s">
        <v>47</v>
      </c>
      <c r="M50" s="163">
        <v>1</v>
      </c>
      <c r="N50" s="54"/>
      <c r="O50" s="9"/>
    </row>
    <row r="51" spans="2:16" ht="35.25" x14ac:dyDescent="0.5">
      <c r="B51" s="7"/>
      <c r="C51" s="3"/>
      <c r="D51" s="98"/>
      <c r="E51" s="97" t="s">
        <v>58</v>
      </c>
      <c r="F51" s="77"/>
      <c r="G51" s="77"/>
      <c r="H51" s="77"/>
      <c r="I51" s="77"/>
      <c r="J51" s="80"/>
      <c r="K51" s="93"/>
      <c r="L51" s="165">
        <v>0.19</v>
      </c>
      <c r="M51" s="163"/>
      <c r="N51" s="54"/>
      <c r="O51" s="9"/>
    </row>
    <row r="52" spans="2:16" ht="35.25" x14ac:dyDescent="0.5">
      <c r="B52" s="7"/>
      <c r="C52" s="3"/>
      <c r="D52" s="85"/>
      <c r="E52" s="100"/>
      <c r="F52" s="96"/>
      <c r="G52" s="82"/>
      <c r="H52" s="81"/>
      <c r="I52" s="77"/>
      <c r="J52" s="83"/>
      <c r="K52" s="92"/>
      <c r="L52" s="166" t="s">
        <v>28</v>
      </c>
      <c r="M52" s="167">
        <f>+M49+M50+M51</f>
        <v>1436</v>
      </c>
      <c r="N52" s="54"/>
      <c r="O52" s="9"/>
    </row>
    <row r="53" spans="2:16" ht="18" x14ac:dyDescent="0.2">
      <c r="B53" s="7"/>
      <c r="C53" s="3"/>
      <c r="D53" s="76"/>
      <c r="E53" s="86"/>
      <c r="F53" s="99"/>
      <c r="G53" s="77"/>
      <c r="H53" s="64"/>
      <c r="I53" s="77"/>
      <c r="J53" s="84" t="s">
        <v>27</v>
      </c>
      <c r="K53" s="78"/>
      <c r="L53" s="161"/>
      <c r="M53" s="161"/>
      <c r="N53" s="54"/>
      <c r="O53" s="9"/>
    </row>
    <row r="54" spans="2:16" x14ac:dyDescent="0.2">
      <c r="B54" s="7"/>
      <c r="C54" s="3"/>
      <c r="D54" s="189"/>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03/12/2024</v>
      </c>
      <c r="D8" s="67" t="str">
        <f>Facture!$E$22</f>
        <v xml:space="preserve">ALMES </v>
      </c>
      <c r="E8" s="64" t="str">
        <f>Facture!$E$23</f>
        <v>GP1, KM 12 BOUMHEL</v>
      </c>
      <c r="F8" s="64">
        <f>Facture!$E$24</f>
        <v>1053</v>
      </c>
      <c r="G8" s="67">
        <f>Facture!$G$24</f>
        <v>0</v>
      </c>
      <c r="H8" s="67" t="str">
        <f>Facture!$J$24</f>
        <v>TN</v>
      </c>
      <c r="I8" s="64">
        <f>Facture!$E$25</f>
        <v>0</v>
      </c>
      <c r="J8" s="68">
        <f>Facture!$M$52</f>
        <v>1436</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2024-12-03T09:15:14Z</cp:lastPrinted>
  <dcterms:created xsi:type="dcterms:W3CDTF">1995-05-29T15:50:39Z</dcterms:created>
  <dcterms:modified xsi:type="dcterms:W3CDTF">2024-12-03T09:20:06Z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1436</vt:r8>
  </property>
</Properties>
</file>