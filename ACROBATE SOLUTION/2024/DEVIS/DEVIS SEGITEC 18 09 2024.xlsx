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9" i="3" l="1"/>
  <c r="M45" i="3"/>
  <c r="M35" i="3"/>
  <c r="M34" i="3"/>
  <c r="M32" i="3"/>
  <c r="M30" i="3"/>
  <c r="M28" i="3"/>
  <c r="M51" i="3" l="1"/>
  <c r="M53" i="3" l="1"/>
  <c r="F33" i="2"/>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<sst xmlns="http://schemas.openxmlformats.org/spreadsheetml/2006/main" count="91" uniqueCount="80">
  <si>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</si>
  <si>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</si>
  <si>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</si>
  <si>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</si>
  <si>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</si>
  <si>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</si>
  <si>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</si>
  <si>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</si>
  <si>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</si>
  <si>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</si>
  <si>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</si>
  <si>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</si>
  <si>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</si>
  <si>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</si>
  <si>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</si>
  <si>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</si>
  <si>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</si>
  <si>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</si>
  <si>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</si>
  <si>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</si>
  <si>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</si>
  <si>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</si>
  <si>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</si>
  <si>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</si>
  <si>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</si>
  <si>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</si>
  <si>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</si>
  <si>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</si>
  <si>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</si>
  <si>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</si>
  <si>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</si>
  <si>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</si>
  <si>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</si>
  <si>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</si>
  <si>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</si>
  <si>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</si>
  <si>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</si>
  <si>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</si>
  <si>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</si>
  <si>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</si>
  <si>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</si>
  <si>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</si>
  <si>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</si>
  <si>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</si>
  <si>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</si>
  <si>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</si>
  <si>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</si>
  <si>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</si>
  <si>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</si>
  <si>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</si>
  <si>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</si>
  <si>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</si>
  <si>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</si>
  <si>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</si>
  <si>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</si>
  <si>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</si>
  <si>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</si>
  <si>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</si>
  <si>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</si>
  <si>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</si>
  <si>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</si>
  <si>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</si>
  <si>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</si>
  <si>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</si>
  <si>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</si>
  <si>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</si>
  <si>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FAX:</t>
  </si>
  <si>
    <t xml:space="preserve">SERVICE ACHAT </t>
  </si>
  <si>
    <t>COBRA 20m</t>
  </si>
  <si>
    <t>Poulie EN12278</t>
  </si>
  <si>
    <t>Mousqueton d'ancrage EN 362</t>
  </si>
  <si>
    <t>Longe DOUBLE cordage EN355 EN354 EN362</t>
  </si>
  <si>
    <t>Harnais de sécurité  EN361</t>
  </si>
  <si>
    <t>Enrouleur stop chute 6M  EN 360</t>
  </si>
  <si>
    <t>SAFETOP</t>
  </si>
  <si>
    <t>ENROULEUR A CABLE  EN 360</t>
  </si>
  <si>
    <t>IKAR 9M</t>
  </si>
  <si>
    <t xml:space="preserve">Pays </t>
  </si>
  <si>
    <t>DEVIS  N°2024-1057</t>
  </si>
  <si>
    <t xml:space="preserve">SEGITEC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</si>
</sst>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sz val="22"/>
      <name val="Arial"/>
      <family val="2"/>
    </font>
    <font>
      <b/>
      <sz val="24"/>
      <name val="Arial"/>
      <family val="2"/>
    </font>
    <font>
      <u/>
      <sz val="18"/>
      <color theme="10"/>
      <name val="Arial"/>
      <family val="2"/>
    </font>
    <font>
      <u/>
      <sz val="20"/>
      <color theme="10"/>
      <name val="Arial"/>
      <family val="2"/>
    </font>
    <font>
      <b/>
      <sz val="16"/>
      <color theme="1"/>
      <name val="Arial"/>
      <family val="2"/>
    </font>
    <font>
      <sz val="18"/>
      <name val="Aparajita"/>
      <family val="2"/>
    </font>
    <font>
      <sz val="18"/>
      <color rgb="FF000000"/>
      <name val="Arial"/>
      <family val="2"/>
    </font>
    <font>
      <sz val="9"/>
      <color rgb="FF000000"/>
      <name val="Arial"/>
      <family val="2"/>
    </font>
    <font>
      <u/>
      <sz val="18"/>
      <color theme="10"/>
      <name val="Aparajita"/>
      <family val="2"/>
    </font>
    <font>
      <b/>
      <sz val="9"/>
      <name val="Arial"/>
      <family val="2"/>
    </font>
    <font>
      <b/>
      <sz val="26"/>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8" fillId="0" borderId="0" xfId="0" applyNumberFormat="1" applyFont="1" applyFill="1" applyBorder="1"/>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0" fontId="27" fillId="3" borderId="0" xfId="0" applyFont="1" applyFill="1" applyBorder="1"/>
    <xf numFmtId="0" fontId="17" fillId="6" borderId="0" xfId="0" applyFont="1" applyFill="1" applyBorder="1" applyAlignment="1">
      <alignment vertical="top"/>
    </xf>
    <xf numFmtId="0" fontId="20" fillId="3" borderId="0" xfId="0" applyFont="1" applyFill="1" applyBorder="1"/>
    <xf numFmtId="0" fontId="28"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6"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10" fontId="24" fillId="0" borderId="45" xfId="0" quotePrefix="1" applyNumberFormat="1" applyFont="1" applyFill="1" applyBorder="1" applyAlignment="1">
      <alignment horizontal="center"/>
    </xf>
    <xf numFmtId="0" fontId="0" fillId="6" borderId="0" xfId="0" applyFill="1" applyBorder="1"/>
    <xf numFmtId="0" fontId="27" fillId="0" borderId="0" xfId="0" applyFont="1" applyFill="1" applyBorder="1" applyAlignment="1">
      <alignment horizontal="left"/>
    </xf>
    <xf numFmtId="168" fontId="25" fillId="0" borderId="30" xfId="0" applyNumberFormat="1" applyFont="1" applyFill="1" applyBorder="1" applyAlignment="1">
      <alignment shrinkToFit="1"/>
    </xf>
    <xf numFmtId="0" fontId="17" fillId="6" borderId="0" xfId="0" applyFont="1" applyFill="1" applyAlignment="1">
      <alignment vertical="top"/>
    </xf>
    <xf numFmtId="0" fontId="17" fillId="6" borderId="49"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3" fillId="0" borderId="0" xfId="5" applyNumberFormat="1" applyFill="1" applyBorder="1" applyAlignment="1"/>
    <xf numFmtId="0" fontId="0" fillId="6" borderId="0" xfId="0" applyFill="1"/>
    <xf numFmtId="0" fontId="22" fillId="0" borderId="28" xfId="0" applyFont="1" applyFill="1" applyBorder="1" applyAlignment="1">
      <alignment horizontal="center"/>
    </xf>
    <xf numFmtId="1" fontId="29" fillId="0" borderId="29" xfId="0" applyNumberFormat="1" applyFont="1" applyFill="1" applyBorder="1" applyAlignment="1">
      <alignment horizontal="center"/>
    </xf>
    <xf numFmtId="0" fontId="34" fillId="6" borderId="0" xfId="0" applyFont="1" applyFill="1" applyBorder="1" applyAlignment="1">
      <alignment vertical="top"/>
    </xf>
    <xf numFmtId="0" fontId="31" fillId="0" borderId="0" xfId="0" applyFont="1" applyFill="1" applyBorder="1"/>
    <xf numFmtId="0" fontId="35" fillId="3" borderId="0" xfId="0" applyFont="1" applyFill="1" applyBorder="1" applyAlignment="1">
      <alignment horizontal="left"/>
    </xf>
    <xf numFmtId="49" fontId="28" fillId="3" borderId="34" xfId="0" applyNumberFormat="1" applyFont="1" applyFill="1" applyBorder="1" applyAlignment="1">
      <alignment horizontal="left"/>
    </xf>
    <xf numFmtId="0" fontId="35" fillId="3" borderId="35" xfId="0" applyFont="1" applyFill="1" applyBorder="1" applyAlignment="1">
      <alignment horizontal="left"/>
    </xf>
    <xf numFmtId="0" fontId="35" fillId="3" borderId="35" xfId="0" applyFont="1" applyFill="1" applyBorder="1" applyAlignment="1"/>
    <xf numFmtId="0" fontId="22" fillId="0" borderId="50" xfId="0" applyFont="1" applyFill="1" applyBorder="1" applyAlignment="1">
      <alignment horizontal="center"/>
    </xf>
    <xf numFmtId="49" fontId="22" fillId="0" borderId="28" xfId="0" applyNumberFormat="1" applyFont="1" applyFill="1" applyBorder="1" applyAlignment="1">
      <alignment horizontal="center"/>
    </xf>
    <xf numFmtId="0" fontId="2" fillId="6" borderId="0" xfId="0" applyFont="1" applyFill="1" applyBorder="1"/>
    <xf numFmtId="0" fontId="17" fillId="3" borderId="0" xfId="0" applyFont="1" applyFill="1" applyBorder="1" applyAlignment="1"/>
    <xf numFmtId="169" fontId="17" fillId="0" borderId="29" xfId="0" applyNumberFormat="1" applyFont="1" applyFill="1" applyBorder="1"/>
    <xf numFmtId="169" fontId="29" fillId="0" borderId="29" xfId="0" applyNumberFormat="1" applyFont="1" applyFill="1" applyBorder="1"/>
    <xf numFmtId="0" fontId="27" fillId="3" borderId="0" xfId="0" applyFont="1" applyFill="1" applyBorder="1" applyAlignment="1">
      <alignment horizontal="left"/>
    </xf>
    <xf numFmtId="1" fontId="36" fillId="0" borderId="29" xfId="0" applyNumberFormat="1" applyFont="1" applyFill="1" applyBorder="1" applyAlignment="1">
      <alignment horizontal="center"/>
    </xf>
    <xf numFmtId="49" fontId="28" fillId="0" borderId="28" xfId="0" applyNumberFormat="1" applyFont="1" applyFill="1" applyBorder="1" applyAlignment="1"/>
    <xf numFmtId="49" fontId="36" fillId="0" borderId="0" xfId="0" applyNumberFormat="1" applyFont="1" applyFill="1" applyBorder="1" applyAlignment="1"/>
    <xf numFmtId="49" fontId="31" fillId="0" borderId="0" xfId="0" applyNumberFormat="1" applyFont="1" applyFill="1" applyBorder="1" applyAlignment="1"/>
    <xf numFmtId="170" fontId="38" fillId="0" borderId="29" xfId="0" applyNumberFormat="1" applyFont="1" applyFill="1" applyBorder="1" applyAlignment="1"/>
    <xf numFmtId="0" fontId="36" fillId="6" borderId="0" xfId="0" applyFont="1" applyFill="1" applyBorder="1"/>
    <xf numFmtId="0" fontId="36" fillId="3" borderId="0" xfId="0" applyFont="1" applyFill="1" applyBorder="1" applyAlignment="1"/>
    <xf numFmtId="49" fontId="39" fillId="0" borderId="0" xfId="5" applyNumberFormat="1" applyFont="1" applyFill="1" applyBorder="1" applyAlignment="1"/>
    <xf numFmtId="49" fontId="40" fillId="0" borderId="39" xfId="5" applyNumberFormat="1" applyFont="1" applyFill="1" applyBorder="1" applyAlignment="1"/>
    <xf numFmtId="168" fontId="27" fillId="0" borderId="29" xfId="0" applyNumberFormat="1" applyFont="1" applyFill="1" applyBorder="1" applyAlignment="1"/>
    <xf numFmtId="0" fontId="41" fillId="7" borderId="51" xfId="0" applyFont="1" applyFill="1" applyBorder="1"/>
    <xf numFmtId="0" fontId="42" fillId="7" borderId="0" xfId="0" applyFont="1" applyFill="1"/>
    <xf numFmtId="0" fontId="43" fillId="7" borderId="0" xfId="0" applyFont="1" applyFill="1" applyAlignment="1"/>
    <xf numFmtId="0" fontId="36" fillId="7" borderId="0" xfId="0" applyFont="1" applyFill="1"/>
    <xf numFmtId="0" fontId="44" fillId="7" borderId="0" xfId="0" applyFont="1" applyFill="1" applyAlignment="1"/>
    <xf numFmtId="49" fontId="39" fillId="0" borderId="0" xfId="5" applyNumberFormat="1" applyFont="1" applyFill="1" applyBorder="1" applyAlignment="1" applyProtection="1"/>
    <xf numFmtId="0" fontId="17" fillId="6" borderId="0" xfId="0" applyFont="1" applyFill="1" applyBorder="1" applyAlignment="1">
      <alignment horizontal="left"/>
    </xf>
    <xf numFmtId="49" fontId="36" fillId="0" borderId="0" xfId="0" applyNumberFormat="1" applyFont="1" applyFill="1" applyBorder="1" applyAlignment="1">
      <alignment horizontal="left" vertical="top"/>
    </xf>
    <xf numFmtId="49" fontId="27" fillId="0" borderId="0" xfId="0" applyNumberFormat="1" applyFont="1" applyFill="1" applyBorder="1" applyAlignment="1">
      <alignment horizontal="left" vertical="top"/>
    </xf>
    <xf numFmtId="168" fontId="27" fillId="0" borderId="29" xfId="0" applyNumberFormat="1" applyFont="1" applyFill="1" applyBorder="1" applyAlignment="1">
      <alignment shrinkToFit="1"/>
    </xf>
    <xf numFmtId="49" fontId="20" fillId="0" borderId="28" xfId="0" applyNumberFormat="1" applyFont="1" applyFill="1" applyBorder="1" applyAlignment="1"/>
    <xf numFmtId="49" fontId="45" fillId="0" borderId="0" xfId="5" applyNumberFormat="1" applyFont="1" applyFill="1" applyBorder="1" applyAlignment="1" applyProtection="1"/>
    <xf numFmtId="0" fontId="21" fillId="3" borderId="0" xfId="0" applyFont="1" applyFill="1" applyBorder="1" applyAlignment="1"/>
    <xf numFmtId="0" fontId="46" fillId="6" borderId="29" xfId="0" applyFont="1" applyFill="1" applyBorder="1"/>
    <xf numFmtId="169" fontId="27" fillId="0" borderId="29" xfId="0" applyNumberFormat="1" applyFont="1" applyFill="1" applyBorder="1"/>
    <xf numFmtId="49" fontId="28" fillId="0" borderId="0" xfId="0" applyNumberFormat="1" applyFont="1" applyFill="1" applyBorder="1" applyAlignment="1"/>
    <xf numFmtId="169" fontId="18" fillId="0" borderId="29" xfId="0" applyNumberFormat="1" applyFont="1" applyFill="1" applyBorder="1"/>
    <xf numFmtId="1" fontId="37" fillId="0" borderId="46" xfId="0" applyNumberFormat="1" applyFont="1" applyFill="1" applyBorder="1" applyAlignment="1">
      <alignment horizontal="center"/>
    </xf>
    <xf numFmtId="49" fontId="28" fillId="0" borderId="50" xfId="0" applyNumberFormat="1" applyFont="1" applyFill="1" applyBorder="1" applyAlignment="1"/>
    <xf numFmtId="0" fontId="2" fillId="6" borderId="47" xfId="0" applyFont="1" applyFill="1" applyBorder="1"/>
    <xf numFmtId="0" fontId="17" fillId="3" borderId="47" xfId="0" applyFont="1" applyFill="1" applyBorder="1" applyAlignment="1"/>
    <xf numFmtId="0" fontId="17" fillId="3" borderId="48" xfId="0" applyFont="1" applyFill="1" applyBorder="1" applyAlignment="1"/>
    <xf numFmtId="167" fontId="22" fillId="0" borderId="52" xfId="0" quotePrefix="1" applyNumberFormat="1"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28" fillId="3" borderId="34" xfId="0" applyNumberFormat="1" applyFont="1" applyFill="1" applyBorder="1" applyAlignment="1">
      <alignment horizontal="left"/>
    </xf>
    <xf numFmtId="14" fontId="28" fillId="3" borderId="34" xfId="0" quotePrefix="1" applyNumberFormat="1" applyFont="1" applyFill="1" applyBorder="1" applyAlignment="1">
      <alignment horizontal="left"/>
    </xf>
    <xf numFmtId="0" fontId="18" fillId="3" borderId="35" xfId="0" applyFont="1" applyFill="1" applyBorder="1" applyAlignment="1">
      <alignment horizontal="left"/>
    </xf>
    <xf numFmtId="0" fontId="28" fillId="3" borderId="35" xfId="0" applyFont="1" applyFill="1" applyBorder="1" applyAlignment="1">
      <alignment horizontal="left"/>
    </xf>
    <xf numFmtId="49" fontId="47" fillId="3" borderId="34" xfId="0"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35"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0" fontId="2" fillId="3" borderId="0" xfId="0" applyFont="1" applyFill="1" applyBorder="1" applyAlignment="1">
      <alignment shrinkToFit="1"/>
    </xf>
    <xf numFmtId="3" fontId="35" fillId="3" borderId="35" xfId="0" applyNumberFormat="1" applyFont="1" applyFill="1" applyBorder="1" applyAlignment="1">
      <alignment horizontal="center"/>
    </xf>
    <xf numFmtId="0" fontId="35"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31750</xdr:colOff>
          <xdr:row>34</xdr:row>
          <xdr:rowOff>142875</xdr:rowOff>
        </xdr:from>
        <xdr:to>
          <xdr:col>11</xdr:col>
          <xdr:colOff>47625</xdr:colOff>
          <xdr:row>41</xdr:row>
          <xdr:rowOff>136525</xdr:rowOff>
        </xdr:to>
        <xdr:pic>
          <xdr:nvPicPr>
            <xdr:cNvPr id="11" name="Image 10"/>
            <xdr:cNvPicPr>
              <a:picLocks noChangeAspect="1" noChangeArrowheads="1"/>
              <a:extLst>
                <a:ext uri="{84589F7E-364E-4C9E-8A38-B11213B215E9}">
                  <a14:cameraTool cellRange="[3]Facture!$F$30:$L$38" spid="_x0000_s2132"/>
                </a:ext>
              </a:extLst>
            </xdr:cNvPicPr>
          </xdr:nvPicPr>
          <xdr:blipFill>
            <a:blip xmlns:r="http://schemas.openxmlformats.org/officeDocument/2006/relationships" r:embed="rId4"/>
            <a:srcRect/>
            <a:stretch>
              <a:fillRect/>
            </a:stretch>
          </xdr:blipFill>
          <xdr:spPr bwMode="auto">
            <a:xfrm>
              <a:off x="3260725" y="8953500"/>
              <a:ext cx="5006975" cy="24606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NIA%20COM%20%20devis%20corde%20%2008%2003%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C16"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62</v>
      </c>
      <c r="E18" s="73"/>
      <c r="F18" s="73"/>
      <c r="G18" s="73"/>
      <c r="H18" s="3"/>
      <c r="I18" s="3"/>
      <c r="J18" s="3"/>
      <c r="K18" s="3"/>
      <c r="L18" s="178" t="s">
        <v>78</v>
      </c>
      <c r="M18" s="3"/>
      <c r="N18" s="3"/>
      <c r="O18" s="9"/>
    </row>
    <row r="19" spans="2:15" ht="21.95" customHeight="1" thickTop="1" x14ac:dyDescent="0.3">
      <c r="B19" s="7"/>
      <c r="C19" s="3"/>
      <c r="D19" s="53"/>
      <c r="E19" s="53"/>
      <c r="F19" s="53"/>
      <c r="G19" s="53"/>
      <c r="H19" s="53"/>
      <c r="I19" s="53"/>
      <c r="J19" s="54"/>
      <c r="K19" s="54"/>
      <c r="L19" s="179"/>
      <c r="M19" s="54"/>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customHeight="1" x14ac:dyDescent="0.5">
      <c r="B22" s="7"/>
      <c r="C22" s="3"/>
      <c r="D22" s="127" t="s">
        <v>53</v>
      </c>
      <c r="E22" s="185" t="s">
        <v>79</v>
      </c>
      <c r="F22" s="185"/>
      <c r="G22" s="185"/>
      <c r="H22" s="185"/>
      <c r="I22" s="185"/>
      <c r="J22" s="185"/>
      <c r="K22" s="129"/>
      <c r="L22" s="127" t="s">
        <v>19</v>
      </c>
      <c r="M22" s="181">
        <v>45553</v>
      </c>
      <c r="N22" s="182"/>
      <c r="O22" s="9"/>
    </row>
    <row r="23" spans="2:15" ht="23.25" x14ac:dyDescent="0.35">
      <c r="B23" s="7"/>
      <c r="C23" s="3"/>
      <c r="D23" s="127" t="s">
        <v>54</v>
      </c>
      <c r="E23" s="130"/>
      <c r="F23" s="130"/>
      <c r="G23" s="130"/>
      <c r="H23" s="130"/>
      <c r="I23" s="130"/>
      <c r="J23" s="130"/>
      <c r="K23" s="129"/>
      <c r="L23" s="127" t="s">
        <v>64</v>
      </c>
      <c r="M23" s="128"/>
      <c r="N23" s="128"/>
      <c r="O23" s="9"/>
    </row>
    <row r="24" spans="2:15" ht="23.25" x14ac:dyDescent="0.35">
      <c r="B24" s="7"/>
      <c r="C24" s="3"/>
      <c r="D24" s="127" t="s">
        <v>55</v>
      </c>
      <c r="E24" s="188"/>
      <c r="F24" s="188"/>
      <c r="G24" s="188"/>
      <c r="H24" s="188"/>
      <c r="I24" s="188" t="s">
        <v>77</v>
      </c>
      <c r="J24" s="188" t="s">
        <v>59</v>
      </c>
      <c r="K24" s="129"/>
      <c r="L24" s="127" t="s">
        <v>20</v>
      </c>
      <c r="M24" s="183" t="s">
        <v>67</v>
      </c>
      <c r="N24" s="183"/>
      <c r="O24" s="9"/>
    </row>
    <row r="25" spans="2:15" ht="23.25" x14ac:dyDescent="0.35">
      <c r="B25" s="7"/>
      <c r="C25" s="3"/>
      <c r="D25" s="127" t="s">
        <v>56</v>
      </c>
      <c r="E25" s="193"/>
      <c r="F25" s="194"/>
      <c r="G25" s="130" t="s">
        <v>66</v>
      </c>
      <c r="H25" s="193"/>
      <c r="I25" s="193"/>
      <c r="J25" s="130"/>
      <c r="K25" s="129"/>
      <c r="L25" s="127" t="s">
        <v>65</v>
      </c>
      <c r="M25" s="184"/>
      <c r="N25" s="184"/>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89" t="s">
        <v>23</v>
      </c>
      <c r="G27" s="190"/>
      <c r="H27" s="190"/>
      <c r="I27" s="190"/>
      <c r="J27" s="190"/>
      <c r="K27" s="191"/>
      <c r="L27" s="87" t="s">
        <v>24</v>
      </c>
      <c r="M27" s="88" t="s">
        <v>25</v>
      </c>
      <c r="N27" s="89"/>
      <c r="O27" s="9"/>
    </row>
    <row r="28" spans="2:15" ht="30" x14ac:dyDescent="0.4">
      <c r="B28" s="7"/>
      <c r="C28" s="3"/>
      <c r="D28" s="132"/>
      <c r="E28" s="138">
        <v>1</v>
      </c>
      <c r="F28" s="139" t="s">
        <v>69</v>
      </c>
      <c r="G28" s="140"/>
      <c r="H28" s="140"/>
      <c r="I28" s="140"/>
      <c r="J28" s="140"/>
      <c r="K28" s="141"/>
      <c r="L28" s="142">
        <v>220</v>
      </c>
      <c r="M28" s="142">
        <f t="shared" ref="M28" si="0">+L28*E28</f>
        <v>220</v>
      </c>
      <c r="N28" s="52"/>
      <c r="O28" s="9"/>
    </row>
    <row r="29" spans="2:15" ht="30" x14ac:dyDescent="0.4">
      <c r="B29" s="7"/>
      <c r="C29" s="3"/>
      <c r="D29" s="123"/>
      <c r="E29" s="138"/>
      <c r="F29" s="139"/>
      <c r="G29" s="140"/>
      <c r="H29" s="140"/>
      <c r="I29" s="140"/>
      <c r="J29" s="140"/>
      <c r="K29" s="141"/>
      <c r="L29" s="142"/>
      <c r="M29" s="142"/>
      <c r="N29" s="52"/>
      <c r="O29" s="9"/>
    </row>
    <row r="30" spans="2:15" ht="30" x14ac:dyDescent="0.4">
      <c r="B30" s="7"/>
      <c r="C30" s="3"/>
      <c r="D30" s="123"/>
      <c r="E30" s="138">
        <v>1</v>
      </c>
      <c r="F30" s="139" t="s">
        <v>70</v>
      </c>
      <c r="G30" s="140"/>
      <c r="H30" s="140"/>
      <c r="I30" s="140"/>
      <c r="J30" s="140"/>
      <c r="K30" s="141"/>
      <c r="L30" s="142">
        <v>24</v>
      </c>
      <c r="M30" s="142">
        <f t="shared" ref="M30:M35" si="1">+L30*E30</f>
        <v>24</v>
      </c>
      <c r="N30" s="52"/>
      <c r="O30" s="9"/>
    </row>
    <row r="31" spans="2:15" ht="30" x14ac:dyDescent="0.4">
      <c r="B31" s="7"/>
      <c r="C31" s="3"/>
      <c r="D31" s="123"/>
      <c r="E31" s="138"/>
      <c r="F31" s="139"/>
      <c r="G31" s="140"/>
      <c r="H31" s="140"/>
      <c r="I31" s="140"/>
      <c r="J31" s="140"/>
      <c r="K31" s="141"/>
      <c r="L31" s="142"/>
      <c r="M31" s="142"/>
      <c r="N31" s="52"/>
      <c r="O31" s="9"/>
    </row>
    <row r="32" spans="2:15" ht="30" x14ac:dyDescent="0.4">
      <c r="B32" s="7"/>
      <c r="C32" s="3"/>
      <c r="D32" s="123"/>
      <c r="E32" s="138">
        <v>1</v>
      </c>
      <c r="F32" s="139" t="s">
        <v>71</v>
      </c>
      <c r="G32" s="143"/>
      <c r="H32" s="144"/>
      <c r="I32" s="145"/>
      <c r="J32" s="140"/>
      <c r="K32" s="146"/>
      <c r="L32" s="142">
        <v>240</v>
      </c>
      <c r="M32" s="142">
        <f t="shared" si="1"/>
        <v>240</v>
      </c>
      <c r="N32" s="52"/>
      <c r="O32" s="9"/>
    </row>
    <row r="33" spans="2:15" ht="30" x14ac:dyDescent="0.4">
      <c r="B33" s="7"/>
      <c r="C33" s="3"/>
      <c r="D33" s="123"/>
      <c r="E33" s="138"/>
      <c r="F33" s="139"/>
      <c r="G33" s="143"/>
      <c r="H33" s="144"/>
      <c r="I33" s="145"/>
      <c r="J33" s="140"/>
      <c r="K33" s="146"/>
      <c r="L33" s="147"/>
      <c r="M33" s="142"/>
      <c r="N33" s="52"/>
      <c r="O33" s="9"/>
    </row>
    <row r="34" spans="2:15" ht="32.25" x14ac:dyDescent="0.55000000000000004">
      <c r="B34" s="7"/>
      <c r="C34" s="3"/>
      <c r="D34" s="123"/>
      <c r="E34" s="138">
        <v>1</v>
      </c>
      <c r="F34" s="148" t="s">
        <v>72</v>
      </c>
      <c r="G34" s="149"/>
      <c r="H34" s="150"/>
      <c r="I34" s="151"/>
      <c r="J34" s="151"/>
      <c r="K34" s="152"/>
      <c r="L34" s="142">
        <v>270</v>
      </c>
      <c r="M34" s="142">
        <f t="shared" si="1"/>
        <v>270</v>
      </c>
      <c r="N34" s="52"/>
      <c r="O34" s="9"/>
    </row>
    <row r="35" spans="2:15" ht="30" x14ac:dyDescent="0.4">
      <c r="B35" s="7"/>
      <c r="C35" s="3"/>
      <c r="D35" s="123"/>
      <c r="E35" s="138">
        <v>100</v>
      </c>
      <c r="F35" s="139"/>
      <c r="G35" s="153"/>
      <c r="H35" s="153"/>
      <c r="I35" s="153"/>
      <c r="J35" s="153"/>
      <c r="K35" s="154"/>
      <c r="L35" s="142">
        <v>5.9</v>
      </c>
      <c r="M35" s="142">
        <f t="shared" si="1"/>
        <v>590</v>
      </c>
      <c r="N35" s="52"/>
      <c r="O35" s="9"/>
    </row>
    <row r="36" spans="2:15" ht="30" x14ac:dyDescent="0.4">
      <c r="B36" s="7"/>
      <c r="C36" s="3"/>
      <c r="D36" s="123"/>
      <c r="E36" s="138"/>
      <c r="F36" s="139"/>
      <c r="G36" s="153"/>
      <c r="H36" s="153"/>
      <c r="I36" s="153"/>
      <c r="J36" s="153"/>
      <c r="K36" s="154"/>
      <c r="L36" s="142"/>
      <c r="M36" s="142"/>
      <c r="N36" s="52"/>
      <c r="O36" s="9"/>
    </row>
    <row r="37" spans="2:15" ht="30" x14ac:dyDescent="0.4">
      <c r="B37" s="7"/>
      <c r="C37" s="3"/>
      <c r="D37" s="123"/>
      <c r="E37" s="138"/>
      <c r="F37" s="139"/>
      <c r="G37" s="140"/>
      <c r="H37" s="140"/>
      <c r="I37" s="140"/>
      <c r="J37" s="140"/>
      <c r="K37" s="141"/>
      <c r="L37" s="142"/>
      <c r="M37" s="142"/>
      <c r="N37" s="52"/>
      <c r="O37" s="9"/>
    </row>
    <row r="38" spans="2:15" ht="30" x14ac:dyDescent="0.4">
      <c r="B38" s="7"/>
      <c r="C38" s="3"/>
      <c r="D38" s="123"/>
      <c r="E38" s="138"/>
      <c r="F38" s="139"/>
      <c r="G38" s="140"/>
      <c r="H38" s="140"/>
      <c r="I38" s="140"/>
      <c r="J38" s="140"/>
      <c r="K38" s="141"/>
      <c r="L38" s="142"/>
      <c r="M38" s="142"/>
      <c r="N38" s="52"/>
      <c r="O38" s="9"/>
    </row>
    <row r="39" spans="2:15" ht="30" x14ac:dyDescent="0.4">
      <c r="B39" s="7"/>
      <c r="C39" s="3"/>
      <c r="D39" s="123"/>
      <c r="E39" s="138"/>
      <c r="F39" s="139"/>
      <c r="G39" s="140"/>
      <c r="H39" s="140"/>
      <c r="I39" s="140"/>
      <c r="J39" s="140"/>
      <c r="K39" s="141"/>
      <c r="L39" s="142"/>
      <c r="M39" s="142"/>
      <c r="N39" s="52"/>
      <c r="O39" s="9"/>
    </row>
    <row r="40" spans="2:15" ht="30" x14ac:dyDescent="0.4">
      <c r="B40" s="7"/>
      <c r="C40" s="3"/>
      <c r="D40" s="123"/>
      <c r="E40" s="138"/>
      <c r="F40" s="139"/>
      <c r="G40" s="140"/>
      <c r="H40" s="140"/>
      <c r="I40" s="140"/>
      <c r="J40" s="140"/>
      <c r="K40" s="141"/>
      <c r="L40" s="142"/>
      <c r="M40" s="142"/>
      <c r="N40" s="52"/>
      <c r="O40" s="9"/>
    </row>
    <row r="41" spans="2:15" ht="30" x14ac:dyDescent="0.4">
      <c r="B41" s="7"/>
      <c r="C41" s="3"/>
      <c r="D41" s="123"/>
      <c r="E41" s="138"/>
      <c r="F41" s="139"/>
      <c r="G41" s="140"/>
      <c r="H41" s="140"/>
      <c r="I41" s="140"/>
      <c r="J41" s="140"/>
      <c r="K41" s="141"/>
      <c r="L41" s="142"/>
      <c r="M41" s="142"/>
      <c r="N41" s="52"/>
      <c r="O41" s="9"/>
    </row>
    <row r="42" spans="2:15" ht="30" x14ac:dyDescent="0.4">
      <c r="B42" s="7"/>
      <c r="C42" s="3"/>
      <c r="D42" s="123"/>
      <c r="E42" s="138"/>
      <c r="F42" s="139"/>
      <c r="G42" s="140"/>
      <c r="H42" s="140"/>
      <c r="I42" s="140"/>
      <c r="J42" s="140"/>
      <c r="K42" s="141"/>
      <c r="L42" s="142"/>
      <c r="M42" s="142"/>
      <c r="N42" s="52"/>
      <c r="O42" s="9"/>
    </row>
    <row r="43" spans="2:15" ht="26.25" x14ac:dyDescent="0.4">
      <c r="B43" s="7"/>
      <c r="C43" s="3"/>
      <c r="D43" s="123"/>
      <c r="E43" s="138">
        <v>1</v>
      </c>
      <c r="F43" s="139" t="s">
        <v>73</v>
      </c>
      <c r="G43" s="155"/>
      <c r="H43" s="155"/>
      <c r="I43" s="155"/>
      <c r="J43" s="155"/>
      <c r="K43" s="156"/>
      <c r="L43" s="157">
        <v>940</v>
      </c>
      <c r="M43" s="157">
        <v>940</v>
      </c>
      <c r="N43" s="52"/>
      <c r="O43" s="9"/>
    </row>
    <row r="44" spans="2:15" ht="28.5" x14ac:dyDescent="0.55000000000000004">
      <c r="B44" s="7"/>
      <c r="C44" s="3"/>
      <c r="D44" s="123"/>
      <c r="E44" s="138"/>
      <c r="F44" s="158" t="s">
        <v>74</v>
      </c>
      <c r="G44" s="159"/>
      <c r="H44" s="144"/>
      <c r="I44" s="144"/>
      <c r="J44" s="144"/>
      <c r="K44" s="160"/>
      <c r="L44" s="161"/>
      <c r="M44" s="157"/>
      <c r="N44" s="52"/>
      <c r="O44" s="9"/>
    </row>
    <row r="45" spans="2:15" ht="26.25" x14ac:dyDescent="0.4">
      <c r="B45" s="7"/>
      <c r="C45" s="3"/>
      <c r="D45" s="132"/>
      <c r="E45" s="138">
        <v>1</v>
      </c>
      <c r="F45" s="139" t="s">
        <v>75</v>
      </c>
      <c r="G45" s="145"/>
      <c r="H45" s="145"/>
      <c r="I45" s="145"/>
      <c r="J45" s="145"/>
      <c r="K45" s="121"/>
      <c r="L45" s="162">
        <v>1990</v>
      </c>
      <c r="M45" s="157">
        <f>+L45*E45</f>
        <v>1990</v>
      </c>
      <c r="N45" s="52"/>
      <c r="O45" s="9"/>
    </row>
    <row r="46" spans="2:15" ht="30" x14ac:dyDescent="0.4">
      <c r="B46" s="7"/>
      <c r="C46" s="3"/>
      <c r="D46" s="123"/>
      <c r="E46" s="138"/>
      <c r="F46" s="163" t="s">
        <v>76</v>
      </c>
      <c r="G46" s="145"/>
      <c r="H46" s="145"/>
      <c r="I46" s="145"/>
      <c r="J46" s="145"/>
      <c r="K46" s="121"/>
      <c r="L46" s="164"/>
      <c r="M46" s="142"/>
      <c r="N46" s="52"/>
      <c r="O46" s="9"/>
    </row>
    <row r="47" spans="2:15" ht="26.25" x14ac:dyDescent="0.4">
      <c r="B47" s="7"/>
      <c r="C47" s="3"/>
      <c r="D47" s="123"/>
      <c r="E47" s="124"/>
      <c r="F47" s="139"/>
      <c r="G47" s="156"/>
      <c r="H47" s="156"/>
      <c r="I47" s="156"/>
      <c r="J47" s="156"/>
      <c r="K47" s="156"/>
      <c r="L47" s="157"/>
      <c r="M47" s="157"/>
      <c r="N47" s="52"/>
      <c r="O47" s="9"/>
    </row>
    <row r="48" spans="2:15" ht="26.25" x14ac:dyDescent="0.4">
      <c r="B48" s="7"/>
      <c r="C48" s="3"/>
      <c r="D48" s="123"/>
      <c r="E48" s="124"/>
      <c r="F48" s="139"/>
      <c r="G48" s="156"/>
      <c r="H48" s="156"/>
      <c r="I48" s="156"/>
      <c r="J48" s="156"/>
      <c r="K48" s="156"/>
      <c r="L48" s="157"/>
      <c r="M48" s="157"/>
      <c r="N48" s="52"/>
      <c r="O48" s="9"/>
    </row>
    <row r="49" spans="2:15" ht="26.25" x14ac:dyDescent="0.4">
      <c r="B49" s="7"/>
      <c r="C49" s="3"/>
      <c r="D49" s="123"/>
      <c r="E49" s="124">
        <v>1</v>
      </c>
      <c r="F49" s="139" t="s">
        <v>75</v>
      </c>
      <c r="G49" s="133"/>
      <c r="H49" s="134"/>
      <c r="I49" s="133"/>
      <c r="J49" s="133"/>
      <c r="K49" s="134"/>
      <c r="L49" s="162">
        <v>2790</v>
      </c>
      <c r="M49" s="162">
        <f>+L49*E49</f>
        <v>2790</v>
      </c>
      <c r="N49" s="52"/>
      <c r="O49" s="9"/>
    </row>
    <row r="50" spans="2:15" ht="27" x14ac:dyDescent="0.35">
      <c r="B50" s="7"/>
      <c r="C50" s="3"/>
      <c r="D50" s="131"/>
      <c r="E50" s="165"/>
      <c r="F50" s="166" t="s">
        <v>68</v>
      </c>
      <c r="G50" s="167"/>
      <c r="H50" s="168"/>
      <c r="I50" s="167"/>
      <c r="J50" s="167"/>
      <c r="K50" s="169"/>
      <c r="L50" s="135"/>
      <c r="M50" s="136"/>
      <c r="N50" s="52"/>
      <c r="O50" s="9"/>
    </row>
    <row r="51" spans="2:15" ht="35.25" x14ac:dyDescent="0.5">
      <c r="B51" s="7"/>
      <c r="C51" s="3"/>
      <c r="D51" s="83"/>
      <c r="E51" s="170"/>
      <c r="F51" s="110"/>
      <c r="G51" s="107"/>
      <c r="H51" s="107"/>
      <c r="I51" s="107"/>
      <c r="J51" s="108"/>
      <c r="K51" s="109"/>
      <c r="L51" s="112" t="s">
        <v>26</v>
      </c>
      <c r="M51" s="116">
        <f>SUM(M28:M50)</f>
        <v>7064</v>
      </c>
      <c r="N51" s="52"/>
      <c r="O51" s="9"/>
    </row>
    <row r="52" spans="2:15" ht="35.25" x14ac:dyDescent="0.5">
      <c r="B52" s="7"/>
      <c r="C52" s="3"/>
      <c r="D52" s="97"/>
      <c r="E52" s="137" t="s">
        <v>57</v>
      </c>
      <c r="F52" s="75"/>
      <c r="G52" s="75"/>
      <c r="H52" s="75"/>
      <c r="I52" s="75"/>
      <c r="J52" s="76"/>
      <c r="K52" s="90"/>
      <c r="L52" s="111" t="s">
        <v>47</v>
      </c>
      <c r="M52" s="98">
        <v>1</v>
      </c>
      <c r="N52" s="52"/>
      <c r="O52" s="9"/>
    </row>
    <row r="53" spans="2:15" ht="35.25" x14ac:dyDescent="0.5">
      <c r="B53" s="7"/>
      <c r="C53" s="3"/>
      <c r="D53" s="94"/>
      <c r="E53" s="93" t="s">
        <v>58</v>
      </c>
      <c r="F53" s="75"/>
      <c r="G53" s="75"/>
      <c r="H53" s="75"/>
      <c r="I53" s="75"/>
      <c r="J53" s="78"/>
      <c r="K53" s="91"/>
      <c r="L53" s="113">
        <v>0.19</v>
      </c>
      <c r="M53" s="98">
        <f>(M51)*0.19</f>
        <v>1342.16</v>
      </c>
      <c r="N53" s="52"/>
      <c r="O53" s="9"/>
    </row>
    <row r="54" spans="2:15" ht="35.25" x14ac:dyDescent="0.5">
      <c r="B54" s="7"/>
      <c r="C54" s="3"/>
      <c r="D54" s="83"/>
      <c r="E54" s="96"/>
      <c r="F54" s="92"/>
      <c r="G54" s="80"/>
      <c r="H54" s="79"/>
      <c r="I54" s="75"/>
      <c r="J54" s="81"/>
      <c r="K54" s="90"/>
      <c r="L54" s="99" t="s">
        <v>28</v>
      </c>
      <c r="M54" s="98">
        <f>+M51+M52+M53</f>
        <v>8407.16</v>
      </c>
      <c r="N54" s="52"/>
      <c r="O54" s="9"/>
    </row>
    <row r="55" spans="2:15" ht="18" x14ac:dyDescent="0.2">
      <c r="B55" s="7"/>
      <c r="C55" s="3"/>
      <c r="D55" s="74"/>
      <c r="E55" s="84"/>
      <c r="F55" s="95"/>
      <c r="G55" s="75"/>
      <c r="H55" s="62"/>
      <c r="I55" s="75"/>
      <c r="J55" s="82" t="s">
        <v>27</v>
      </c>
      <c r="K55" s="76"/>
      <c r="L55" s="122"/>
      <c r="M55" s="122"/>
      <c r="N55" s="52"/>
      <c r="O55" s="9"/>
    </row>
    <row r="56" spans="2:15" ht="26.25" x14ac:dyDescent="0.4">
      <c r="B56" s="7"/>
      <c r="C56" s="3"/>
      <c r="D56" s="192"/>
      <c r="E56" s="192"/>
      <c r="F56" s="192"/>
      <c r="G56" s="192"/>
      <c r="H56" s="192"/>
      <c r="I56" s="192"/>
      <c r="J56" s="192"/>
      <c r="K56" s="192"/>
      <c r="L56" s="192"/>
      <c r="M56" s="115"/>
      <c r="N56" s="52"/>
      <c r="O56" s="9"/>
    </row>
    <row r="57" spans="2:15" ht="26.25" x14ac:dyDescent="0.4">
      <c r="B57" s="7"/>
      <c r="C57" s="3"/>
      <c r="D57" s="106"/>
      <c r="E57" s="106"/>
      <c r="F57" s="115"/>
      <c r="G57" s="119"/>
      <c r="H57" s="119"/>
      <c r="I57" s="119"/>
      <c r="J57" s="76"/>
      <c r="K57" s="105"/>
      <c r="L57" s="125" t="s">
        <v>63</v>
      </c>
      <c r="M57" s="125"/>
      <c r="N57" s="52"/>
      <c r="O57" s="9"/>
    </row>
    <row r="58" spans="2:15" ht="23.25" x14ac:dyDescent="0.25">
      <c r="B58" s="7"/>
      <c r="C58" s="3"/>
      <c r="D58" s="106"/>
      <c r="E58" s="106"/>
      <c r="F58" s="120"/>
      <c r="G58" s="187"/>
      <c r="H58" s="187"/>
      <c r="I58" s="187"/>
      <c r="J58" s="76"/>
      <c r="K58" s="105"/>
      <c r="L58" s="101"/>
      <c r="M58" s="101"/>
      <c r="N58" s="101"/>
      <c r="O58" s="9"/>
    </row>
    <row r="59" spans="2:15" ht="23.25" x14ac:dyDescent="0.2">
      <c r="B59" s="7"/>
      <c r="C59" s="3"/>
      <c r="D59" s="106"/>
      <c r="E59" s="106"/>
      <c r="F59" s="77"/>
      <c r="G59" s="76"/>
      <c r="H59" s="76"/>
      <c r="I59" s="76"/>
      <c r="J59" s="76"/>
      <c r="K59" s="105"/>
      <c r="L59" s="101"/>
      <c r="M59" s="101"/>
      <c r="N59" s="101"/>
      <c r="O59" s="9"/>
    </row>
    <row r="60" spans="2:15" ht="15" x14ac:dyDescent="0.2">
      <c r="B60" s="7"/>
      <c r="C60" s="3"/>
      <c r="D60" s="106"/>
      <c r="E60" s="106"/>
      <c r="F60" s="76"/>
      <c r="G60" s="76"/>
      <c r="H60" s="76"/>
      <c r="I60" s="76"/>
      <c r="J60" s="76"/>
      <c r="K60" s="101"/>
      <c r="L60" s="101"/>
      <c r="M60" s="101"/>
      <c r="N60" s="101"/>
      <c r="O60" s="9"/>
    </row>
    <row r="61" spans="2:15" ht="20.25" x14ac:dyDescent="0.3">
      <c r="B61" s="7"/>
      <c r="C61" s="3"/>
      <c r="D61" s="103" t="s">
        <v>60</v>
      </c>
      <c r="E61" s="126"/>
      <c r="F61" s="76"/>
      <c r="G61" s="76"/>
      <c r="H61" s="76"/>
      <c r="I61" s="76"/>
      <c r="J61" s="76"/>
      <c r="K61" s="85"/>
      <c r="L61" s="85"/>
      <c r="M61" s="86"/>
      <c r="N61" s="52"/>
      <c r="O61" s="9"/>
    </row>
    <row r="62" spans="2:15" ht="20.25" x14ac:dyDescent="0.3">
      <c r="B62" s="7"/>
      <c r="C62" s="3"/>
      <c r="D62" s="104" t="s">
        <v>61</v>
      </c>
      <c r="E62" s="104"/>
      <c r="F62" s="76"/>
      <c r="G62" s="76"/>
      <c r="H62" s="76"/>
      <c r="I62" s="76"/>
      <c r="J62" s="78"/>
      <c r="K62" s="85"/>
      <c r="L62" s="85"/>
      <c r="M62" s="85"/>
      <c r="N62" s="52"/>
      <c r="O62" s="9"/>
    </row>
    <row r="63" spans="2:15" ht="18" x14ac:dyDescent="0.25">
      <c r="B63" s="7"/>
      <c r="C63" s="3"/>
      <c r="D63" s="74"/>
      <c r="E63" s="74"/>
      <c r="F63" s="76"/>
      <c r="G63" s="76"/>
      <c r="H63" s="76"/>
      <c r="I63" s="76"/>
      <c r="J63" s="78"/>
      <c r="K63" s="85"/>
      <c r="L63" s="85"/>
      <c r="M63" s="85"/>
      <c r="N63" s="89"/>
      <c r="O63" s="9"/>
    </row>
    <row r="64" spans="2:15" ht="18" x14ac:dyDescent="0.25">
      <c r="B64" s="7"/>
      <c r="C64" s="3"/>
      <c r="D64" s="186" t="s">
        <v>52</v>
      </c>
      <c r="E64" s="186"/>
      <c r="F64" s="186"/>
      <c r="G64" s="186"/>
      <c r="H64" s="186"/>
      <c r="I64" s="186"/>
      <c r="J64" s="186"/>
      <c r="K64" s="186"/>
      <c r="L64" s="186"/>
      <c r="M64" s="85"/>
      <c r="N64" s="89"/>
      <c r="O64" s="9"/>
    </row>
    <row r="65" spans="2:15" ht="18" x14ac:dyDescent="0.25">
      <c r="B65" s="7"/>
      <c r="C65" s="3"/>
      <c r="D65" s="186"/>
      <c r="E65" s="186"/>
      <c r="F65" s="186"/>
      <c r="G65" s="186"/>
      <c r="H65" s="186"/>
      <c r="I65" s="186"/>
      <c r="J65" s="186"/>
      <c r="K65" s="186"/>
      <c r="L65" s="186"/>
      <c r="M65" s="86"/>
      <c r="N65" s="89"/>
      <c r="O65" s="9"/>
    </row>
    <row r="66" spans="2:15" ht="15" x14ac:dyDescent="0.2">
      <c r="B66" s="7"/>
      <c r="C66" s="3"/>
      <c r="D66" s="186"/>
      <c r="E66" s="186"/>
      <c r="F66" s="186"/>
      <c r="G66" s="186"/>
      <c r="H66" s="186"/>
      <c r="I66" s="186"/>
      <c r="J66" s="186"/>
      <c r="K66" s="186"/>
      <c r="L66" s="186"/>
      <c r="M66" s="86"/>
      <c r="N66" s="52"/>
      <c r="O66" s="117"/>
    </row>
    <row r="67" spans="2:15" ht="15.75" thickBot="1" x14ac:dyDescent="0.25">
      <c r="B67" s="7"/>
      <c r="C67" s="114"/>
      <c r="D67" s="3"/>
      <c r="E67" s="3"/>
      <c r="F67" s="3"/>
      <c r="G67" s="3"/>
      <c r="H67" s="3"/>
      <c r="I67" s="3"/>
      <c r="J67" s="3"/>
      <c r="K67" s="3"/>
      <c r="L67" s="3"/>
      <c r="M67" s="3"/>
      <c r="N67" s="52"/>
      <c r="O67" s="118"/>
    </row>
    <row r="68" spans="2:15" ht="18" customHeight="1" thickTop="1" x14ac:dyDescent="0.2">
      <c r="B68" s="7"/>
      <c r="C68" s="114"/>
      <c r="D68" s="53"/>
      <c r="E68" s="53"/>
      <c r="F68" s="53"/>
      <c r="G68" s="53"/>
      <c r="H68" s="53"/>
      <c r="I68" s="53"/>
      <c r="J68" s="53"/>
      <c r="K68" s="53"/>
      <c r="L68" s="53"/>
      <c r="M68" s="53"/>
      <c r="N68" s="52"/>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4:L66"/>
    <mergeCell ref="G58:I58"/>
    <mergeCell ref="G24:H24"/>
    <mergeCell ref="F27:K27"/>
    <mergeCell ref="D56:L56"/>
    <mergeCell ref="E24:F24"/>
    <mergeCell ref="I24:J24"/>
    <mergeCell ref="E25:F25"/>
    <mergeCell ref="H25:I25"/>
    <mergeCell ref="L18:L20"/>
    <mergeCell ref="M22:N22"/>
    <mergeCell ref="M24:N24"/>
    <mergeCell ref="M25:N25"/>
    <mergeCell ref="E22:J22"/>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type="decimal" allowBlank="1" showErrorMessage="1" errorTitle="Prix unitaire" error="Tapez un nombre dans cette cellule." promptTitle="Prix unitaire" sqref="L28:L43 L45:L50 M28:M50">
      <formula1>0</formula1>
      <formula2>1000000000</formula2>
    </dataValidation>
    <dataValidation type="whole" errorStyle="warning" allowBlank="1" showErrorMessage="1" errorTitle="Quantité" error="Tapez un nombre dans cette cellule." promptTitle="Quantité" sqref="E28:E50">
      <formula1>0</formula1>
      <formula2>1000000000</formula2>
    </dataValidation>
    <dataValidation type="list" allowBlank="1" showInputMessage="1" showErrorMessage="1" errorTitle="Code TVA" error="Tapez 1, 2, ou 3." sqref="L44">
      <formula1>"1,2,3"</formula1>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SEGITEC 
</v>
      </c>
      <c r="E8" s="62">
        <f>Facture!$E$23</f>
        <v>0</v>
      </c>
      <c r="F8" s="62">
        <f>Facture!$E$24</f>
        <v>0</v>
      </c>
      <c r="G8" s="65">
        <f>Facture!$G$24</f>
        <v>0</v>
      </c>
      <c r="H8" s="65" t="str">
        <f>Facture!$J$24</f>
        <v>TN</v>
      </c>
      <c r="I8" s="62">
        <f>Facture!$E$25</f>
        <v>0</v>
      </c>
      <c r="J8" s="66">
        <f>Facture!$M$54</f>
        <v>8407.16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2024-09-18T10:05:22Z</cp:lastPrinted>
  <dcterms:created xsi:type="dcterms:W3CDTF">1995-05-29T15:50:39Z</dcterms:created>
  <dcterms:modified xsi:type="dcterms:W3CDTF">2024-09-18T10:06:24Z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SEGITEC 
</vt:lpwstr>
  </property>
  <property fmtid="{D5CDD505-2E9C-101B-9397-08002B2CF9AE}" pid="11" name="Montant de la facture" linkTarget="TOT">
    <vt:r8>8407.16</vt:r8>
  </property>
</Properties>
</file>