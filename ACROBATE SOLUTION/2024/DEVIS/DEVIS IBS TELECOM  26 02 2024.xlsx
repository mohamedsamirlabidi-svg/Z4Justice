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Facture!$K$44</definedName>
    <definedName name="_Tax3">Facture!$K$46</definedName>
    <definedName name="_tax4">Facture!$K$46</definedName>
    <definedName name="_xlnm.Auto_Open21">'AutoOpen Stub Data'!$A$1</definedName>
    <definedName name="boxes">Facture!$C$44:$C$45</definedName>
    <definedName name="CC">'Personnaliser votre facture'!$G$22:$G$25</definedName>
    <definedName name="CCT">Facture!$F$46</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Facture!$C$44</definedName>
    <definedName name="data63">Facture!$C$45</definedName>
    <definedName name="data64">Facture!$C$46</definedName>
    <definedName name="data65">Facture!$F$45</definedName>
    <definedName name="data66">Facture!$D$52</definedName>
    <definedName name="data67">Facture!$D$53</definedName>
    <definedName name="data68">Facture!$E$57</definedName>
    <definedName name="data69">Facture!$I$57</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Facture!$D$52:$G$52</definedName>
    <definedName name="qzqzqz27">Facture!#REF!</definedName>
    <definedName name="qzqzqz28">Facture!$D$53:$G$53</definedName>
    <definedName name="qzqzqz29">Facture!$I$57:$L$57</definedName>
    <definedName name="qzqzqz3">Facture!$C$22:$H$22</definedName>
    <definedName name="qzqzqz30">Facture!$E$57:$G$57</definedName>
    <definedName name="qzqzqz31">Facture!$E$57:$F$57</definedName>
    <definedName name="qzqzqz32">Facture!$I$53:$L$57</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Facture!$A$3:$M$69</definedName>
  </definedNames>
  <calcPr calcId="152511"/>
</workbook>
</file>

<file path=xl/calcChain.xml><?xml version="1.0" encoding="utf-8"?>
<calcChain xmlns="http://schemas.openxmlformats.org/spreadsheetml/2006/main">
  <c r="L36" i="3" l="1"/>
  <c r="L34" i="3" l="1"/>
  <c r="L35" i="3"/>
  <c r="L28" i="3" l="1"/>
  <c r="L29" i="3"/>
  <c r="L30" i="3"/>
  <c r="L31" i="3"/>
  <c r="L32" i="3"/>
  <c r="L33" i="3"/>
  <c r="L38" i="3"/>
  <c r="L42" i="3" s="1"/>
  <c r="L39" i="3"/>
  <c r="L44" i="3" l="1"/>
  <c r="L45" i="3"/>
  <c r="K8" i="8"/>
  <c r="I8" i="8"/>
  <c r="H8" i="8"/>
  <c r="G8" i="8"/>
  <c r="F8" i="8"/>
  <c r="E8" i="8"/>
  <c r="D8" i="8"/>
  <c r="C8" i="8"/>
  <c r="B8" i="8"/>
  <c r="L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<sst xmlns="http://schemas.openxmlformats.org/spreadsheetml/2006/main" count="93" uniqueCount="77">
  <si>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</si>
  <si>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</si>
  <si>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</si>
  <si>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</si>
  <si>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</si>
  <si>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</si>
  <si>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</si>
  <si>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</si>
  <si>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</si>
  <si>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</si>
  <si>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</si>
  <si>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</si>
  <si>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</si>
  <si>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</si>
  <si>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</si>
  <si>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</si>
  <si>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</si>
  <si>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</si>
  <si>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</si>
  <si>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</si>
  <si>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</si>
  <si>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</si>
  <si>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</si>
  <si>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</si>
  <si>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</si>
  <si>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</si>
  <si>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</si>
  <si>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</si>
  <si>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</si>
  <si>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</si>
  <si>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</si>
  <si>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</si>
  <si>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</si>
  <si>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</si>
  <si>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</si>
  <si>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</si>
  <si>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</si>
  <si>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</si>
  <si>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</si>
  <si>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</si>
  <si>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</si>
  <si>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</si>
  <si>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</si>
  <si>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</si>
  <si>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</si>
  <si>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</si>
  <si>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</si>
  <si>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</si>
  <si>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</si>
  <si>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</si>
  <si>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</si>
  <si>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</si>
  <si>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</si>
  <si>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</si>
  <si>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</si>
  <si>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</si>
  <si>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</si>
  <si>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</si>
  <si>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</si>
  <si>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</si>
  <si>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</si>
  <si>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</si>
  <si>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</si>
  <si>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 xml:space="preserve">24 614 045      Fax: </t>
  </si>
  <si>
    <t>1110069S/A/M/000</t>
  </si>
  <si>
    <t xml:space="preserve">Chèque  </t>
  </si>
  <si>
    <t>RIB: 10 000 000 080746 3788 95</t>
  </si>
  <si>
    <t>STB THAMEUR</t>
  </si>
  <si>
    <t>* Norme Européenne EN353-1 :2014+A1:2017</t>
  </si>
  <si>
    <t>* la réglementation nationale américaine,</t>
  </si>
  <si>
    <t>OSHA 1910</t>
  </si>
  <si>
    <t>ANSI A14 -3</t>
  </si>
  <si>
    <t>LIGNE DE VIE   conforme aux:</t>
  </si>
  <si>
    <t>ldv_15</t>
  </si>
  <si>
    <t xml:space="preserve">LIGNE DE VIE 15 M </t>
  </si>
  <si>
    <t>MR khaterchi mohsen</t>
  </si>
  <si>
    <t>Devis   N° 2024- 407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</si>
</sst>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6"/>
      <name val="Arial"/>
      <family val="2"/>
    </font>
    <font>
      <b/>
      <sz val="11"/>
      <name val="Arial"/>
      <family val="2"/>
    </font>
    <font>
      <sz val="12"/>
      <color theme="1"/>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0" fillId="3" borderId="31" xfId="0" applyNumberFormat="1" applyFont="1" applyFill="1" applyBorder="1" applyAlignment="1"/>
    <xf numFmtId="49" fontId="31" fillId="3" borderId="0" xfId="0" applyNumberFormat="1" applyFont="1" applyFill="1" applyBorder="1" applyAlignment="1"/>
    <xf numFmtId="0" fontId="1" fillId="3" borderId="0" xfId="0" applyFont="1" applyFill="1" applyBorder="1"/>
    <xf numFmtId="49" fontId="17" fillId="0" borderId="31" xfId="0" applyNumberFormat="1" applyFont="1" applyFill="1" applyBorder="1" applyAlignment="1"/>
    <xf numFmtId="49" fontId="33" fillId="0" borderId="31" xfId="0" applyNumberFormat="1" applyFont="1" applyFill="1" applyBorder="1" applyAlignment="1"/>
    <xf numFmtId="49" fontId="31" fillId="3" borderId="31" xfId="0" applyNumberFormat="1" applyFont="1" applyFill="1" applyBorder="1" applyAlignment="1"/>
    <xf numFmtId="0" fontId="32" fillId="3" borderId="0" xfId="0" applyFont="1" applyFill="1" applyBorder="1" applyAlignment="1"/>
    <xf numFmtId="0" fontId="1" fillId="3" borderId="0" xfId="0" applyFont="1" applyFill="1" applyBorder="1" applyAlignment="1">
      <alignment horizontal="left"/>
    </xf>
    <xf numFmtId="0" fontId="34" fillId="3" borderId="0" xfId="0" applyFont="1" applyFill="1" applyBorder="1" applyAlignment="1"/>
    <xf numFmtId="0" fontId="10" fillId="3" borderId="0" xfId="0" applyFont="1" applyFill="1" applyBorder="1" applyAlignment="1">
      <alignment horizontal="left"/>
    </xf>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4" xfId="0" applyNumberFormat="1" applyFont="1" applyFill="1" applyBorder="1" applyAlignment="1">
      <alignment horizontal="center"/>
    </xf>
    <xf numFmtId="14" fontId="28"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49" fontId="35" fillId="0" borderId="3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152400</xdr:rowOff>
        </xdr:from>
        <xdr:to>
          <xdr:col>2</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44</xdr:row>
          <xdr:rowOff>0</xdr:rowOff>
        </xdr:from>
        <xdr:to>
          <xdr:col>2</xdr:col>
          <xdr:colOff>704850</xdr:colOff>
          <xdr:row>45</xdr:row>
          <xdr:rowOff>9526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45</xdr:row>
          <xdr:rowOff>28575</xdr:rowOff>
        </xdr:from>
        <xdr:to>
          <xdr:col>2</xdr:col>
          <xdr:colOff>714375</xdr:colOff>
          <xdr:row>46</xdr:row>
          <xdr:rowOff>38099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A17" zoomScale="95" workbookViewId="0">
      <selection activeCell="J29" sqref="J29"/>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53"/>
      <c r="L9" s="154"/>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60" t="s">
        <v>54</v>
      </c>
      <c r="L13" s="161"/>
      <c r="M13" s="3"/>
      <c r="N13" s="8"/>
    </row>
    <row r="14" spans="1:14" x14ac:dyDescent="0.2">
      <c r="A14" s="3"/>
      <c r="B14" s="3"/>
      <c r="C14" s="3"/>
      <c r="D14" s="3"/>
      <c r="E14" s="3"/>
      <c r="F14" s="175"/>
      <c r="G14" s="175"/>
      <c r="H14" s="175"/>
      <c r="I14" s="175"/>
      <c r="J14" s="175"/>
      <c r="K14" s="3"/>
      <c r="L14" s="3"/>
      <c r="M14" s="3"/>
      <c r="N14" s="8"/>
    </row>
    <row r="15" spans="1:14" ht="20.100000000000001" customHeight="1" x14ac:dyDescent="0.2">
      <c r="A15" s="3"/>
      <c r="B15" s="3"/>
      <c r="C15" s="3"/>
      <c r="D15" s="3"/>
      <c r="E15" s="3"/>
      <c r="F15" s="175"/>
      <c r="G15" s="175"/>
      <c r="H15" s="175"/>
      <c r="I15" s="175"/>
      <c r="J15" s="175"/>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62" t="s">
        <v>76</v>
      </c>
      <c r="L17" s="163"/>
      <c r="M17" s="3"/>
      <c r="N17" s="8"/>
    </row>
    <row r="18" spans="1:14" ht="19.5" thickTop="1" x14ac:dyDescent="0.3">
      <c r="A18" s="3"/>
      <c r="B18" s="56"/>
      <c r="C18" s="56"/>
      <c r="D18" s="56"/>
      <c r="E18" s="56"/>
      <c r="F18" s="56"/>
      <c r="G18" s="56"/>
      <c r="H18" s="57"/>
      <c r="I18" s="57"/>
      <c r="J18" s="57"/>
      <c r="K18" s="164"/>
      <c r="L18" s="165"/>
      <c r="M18" s="19"/>
      <c r="N18" s="8"/>
    </row>
    <row r="19" spans="1:14" ht="13.5" thickBot="1" x14ac:dyDescent="0.25">
      <c r="A19" s="3"/>
      <c r="B19" s="3"/>
      <c r="C19" s="3"/>
      <c r="D19" s="3"/>
      <c r="E19" s="3"/>
      <c r="F19" s="3"/>
      <c r="G19" s="3"/>
      <c r="H19" s="3"/>
      <c r="I19" s="3"/>
      <c r="J19" s="3"/>
      <c r="K19" s="166"/>
      <c r="L19" s="167"/>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80" t="s">
        <v>61</v>
      </c>
      <c r="D21" s="181"/>
      <c r="E21" s="181"/>
      <c r="F21" s="181"/>
      <c r="G21" s="181"/>
      <c r="H21" s="181"/>
      <c r="I21" s="80"/>
      <c r="J21" s="82" t="s">
        <v>18</v>
      </c>
      <c r="K21" s="155">
        <v>45348</v>
      </c>
      <c r="L21" s="156"/>
      <c r="M21" s="53"/>
      <c r="N21" s="8"/>
    </row>
    <row r="22" spans="1:14" ht="14.25" x14ac:dyDescent="0.2">
      <c r="A22" s="3"/>
      <c r="B22" s="80" t="s">
        <v>5</v>
      </c>
      <c r="C22" s="178" t="s">
        <v>62</v>
      </c>
      <c r="D22" s="179"/>
      <c r="E22" s="179"/>
      <c r="F22" s="179"/>
      <c r="G22" s="179"/>
      <c r="H22" s="179"/>
      <c r="I22" s="80"/>
      <c r="J22" s="116" t="s">
        <v>59</v>
      </c>
      <c r="K22" s="168"/>
      <c r="L22" s="169"/>
      <c r="M22" s="54"/>
      <c r="N22" s="8"/>
    </row>
    <row r="23" spans="1:14" x14ac:dyDescent="0.2">
      <c r="A23" s="3"/>
      <c r="B23" s="80" t="s">
        <v>7</v>
      </c>
      <c r="C23" s="87"/>
      <c r="D23" s="88" t="s">
        <v>8</v>
      </c>
      <c r="E23" s="176"/>
      <c r="F23" s="177"/>
      <c r="G23" s="89" t="s">
        <v>9</v>
      </c>
      <c r="H23" s="86" t="s">
        <v>51</v>
      </c>
      <c r="I23" s="80"/>
      <c r="J23" s="82" t="s">
        <v>19</v>
      </c>
      <c r="K23" s="157" t="s">
        <v>75</v>
      </c>
      <c r="L23" s="158"/>
      <c r="M23" s="3"/>
      <c r="N23" s="8"/>
    </row>
    <row r="24" spans="1:14" x14ac:dyDescent="0.2">
      <c r="A24" s="3"/>
      <c r="B24" s="80" t="s">
        <v>20</v>
      </c>
      <c r="C24" s="182" t="s">
        <v>63</v>
      </c>
      <c r="D24" s="183"/>
      <c r="E24" s="183"/>
      <c r="F24" s="183"/>
      <c r="G24" s="183"/>
      <c r="H24" s="183"/>
      <c r="I24" s="80"/>
      <c r="J24" s="82" t="s">
        <v>47</v>
      </c>
      <c r="K24" s="159" t="s">
        <v>64</v>
      </c>
      <c r="L24" s="158"/>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89" t="s">
        <v>22</v>
      </c>
      <c r="E26" s="190"/>
      <c r="F26" s="190"/>
      <c r="G26" s="190"/>
      <c r="H26" s="190"/>
      <c r="I26" s="190"/>
      <c r="J26" s="191"/>
      <c r="K26" s="52" t="s">
        <v>53</v>
      </c>
      <c r="L26" s="108" t="s">
        <v>23</v>
      </c>
      <c r="M26" s="55"/>
      <c r="N26" s="8"/>
    </row>
    <row r="27" spans="1:14" ht="18.75" x14ac:dyDescent="0.3">
      <c r="A27" s="3"/>
      <c r="B27" s="91"/>
      <c r="C27" s="73"/>
      <c r="D27" s="184"/>
      <c r="E27" s="185"/>
      <c r="F27" s="185"/>
      <c r="G27" s="185"/>
      <c r="H27" s="185"/>
      <c r="I27" s="185"/>
      <c r="J27" s="121"/>
      <c r="K27" s="120"/>
      <c r="L27" s="92" t="str">
        <f t="shared" ref="L27:L29" si="0">IF(C27&lt;&gt;"",C27*K27,"")</f>
        <v/>
      </c>
      <c r="M27" s="55"/>
      <c r="N27" s="8"/>
    </row>
    <row r="28" spans="1:14" ht="26.25" customHeight="1" x14ac:dyDescent="0.3">
      <c r="A28" s="3"/>
      <c r="B28" s="91"/>
      <c r="C28" s="73"/>
      <c r="D28" s="136" t="s">
        <v>72</v>
      </c>
      <c r="E28" s="137"/>
      <c r="F28" s="137"/>
      <c r="G28" s="137"/>
      <c r="H28" s="137"/>
      <c r="I28" s="137"/>
      <c r="J28" s="122"/>
      <c r="K28" s="120"/>
      <c r="L28" s="92" t="str">
        <f t="shared" si="0"/>
        <v/>
      </c>
      <c r="M28" s="55"/>
      <c r="N28" s="8"/>
    </row>
    <row r="29" spans="1:14" ht="26.25" customHeight="1" x14ac:dyDescent="0.25">
      <c r="A29" s="3"/>
      <c r="B29" s="91"/>
      <c r="C29" s="73"/>
      <c r="D29" s="141" t="s">
        <v>68</v>
      </c>
      <c r="E29" s="123"/>
      <c r="F29" s="123"/>
      <c r="G29" s="123"/>
      <c r="H29" s="123"/>
      <c r="I29" s="123"/>
      <c r="J29" s="122"/>
      <c r="K29" s="120"/>
      <c r="L29" s="92" t="str">
        <f t="shared" si="0"/>
        <v/>
      </c>
      <c r="M29" s="55"/>
      <c r="N29" s="8"/>
    </row>
    <row r="30" spans="1:14" ht="15.75" x14ac:dyDescent="0.25">
      <c r="A30" s="3"/>
      <c r="B30" s="103"/>
      <c r="C30" s="73"/>
      <c r="D30" s="139" t="s">
        <v>69</v>
      </c>
      <c r="E30" s="125"/>
      <c r="F30" s="79"/>
      <c r="G30" s="104"/>
      <c r="H30" s="104"/>
      <c r="I30" s="79"/>
      <c r="J30" s="122"/>
      <c r="K30" s="109"/>
      <c r="L30" s="92" t="str">
        <f>IF(C30&lt;&gt;"",C30*K30,"")</f>
        <v/>
      </c>
      <c r="M30" s="55"/>
      <c r="N30" s="8"/>
    </row>
    <row r="31" spans="1:14" ht="15.75" x14ac:dyDescent="0.25">
      <c r="A31" s="3"/>
      <c r="B31" s="103"/>
      <c r="C31" s="73"/>
      <c r="D31" s="140" t="s">
        <v>70</v>
      </c>
      <c r="E31" s="125"/>
      <c r="F31" s="79"/>
      <c r="G31" s="104"/>
      <c r="H31" s="104"/>
      <c r="I31" s="79"/>
      <c r="J31" s="122"/>
      <c r="K31" s="109"/>
      <c r="L31" s="92" t="str">
        <f t="shared" ref="L31:L33" si="1">IF(C31&lt;&gt;"",C31*K31,"")</f>
        <v/>
      </c>
      <c r="M31" s="55"/>
      <c r="N31" s="8"/>
    </row>
    <row r="32" spans="1:14" ht="18" customHeight="1" x14ac:dyDescent="0.25">
      <c r="A32" s="3"/>
      <c r="B32" s="103"/>
      <c r="C32" s="73"/>
      <c r="D32" s="140" t="s">
        <v>71</v>
      </c>
      <c r="E32" s="125"/>
      <c r="F32" s="79"/>
      <c r="G32" s="104"/>
      <c r="H32" s="104"/>
      <c r="I32" s="79"/>
      <c r="J32" s="122"/>
      <c r="K32" s="109"/>
      <c r="L32" s="92" t="str">
        <f t="shared" si="1"/>
        <v/>
      </c>
      <c r="M32" s="55"/>
      <c r="N32" s="8"/>
    </row>
    <row r="33" spans="1:14" ht="18" customHeight="1" x14ac:dyDescent="0.2">
      <c r="A33" s="3"/>
      <c r="B33" s="103"/>
      <c r="C33" s="73"/>
      <c r="D33" s="124"/>
      <c r="E33" s="125"/>
      <c r="F33" s="79"/>
      <c r="G33" s="104"/>
      <c r="H33" s="104"/>
      <c r="I33" s="79"/>
      <c r="J33" s="122"/>
      <c r="K33" s="109"/>
      <c r="L33" s="92" t="str">
        <f t="shared" si="1"/>
        <v/>
      </c>
      <c r="M33" s="55"/>
      <c r="N33" s="8"/>
    </row>
    <row r="34" spans="1:14" ht="15" x14ac:dyDescent="0.2">
      <c r="A34" s="3"/>
      <c r="B34" s="103"/>
      <c r="C34" s="73"/>
      <c r="D34" s="124"/>
      <c r="E34" s="125"/>
      <c r="F34" s="79"/>
      <c r="G34" s="104"/>
      <c r="H34" s="79"/>
      <c r="I34" s="79"/>
      <c r="J34" s="122"/>
      <c r="K34" s="109"/>
      <c r="L34" s="92" t="str">
        <f>IF(C34&lt;&gt;"",C34*K34,"")</f>
        <v/>
      </c>
      <c r="M34" s="55"/>
      <c r="N34" s="8"/>
    </row>
    <row r="35" spans="1:14" ht="20.25" x14ac:dyDescent="0.3">
      <c r="A35" s="3"/>
      <c r="B35" s="103" t="s">
        <v>73</v>
      </c>
      <c r="C35" s="73">
        <v>2</v>
      </c>
      <c r="D35" s="142" t="s">
        <v>74</v>
      </c>
      <c r="E35" s="115"/>
      <c r="F35" s="79"/>
      <c r="G35" s="104"/>
      <c r="H35" s="79"/>
      <c r="I35" s="79"/>
      <c r="J35" s="104"/>
      <c r="K35" s="92">
        <v>1757</v>
      </c>
      <c r="L35" s="92">
        <f t="shared" ref="L35:L39" si="2">IF(C35&lt;&gt;"",C35*K35,"")</f>
        <v>3514</v>
      </c>
      <c r="M35" s="55"/>
      <c r="N35" s="8"/>
    </row>
    <row r="36" spans="1:14" ht="18" x14ac:dyDescent="0.25">
      <c r="A36" s="3"/>
      <c r="B36" s="103"/>
      <c r="C36" s="73"/>
      <c r="D36" s="79"/>
      <c r="E36" s="115"/>
      <c r="F36" s="79"/>
      <c r="G36" s="104"/>
      <c r="H36" s="79"/>
      <c r="I36" s="79"/>
      <c r="J36" s="104"/>
      <c r="K36" s="92"/>
      <c r="L36" s="92" t="str">
        <f t="shared" si="2"/>
        <v/>
      </c>
      <c r="M36" s="55"/>
      <c r="N36" s="8"/>
    </row>
    <row r="37" spans="1:14" ht="20.25" x14ac:dyDescent="0.3">
      <c r="A37" s="3"/>
      <c r="B37" s="103"/>
      <c r="C37" s="73"/>
      <c r="D37" s="192"/>
      <c r="E37" s="115"/>
      <c r="F37" s="79"/>
      <c r="G37" s="104"/>
      <c r="H37" s="79"/>
      <c r="I37" s="79"/>
      <c r="J37" s="104"/>
      <c r="K37" s="92"/>
      <c r="L37" s="92"/>
      <c r="M37" s="55"/>
      <c r="N37" s="8"/>
    </row>
    <row r="38" spans="1:14" ht="18" x14ac:dyDescent="0.25">
      <c r="A38" s="3"/>
      <c r="B38" s="103"/>
      <c r="C38" s="73"/>
      <c r="D38" s="144"/>
      <c r="E38" s="115"/>
      <c r="F38" s="79"/>
      <c r="G38" s="104"/>
      <c r="H38" s="104"/>
      <c r="I38" s="79"/>
      <c r="J38" s="104"/>
      <c r="K38" s="92"/>
      <c r="L38" s="92" t="str">
        <f t="shared" si="2"/>
        <v/>
      </c>
      <c r="M38" s="55"/>
      <c r="N38" s="8"/>
    </row>
    <row r="39" spans="1:14" ht="18" x14ac:dyDescent="0.25">
      <c r="A39" s="3"/>
      <c r="B39" s="103"/>
      <c r="C39" s="73"/>
      <c r="D39" s="144"/>
      <c r="E39" s="115"/>
      <c r="F39" s="79"/>
      <c r="G39" s="104"/>
      <c r="H39" s="79"/>
      <c r="I39" s="79"/>
      <c r="J39" s="104"/>
      <c r="K39" s="92"/>
      <c r="L39" s="92" t="str">
        <f t="shared" si="2"/>
        <v/>
      </c>
      <c r="M39" s="55"/>
      <c r="N39" s="8"/>
    </row>
    <row r="40" spans="1:14" ht="18" x14ac:dyDescent="0.25">
      <c r="A40" s="3"/>
      <c r="B40" s="103"/>
      <c r="C40" s="73"/>
      <c r="D40" s="79"/>
      <c r="E40" s="115"/>
      <c r="F40" s="79"/>
      <c r="G40" s="104"/>
      <c r="H40" s="79"/>
      <c r="I40" s="79"/>
      <c r="J40" s="122"/>
      <c r="K40" s="92"/>
      <c r="L40" s="92"/>
      <c r="M40" s="55"/>
      <c r="N40" s="8"/>
    </row>
    <row r="41" spans="1:14" ht="15" x14ac:dyDescent="0.2">
      <c r="A41" s="3"/>
      <c r="B41" s="130"/>
      <c r="C41" s="131"/>
      <c r="D41" s="132"/>
      <c r="E41" s="133"/>
      <c r="F41" s="132"/>
      <c r="G41" s="133"/>
      <c r="H41" s="132"/>
      <c r="I41" s="132"/>
      <c r="J41" s="134"/>
      <c r="K41" s="92"/>
      <c r="L41" s="92"/>
      <c r="M41" s="55"/>
      <c r="N41" s="8"/>
    </row>
    <row r="42" spans="1:14" ht="15.75" x14ac:dyDescent="0.25">
      <c r="A42" s="3"/>
      <c r="B42" s="3"/>
      <c r="C42" s="80"/>
      <c r="D42" s="80"/>
      <c r="E42" s="80"/>
      <c r="F42" s="80"/>
      <c r="G42" s="80"/>
      <c r="H42" s="74"/>
      <c r="I42" s="74"/>
      <c r="J42" s="74"/>
      <c r="K42" s="98" t="s">
        <v>24</v>
      </c>
      <c r="L42" s="93">
        <f>SUM(L27:L41)</f>
        <v>3514</v>
      </c>
      <c r="M42" s="55"/>
      <c r="N42" s="8"/>
    </row>
    <row r="43" spans="1:14" ht="15" x14ac:dyDescent="0.2">
      <c r="A43" s="3"/>
      <c r="B43" s="3"/>
      <c r="C43" s="80"/>
      <c r="D43" s="80"/>
      <c r="E43" s="80"/>
      <c r="F43" s="80"/>
      <c r="G43" s="80"/>
      <c r="H43" s="74"/>
      <c r="I43" s="74"/>
      <c r="J43" s="74"/>
      <c r="K43" s="101" t="s">
        <v>46</v>
      </c>
      <c r="L43" s="99">
        <v>1</v>
      </c>
      <c r="M43" s="55"/>
      <c r="N43" s="8"/>
    </row>
    <row r="44" spans="1:14" ht="15" x14ac:dyDescent="0.2">
      <c r="A44" s="3"/>
      <c r="B44" s="3"/>
      <c r="C44" s="81"/>
      <c r="D44" s="143" t="s">
        <v>25</v>
      </c>
      <c r="E44" s="80"/>
      <c r="F44" s="80"/>
      <c r="G44" s="80"/>
      <c r="H44" s="76"/>
      <c r="I44" s="76"/>
      <c r="J44" s="75"/>
      <c r="K44" s="100">
        <v>0.19</v>
      </c>
      <c r="L44" s="99">
        <f>L42*0.19</f>
        <v>667.66</v>
      </c>
      <c r="M44" s="55"/>
      <c r="N44" s="8"/>
    </row>
    <row r="45" spans="1:14" ht="17.100000000000001" customHeight="1" x14ac:dyDescent="0.25">
      <c r="A45" s="3"/>
      <c r="B45" s="3"/>
      <c r="C45" s="83"/>
      <c r="D45" s="135" t="s">
        <v>65</v>
      </c>
      <c r="E45" s="85"/>
      <c r="F45" s="83"/>
      <c r="G45" s="80"/>
      <c r="H45" s="77"/>
      <c r="I45" s="74"/>
      <c r="J45" s="74"/>
      <c r="K45" s="186" t="s">
        <v>27</v>
      </c>
      <c r="L45" s="187">
        <f>+L42+L43+L44</f>
        <v>4182.66</v>
      </c>
      <c r="M45" s="55"/>
      <c r="N45" s="8"/>
    </row>
    <row r="46" spans="1:14" ht="17.100000000000001" customHeight="1" x14ac:dyDescent="0.2">
      <c r="A46" s="3"/>
      <c r="B46" s="3"/>
      <c r="C46" s="83">
        <v>1</v>
      </c>
      <c r="D46" s="102" t="s">
        <v>56</v>
      </c>
      <c r="E46" s="80"/>
      <c r="F46" s="84"/>
      <c r="G46" s="80"/>
      <c r="H46" s="78" t="s">
        <v>26</v>
      </c>
      <c r="I46" s="74"/>
      <c r="J46" s="74"/>
      <c r="K46" s="186"/>
      <c r="L46" s="188"/>
      <c r="M46" s="55"/>
      <c r="N46" s="8"/>
    </row>
    <row r="47" spans="1:14" ht="15" x14ac:dyDescent="0.2">
      <c r="A47" s="3"/>
      <c r="B47" s="3"/>
      <c r="C47" s="83"/>
      <c r="D47" s="102"/>
      <c r="E47" s="80"/>
      <c r="F47" s="84"/>
      <c r="G47" s="80"/>
      <c r="H47" s="78"/>
      <c r="I47" s="74"/>
      <c r="J47" s="74"/>
      <c r="K47" s="95"/>
      <c r="L47" s="96"/>
      <c r="M47" s="55"/>
      <c r="N47" s="8"/>
    </row>
    <row r="48" spans="1:14" ht="15" customHeight="1" x14ac:dyDescent="0.2">
      <c r="A48" s="3"/>
      <c r="B48" s="145"/>
      <c r="C48" s="117"/>
      <c r="D48" s="117"/>
      <c r="E48" s="117"/>
      <c r="F48" s="117"/>
      <c r="G48" s="117"/>
      <c r="H48" s="117"/>
      <c r="I48" s="117"/>
      <c r="J48" s="117"/>
      <c r="K48" s="118"/>
      <c r="L48" s="119"/>
      <c r="M48" s="55"/>
      <c r="N48" s="8"/>
    </row>
    <row r="49" spans="1:14" ht="15" customHeight="1" x14ac:dyDescent="0.2">
      <c r="A49" s="129"/>
      <c r="B49" s="145"/>
      <c r="C49" s="116"/>
      <c r="D49" s="116"/>
      <c r="E49" s="116"/>
      <c r="F49" s="116"/>
      <c r="G49" s="116"/>
      <c r="H49" s="116"/>
      <c r="I49" s="116"/>
      <c r="J49" s="116"/>
      <c r="K49" s="94" t="s">
        <v>60</v>
      </c>
      <c r="L49" s="97"/>
      <c r="M49" s="55"/>
      <c r="N49" s="8"/>
    </row>
    <row r="50" spans="1:14" ht="15" customHeight="1" x14ac:dyDescent="0.2">
      <c r="A50" s="3"/>
      <c r="B50" s="116"/>
      <c r="C50" s="116"/>
      <c r="D50" s="116"/>
      <c r="E50" s="116"/>
      <c r="F50" s="116"/>
      <c r="G50" s="116"/>
      <c r="H50" s="116"/>
      <c r="I50" s="116"/>
      <c r="J50" s="116"/>
      <c r="K50" s="97"/>
      <c r="L50" s="97"/>
      <c r="M50" s="55"/>
      <c r="N50" s="8"/>
    </row>
    <row r="51" spans="1:14" x14ac:dyDescent="0.2">
      <c r="A51" s="138" t="s">
        <v>66</v>
      </c>
      <c r="B51" s="116"/>
      <c r="C51" s="116"/>
      <c r="D51" s="116"/>
      <c r="E51" s="116"/>
      <c r="F51" s="116"/>
      <c r="G51" s="116"/>
      <c r="H51" s="116"/>
      <c r="I51" s="116"/>
      <c r="J51" s="116"/>
      <c r="K51" s="97"/>
      <c r="L51" s="97"/>
      <c r="M51" s="55"/>
      <c r="N51" s="8"/>
    </row>
    <row r="52" spans="1:14" ht="15" x14ac:dyDescent="0.2">
      <c r="A52" s="138" t="s">
        <v>67</v>
      </c>
      <c r="B52" s="128"/>
      <c r="C52" s="128"/>
      <c r="D52" s="128"/>
      <c r="E52" s="128"/>
      <c r="F52" s="128"/>
      <c r="G52" s="128"/>
      <c r="H52" s="128"/>
      <c r="I52" s="128"/>
      <c r="J52" s="128"/>
      <c r="K52" s="95"/>
      <c r="L52" s="96"/>
      <c r="M52" s="55"/>
      <c r="N52" s="8"/>
    </row>
    <row r="53" spans="1:14" x14ac:dyDescent="0.2">
      <c r="A53" s="3"/>
      <c r="B53" s="3"/>
      <c r="C53" s="173" t="s">
        <v>58</v>
      </c>
      <c r="D53" s="174"/>
      <c r="E53" s="174"/>
      <c r="F53" s="174"/>
      <c r="G53" s="174"/>
      <c r="H53" s="174"/>
      <c r="I53" s="174"/>
      <c r="J53" s="174"/>
      <c r="K53" s="174"/>
      <c r="L53" s="174"/>
      <c r="M53" s="55"/>
      <c r="N53" s="8"/>
    </row>
    <row r="54" spans="1:14" ht="15" customHeight="1" x14ac:dyDescent="0.2">
      <c r="A54" s="3"/>
      <c r="B54" s="3"/>
      <c r="C54" s="174"/>
      <c r="D54" s="174"/>
      <c r="E54" s="174"/>
      <c r="F54" s="174"/>
      <c r="G54" s="174"/>
      <c r="H54" s="174"/>
      <c r="I54" s="174"/>
      <c r="J54" s="174"/>
      <c r="K54" s="174"/>
      <c r="L54" s="174"/>
      <c r="M54" s="55"/>
      <c r="N54" s="8"/>
    </row>
    <row r="55" spans="1:14" ht="15" customHeight="1" x14ac:dyDescent="0.2">
      <c r="A55" s="117"/>
      <c r="B55" s="3"/>
      <c r="C55" s="112"/>
      <c r="D55" s="112"/>
      <c r="E55" s="112"/>
      <c r="F55" s="112"/>
      <c r="G55" s="112"/>
      <c r="H55" s="112"/>
      <c r="I55" s="112"/>
      <c r="J55" s="112"/>
      <c r="K55" s="112"/>
      <c r="L55" s="94"/>
      <c r="M55" s="55"/>
      <c r="N55" s="8"/>
    </row>
    <row r="56" spans="1:14" ht="12.75" customHeight="1" x14ac:dyDescent="0.2">
      <c r="A56" s="116"/>
      <c r="B56" s="3"/>
      <c r="C56" s="18"/>
      <c r="D56" s="170" t="s">
        <v>55</v>
      </c>
      <c r="E56" s="170"/>
      <c r="F56" s="170"/>
      <c r="G56" s="170"/>
      <c r="H56" s="170"/>
      <c r="I56" s="170"/>
      <c r="J56" s="170"/>
      <c r="K56" s="94"/>
      <c r="L56" s="94"/>
      <c r="M56" s="55"/>
      <c r="N56" s="8"/>
    </row>
    <row r="57" spans="1:14" ht="3" customHeight="1" x14ac:dyDescent="0.2">
      <c r="A57" s="116"/>
      <c r="B57" s="3"/>
      <c r="C57" s="172" t="s">
        <v>57</v>
      </c>
      <c r="D57" s="172"/>
      <c r="E57" s="172"/>
      <c r="F57" s="172"/>
      <c r="G57" s="172"/>
      <c r="H57" s="172"/>
      <c r="I57" s="172"/>
      <c r="J57" s="172"/>
      <c r="K57" s="172"/>
      <c r="L57" s="94"/>
      <c r="M57" s="55"/>
      <c r="N57" s="8"/>
    </row>
    <row r="58" spans="1:14" ht="15.75" x14ac:dyDescent="0.2">
      <c r="A58" s="116"/>
      <c r="B58" s="3"/>
      <c r="C58" s="172"/>
      <c r="D58" s="172"/>
      <c r="E58" s="172"/>
      <c r="F58" s="172"/>
      <c r="G58" s="172"/>
      <c r="H58" s="172"/>
      <c r="I58" s="172"/>
      <c r="J58" s="172"/>
      <c r="K58" s="172"/>
      <c r="L58" s="94"/>
      <c r="M58" s="55"/>
      <c r="N58" s="8"/>
    </row>
    <row r="59" spans="1:14" ht="15.75" customHeight="1" thickBot="1" x14ac:dyDescent="0.25">
      <c r="A59" s="128"/>
      <c r="B59" s="110"/>
      <c r="C59" s="111"/>
      <c r="D59" s="111"/>
      <c r="E59" s="111"/>
      <c r="F59" s="171"/>
      <c r="G59" s="171"/>
      <c r="H59" s="171"/>
      <c r="I59" s="171"/>
      <c r="J59" s="171"/>
      <c r="K59" s="111"/>
      <c r="L59" s="111"/>
      <c r="M59" s="55"/>
      <c r="N59" s="8"/>
    </row>
    <row r="60" spans="1:14" ht="15.75" customHeight="1" thickTop="1" x14ac:dyDescent="0.2">
      <c r="A60" s="3"/>
      <c r="B60" s="56"/>
      <c r="C60" s="56"/>
      <c r="D60" s="56"/>
      <c r="E60" s="56"/>
      <c r="F60" s="56"/>
      <c r="G60" s="56"/>
      <c r="H60" s="56"/>
      <c r="I60" s="56"/>
      <c r="J60" s="56"/>
      <c r="K60" s="56"/>
      <c r="L60" s="56"/>
      <c r="M60" s="55"/>
      <c r="N60" s="8"/>
    </row>
    <row r="61" spans="1:14" ht="0.95" customHeight="1" x14ac:dyDescent="0.2">
      <c r="A61" s="3"/>
      <c r="B61" s="114"/>
      <c r="C61" s="114"/>
      <c r="D61" s="114"/>
      <c r="E61" s="114"/>
      <c r="F61" s="114"/>
      <c r="G61" s="114"/>
      <c r="H61" s="114"/>
      <c r="I61" s="126"/>
      <c r="J61" s="126"/>
      <c r="K61" s="126"/>
      <c r="L61" s="126"/>
      <c r="M61" s="55"/>
      <c r="N61" s="8"/>
    </row>
    <row r="62" spans="1:14" ht="6" customHeight="1" x14ac:dyDescent="0.2">
      <c r="A62" s="3"/>
      <c r="B62" s="113"/>
      <c r="C62" s="113"/>
      <c r="D62" s="113"/>
      <c r="E62" s="113"/>
      <c r="F62" s="113"/>
      <c r="G62" s="113"/>
      <c r="H62" s="113"/>
      <c r="I62" s="127"/>
      <c r="J62" s="127"/>
      <c r="K62" s="127"/>
      <c r="L62" s="127"/>
      <c r="M62" s="55"/>
      <c r="N62" s="8"/>
    </row>
    <row r="63" spans="1:14" x14ac:dyDescent="0.2">
      <c r="A63" s="3"/>
      <c r="B63" s="95"/>
      <c r="C63" s="95"/>
      <c r="D63" s="95"/>
      <c r="E63" s="95"/>
      <c r="F63" s="95"/>
      <c r="G63" s="95"/>
      <c r="H63" s="95"/>
      <c r="I63" s="95"/>
      <c r="J63" s="95"/>
      <c r="K63" s="95"/>
      <c r="L63" s="95"/>
      <c r="M63" s="55"/>
      <c r="N63" s="8"/>
    </row>
    <row r="64" spans="1:14" x14ac:dyDescent="0.2">
      <c r="A64" s="3"/>
      <c r="B64" s="95"/>
      <c r="C64" s="95"/>
      <c r="D64" s="95"/>
      <c r="E64" s="95"/>
      <c r="F64" s="95"/>
      <c r="G64" s="95"/>
      <c r="H64" s="95"/>
      <c r="I64" s="95"/>
      <c r="J64" s="95"/>
      <c r="K64" s="95"/>
      <c r="L64" s="95"/>
      <c r="M64" s="55"/>
    </row>
    <row r="65" spans="1:13" x14ac:dyDescent="0.2">
      <c r="A65" s="3"/>
      <c r="B65" s="95"/>
      <c r="C65" s="95"/>
      <c r="D65" s="95"/>
      <c r="E65" s="95"/>
      <c r="F65" s="95"/>
      <c r="G65" s="95"/>
      <c r="H65" s="95"/>
      <c r="I65" s="95"/>
      <c r="J65" s="95"/>
      <c r="K65" s="95"/>
      <c r="L65" s="95"/>
      <c r="M65" s="55"/>
    </row>
    <row r="66" spans="1:13" ht="12.75" customHeight="1" x14ac:dyDescent="0.2">
      <c r="A66" s="3"/>
      <c r="B66" s="95"/>
      <c r="C66" s="95"/>
      <c r="D66" s="95"/>
      <c r="E66" s="95"/>
      <c r="F66" s="95"/>
      <c r="G66" s="95"/>
      <c r="H66" s="95"/>
      <c r="I66" s="95"/>
      <c r="J66" s="95"/>
      <c r="K66" s="95"/>
      <c r="L66" s="95"/>
      <c r="M66" s="55"/>
    </row>
    <row r="67" spans="1:13" x14ac:dyDescent="0.2">
      <c r="A67" s="3"/>
      <c r="B67" s="95"/>
      <c r="C67" s="95"/>
      <c r="D67" s="95"/>
      <c r="E67" s="95"/>
      <c r="F67" s="95"/>
      <c r="G67" s="95"/>
      <c r="H67" s="95"/>
      <c r="I67" s="95"/>
      <c r="J67" s="95"/>
      <c r="K67" s="95"/>
      <c r="L67" s="95"/>
      <c r="M67" s="55"/>
    </row>
    <row r="68" spans="1:13" x14ac:dyDescent="0.2">
      <c r="A68" s="3"/>
      <c r="B68" s="95"/>
      <c r="C68" s="95"/>
      <c r="D68" s="95"/>
      <c r="E68" s="95"/>
      <c r="F68" s="95"/>
      <c r="G68" s="95"/>
      <c r="H68" s="95"/>
      <c r="I68" s="95"/>
      <c r="J68" s="95"/>
      <c r="K68" s="95"/>
      <c r="L68" s="95"/>
      <c r="M68" s="55"/>
    </row>
    <row r="69" spans="1:13" x14ac:dyDescent="0.2">
      <c r="A69" s="3"/>
      <c r="B69" s="95"/>
      <c r="C69" s="95"/>
      <c r="D69" s="95"/>
      <c r="E69" s="95"/>
      <c r="F69" s="95"/>
      <c r="G69" s="95"/>
      <c r="H69" s="95"/>
      <c r="I69" s="95"/>
      <c r="J69" s="95"/>
      <c r="K69" s="95"/>
      <c r="L69" s="95"/>
      <c r="M69"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D56:J56"/>
    <mergeCell ref="F59:J59"/>
    <mergeCell ref="C57:K58"/>
    <mergeCell ref="C53:L54"/>
    <mergeCell ref="F14:J15"/>
    <mergeCell ref="E23:F23"/>
    <mergeCell ref="C22:H22"/>
    <mergeCell ref="C21:H21"/>
    <mergeCell ref="C24:H24"/>
    <mergeCell ref="D27:I27"/>
    <mergeCell ref="K45:K46"/>
    <mergeCell ref="L45:L46"/>
    <mergeCell ref="D26:J26"/>
    <mergeCell ref="K9:L9"/>
    <mergeCell ref="K21:L21"/>
    <mergeCell ref="K23:L23"/>
    <mergeCell ref="K24:L24"/>
    <mergeCell ref="K13:L13"/>
    <mergeCell ref="K17:L19"/>
    <mergeCell ref="K22:L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L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 L45">
      <formula1>0</formula1>
      <formula2>0</formula2>
    </dataValidation>
    <dataValidation type="list" allowBlank="1" showInputMessage="1" showErrorMessage="1" errorTitle="Code TVA" error="Tapez 1, 2, ou 3." sqref="J27:J29 J31:J41">
      <formula1>"1,2,3"</formula1>
    </dataValidation>
    <dataValidation errorStyle="warning" allowBlank="1" showInputMessage="1" errorTitle="Numéro de carte de crédit" promptTitle="Numéro de carte de crédit" prompt="Tapez ici le numéro de carte de crédit du client"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dataValidation type="decimal" allowBlank="1" showErrorMessage="1" errorTitle="Prix unitaire" error="Tapez un nombre dans cette cellule." promptTitle="Prix unitaire" sqref="K27:K41">
      <formula1>0</formula1>
      <formula2>1000000000</formula2>
    </dataValidation>
    <dataValidation type="whole" errorStyle="warning" allowBlank="1" showErrorMessage="1" errorTitle="Quantité" error="Tapez un nombre dans cette cellule." promptTitle="Quantité" sqref="C27:C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41">
      <formula1>0</formula1>
      <formula2>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42</xdr:row>
                    <xdr:rowOff>152400</xdr:rowOff>
                  </from>
                  <to>
                    <xdr:col>2</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44</xdr:row>
                    <xdr:rowOff>0</xdr:rowOff>
                  </from>
                  <to>
                    <xdr:col>2</xdr:col>
                    <xdr:colOff>704850</xdr:colOff>
                    <xdr:row>45</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45</xdr:row>
                    <xdr:rowOff>28575</xdr:rowOff>
                  </from>
                  <to>
                    <xdr:col>2</xdr:col>
                    <xdr:colOff>714375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45348</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Facture!$L$45</f>
        <v>4182.66</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2024-02-26T08:39:50Z</cp:lastPrinted>
  <dcterms:created xsi:type="dcterms:W3CDTF">1995-05-29T15:50:39Z</dcterms:created>
  <dcterms:modified xsi:type="dcterms:W3CDTF">2024-02-26T08:42:00Z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4182.66</vt:r8>
  </property>
</Properties>
</file>