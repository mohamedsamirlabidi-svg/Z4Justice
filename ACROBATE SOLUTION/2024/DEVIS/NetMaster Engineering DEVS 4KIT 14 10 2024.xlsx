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28" i="3" l="1"/>
  <c r="M43" i="3" s="1"/>
  <c r="M45" i="3" l="1"/>
  <c r="M46"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<sst xmlns="http://schemas.openxmlformats.org/spreadsheetml/2006/main" count="91" uniqueCount="76">
  <si>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</si>
  <si>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</si>
  <si>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</si>
  <si>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</si>
  <si>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</si>
  <si>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</si>
  <si>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</si>
  <si>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</si>
  <si>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</si>
  <si>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</si>
  <si>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</si>
  <si>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</si>
  <si>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</si>
  <si>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</si>
  <si>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</si>
  <si>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</si>
  <si>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</si>
  <si>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</si>
  <si>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</si>
  <si>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</si>
  <si>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</si>
  <si>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</si>
  <si>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</si>
  <si>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</si>
  <si>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</si>
  <si>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</si>
  <si>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</si>
  <si>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</si>
  <si>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</si>
  <si>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</si>
  <si>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</si>
  <si>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</si>
  <si>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</si>
  <si>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</si>
  <si>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</si>
  <si>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</si>
  <si>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</si>
  <si>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</si>
  <si>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</si>
  <si>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</si>
  <si>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</si>
  <si>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</si>
  <si>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</si>
  <si>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</si>
  <si>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</si>
  <si>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</si>
  <si>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</si>
  <si>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</si>
  <si>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</si>
  <si>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</si>
  <si>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</si>
  <si>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</si>
  <si>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</si>
  <si>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</si>
  <si>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</si>
  <si>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</si>
  <si>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</si>
  <si>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</si>
  <si>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</si>
  <si>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</si>
  <si>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</si>
  <si>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</si>
  <si>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</si>
  <si>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</si>
  <si>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</si>
  <si>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</si>
  <si>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</si>
  <si>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</si>
  <si>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</si>
  <si>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</si>
  <si>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</si>
  <si>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</si>
  <si>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Cet équipement est approuvé par Huawei</t>
  </si>
  <si>
    <t>DEVIS  N° 2024-1548</t>
  </si>
  <si>
    <t>NetMaster Engineering</t>
  </si>
  <si>
    <t xml:space="preserve">Responsable  MR AHMED KAMEL MOURAD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</si>
</sst>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49" fontId="16" fillId="0" borderId="0" xfId="0" applyNumberFormat="1" applyFont="1" applyFill="1" applyBorder="1" applyAlignment="1"/>
    <xf numFmtId="0" fontId="31" fillId="7" borderId="60" xfId="0" applyFont="1" applyFill="1" applyBorder="1" applyAlignment="1">
      <alignment horizontal="center"/>
    </xf>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0" fillId="8" borderId="0" xfId="0"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 fillId="3" borderId="38" xfId="0" applyFont="1" applyFill="1" applyBorder="1" applyAlignment="1"/>
    <xf numFmtId="0" fontId="2" fillId="3" borderId="38"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9" t="s">
        <v>0</v>
      </c>
      <c r="E4" s="170"/>
      <c r="F4" s="170"/>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1" t="s">
        <v>2</v>
      </c>
      <c r="E10" s="17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3" t="s">
        <v>45</v>
      </c>
      <c r="E19" s="17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4" t="str">
        <f>LOWER(TemplateInformation!B3)</f>
        <v>c:\program files\microsoft office\office\macrolib\factbd.xls</v>
      </c>
      <c r="G33" s="17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1" t="s">
        <v>16</v>
      </c>
      <c r="E36" s="17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25" zoomScale="95" workbookViewId="0">
      <selection activeCell="K38" sqref="K3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91"/>
      <c r="M9" s="192"/>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98"/>
      <c r="M13" s="199"/>
      <c r="N13" s="3"/>
      <c r="O13" s="8"/>
    </row>
    <row r="14" spans="1:15" x14ac:dyDescent="0.2">
      <c r="A14" s="7"/>
      <c r="B14" s="3"/>
      <c r="C14" s="3"/>
      <c r="D14" s="3"/>
      <c r="E14" s="3"/>
      <c r="F14" s="3"/>
      <c r="G14" s="190"/>
      <c r="H14" s="190"/>
      <c r="I14" s="190"/>
      <c r="J14" s="190"/>
      <c r="K14" s="190"/>
      <c r="L14" s="3"/>
      <c r="M14" s="3"/>
      <c r="N14" s="3"/>
      <c r="O14" s="8"/>
    </row>
    <row r="15" spans="1:15" ht="20.100000000000001" customHeight="1" x14ac:dyDescent="0.2">
      <c r="A15" s="7"/>
      <c r="B15" s="3"/>
      <c r="C15" s="3"/>
      <c r="D15" s="3"/>
      <c r="E15" s="3"/>
      <c r="F15" s="3"/>
      <c r="G15" s="190"/>
      <c r="H15" s="190"/>
      <c r="I15" s="190"/>
      <c r="J15" s="190"/>
      <c r="K15" s="19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79" t="s">
        <v>73</v>
      </c>
      <c r="M17" s="180"/>
      <c r="N17" s="3"/>
      <c r="O17" s="8"/>
    </row>
    <row r="18" spans="1:15" ht="19.5" thickTop="1" x14ac:dyDescent="0.3">
      <c r="A18" s="7"/>
      <c r="B18" s="3"/>
      <c r="C18" s="57"/>
      <c r="D18" s="57"/>
      <c r="E18" s="57"/>
      <c r="F18" s="57"/>
      <c r="G18" s="57"/>
      <c r="H18" s="57"/>
      <c r="I18" s="58"/>
      <c r="J18" s="58"/>
      <c r="K18" s="58"/>
      <c r="L18" s="181"/>
      <c r="M18" s="182"/>
      <c r="N18" s="19"/>
      <c r="O18" s="8"/>
    </row>
    <row r="19" spans="1:15" ht="13.5" thickBot="1" x14ac:dyDescent="0.25">
      <c r="A19" s="7"/>
      <c r="B19" s="3"/>
      <c r="C19" s="3"/>
      <c r="D19" s="3"/>
      <c r="E19" s="3"/>
      <c r="F19" s="3"/>
      <c r="G19" s="3"/>
      <c r="H19" s="3"/>
      <c r="I19" s="3"/>
      <c r="J19" s="3"/>
      <c r="K19" s="3"/>
      <c r="L19" s="183"/>
      <c r="M19" s="184"/>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203" t="s">
        <v>74</v>
      </c>
      <c r="E21" s="204"/>
      <c r="F21" s="204"/>
      <c r="G21" s="204"/>
      <c r="H21" s="204"/>
      <c r="I21" s="204"/>
      <c r="J21" s="80"/>
      <c r="K21" s="82" t="s">
        <v>18</v>
      </c>
      <c r="L21" s="195">
        <v>45579</v>
      </c>
      <c r="M21" s="196"/>
      <c r="N21" s="54"/>
      <c r="O21" s="8"/>
    </row>
    <row r="22" spans="1:15" ht="14.25" x14ac:dyDescent="0.2">
      <c r="A22" s="7"/>
      <c r="B22" s="3"/>
      <c r="C22" s="80" t="s">
        <v>5</v>
      </c>
      <c r="D22" s="201"/>
      <c r="E22" s="202"/>
      <c r="F22" s="202"/>
      <c r="G22" s="202"/>
      <c r="H22" s="202"/>
      <c r="I22" s="202"/>
      <c r="J22" s="80"/>
      <c r="K22" s="118" t="s">
        <v>58</v>
      </c>
      <c r="L22" s="188"/>
      <c r="M22" s="189"/>
      <c r="N22" s="55"/>
      <c r="O22" s="8"/>
    </row>
    <row r="23" spans="1:15" x14ac:dyDescent="0.2">
      <c r="A23" s="7"/>
      <c r="B23" s="3"/>
      <c r="C23" s="80" t="s">
        <v>7</v>
      </c>
      <c r="D23" s="87"/>
      <c r="E23" s="88" t="s">
        <v>8</v>
      </c>
      <c r="F23" s="200"/>
      <c r="G23" s="200"/>
      <c r="H23" s="89" t="s">
        <v>9</v>
      </c>
      <c r="I23" s="86" t="s">
        <v>51</v>
      </c>
      <c r="J23" s="80"/>
      <c r="K23" s="103" t="s">
        <v>75</v>
      </c>
      <c r="L23" s="214"/>
      <c r="M23" s="215"/>
      <c r="N23" s="3"/>
      <c r="O23" s="8"/>
    </row>
    <row r="24" spans="1:15" x14ac:dyDescent="0.2">
      <c r="A24" s="7"/>
      <c r="B24" s="3"/>
      <c r="C24" s="80" t="s">
        <v>20</v>
      </c>
      <c r="D24" s="205"/>
      <c r="E24" s="206"/>
      <c r="F24" s="206"/>
      <c r="G24" s="206"/>
      <c r="H24" s="206"/>
      <c r="I24" s="206"/>
      <c r="J24" s="80"/>
      <c r="K24" s="82" t="s">
        <v>47</v>
      </c>
      <c r="L24" s="197"/>
      <c r="M24" s="197"/>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85" t="s">
        <v>22</v>
      </c>
      <c r="F26" s="186"/>
      <c r="G26" s="186"/>
      <c r="H26" s="186"/>
      <c r="I26" s="186"/>
      <c r="J26" s="186"/>
      <c r="K26" s="187"/>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v>4</v>
      </c>
      <c r="E28" s="132" t="s">
        <v>65</v>
      </c>
      <c r="F28" s="133"/>
      <c r="G28" s="133"/>
      <c r="H28" s="134"/>
      <c r="I28" s="134"/>
      <c r="J28" s="135"/>
      <c r="K28" s="136"/>
      <c r="L28" s="137">
        <v>900</v>
      </c>
      <c r="M28" s="138">
        <f>+L28*D28</f>
        <v>3600</v>
      </c>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c r="E30" s="140" t="s">
        <v>66</v>
      </c>
      <c r="F30" s="141"/>
      <c r="G30" s="142"/>
      <c r="H30" s="143"/>
      <c r="I30" s="143"/>
      <c r="J30" s="144"/>
      <c r="K30" s="145"/>
      <c r="L30" s="137"/>
      <c r="M30" s="138"/>
      <c r="N30" s="56"/>
      <c r="O30" s="8"/>
    </row>
    <row r="31" spans="1:15" ht="15.75" x14ac:dyDescent="0.25">
      <c r="A31" s="7"/>
      <c r="B31" s="3"/>
      <c r="C31" s="104"/>
      <c r="D31" s="131"/>
      <c r="E31" s="146" t="s">
        <v>67</v>
      </c>
      <c r="F31" s="147"/>
      <c r="G31" s="148"/>
      <c r="H31" s="134"/>
      <c r="I31" s="134"/>
      <c r="J31" s="135"/>
      <c r="K31" s="145"/>
      <c r="L31" s="137"/>
      <c r="M31" s="138"/>
      <c r="N31" s="56"/>
      <c r="O31" s="8"/>
    </row>
    <row r="32" spans="1:15" ht="15.75" x14ac:dyDescent="0.25">
      <c r="A32" s="7"/>
      <c r="B32" s="3"/>
      <c r="C32" s="104"/>
      <c r="D32" s="131"/>
      <c r="E32" s="149" t="s">
        <v>68</v>
      </c>
      <c r="F32" s="150"/>
      <c r="G32" s="151"/>
      <c r="H32" s="152"/>
      <c r="I32" s="152"/>
      <c r="J32" s="153"/>
      <c r="K32" s="145"/>
      <c r="L32" s="137"/>
      <c r="M32" s="137"/>
      <c r="N32" s="56"/>
      <c r="O32" s="8"/>
    </row>
    <row r="33" spans="1:15" ht="15.75" x14ac:dyDescent="0.25">
      <c r="A33" s="7"/>
      <c r="B33" s="3"/>
      <c r="C33" s="104"/>
      <c r="D33" s="154"/>
      <c r="E33" s="155" t="s">
        <v>69</v>
      </c>
      <c r="F33" s="150"/>
      <c r="G33" s="151"/>
      <c r="H33" s="152"/>
      <c r="I33" s="152"/>
      <c r="J33" s="153"/>
      <c r="K33" s="145"/>
      <c r="L33" s="156"/>
      <c r="M33" s="137"/>
      <c r="N33" s="56"/>
      <c r="O33" s="8"/>
    </row>
    <row r="34" spans="1:15" ht="15.75" x14ac:dyDescent="0.25">
      <c r="A34" s="7"/>
      <c r="B34" s="3"/>
      <c r="C34" s="104"/>
      <c r="D34" s="154"/>
      <c r="E34" s="149" t="s">
        <v>70</v>
      </c>
      <c r="F34" s="150"/>
      <c r="G34" s="151"/>
      <c r="H34" s="152"/>
      <c r="I34" s="152"/>
      <c r="J34" s="153"/>
      <c r="K34" s="145"/>
      <c r="L34" s="156"/>
      <c r="M34" s="137"/>
      <c r="N34" s="56"/>
      <c r="O34" s="8"/>
    </row>
    <row r="35" spans="1:15" ht="15.75" x14ac:dyDescent="0.25">
      <c r="A35" s="7"/>
      <c r="B35" s="3"/>
      <c r="C35" s="104"/>
      <c r="D35" s="154"/>
      <c r="E35" s="157" t="s">
        <v>71</v>
      </c>
      <c r="F35" s="150"/>
      <c r="G35" s="151"/>
      <c r="H35" s="152"/>
      <c r="I35" s="152"/>
      <c r="J35" s="153"/>
      <c r="K35" s="145"/>
      <c r="L35" s="156"/>
      <c r="M35" s="137"/>
      <c r="N35" s="56"/>
      <c r="O35" s="8"/>
    </row>
    <row r="36" spans="1:15" ht="15.75" x14ac:dyDescent="0.25">
      <c r="A36" s="7"/>
      <c r="B36" s="3"/>
      <c r="C36" s="104"/>
      <c r="D36" s="154"/>
      <c r="E36" s="166"/>
      <c r="F36" s="159"/>
      <c r="G36" s="151"/>
      <c r="H36" s="161"/>
      <c r="I36" s="152"/>
      <c r="J36" s="153"/>
      <c r="K36" s="168"/>
      <c r="L36" s="156"/>
      <c r="M36" s="137"/>
      <c r="N36" s="56"/>
      <c r="O36" s="8"/>
    </row>
    <row r="37" spans="1:15" ht="15.75" x14ac:dyDescent="0.25">
      <c r="A37" s="7"/>
      <c r="B37" s="3"/>
      <c r="C37" s="104"/>
      <c r="D37" s="154"/>
      <c r="E37" s="166"/>
      <c r="F37" s="159"/>
      <c r="G37" s="151"/>
      <c r="H37" s="161"/>
      <c r="I37" s="152"/>
      <c r="J37" s="153"/>
      <c r="K37" s="168"/>
      <c r="L37" s="156"/>
      <c r="M37" s="137"/>
      <c r="N37" s="56"/>
      <c r="O37" s="8"/>
    </row>
    <row r="38" spans="1:15" ht="15.75" x14ac:dyDescent="0.25">
      <c r="A38" s="7"/>
      <c r="B38" s="3"/>
      <c r="C38" s="104"/>
      <c r="D38" s="158"/>
      <c r="E38" s="166"/>
      <c r="F38" s="159"/>
      <c r="G38" s="151"/>
      <c r="H38" s="161"/>
      <c r="I38" s="152"/>
      <c r="J38" s="153"/>
      <c r="K38" s="163"/>
      <c r="L38" s="156"/>
      <c r="M38" s="137"/>
      <c r="N38" s="56"/>
      <c r="O38" s="8"/>
    </row>
    <row r="39" spans="1:15" ht="15.75" x14ac:dyDescent="0.25">
      <c r="A39" s="7"/>
      <c r="B39" s="3"/>
      <c r="C39" s="104"/>
      <c r="D39" s="154"/>
      <c r="E39" s="166"/>
      <c r="F39" s="159"/>
      <c r="G39" s="151"/>
      <c r="H39" s="161"/>
      <c r="I39" s="152"/>
      <c r="J39" s="153"/>
      <c r="K39" s="168"/>
      <c r="L39" s="156"/>
      <c r="M39" s="137"/>
      <c r="N39" s="56"/>
      <c r="O39" s="8"/>
    </row>
    <row r="40" spans="1:15" ht="15.75" x14ac:dyDescent="0.25">
      <c r="A40" s="7"/>
      <c r="B40" s="3"/>
      <c r="C40" s="104"/>
      <c r="D40" s="154"/>
      <c r="E40" s="166"/>
      <c r="F40" s="159"/>
      <c r="G40" s="160"/>
      <c r="H40" s="161"/>
      <c r="I40" s="159"/>
      <c r="J40" s="160"/>
      <c r="K40" s="167"/>
      <c r="L40" s="156"/>
      <c r="M40" s="137"/>
      <c r="N40" s="56"/>
      <c r="O40" s="8"/>
    </row>
    <row r="41" spans="1:15" ht="15.75" x14ac:dyDescent="0.25">
      <c r="A41" s="7"/>
      <c r="B41" s="3"/>
      <c r="C41" s="91"/>
      <c r="D41" s="158"/>
      <c r="E41" s="132" t="s">
        <v>72</v>
      </c>
      <c r="F41" s="159"/>
      <c r="G41" s="160"/>
      <c r="H41" s="161"/>
      <c r="I41" s="161"/>
      <c r="J41" s="162"/>
      <c r="K41" s="163"/>
      <c r="L41" s="164"/>
      <c r="M41" s="137"/>
      <c r="N41" s="56"/>
      <c r="O41" s="8"/>
    </row>
    <row r="42" spans="1:15" ht="15" x14ac:dyDescent="0.2">
      <c r="A42" s="7"/>
      <c r="B42" s="3"/>
      <c r="C42" s="92"/>
      <c r="D42" s="53"/>
      <c r="E42" s="193"/>
      <c r="F42" s="194"/>
      <c r="G42" s="194"/>
      <c r="H42" s="194"/>
      <c r="I42" s="194"/>
      <c r="J42" s="194"/>
      <c r="K42" s="110"/>
      <c r="L42" s="93"/>
      <c r="M42" s="93"/>
      <c r="N42" s="56"/>
      <c r="O42" s="8"/>
    </row>
    <row r="43" spans="1:15" ht="15" customHeight="1" x14ac:dyDescent="0.25">
      <c r="A43" s="7"/>
      <c r="B43" s="165"/>
      <c r="C43" s="3"/>
      <c r="D43" s="80"/>
      <c r="E43" s="80"/>
      <c r="F43" s="80"/>
      <c r="G43" s="80"/>
      <c r="H43" s="80"/>
      <c r="I43" s="75"/>
      <c r="J43" s="75"/>
      <c r="K43" s="75"/>
      <c r="L43" s="99" t="s">
        <v>24</v>
      </c>
      <c r="M43" s="94">
        <f>SUM(M28:M42)</f>
        <v>3600</v>
      </c>
      <c r="N43" s="56"/>
      <c r="O43" s="8"/>
    </row>
    <row r="44" spans="1:15" ht="15" customHeight="1" x14ac:dyDescent="0.2">
      <c r="A44" s="7"/>
      <c r="B44" s="3"/>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SUM(M43*0.19)</f>
        <v>684</v>
      </c>
      <c r="N45" s="56"/>
      <c r="O45" s="8"/>
    </row>
    <row r="46" spans="1:15" ht="3" customHeight="1" x14ac:dyDescent="0.25">
      <c r="A46" s="7"/>
      <c r="B46" s="3"/>
      <c r="C46" s="3"/>
      <c r="D46" s="83"/>
      <c r="E46" s="124" t="s">
        <v>60</v>
      </c>
      <c r="F46" s="85"/>
      <c r="G46" s="83"/>
      <c r="H46" s="80"/>
      <c r="I46" s="78"/>
      <c r="J46" s="75"/>
      <c r="K46" s="75"/>
      <c r="L46" s="176" t="s">
        <v>27</v>
      </c>
      <c r="M46" s="177">
        <f>SUM(M43:M45)</f>
        <v>4285</v>
      </c>
      <c r="N46" s="56"/>
      <c r="O46" s="8"/>
    </row>
    <row r="47" spans="1:15" ht="15" x14ac:dyDescent="0.2">
      <c r="A47" s="7"/>
      <c r="B47" s="3"/>
      <c r="C47" s="3"/>
      <c r="D47" s="83">
        <v>1</v>
      </c>
      <c r="E47" s="103" t="s">
        <v>61</v>
      </c>
      <c r="F47" s="80"/>
      <c r="G47" s="84"/>
      <c r="H47" s="80"/>
      <c r="I47" s="79" t="s">
        <v>26</v>
      </c>
      <c r="J47" s="75"/>
      <c r="K47" s="75"/>
      <c r="L47" s="176"/>
      <c r="M47" s="178"/>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59</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207" t="s">
        <v>63</v>
      </c>
      <c r="C52" s="207"/>
      <c r="D52" s="207"/>
      <c r="E52" s="207"/>
      <c r="F52" s="207"/>
      <c r="G52" s="118"/>
      <c r="H52" s="118"/>
      <c r="I52" s="118"/>
      <c r="J52" s="118"/>
      <c r="K52" s="118"/>
      <c r="L52" s="125" t="s">
        <v>62</v>
      </c>
      <c r="M52" s="98"/>
      <c r="N52" s="56"/>
      <c r="O52" s="8"/>
    </row>
    <row r="53" spans="1:15" ht="15.75" x14ac:dyDescent="0.2">
      <c r="A53" s="7"/>
      <c r="B53" s="208" t="s">
        <v>64</v>
      </c>
      <c r="C53" s="208"/>
      <c r="D53" s="208"/>
      <c r="E53" s="208"/>
      <c r="F53" s="208"/>
      <c r="G53" s="126"/>
      <c r="H53" s="126"/>
      <c r="I53" s="126"/>
      <c r="J53" s="126"/>
      <c r="K53" s="126"/>
      <c r="L53" s="96"/>
      <c r="M53" s="97"/>
      <c r="N53" s="56"/>
      <c r="O53" s="8"/>
    </row>
    <row r="54" spans="1:15" ht="15.75" x14ac:dyDescent="0.2">
      <c r="A54" s="7"/>
      <c r="B54" s="3"/>
      <c r="C54" s="3"/>
      <c r="D54" s="18"/>
      <c r="E54" s="211"/>
      <c r="F54" s="211"/>
      <c r="G54" s="211"/>
      <c r="H54" s="211"/>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16.5" thickBot="1" x14ac:dyDescent="0.25">
      <c r="A56" s="7"/>
      <c r="B56" s="3"/>
      <c r="C56" s="3"/>
      <c r="D56" s="115" t="s">
        <v>57</v>
      </c>
      <c r="E56" s="115"/>
      <c r="F56" s="115"/>
      <c r="G56" s="115"/>
      <c r="H56" s="115"/>
      <c r="I56" s="115"/>
      <c r="J56" s="115"/>
      <c r="K56" s="115"/>
      <c r="L56" s="115"/>
      <c r="M56" s="95"/>
      <c r="N56" s="56"/>
      <c r="O56" s="8"/>
    </row>
    <row r="57" spans="1:15" ht="16.5" thickTop="1" x14ac:dyDescent="0.2">
      <c r="A57" s="57"/>
      <c r="B57" s="3"/>
      <c r="C57" s="3"/>
      <c r="D57" s="18"/>
      <c r="E57" s="212" t="s">
        <v>54</v>
      </c>
      <c r="F57" s="212"/>
      <c r="G57" s="212"/>
      <c r="H57" s="212"/>
      <c r="I57" s="212"/>
      <c r="J57" s="212"/>
      <c r="K57" s="212"/>
      <c r="L57" s="95"/>
      <c r="M57" s="95"/>
      <c r="N57" s="56"/>
      <c r="O57" s="8"/>
    </row>
    <row r="58" spans="1:15" ht="15.75" x14ac:dyDescent="0.2">
      <c r="A58" s="117"/>
      <c r="B58" s="3"/>
      <c r="C58" s="3"/>
      <c r="D58" s="213" t="s">
        <v>56</v>
      </c>
      <c r="E58" s="213"/>
      <c r="F58" s="213"/>
      <c r="G58" s="213"/>
      <c r="H58" s="213"/>
      <c r="I58" s="213"/>
      <c r="J58" s="213"/>
      <c r="K58" s="213"/>
      <c r="L58" s="213"/>
      <c r="M58" s="95"/>
      <c r="N58" s="56"/>
    </row>
    <row r="59" spans="1:15" ht="15.75" x14ac:dyDescent="0.2">
      <c r="A59" s="116"/>
      <c r="B59" s="3"/>
      <c r="C59" s="3"/>
      <c r="D59" s="213"/>
      <c r="E59" s="213"/>
      <c r="F59" s="213"/>
      <c r="G59" s="213"/>
      <c r="H59" s="213"/>
      <c r="I59" s="213"/>
      <c r="J59" s="213"/>
      <c r="K59" s="213"/>
      <c r="L59" s="213"/>
      <c r="M59" s="95"/>
      <c r="N59" s="56"/>
    </row>
    <row r="60" spans="1:15" ht="13.5" thickBot="1" x14ac:dyDescent="0.25">
      <c r="B60" s="111"/>
      <c r="C60" s="111"/>
      <c r="D60" s="112"/>
      <c r="E60" s="112"/>
      <c r="F60" s="112"/>
      <c r="G60" s="210"/>
      <c r="H60" s="210"/>
      <c r="I60" s="210"/>
      <c r="J60" s="210"/>
      <c r="K60" s="210"/>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209"/>
      <c r="K62" s="209"/>
      <c r="L62" s="209"/>
      <c r="M62" s="209"/>
      <c r="N62" s="209"/>
    </row>
    <row r="63" spans="1:15" x14ac:dyDescent="0.2">
      <c r="B63" s="116"/>
      <c r="C63" s="116"/>
      <c r="D63" s="116"/>
      <c r="E63" s="116"/>
      <c r="F63" s="116"/>
      <c r="G63" s="116"/>
      <c r="H63" s="116"/>
      <c r="I63" s="116"/>
      <c r="J63" s="210"/>
      <c r="K63" s="210"/>
      <c r="L63" s="210"/>
      <c r="M63" s="210"/>
      <c r="N63" s="21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2">
    <mergeCell ref="B52:F52"/>
    <mergeCell ref="B53:F53"/>
    <mergeCell ref="J62:N63"/>
    <mergeCell ref="E54:H54"/>
    <mergeCell ref="E57:K57"/>
    <mergeCell ref="G60:K60"/>
    <mergeCell ref="D58:L59"/>
    <mergeCell ref="G14:K15"/>
    <mergeCell ref="L9:M9"/>
    <mergeCell ref="E42:J42"/>
    <mergeCell ref="L21:M21"/>
    <mergeCell ref="L24:M24"/>
    <mergeCell ref="L13:M13"/>
    <mergeCell ref="F23:G23"/>
    <mergeCell ref="D22:I22"/>
    <mergeCell ref="D21:I21"/>
    <mergeCell ref="D24:I24"/>
    <mergeCell ref="L46:L47"/>
    <mergeCell ref="M46:M47"/>
    <mergeCell ref="L17:M19"/>
    <mergeCell ref="E26:K26"/>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45579</v>
      </c>
      <c r="D8" s="70" t="str">
        <f>Facture!$D$21</f>
        <v>NetMaster Engineering</v>
      </c>
      <c r="E8" s="67">
        <f>Facture!$D$22</f>
        <v>0</v>
      </c>
      <c r="F8" s="67">
        <f>Facture!$D$23</f>
        <v>0</v>
      </c>
      <c r="G8" s="70">
        <f>Facture!$F$23</f>
        <v>0</v>
      </c>
      <c r="H8" s="70" t="str">
        <f>Facture!$I$23</f>
        <v>TN</v>
      </c>
      <c r="I8" s="67">
        <f>Facture!$D$24</f>
        <v>0</v>
      </c>
      <c r="J8" s="71">
        <f>Facture!$M$46</f>
        <v>4285</v>
      </c>
      <c r="K8" s="67">
        <f>Facture!$L$23</f>
        <v>0</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2024-07-08T08:15:46Z</cp:lastPrinted>
  <dcterms:created xsi:type="dcterms:W3CDTF">1995-05-29T15:50:39Z</dcterms:created>
  <dcterms:modified xsi:type="dcterms:W3CDTF">2024-10-14T13:37:10Z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NetMaster Engineering</vt:lpwstr>
  </property>
  <property fmtid="{D5CDD505-2E9C-101B-9397-08002B2CF9AE}" pid="11" name="Montant de la facture" linkTarget="TOT">
    <vt:r8>4285</vt:r8>
  </property>
</Properties>
</file>