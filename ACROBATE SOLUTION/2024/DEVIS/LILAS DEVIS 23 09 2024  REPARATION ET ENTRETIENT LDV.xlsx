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8" i="3" l="1"/>
  <c r="M29" i="3"/>
  <c r="M30" i="3"/>
  <c r="M31" i="3"/>
  <c r="M32" i="3"/>
  <c r="M38" i="3"/>
  <c r="M40" i="3" s="1"/>
  <c r="M42" i="3" l="1"/>
  <c r="M43" i="3"/>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<sst xmlns="http://schemas.openxmlformats.org/spreadsheetml/2006/main" count="88" uniqueCount="78">
  <si>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</si>
  <si>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</si>
  <si>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</si>
  <si>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</si>
  <si>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</si>
  <si>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</si>
  <si>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</si>
  <si>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</si>
  <si>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</si>
  <si>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</si>
  <si>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</si>
  <si>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</si>
  <si>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</si>
  <si>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</si>
  <si>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</si>
  <si>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</si>
  <si>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</si>
  <si>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</si>
  <si>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</si>
  <si>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</si>
  <si>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</si>
  <si>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</si>
  <si>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</si>
  <si>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</si>
  <si>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</si>
  <si>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</si>
  <si>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</si>
  <si>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</si>
  <si>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</si>
  <si>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</si>
  <si>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</si>
  <si>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</si>
  <si>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</si>
  <si>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</si>
  <si>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</si>
  <si>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</si>
  <si>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</si>
  <si>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</si>
  <si>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</si>
  <si>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</si>
  <si>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</si>
  <si>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</si>
  <si>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</si>
  <si>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</si>
  <si>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</si>
  <si>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</si>
  <si>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</si>
  <si>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</si>
  <si>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</si>
  <si>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</si>
  <si>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</si>
  <si>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</si>
  <si>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</si>
  <si>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</si>
  <si>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</si>
  <si>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</si>
  <si>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</si>
  <si>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</si>
  <si>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</si>
  <si>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</si>
  <si>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</si>
  <si>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</si>
  <si>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</si>
  <si>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</si>
  <si>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</si>
  <si>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</si>
  <si>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</si>
  <si>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</si>
  <si>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</si>
  <si>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</si>
  <si>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</si>
  <si>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</si>
  <si>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</si>
  <si>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</si>
  <si>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</si>
  <si>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Réf commande:</t>
  </si>
  <si>
    <t>Date :23/09/2024</t>
  </si>
  <si>
    <t>DEVIS  N° 2024-1024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</si>
</sst>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47" fillId="0"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72" t="s">
        <v>77</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7" t="s">
        <v>63</v>
      </c>
      <c r="F22" s="178"/>
      <c r="G22" s="178"/>
      <c r="H22" s="178"/>
      <c r="I22" s="178"/>
      <c r="J22" s="178"/>
      <c r="K22" s="101"/>
      <c r="L22" s="175" t="s">
        <v>76</v>
      </c>
      <c r="M22" s="175"/>
      <c r="N22" s="52"/>
      <c r="O22" s="9"/>
    </row>
    <row r="23" spans="2:15" ht="33.75" x14ac:dyDescent="0.5">
      <c r="B23" s="7"/>
      <c r="C23" s="3"/>
      <c r="D23" s="100" t="s">
        <v>54</v>
      </c>
      <c r="E23" s="170" t="s">
        <v>64</v>
      </c>
      <c r="F23" s="171"/>
      <c r="G23" s="171"/>
      <c r="H23" s="171"/>
      <c r="I23" s="171"/>
      <c r="J23" s="171"/>
      <c r="K23" s="144"/>
      <c r="L23" s="148" t="s">
        <v>75</v>
      </c>
      <c r="M23" s="148"/>
      <c r="N23" s="53"/>
      <c r="O23" s="9"/>
    </row>
    <row r="24" spans="2:15" ht="33.75" x14ac:dyDescent="0.5">
      <c r="B24" s="7"/>
      <c r="C24" s="3"/>
      <c r="D24" s="100" t="s">
        <v>55</v>
      </c>
      <c r="E24" s="150">
        <v>2035</v>
      </c>
      <c r="F24" s="147" t="s">
        <v>8</v>
      </c>
      <c r="G24" s="164" t="s">
        <v>65</v>
      </c>
      <c r="H24" s="164"/>
      <c r="I24" s="147" t="s">
        <v>9</v>
      </c>
      <c r="J24" s="136" t="s">
        <v>59</v>
      </c>
      <c r="K24" s="101"/>
      <c r="L24" s="176" t="s">
        <v>67</v>
      </c>
      <c r="M24" s="176"/>
      <c r="N24" s="3"/>
      <c r="O24" s="9"/>
    </row>
    <row r="25" spans="2:15" ht="33.75" x14ac:dyDescent="0.5">
      <c r="B25" s="7"/>
      <c r="C25" s="3"/>
      <c r="D25" s="100" t="s">
        <v>56</v>
      </c>
      <c r="E25" s="179" t="s">
        <v>66</v>
      </c>
      <c r="F25" s="180"/>
      <c r="G25" s="180"/>
      <c r="H25" s="180"/>
      <c r="I25" s="180"/>
      <c r="J25" s="180"/>
      <c r="K25" s="101"/>
      <c r="L25" s="176" t="s">
        <v>68</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5" t="s">
        <v>23</v>
      </c>
      <c r="G27" s="166"/>
      <c r="H27" s="166"/>
      <c r="I27" s="166"/>
      <c r="J27" s="166"/>
      <c r="K27" s="167"/>
      <c r="L27" s="89" t="s">
        <v>24</v>
      </c>
      <c r="M27" s="90" t="s">
        <v>25</v>
      </c>
      <c r="N27" s="91"/>
      <c r="O27" s="9"/>
    </row>
    <row r="28" spans="2:15" ht="30" x14ac:dyDescent="0.4">
      <c r="B28" s="7"/>
      <c r="C28" s="3"/>
      <c r="D28" s="137"/>
      <c r="E28" s="103"/>
      <c r="F28" s="149"/>
      <c r="G28" s="111"/>
      <c r="H28" s="111"/>
      <c r="I28" s="111"/>
      <c r="J28" s="111"/>
      <c r="K28" s="112"/>
      <c r="L28" s="104"/>
      <c r="M28" s="108" t="str">
        <f t="shared" ref="M28:M38" si="0">IF(E28&lt;&gt;"",E28*L28,"")</f>
        <v/>
      </c>
      <c r="N28" s="54"/>
      <c r="O28" s="9"/>
    </row>
    <row r="29" spans="2:15" ht="30" x14ac:dyDescent="0.4">
      <c r="B29" s="7"/>
      <c r="C29" s="3"/>
      <c r="D29" s="137"/>
      <c r="E29" s="103"/>
      <c r="F29" s="115"/>
      <c r="G29" s="111"/>
      <c r="H29" s="111"/>
      <c r="I29" s="111"/>
      <c r="J29" s="111"/>
      <c r="K29" s="112"/>
      <c r="L29" s="104"/>
      <c r="M29" s="108" t="str">
        <f t="shared" si="0"/>
        <v/>
      </c>
      <c r="N29" s="54"/>
      <c r="O29" s="9"/>
    </row>
    <row r="30" spans="2:15" ht="30" x14ac:dyDescent="0.4">
      <c r="B30" s="7"/>
      <c r="C30" s="3"/>
      <c r="D30" s="137" t="s">
        <v>71</v>
      </c>
      <c r="E30" s="151">
        <v>1</v>
      </c>
      <c r="F30" s="153" t="s">
        <v>74</v>
      </c>
      <c r="G30" s="111"/>
      <c r="H30" s="111"/>
      <c r="I30" s="111"/>
      <c r="J30" s="111"/>
      <c r="K30" s="145"/>
      <c r="L30" s="104">
        <v>1100</v>
      </c>
      <c r="M30" s="108">
        <f t="shared" si="0"/>
        <v>1100</v>
      </c>
      <c r="N30" s="54"/>
      <c r="O30" s="9"/>
    </row>
    <row r="31" spans="2:15" ht="30" x14ac:dyDescent="0.4">
      <c r="B31" s="7"/>
      <c r="C31" s="3"/>
      <c r="D31" s="137"/>
      <c r="E31" s="103"/>
      <c r="F31" s="115" t="s">
        <v>69</v>
      </c>
      <c r="G31" s="111"/>
      <c r="H31" s="111"/>
      <c r="I31" s="111"/>
      <c r="J31" s="111"/>
      <c r="K31" s="135"/>
      <c r="L31" s="104"/>
      <c r="M31" s="108" t="str">
        <f t="shared" si="0"/>
        <v/>
      </c>
      <c r="N31" s="54"/>
      <c r="O31" s="9"/>
    </row>
    <row r="32" spans="2:15" ht="30" x14ac:dyDescent="0.4">
      <c r="B32" s="7"/>
      <c r="C32" s="3"/>
      <c r="D32" s="137"/>
      <c r="E32" s="103"/>
      <c r="F32" s="115" t="s">
        <v>70</v>
      </c>
      <c r="G32" s="111"/>
      <c r="H32" s="135"/>
      <c r="I32" s="111"/>
      <c r="J32" s="111"/>
      <c r="K32" s="112"/>
      <c r="L32" s="104"/>
      <c r="M32" s="108" t="str">
        <f t="shared" si="0"/>
        <v/>
      </c>
      <c r="N32" s="54"/>
      <c r="O32" s="9"/>
    </row>
    <row r="33" spans="2:15" ht="30" x14ac:dyDescent="0.4">
      <c r="B33" s="7"/>
      <c r="C33" s="3"/>
      <c r="D33" s="137"/>
      <c r="E33" s="103"/>
      <c r="F33" s="115"/>
      <c r="G33" s="111"/>
      <c r="H33" s="135"/>
      <c r="I33" s="111"/>
      <c r="J33" s="111"/>
      <c r="K33" s="112"/>
      <c r="L33" s="104"/>
      <c r="M33" s="108"/>
      <c r="N33" s="54"/>
      <c r="O33" s="9"/>
    </row>
    <row r="34" spans="2:15" ht="30" x14ac:dyDescent="0.4">
      <c r="B34" s="7"/>
      <c r="C34" s="3"/>
      <c r="D34" s="137"/>
      <c r="E34" s="103"/>
      <c r="F34" s="115"/>
      <c r="G34" s="111"/>
      <c r="H34" s="135"/>
      <c r="I34" s="111"/>
      <c r="J34" s="111"/>
      <c r="K34" s="112"/>
      <c r="L34" s="104"/>
      <c r="M34" s="108"/>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t="str">
        <f t="shared" si="0"/>
        <v/>
      </c>
      <c r="N37" s="54"/>
      <c r="O37" s="9"/>
    </row>
    <row r="38" spans="2:15" ht="30" customHeight="1" x14ac:dyDescent="0.4">
      <c r="B38" s="7"/>
      <c r="C38" s="3"/>
      <c r="D38" s="137"/>
      <c r="E38" s="103"/>
      <c r="F38" s="115"/>
      <c r="G38" s="146"/>
      <c r="H38" s="146"/>
      <c r="I38" s="146"/>
      <c r="J38" s="146"/>
      <c r="K38" s="146"/>
      <c r="L38" s="104"/>
      <c r="M38" s="108" t="str">
        <f t="shared" si="0"/>
        <v/>
      </c>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SUM(M30:M39)</f>
        <v>1100</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95" t="s">
        <v>58</v>
      </c>
      <c r="F42" s="77"/>
      <c r="G42" s="77"/>
      <c r="H42" s="77"/>
      <c r="I42" s="77"/>
      <c r="J42" s="80"/>
      <c r="K42" s="93"/>
      <c r="L42" s="130">
        <v>0.19</v>
      </c>
      <c r="M42" s="131">
        <f>+M40*19%</f>
        <v>209</v>
      </c>
      <c r="N42" s="54"/>
      <c r="O42" s="9"/>
    </row>
    <row r="43" spans="2:15" ht="35.25" x14ac:dyDescent="0.5">
      <c r="B43" s="7"/>
      <c r="C43" s="3"/>
      <c r="D43" s="142"/>
      <c r="E43" s="181" t="s">
        <v>72</v>
      </c>
      <c r="F43" s="94"/>
      <c r="G43" s="82"/>
      <c r="H43" s="81"/>
      <c r="I43" s="77"/>
      <c r="J43" s="83"/>
      <c r="K43" s="92"/>
      <c r="L43" s="129" t="s">
        <v>28</v>
      </c>
      <c r="M43" s="128">
        <f>+M40+M41+M42</f>
        <v>1310</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68"/>
      <c r="E46" s="168"/>
      <c r="F46" s="168"/>
      <c r="G46" s="168"/>
      <c r="H46" s="168"/>
      <c r="I46" s="168"/>
      <c r="J46" s="168"/>
      <c r="K46" s="168"/>
      <c r="L46" s="168"/>
      <c r="M46" s="114"/>
      <c r="N46" s="54"/>
      <c r="O46" s="9"/>
    </row>
    <row r="47" spans="2:15" ht="26.25" x14ac:dyDescent="0.4">
      <c r="B47" s="7"/>
      <c r="C47" s="3"/>
      <c r="D47" s="169"/>
      <c r="E47" s="169"/>
      <c r="F47" s="169"/>
      <c r="G47" s="169"/>
      <c r="H47" s="169"/>
      <c r="I47" s="169"/>
      <c r="J47" s="169"/>
      <c r="K47" s="169"/>
      <c r="L47" s="169"/>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63"/>
      <c r="H49" s="163"/>
      <c r="I49" s="163"/>
      <c r="J49" s="78"/>
      <c r="K49" s="110"/>
      <c r="L49" s="106"/>
      <c r="M49" s="106"/>
      <c r="N49" s="117"/>
      <c r="O49" s="3"/>
      <c r="P49" s="74"/>
    </row>
    <row r="50" spans="1:16" ht="23.25" x14ac:dyDescent="0.35">
      <c r="B50" s="7"/>
      <c r="C50" s="3"/>
      <c r="D50" s="154"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73</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62" t="s">
        <v>52</v>
      </c>
      <c r="E55" s="162"/>
      <c r="F55" s="162"/>
      <c r="G55" s="162"/>
      <c r="H55" s="162"/>
      <c r="I55" s="162"/>
      <c r="J55" s="162"/>
      <c r="K55" s="162"/>
      <c r="L55" s="162"/>
      <c r="M55" s="87"/>
      <c r="N55" s="91"/>
      <c r="O55" s="9"/>
    </row>
    <row r="56" spans="1:16" ht="18" x14ac:dyDescent="0.25">
      <c r="B56" s="7"/>
      <c r="C56" s="3"/>
      <c r="D56" s="162"/>
      <c r="E56" s="162"/>
      <c r="F56" s="162"/>
      <c r="G56" s="162"/>
      <c r="H56" s="162"/>
      <c r="I56" s="162"/>
      <c r="J56" s="162"/>
      <c r="K56" s="162"/>
      <c r="L56" s="162"/>
      <c r="M56" s="88"/>
      <c r="N56" s="91"/>
      <c r="O56" s="9"/>
    </row>
    <row r="57" spans="1:16" ht="15" x14ac:dyDescent="0.2">
      <c r="A57" s="116"/>
      <c r="B57" s="116"/>
      <c r="C57" s="3"/>
      <c r="D57" s="162"/>
      <c r="E57" s="162"/>
      <c r="F57" s="162"/>
      <c r="G57" s="162"/>
      <c r="H57" s="162"/>
      <c r="I57" s="162"/>
      <c r="J57" s="162"/>
      <c r="K57" s="162"/>
      <c r="L57" s="162"/>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5:L57"/>
    <mergeCell ref="G49:I49"/>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:23/09/2024</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1310</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2023-10-17T07:10:55Z</cp:lastPrinted>
  <dcterms:created xsi:type="dcterms:W3CDTF">1995-05-29T15:50:39Z</dcterms:created>
  <dcterms:modified xsi:type="dcterms:W3CDTF">2024-09-23T07:57:47Z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1310</vt:r8>
  </property>
</Properties>
</file>