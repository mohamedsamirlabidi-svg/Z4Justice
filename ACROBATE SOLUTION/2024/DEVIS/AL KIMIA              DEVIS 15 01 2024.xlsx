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Facture!$L$62</definedName>
    <definedName name="_Tax3">Facture!$L$64</definedName>
    <definedName name="_tax4">Facture!$L$64</definedName>
    <definedName name="_xlnm.Auto_Open21">'AutoOpen Stub Data'!$A$1</definedName>
    <definedName name="boxes">Facture!$D$62:$D$63</definedName>
    <definedName name="CC">'Personnaliser votre facture'!$G$22:$G$25</definedName>
    <definedName name="CCT">Facture!$G$64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Facture!$D$59</definedName>
    <definedName name="data6">Facture!$E$22</definedName>
    <definedName name="data60">Facture!$E$59</definedName>
    <definedName name="data61">Facture!$L$59</definedName>
    <definedName name="data62">Facture!$D$62</definedName>
    <definedName name="data63">Facture!$D$63</definedName>
    <definedName name="data64">Facture!$D$64</definedName>
    <definedName name="data65">Facture!$G$63</definedName>
    <definedName name="data66">Facture!$E$70</definedName>
    <definedName name="data67">Facture!$E$71</definedName>
    <definedName name="data68">Facture!$F$75</definedName>
    <definedName name="data69">Facture!$J$75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Facture!$B$3:$N$80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Facture!$E$59:$J$59</definedName>
    <definedName name="qzqzqz26">Facture!$E$70:$H$70</definedName>
    <definedName name="qzqzqz27">Facture!#REF!</definedName>
    <definedName name="qzqzqz28">Facture!$E$71:$H$71</definedName>
    <definedName name="qzqzqz29">Facture!$J$75:$M$75</definedName>
    <definedName name="qzqzqz3">Facture!$D$22:$I$22</definedName>
    <definedName name="qzqzqz30">Facture!$F$75:$H$75</definedName>
    <definedName name="qzqzqz31">Facture!$F$75:$G$75</definedName>
    <definedName name="qzqzqz32">Facture!$J$71:$M$75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Facture!$B$3:$N$80</definedName>
  </definedNames>
  <calcPr calcId="152511"/>
</workbook>
</file>

<file path=xl/calcChain.xml><?xml version="1.0" encoding="utf-8"?>
<calcChain xmlns="http://schemas.openxmlformats.org/spreadsheetml/2006/main">
  <c r="M49" i="3" l="1"/>
  <c r="M50" i="3"/>
  <c r="M51" i="3"/>
  <c r="M52" i="3"/>
  <c r="M53" i="3"/>
  <c r="M45" i="3" l="1"/>
  <c r="M46" i="3"/>
  <c r="M47" i="3"/>
  <c r="M48" i="3"/>
  <c r="M35" i="3"/>
  <c r="M29" i="3" l="1"/>
  <c r="M38" i="3" l="1"/>
  <c r="M39" i="3"/>
  <c r="M40" i="3"/>
  <c r="M41" i="3"/>
  <c r="M42" i="3"/>
  <c r="M43" i="3"/>
  <c r="M44" i="3"/>
  <c r="M56" i="3"/>
  <c r="M57" i="3" l="1"/>
  <c r="M58" i="3"/>
  <c r="M59" i="3" l="1"/>
  <c r="K8" i="8" l="1"/>
  <c r="I8" i="8"/>
  <c r="H8" i="8"/>
  <c r="G8" i="8"/>
  <c r="F8" i="8"/>
  <c r="E8" i="8"/>
  <c r="D8" i="8"/>
  <c r="C8" i="8"/>
  <c r="B8" i="8"/>
  <c r="M27" i="3"/>
  <c r="M60" i="3" s="1"/>
  <c r="M62" i="3" s="1"/>
  <c r="F33" i="2"/>
  <c r="M6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6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<sst xmlns="http://schemas.openxmlformats.org/spreadsheetml/2006/main" count="100" uniqueCount="83">
  <si>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</si>
  <si>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</si>
  <si>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</si>
  <si>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</si>
  <si>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</si>
  <si>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</si>
  <si>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</si>
  <si>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</si>
  <si>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</si>
  <si>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</si>
  <si>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</si>
  <si>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</si>
  <si>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</si>
  <si>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</si>
  <si>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</si>
  <si>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</si>
  <si>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</si>
  <si>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</si>
  <si>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</si>
  <si>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</si>
  <si>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</si>
  <si>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</si>
  <si>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</si>
  <si>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</si>
  <si>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</si>
  <si>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</si>
  <si>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</si>
  <si>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</si>
  <si>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</si>
  <si>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</si>
  <si>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</si>
  <si>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</si>
  <si>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</si>
  <si>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</si>
  <si>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</si>
  <si>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</si>
  <si>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</si>
  <si>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</si>
  <si>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</si>
  <si>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</si>
  <si>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</si>
  <si>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</si>
  <si>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</si>
  <si>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</si>
  <si>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</si>
  <si>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</si>
  <si>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</si>
  <si>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</si>
  <si>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</si>
  <si>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</si>
  <si>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</si>
  <si>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</si>
  <si>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</si>
  <si>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</si>
  <si>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</si>
  <si>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MAIL: gamestream@plane.tn///////gamestream.formation@gmail.com</t>
  </si>
  <si>
    <t>4 RUE DU CAIRE 1001 TUNIS TEL:  71 258108 FAX : 71 259346 RC:B161701999  MF:645 267 KMA 000</t>
  </si>
  <si>
    <t xml:space="preserve">SIGNATURE &amp; CACHET  </t>
  </si>
  <si>
    <t xml:space="preserve">SOCIETE CHIMIQUE ALKIMIA </t>
  </si>
  <si>
    <t xml:space="preserve">11 RUE DES LILAS 1082 TUNIS MAHRAJENE </t>
  </si>
  <si>
    <t xml:space="preserve">36 080 100          Fax: 71 787 283   </t>
  </si>
  <si>
    <t>001716L/A/M/000</t>
  </si>
  <si>
    <t xml:space="preserve"> Paiement à la livraison</t>
  </si>
  <si>
    <t xml:space="preserve">      service achat </t>
  </si>
  <si>
    <t>RIB: 10 000 000 080746 3788 95</t>
  </si>
  <si>
    <t>STB THAMEUR</t>
  </si>
  <si>
    <t xml:space="preserve"> EN ISO 20345:2011</t>
  </si>
  <si>
    <t xml:space="preserve">Commande N°:                     </t>
  </si>
  <si>
    <t>ACCESSOIRES POUR SOUDAGE</t>
  </si>
  <si>
    <t>VERRE BLANC POUR MASQUE DE SOUDURE:</t>
  </si>
  <si>
    <t>DIM: 105 X 50.</t>
  </si>
  <si>
    <t>2 P40 . 4 P41 . 4 P42 . 5 P43 .2 P 44 .1 P38 .7 P46</t>
  </si>
  <si>
    <t>MASQUE JETABLE ANTI-POUSSIERE</t>
  </si>
  <si>
    <t xml:space="preserve">CONFORME A LA NORME : EN 149 AVEC UNE SOUPAPE </t>
  </si>
  <si>
    <t xml:space="preserve">D'EXPIRATION UTILISABLE POUR 08 HEURES DE TRAVAIL AU MINIMUM
</t>
  </si>
  <si>
    <r>
      <rPr>
        <b/>
        <sz val="12"/>
        <rFont val="Arial"/>
        <family val="2"/>
      </rPr>
      <t>PAIRE DE GANTS TRICOTES SANS COUTURE</t>
    </r>
    <r>
      <rPr>
        <sz val="10"/>
        <rFont val="Arial"/>
        <family val="2"/>
      </rPr>
      <t xml:space="preserve"> FABRIQUES EN MATERIAUX SYNTHETIQUES CONFORMEMENT A LA NORME EN- 420 ET EN- 388</t>
    </r>
  </si>
  <si>
    <r>
      <rPr>
        <b/>
        <sz val="10"/>
        <rFont val="Arial"/>
        <family val="2"/>
      </rPr>
      <t xml:space="preserve">RUBAN DE SIGNALISATION - JAUNE - ROUGE </t>
    </r>
    <r>
      <rPr>
        <b/>
        <sz val="9"/>
        <rFont val="Arial"/>
        <family val="2"/>
      </rPr>
      <t>(FLUORESCENT)</t>
    </r>
    <r>
      <rPr>
        <sz val="9"/>
        <rFont val="Arial"/>
        <family val="2"/>
      </rPr>
      <t xml:space="preserve"> </t>
    </r>
    <r>
      <rPr>
        <sz val="10"/>
        <rFont val="Arial"/>
        <family val="2"/>
      </rPr>
      <t xml:space="preserve"> </t>
    </r>
    <r>
      <rPr>
        <sz val="9"/>
        <rFont val="Arial"/>
        <family val="2"/>
      </rPr>
      <t xml:space="preserve">                                                    MATIERE : PVC - LONGUEUR : 50 m - LARGEUR : 50 mm - EPAISSEUR :                       10/100 mm - REF. 50/50</t>
    </r>
  </si>
  <si>
    <t>DEVIS    2024-142</t>
  </si>
  <si>
    <r>
      <rPr>
        <b/>
        <sz val="12"/>
        <rFont val="Arial"/>
        <family val="2"/>
      </rPr>
      <t>MANCHE A AIR SANS SUPPORT COMPOSE DE :</t>
    </r>
    <r>
      <rPr>
        <sz val="9"/>
        <rFont val="Arial"/>
        <family val="2"/>
      </rPr>
      <t xml:space="preserve">
 - 03 ANNEAUX COULEUR ROUGE
 - 02 ANNEAUX COULEUR BLANC
 - LONGUEUR : 1,5 METRES
 - SE FIXE SUR UN CERCEAU DE DIAMETRE 45 CM</t>
    </r>
  </si>
  <si>
    <r>
      <t xml:space="preserve">MARQUE </t>
    </r>
    <r>
      <rPr>
        <b/>
        <u/>
        <sz val="12"/>
        <color rgb="FFFF0000"/>
        <rFont val="Arial"/>
        <family val="2"/>
      </rPr>
      <t>GASTON MILLE SEMELLE  MICHELIN</t>
    </r>
    <r>
      <rPr>
        <b/>
        <sz val="12"/>
        <color rgb="FFFF0000"/>
        <rFont val="Arial"/>
        <family val="2"/>
      </rPr>
      <t>:</t>
    </r>
  </si>
  <si>
    <t xml:space="preserve">DISPONIBLE  8  CHAUSSURES DE TRES HAUTE QUALITE </t>
  </si>
  <si>
    <t>2P40  1P41  3P42   2P43  PRIX 390DTTC</t>
  </si>
  <si>
    <t xml:space="preserve">Chaussures de sécurité S3  TONIC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</si>
</sst>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1"/>
      <name val="Arial"/>
      <family val="2"/>
    </font>
    <font>
      <sz val="16"/>
      <name val="Arial"/>
      <family val="2"/>
    </font>
    <font>
      <b/>
      <u val="double"/>
      <sz val="14"/>
      <color rgb="FFFF0000"/>
      <name val="Arial"/>
      <family val="2"/>
    </font>
    <font>
      <b/>
      <sz val="16"/>
      <name val="Arial"/>
      <family val="2"/>
    </font>
    <font>
      <b/>
      <sz val="11"/>
      <color rgb="FFFF0000"/>
      <name val="Arial"/>
      <family val="2"/>
    </font>
    <font>
      <b/>
      <sz val="12"/>
      <color rgb="FFFF0000"/>
      <name val="Arial"/>
      <family val="2"/>
    </font>
    <font>
      <b/>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16" fillId="0" borderId="32" xfId="0" applyNumberFormat="1" applyFont="1" applyFill="1" applyBorder="1" applyAlignment="1"/>
    <xf numFmtId="0" fontId="16" fillId="6" borderId="0"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0" fontId="1" fillId="3" borderId="0" xfId="0" applyFont="1" applyFill="1" applyBorder="1" applyAlignment="1">
      <alignment horizontal="left"/>
    </xf>
    <xf numFmtId="0" fontId="10" fillId="3" borderId="0" xfId="0" applyFont="1" applyFill="1" applyBorder="1"/>
    <xf numFmtId="0" fontId="33" fillId="3" borderId="0" xfId="0" applyFont="1" applyFill="1" applyBorder="1" applyAlignment="1">
      <alignment horizontal="left"/>
    </xf>
    <xf numFmtId="14" fontId="10" fillId="3" borderId="38" xfId="0" applyNumberFormat="1" applyFont="1" applyFill="1" applyBorder="1" applyAlignment="1">
      <alignment vertical="top"/>
    </xf>
    <xf numFmtId="0" fontId="34" fillId="0" borderId="0" xfId="0" applyFont="1" applyFill="1" applyBorder="1"/>
    <xf numFmtId="0" fontId="32" fillId="0" borderId="0" xfId="0" applyFont="1" applyFill="1" applyBorder="1" applyAlignment="1">
      <alignment wrapText="1"/>
    </xf>
    <xf numFmtId="0" fontId="2" fillId="6" borderId="0" xfId="0" applyFont="1" applyFill="1" applyBorder="1" applyAlignment="1"/>
    <xf numFmtId="0" fontId="2" fillId="6" borderId="34" xfId="0" applyFont="1" applyFill="1" applyBorder="1" applyAlignment="1"/>
    <xf numFmtId="0" fontId="31" fillId="3" borderId="0" xfId="0" applyFont="1" applyFill="1" applyBorder="1" applyAlignment="1"/>
    <xf numFmtId="0" fontId="31" fillId="3" borderId="32" xfId="0" applyFont="1" applyFill="1" applyBorder="1" applyAlignment="1"/>
    <xf numFmtId="0" fontId="31" fillId="3" borderId="34" xfId="0" applyFont="1" applyFill="1" applyBorder="1" applyAlignment="1"/>
    <xf numFmtId="0" fontId="23" fillId="3" borderId="32" xfId="0" applyFont="1" applyFill="1" applyBorder="1" applyAlignment="1"/>
    <xf numFmtId="0" fontId="23" fillId="3" borderId="34" xfId="0" applyFont="1" applyFill="1" applyBorder="1" applyAlignment="1"/>
    <xf numFmtId="0" fontId="23" fillId="3" borderId="32" xfId="0" applyFont="1" applyFill="1" applyBorder="1" applyAlignment="1">
      <alignment horizontal="left" vertical="top" wrapText="1"/>
    </xf>
    <xf numFmtId="0" fontId="23" fillId="3" borderId="0" xfId="0" applyFont="1" applyFill="1" applyBorder="1" applyAlignment="1">
      <alignment horizontal="left" vertical="top" wrapText="1"/>
    </xf>
    <xf numFmtId="49" fontId="35" fillId="0" borderId="32" xfId="0" applyNumberFormat="1" applyFont="1" applyFill="1" applyBorder="1" applyAlignment="1"/>
    <xf numFmtId="0" fontId="36" fillId="6" borderId="0" xfId="0" applyFont="1" applyFill="1" applyBorder="1"/>
    <xf numFmtId="0" fontId="36" fillId="3" borderId="0" xfId="0" applyFont="1" applyFill="1" applyBorder="1" applyAlignment="1"/>
    <xf numFmtId="0" fontId="29" fillId="6" borderId="0" xfId="0" applyFont="1" applyFill="1" applyBorder="1"/>
    <xf numFmtId="0" fontId="29" fillId="6" borderId="34" xfId="0" applyFont="1" applyFill="1" applyBorder="1"/>
    <xf numFmtId="49" fontId="36"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49" fontId="7" fillId="3" borderId="38" xfId="0" applyNumberFormat="1" applyFont="1" applyFill="1" applyBorder="1" applyAlignment="1">
      <alignment horizontal="left" vertical="top" wrapText="1"/>
    </xf>
    <xf numFmtId="49" fontId="7" fillId="3" borderId="38" xfId="0" applyNumberFormat="1"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23" fillId="3" borderId="32" xfId="0" applyFont="1" applyFill="1" applyBorder="1" applyAlignment="1">
      <alignment horizontal="left" vertical="top" wrapText="1"/>
    </xf>
    <xf numFmtId="0" fontId="23" fillId="3" borderId="0" xfId="0" applyFont="1" applyFill="1" applyBorder="1" applyAlignment="1">
      <alignment horizontal="left" vertical="top" wrapText="1"/>
    </xf>
    <xf numFmtId="0" fontId="23" fillId="3" borderId="34" xfId="0" applyFont="1" applyFill="1" applyBorder="1" applyAlignment="1">
      <alignment horizontal="left" vertical="top" wrapText="1"/>
    </xf>
    <xf numFmtId="0" fontId="2" fillId="3" borderId="32" xfId="0" applyFont="1" applyFill="1" applyBorder="1" applyAlignment="1">
      <alignment horizontal="left" vertical="top" wrapText="1"/>
    </xf>
    <xf numFmtId="0" fontId="2" fillId="3" borderId="0" xfId="0" applyFont="1" applyFill="1" applyBorder="1" applyAlignment="1">
      <alignment horizontal="left" vertical="top" wrapText="1"/>
    </xf>
    <xf numFmtId="0" fontId="2" fillId="3" borderId="34" xfId="0" applyFont="1" applyFill="1" applyBorder="1" applyAlignment="1">
      <alignment horizontal="left" vertical="top" wrapText="1"/>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2" fontId="19"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6" fillId="0" borderId="0" xfId="0" applyFont="1" applyFill="1" applyBorder="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64"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191001</xdr:colOff>
      <xdr:row>19</xdr:row>
      <xdr:rowOff>56649</xdr:rowOff>
    </xdr:from>
    <xdr:to>
      <xdr:col>13</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60</xdr:row>
          <xdr:rowOff>152400</xdr:rowOff>
        </xdr:from>
        <xdr:to>
          <xdr:col>3</xdr:col>
          <xdr:colOff>695325</xdr:colOff>
          <xdr:row>61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120314</xdr:colOff>
      <xdr:row>4</xdr:row>
      <xdr:rowOff>20052</xdr:rowOff>
    </xdr:from>
    <xdr:to>
      <xdr:col>6</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7" t="s">
        <v>0</v>
      </c>
      <c r="E4" s="158"/>
      <c r="F4" s="15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9" t="s">
        <v>2</v>
      </c>
      <c r="E10" s="16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1" t="s">
        <v>44</v>
      </c>
      <c r="E19" s="16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2" t="str">
        <f>LOWER(TemplateInformation!B3)</f>
        <v>c:\program files\microsoft office\office\macrolib\factbd.xls</v>
      </c>
      <c r="G33" s="16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9" t="s">
        <v>16</v>
      </c>
      <c r="E36" s="16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0"/>
  <sheetViews>
    <sheetView showGridLines="0" showRowColHeaders="0" tabSelected="1" topLeftCell="A21" zoomScale="95" workbookViewId="0">
      <selection activeCell="E29" sqref="E2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80" t="s">
        <v>53</v>
      </c>
      <c r="M13" s="181"/>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201" t="s">
        <v>77</v>
      </c>
      <c r="M17" s="202"/>
      <c r="N17" s="3"/>
      <c r="O17" s="8"/>
    </row>
    <row r="18" spans="1:15" ht="19.5" thickTop="1" x14ac:dyDescent="0.3">
      <c r="A18" s="7"/>
      <c r="B18" s="3"/>
      <c r="C18" s="58"/>
      <c r="D18" s="58"/>
      <c r="E18" s="58"/>
      <c r="F18" s="58"/>
      <c r="G18" s="58"/>
      <c r="H18" s="58"/>
      <c r="I18" s="59"/>
      <c r="J18" s="59"/>
      <c r="K18" s="59"/>
      <c r="L18" s="203"/>
      <c r="M18" s="204"/>
      <c r="N18" s="19"/>
      <c r="O18" s="8"/>
    </row>
    <row r="19" spans="1:15" ht="13.5" thickBot="1" x14ac:dyDescent="0.25">
      <c r="A19" s="7"/>
      <c r="B19" s="3"/>
      <c r="C19" s="3"/>
      <c r="D19" s="3"/>
      <c r="E19" s="3"/>
      <c r="F19" s="3"/>
      <c r="G19" s="3"/>
      <c r="H19" s="3"/>
      <c r="I19" s="3"/>
      <c r="J19" s="3"/>
      <c r="K19" s="3"/>
      <c r="L19" s="205"/>
      <c r="M19" s="206"/>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6" t="s">
        <v>58</v>
      </c>
      <c r="E21" s="187"/>
      <c r="F21" s="187"/>
      <c r="G21" s="187"/>
      <c r="H21" s="187"/>
      <c r="I21" s="187"/>
      <c r="J21" s="82"/>
      <c r="K21" s="84" t="s">
        <v>18</v>
      </c>
      <c r="L21" s="174">
        <v>45313</v>
      </c>
      <c r="M21" s="175"/>
      <c r="N21" s="55"/>
      <c r="O21" s="8"/>
    </row>
    <row r="22" spans="1:15" x14ac:dyDescent="0.2">
      <c r="A22" s="7"/>
      <c r="B22" s="3"/>
      <c r="C22" s="82" t="s">
        <v>5</v>
      </c>
      <c r="D22" s="184" t="s">
        <v>59</v>
      </c>
      <c r="E22" s="185"/>
      <c r="F22" s="185"/>
      <c r="G22" s="185"/>
      <c r="H22" s="185"/>
      <c r="I22" s="185"/>
      <c r="J22" s="82"/>
      <c r="K22" s="125" t="s">
        <v>67</v>
      </c>
      <c r="L22" s="139"/>
      <c r="M22" s="139"/>
      <c r="N22" s="56"/>
      <c r="O22" s="8"/>
    </row>
    <row r="23" spans="1:15" ht="14.25" x14ac:dyDescent="0.2">
      <c r="A23" s="7"/>
      <c r="B23" s="3"/>
      <c r="C23" s="82" t="s">
        <v>7</v>
      </c>
      <c r="D23" s="89"/>
      <c r="E23" s="90" t="s">
        <v>8</v>
      </c>
      <c r="F23" s="182"/>
      <c r="G23" s="183"/>
      <c r="H23" s="91" t="s">
        <v>9</v>
      </c>
      <c r="I23" s="88" t="s">
        <v>50</v>
      </c>
      <c r="J23" s="82"/>
      <c r="K23" s="84" t="s">
        <v>19</v>
      </c>
      <c r="L23" s="176" t="s">
        <v>63</v>
      </c>
      <c r="M23" s="177"/>
      <c r="N23" s="3"/>
      <c r="O23" s="8"/>
    </row>
    <row r="24" spans="1:15" x14ac:dyDescent="0.2">
      <c r="A24" s="7"/>
      <c r="B24" s="3"/>
      <c r="C24" s="82" t="s">
        <v>20</v>
      </c>
      <c r="D24" s="188" t="s">
        <v>60</v>
      </c>
      <c r="E24" s="189"/>
      <c r="F24" s="189"/>
      <c r="G24" s="189"/>
      <c r="H24" s="189"/>
      <c r="I24" s="189"/>
      <c r="J24" s="82"/>
      <c r="K24" s="84" t="s">
        <v>46</v>
      </c>
      <c r="L24" s="178" t="s">
        <v>61</v>
      </c>
      <c r="M24" s="179"/>
      <c r="N24" s="3"/>
      <c r="O24" s="8"/>
    </row>
    <row r="25" spans="1:15" x14ac:dyDescent="0.2">
      <c r="A25" s="7"/>
      <c r="B25" s="3"/>
      <c r="C25" s="82"/>
      <c r="D25" s="82"/>
      <c r="E25" s="82"/>
      <c r="F25" s="82"/>
      <c r="G25" s="82"/>
      <c r="H25" s="82"/>
      <c r="I25" s="82"/>
      <c r="J25" s="137"/>
      <c r="K25" s="82"/>
      <c r="L25" s="82"/>
      <c r="M25" s="82"/>
      <c r="N25" s="3"/>
      <c r="O25" s="8"/>
    </row>
    <row r="26" spans="1:15" x14ac:dyDescent="0.2">
      <c r="A26" s="7"/>
      <c r="B26" s="3"/>
      <c r="C26" s="67" t="s">
        <v>33</v>
      </c>
      <c r="D26" s="51" t="s">
        <v>21</v>
      </c>
      <c r="E26" s="207" t="s">
        <v>22</v>
      </c>
      <c r="F26" s="208"/>
      <c r="G26" s="208"/>
      <c r="H26" s="208"/>
      <c r="I26" s="208"/>
      <c r="J26" s="208"/>
      <c r="K26" s="209"/>
      <c r="L26" s="52" t="s">
        <v>52</v>
      </c>
      <c r="M26" s="113" t="s">
        <v>23</v>
      </c>
      <c r="N26" s="57"/>
      <c r="O26" s="8"/>
    </row>
    <row r="27" spans="1:15" ht="15.75" x14ac:dyDescent="0.25">
      <c r="A27" s="7"/>
      <c r="B27" s="3"/>
      <c r="C27" s="93"/>
      <c r="D27" s="75"/>
      <c r="E27" s="190"/>
      <c r="F27" s="191"/>
      <c r="G27" s="191"/>
      <c r="H27" s="191"/>
      <c r="I27" s="191"/>
      <c r="J27" s="191"/>
      <c r="K27" s="130"/>
      <c r="L27" s="129"/>
      <c r="M27" s="96" t="str">
        <f t="shared" ref="M27" si="0">IF(D27&lt;&gt;"",D27*L27,"")</f>
        <v/>
      </c>
      <c r="N27" s="57"/>
      <c r="O27" s="8"/>
    </row>
    <row r="28" spans="1:15" ht="15" x14ac:dyDescent="0.2">
      <c r="A28" s="7"/>
      <c r="B28" s="3"/>
      <c r="C28" s="107"/>
      <c r="D28" s="75"/>
      <c r="E28" s="132"/>
      <c r="F28" s="133"/>
      <c r="G28" s="81"/>
      <c r="H28" s="108"/>
      <c r="I28" s="108"/>
      <c r="J28" s="81"/>
      <c r="K28" s="131"/>
      <c r="L28" s="114"/>
      <c r="M28" s="96"/>
      <c r="N28" s="57"/>
      <c r="O28" s="8"/>
    </row>
    <row r="29" spans="1:15" ht="15.75" x14ac:dyDescent="0.25">
      <c r="A29" s="7"/>
      <c r="B29" s="3"/>
      <c r="C29" s="107"/>
      <c r="D29" s="75">
        <v>25</v>
      </c>
      <c r="E29" s="135" t="s">
        <v>82</v>
      </c>
      <c r="F29" s="119"/>
      <c r="G29" s="81"/>
      <c r="H29" s="142"/>
      <c r="I29" s="142"/>
      <c r="J29" s="81"/>
      <c r="K29" s="143"/>
      <c r="L29" s="114">
        <v>150</v>
      </c>
      <c r="M29" s="114">
        <f>L29*D29</f>
        <v>3750</v>
      </c>
      <c r="N29" s="57"/>
      <c r="O29" s="8"/>
    </row>
    <row r="30" spans="1:15" ht="15" x14ac:dyDescent="0.2">
      <c r="A30" s="7"/>
      <c r="B30" s="3"/>
      <c r="C30" s="107"/>
      <c r="D30" s="75"/>
      <c r="E30" s="134" t="s">
        <v>66</v>
      </c>
      <c r="F30" s="133"/>
      <c r="G30" s="81"/>
      <c r="H30" s="108"/>
      <c r="I30" s="108"/>
      <c r="J30" s="81"/>
      <c r="K30" s="131"/>
      <c r="L30" s="114"/>
      <c r="M30" s="114"/>
      <c r="N30" s="57"/>
      <c r="O30" s="8"/>
    </row>
    <row r="31" spans="1:15" ht="15" x14ac:dyDescent="0.2">
      <c r="A31" s="7"/>
      <c r="B31" s="3"/>
      <c r="C31" s="107"/>
      <c r="D31" s="75"/>
      <c r="E31" s="134" t="s">
        <v>71</v>
      </c>
      <c r="F31" s="133"/>
      <c r="G31" s="81"/>
      <c r="H31" s="108"/>
      <c r="I31" s="108"/>
      <c r="J31" s="81"/>
      <c r="K31" s="131"/>
      <c r="L31" s="114"/>
      <c r="M31" s="114"/>
      <c r="N31" s="57"/>
      <c r="O31" s="8"/>
    </row>
    <row r="32" spans="1:15" ht="15.75" x14ac:dyDescent="0.25">
      <c r="A32" s="7"/>
      <c r="B32" s="3"/>
      <c r="C32" s="107"/>
      <c r="D32" s="75"/>
      <c r="E32" s="151" t="s">
        <v>80</v>
      </c>
      <c r="F32" s="152"/>
      <c r="G32" s="153"/>
      <c r="H32" s="154"/>
      <c r="I32" s="154"/>
      <c r="J32" s="153"/>
      <c r="K32" s="155"/>
      <c r="L32" s="114"/>
      <c r="M32" s="114"/>
      <c r="N32" s="57"/>
      <c r="O32" s="8"/>
    </row>
    <row r="33" spans="1:15" ht="15.75" x14ac:dyDescent="0.25">
      <c r="A33" s="7"/>
      <c r="B33" s="3"/>
      <c r="C33" s="107"/>
      <c r="D33" s="75"/>
      <c r="E33" s="156" t="s">
        <v>79</v>
      </c>
      <c r="F33" s="152"/>
      <c r="G33" s="153"/>
      <c r="H33" s="154"/>
      <c r="I33" s="154"/>
      <c r="J33" s="153"/>
      <c r="K33" s="155"/>
      <c r="L33" s="114"/>
      <c r="M33" s="114"/>
      <c r="N33" s="57"/>
      <c r="O33" s="8"/>
    </row>
    <row r="34" spans="1:15" ht="15.75" x14ac:dyDescent="0.25">
      <c r="A34" s="7"/>
      <c r="B34" s="3"/>
      <c r="C34" s="107"/>
      <c r="D34" s="75"/>
      <c r="E34" s="156" t="s">
        <v>81</v>
      </c>
      <c r="F34" s="152"/>
      <c r="G34" s="153"/>
      <c r="H34" s="154"/>
      <c r="I34" s="154"/>
      <c r="J34" s="153"/>
      <c r="K34" s="155"/>
      <c r="L34" s="114"/>
      <c r="M34" s="114"/>
      <c r="N34" s="57"/>
      <c r="O34" s="8"/>
    </row>
    <row r="35" spans="1:15" ht="15.75" x14ac:dyDescent="0.25">
      <c r="A35" s="7"/>
      <c r="B35" s="3"/>
      <c r="C35" s="107"/>
      <c r="D35" s="75">
        <v>50</v>
      </c>
      <c r="E35" s="135" t="s">
        <v>68</v>
      </c>
      <c r="F35" s="133"/>
      <c r="G35" s="81"/>
      <c r="H35" s="108"/>
      <c r="I35" s="108"/>
      <c r="J35" s="81"/>
      <c r="K35" s="131"/>
      <c r="L35" s="114">
        <v>0.79</v>
      </c>
      <c r="M35" s="114">
        <f t="shared" ref="M35" si="1">L35*D35</f>
        <v>39.5</v>
      </c>
      <c r="N35" s="57"/>
      <c r="O35" s="8"/>
    </row>
    <row r="36" spans="1:15" ht="15" x14ac:dyDescent="0.2">
      <c r="A36" s="7"/>
      <c r="B36" s="3"/>
      <c r="C36" s="107"/>
      <c r="D36" s="75"/>
      <c r="E36" s="81" t="s">
        <v>69</v>
      </c>
      <c r="F36" s="133"/>
      <c r="G36" s="81"/>
      <c r="H36" s="108"/>
      <c r="I36" s="81"/>
      <c r="J36" s="81"/>
      <c r="K36" s="131"/>
      <c r="L36" s="114"/>
      <c r="M36" s="96"/>
      <c r="N36" s="57"/>
      <c r="O36" s="8"/>
    </row>
    <row r="37" spans="1:15" ht="18" x14ac:dyDescent="0.25">
      <c r="A37" s="7"/>
      <c r="B37" s="3"/>
      <c r="C37" s="107"/>
      <c r="D37" s="75"/>
      <c r="E37" s="81" t="s">
        <v>70</v>
      </c>
      <c r="F37" s="124"/>
      <c r="G37" s="81"/>
      <c r="H37" s="108"/>
      <c r="I37" s="81"/>
      <c r="J37" s="81"/>
      <c r="K37" s="108"/>
      <c r="L37" s="96"/>
      <c r="M37" s="96"/>
      <c r="N37" s="57"/>
      <c r="O37" s="8"/>
    </row>
    <row r="38" spans="1:15" ht="18" x14ac:dyDescent="0.25">
      <c r="A38" s="7"/>
      <c r="B38" s="3"/>
      <c r="C38" s="107"/>
      <c r="D38" s="75"/>
      <c r="E38" s="81"/>
      <c r="F38" s="124"/>
      <c r="G38" s="81"/>
      <c r="H38" s="108"/>
      <c r="I38" s="81"/>
      <c r="J38" s="81"/>
      <c r="K38" s="108"/>
      <c r="L38" s="96"/>
      <c r="M38" s="96" t="str">
        <f t="shared" ref="M38:M56" si="2">IF(D38&lt;&gt;"",D38*L38,"")</f>
        <v/>
      </c>
      <c r="N38" s="57"/>
      <c r="O38" s="8"/>
    </row>
    <row r="39" spans="1:15" ht="18" x14ac:dyDescent="0.25">
      <c r="A39" s="7"/>
      <c r="B39" s="3"/>
      <c r="C39" s="107"/>
      <c r="D39" s="75">
        <v>200</v>
      </c>
      <c r="E39" s="144" t="s">
        <v>72</v>
      </c>
      <c r="F39" s="124"/>
      <c r="G39" s="81"/>
      <c r="H39" s="108"/>
      <c r="I39" s="81"/>
      <c r="J39" s="81"/>
      <c r="K39" s="108"/>
      <c r="L39" s="96">
        <v>3.5</v>
      </c>
      <c r="M39" s="96">
        <f t="shared" si="2"/>
        <v>700</v>
      </c>
      <c r="N39" s="57"/>
      <c r="O39" s="8"/>
    </row>
    <row r="40" spans="1:15" ht="18" customHeight="1" x14ac:dyDescent="0.25">
      <c r="A40" s="7"/>
      <c r="B40" s="3"/>
      <c r="C40" s="107"/>
      <c r="D40" s="75"/>
      <c r="E40" s="147" t="s">
        <v>73</v>
      </c>
      <c r="F40" s="144"/>
      <c r="G40" s="144"/>
      <c r="H40" s="144"/>
      <c r="I40" s="144"/>
      <c r="J40" s="144"/>
      <c r="K40" s="146"/>
      <c r="L40" s="96"/>
      <c r="M40" s="96" t="str">
        <f t="shared" si="2"/>
        <v/>
      </c>
      <c r="N40" s="57"/>
      <c r="O40" s="8"/>
    </row>
    <row r="41" spans="1:15" ht="18" customHeight="1" x14ac:dyDescent="0.2">
      <c r="A41" s="7"/>
      <c r="B41" s="3"/>
      <c r="C41" s="107"/>
      <c r="D41" s="75"/>
      <c r="E41" s="147" t="s">
        <v>74</v>
      </c>
      <c r="F41" s="126"/>
      <c r="G41" s="126"/>
      <c r="H41" s="126"/>
      <c r="I41" s="126"/>
      <c r="J41" s="126"/>
      <c r="K41" s="148"/>
      <c r="L41" s="96"/>
      <c r="M41" s="96" t="str">
        <f t="shared" si="2"/>
        <v/>
      </c>
      <c r="N41" s="57"/>
      <c r="O41" s="8"/>
    </row>
    <row r="42" spans="1:15" ht="18" customHeight="1" x14ac:dyDescent="0.25">
      <c r="A42" s="7"/>
      <c r="B42" s="3"/>
      <c r="C42" s="107"/>
      <c r="D42" s="75"/>
      <c r="E42" s="145"/>
      <c r="F42" s="144"/>
      <c r="G42" s="144"/>
      <c r="H42" s="144"/>
      <c r="I42" s="144"/>
      <c r="J42" s="144"/>
      <c r="K42" s="146"/>
      <c r="L42" s="96"/>
      <c r="M42" s="96" t="str">
        <f t="shared" si="2"/>
        <v/>
      </c>
      <c r="N42" s="57"/>
      <c r="O42" s="8"/>
    </row>
    <row r="43" spans="1:15" ht="17.100000000000001" customHeight="1" x14ac:dyDescent="0.2">
      <c r="A43" s="7"/>
      <c r="B43" s="3"/>
      <c r="C43" s="107"/>
      <c r="D43" s="75"/>
      <c r="E43" s="81"/>
      <c r="F43" s="108"/>
      <c r="G43" s="81"/>
      <c r="H43" s="108"/>
      <c r="I43" s="81"/>
      <c r="J43" s="81"/>
      <c r="K43" s="108"/>
      <c r="L43" s="96"/>
      <c r="M43" s="96" t="str">
        <f t="shared" si="2"/>
        <v/>
      </c>
      <c r="N43" s="57"/>
      <c r="O43" s="8"/>
    </row>
    <row r="44" spans="1:15" ht="17.100000000000001" customHeight="1" x14ac:dyDescent="0.2">
      <c r="A44" s="7"/>
      <c r="B44" s="3"/>
      <c r="C44" s="107"/>
      <c r="D44" s="75">
        <v>20</v>
      </c>
      <c r="E44" s="192" t="s">
        <v>76</v>
      </c>
      <c r="F44" s="193"/>
      <c r="G44" s="193"/>
      <c r="H44" s="193"/>
      <c r="I44" s="193"/>
      <c r="J44" s="193"/>
      <c r="K44" s="194"/>
      <c r="L44" s="96">
        <v>22</v>
      </c>
      <c r="M44" s="96">
        <f t="shared" si="2"/>
        <v>440</v>
      </c>
      <c r="N44" s="57"/>
      <c r="O44" s="8"/>
    </row>
    <row r="45" spans="1:15" ht="15" x14ac:dyDescent="0.2">
      <c r="A45" s="7"/>
      <c r="B45" s="3"/>
      <c r="C45" s="107"/>
      <c r="D45" s="75"/>
      <c r="E45" s="192"/>
      <c r="F45" s="193"/>
      <c r="G45" s="193"/>
      <c r="H45" s="193"/>
      <c r="I45" s="193"/>
      <c r="J45" s="193"/>
      <c r="K45" s="194"/>
      <c r="L45" s="96"/>
      <c r="M45" s="96" t="str">
        <f t="shared" si="2"/>
        <v/>
      </c>
      <c r="N45" s="57"/>
      <c r="O45" s="8"/>
    </row>
    <row r="46" spans="1:15" ht="15" customHeight="1" x14ac:dyDescent="0.2">
      <c r="A46" s="7"/>
      <c r="B46" s="3"/>
      <c r="C46" s="107"/>
      <c r="D46" s="75"/>
      <c r="E46" s="192"/>
      <c r="F46" s="193"/>
      <c r="G46" s="193"/>
      <c r="H46" s="193"/>
      <c r="I46" s="193"/>
      <c r="J46" s="193"/>
      <c r="K46" s="194"/>
      <c r="L46" s="96"/>
      <c r="M46" s="96" t="str">
        <f t="shared" si="2"/>
        <v/>
      </c>
      <c r="N46" s="57"/>
      <c r="O46" s="8"/>
    </row>
    <row r="47" spans="1:15" ht="15" customHeight="1" x14ac:dyDescent="0.2">
      <c r="A47" s="7"/>
      <c r="B47" s="3"/>
      <c r="C47" s="107"/>
      <c r="D47" s="75"/>
      <c r="E47" s="149"/>
      <c r="F47" s="150"/>
      <c r="G47" s="150"/>
      <c r="H47" s="150"/>
      <c r="I47" s="150"/>
      <c r="J47" s="150"/>
      <c r="K47" s="150"/>
      <c r="L47" s="96"/>
      <c r="M47" s="96" t="str">
        <f t="shared" si="2"/>
        <v/>
      </c>
      <c r="N47" s="57"/>
      <c r="O47" s="8"/>
    </row>
    <row r="48" spans="1:15" ht="15" customHeight="1" x14ac:dyDescent="0.2">
      <c r="A48" s="7"/>
      <c r="B48" s="3"/>
      <c r="C48" s="107"/>
      <c r="D48" s="75">
        <v>4</v>
      </c>
      <c r="E48" s="195" t="s">
        <v>75</v>
      </c>
      <c r="F48" s="196"/>
      <c r="G48" s="196"/>
      <c r="H48" s="196"/>
      <c r="I48" s="196"/>
      <c r="J48" s="196"/>
      <c r="K48" s="197"/>
      <c r="L48" s="96">
        <v>8.5</v>
      </c>
      <c r="M48" s="96">
        <f t="shared" si="2"/>
        <v>34</v>
      </c>
      <c r="N48" s="57"/>
      <c r="O48" s="8"/>
    </row>
    <row r="49" spans="1:15" ht="15" customHeight="1" x14ac:dyDescent="0.2">
      <c r="A49" s="7"/>
      <c r="B49" s="3"/>
      <c r="C49" s="107"/>
      <c r="D49" s="75"/>
      <c r="E49" s="195"/>
      <c r="F49" s="196"/>
      <c r="G49" s="196"/>
      <c r="H49" s="196"/>
      <c r="I49" s="196"/>
      <c r="J49" s="196"/>
      <c r="K49" s="197"/>
      <c r="L49" s="96"/>
      <c r="M49" s="96" t="str">
        <f t="shared" si="2"/>
        <v/>
      </c>
      <c r="N49" s="57"/>
      <c r="O49" s="8"/>
    </row>
    <row r="50" spans="1:15" ht="15" customHeight="1" x14ac:dyDescent="0.2">
      <c r="A50" s="7"/>
      <c r="B50" s="3"/>
      <c r="C50" s="107"/>
      <c r="D50" s="75"/>
      <c r="E50" s="195"/>
      <c r="F50" s="196"/>
      <c r="G50" s="196"/>
      <c r="H50" s="196"/>
      <c r="I50" s="196"/>
      <c r="J50" s="196"/>
      <c r="K50" s="197"/>
      <c r="L50" s="96"/>
      <c r="M50" s="96" t="str">
        <f t="shared" si="2"/>
        <v/>
      </c>
      <c r="N50" s="57"/>
      <c r="O50" s="8"/>
    </row>
    <row r="51" spans="1:15" ht="15" customHeight="1" x14ac:dyDescent="0.2">
      <c r="A51" s="7"/>
      <c r="B51" s="3"/>
      <c r="C51" s="107"/>
      <c r="D51" s="75"/>
      <c r="E51" s="149"/>
      <c r="F51" s="150"/>
      <c r="G51" s="150"/>
      <c r="H51" s="150"/>
      <c r="I51" s="150"/>
      <c r="J51" s="150"/>
      <c r="K51" s="150"/>
      <c r="L51" s="96"/>
      <c r="M51" s="96" t="str">
        <f t="shared" si="2"/>
        <v/>
      </c>
      <c r="N51" s="57"/>
      <c r="O51" s="8"/>
    </row>
    <row r="52" spans="1:15" ht="15" customHeight="1" x14ac:dyDescent="0.2">
      <c r="A52" s="7"/>
      <c r="B52" s="3"/>
      <c r="C52" s="107"/>
      <c r="D52" s="75"/>
      <c r="E52" s="149"/>
      <c r="F52" s="150"/>
      <c r="G52" s="150"/>
      <c r="H52" s="150"/>
      <c r="I52" s="150"/>
      <c r="J52" s="150"/>
      <c r="K52" s="150"/>
      <c r="L52" s="96"/>
      <c r="M52" s="96" t="str">
        <f t="shared" si="2"/>
        <v/>
      </c>
      <c r="N52" s="57"/>
      <c r="O52" s="8"/>
    </row>
    <row r="53" spans="1:15" ht="15" customHeight="1" x14ac:dyDescent="0.2">
      <c r="A53" s="7"/>
      <c r="B53" s="3"/>
      <c r="C53" s="107"/>
      <c r="D53" s="75">
        <v>10</v>
      </c>
      <c r="E53" s="192" t="s">
        <v>78</v>
      </c>
      <c r="F53" s="193"/>
      <c r="G53" s="193"/>
      <c r="H53" s="193"/>
      <c r="I53" s="193"/>
      <c r="J53" s="193"/>
      <c r="K53" s="194"/>
      <c r="L53" s="96">
        <v>280</v>
      </c>
      <c r="M53" s="96">
        <f t="shared" si="2"/>
        <v>2800</v>
      </c>
      <c r="N53" s="57"/>
      <c r="O53" s="8"/>
    </row>
    <row r="54" spans="1:15" ht="15" customHeight="1" x14ac:dyDescent="0.2">
      <c r="A54" s="7"/>
      <c r="B54" s="3"/>
      <c r="C54" s="107"/>
      <c r="D54" s="75"/>
      <c r="E54" s="192"/>
      <c r="F54" s="193"/>
      <c r="G54" s="193"/>
      <c r="H54" s="193"/>
      <c r="I54" s="193"/>
      <c r="J54" s="193"/>
      <c r="K54" s="194"/>
      <c r="L54" s="96"/>
      <c r="M54" s="96"/>
      <c r="N54" s="57"/>
      <c r="O54" s="8"/>
    </row>
    <row r="55" spans="1:15" ht="15" customHeight="1" x14ac:dyDescent="0.2">
      <c r="A55" s="7"/>
      <c r="B55" s="3"/>
      <c r="C55" s="107"/>
      <c r="D55" s="75"/>
      <c r="E55" s="192"/>
      <c r="F55" s="193"/>
      <c r="G55" s="193"/>
      <c r="H55" s="193"/>
      <c r="I55" s="193"/>
      <c r="J55" s="193"/>
      <c r="K55" s="194"/>
      <c r="L55" s="96"/>
      <c r="M55" s="96"/>
      <c r="N55" s="57"/>
      <c r="O55" s="8"/>
    </row>
    <row r="56" spans="1:15" ht="15" customHeight="1" x14ac:dyDescent="0.2">
      <c r="A56" s="7"/>
      <c r="B56" s="3"/>
      <c r="C56" s="107"/>
      <c r="D56" s="75"/>
      <c r="E56" s="192"/>
      <c r="F56" s="193"/>
      <c r="G56" s="193"/>
      <c r="H56" s="193"/>
      <c r="I56" s="193"/>
      <c r="J56" s="193"/>
      <c r="K56" s="194"/>
      <c r="L56" s="96"/>
      <c r="M56" s="96" t="str">
        <f t="shared" si="2"/>
        <v/>
      </c>
      <c r="N56" s="57"/>
      <c r="O56" s="8"/>
    </row>
    <row r="57" spans="1:15" ht="15" customHeight="1" x14ac:dyDescent="0.2">
      <c r="A57" s="7"/>
      <c r="B57" s="3"/>
      <c r="C57" s="107"/>
      <c r="D57" s="53"/>
      <c r="E57" s="192"/>
      <c r="F57" s="193"/>
      <c r="G57" s="193"/>
      <c r="H57" s="193"/>
      <c r="I57" s="193"/>
      <c r="J57" s="193"/>
      <c r="K57" s="194"/>
      <c r="L57" s="96"/>
      <c r="M57" s="96" t="str">
        <f t="shared" ref="M57:M58" si="3">IF(D57&lt;&gt;"",D57*L57,"")</f>
        <v/>
      </c>
      <c r="N57" s="57"/>
      <c r="O57" s="8"/>
    </row>
    <row r="58" spans="1:15" ht="15.75" x14ac:dyDescent="0.25">
      <c r="A58" s="7"/>
      <c r="B58" s="3"/>
      <c r="C58" s="93"/>
      <c r="D58" s="53"/>
      <c r="E58" s="95"/>
      <c r="F58" s="115"/>
      <c r="G58" s="115"/>
      <c r="H58" s="115"/>
      <c r="I58" s="115"/>
      <c r="J58" s="115"/>
      <c r="K58" s="81"/>
      <c r="L58" s="96"/>
      <c r="M58" s="96" t="str">
        <f t="shared" si="3"/>
        <v/>
      </c>
      <c r="N58" s="57"/>
      <c r="O58" s="8"/>
    </row>
    <row r="59" spans="1:15" ht="15" x14ac:dyDescent="0.2">
      <c r="A59" s="7"/>
      <c r="B59" s="3"/>
      <c r="C59" s="94"/>
      <c r="D59" s="54"/>
      <c r="E59" s="172"/>
      <c r="F59" s="173"/>
      <c r="G59" s="173"/>
      <c r="H59" s="173"/>
      <c r="I59" s="173"/>
      <c r="J59" s="173"/>
      <c r="K59" s="116"/>
      <c r="L59" s="96"/>
      <c r="M59" s="96" t="str">
        <f>IF(D60&lt;&gt;"",D60*L59,"")</f>
        <v/>
      </c>
      <c r="N59" s="57"/>
      <c r="O59" s="8"/>
    </row>
    <row r="60" spans="1:15" ht="15.75" x14ac:dyDescent="0.25">
      <c r="A60" s="7"/>
      <c r="B60" s="3"/>
      <c r="C60" s="3"/>
      <c r="D60" s="82"/>
      <c r="E60" s="82"/>
      <c r="F60" s="82"/>
      <c r="G60" s="82"/>
      <c r="H60" s="82"/>
      <c r="I60" s="76"/>
      <c r="J60" s="76"/>
      <c r="K60" s="76"/>
      <c r="L60" s="102" t="s">
        <v>24</v>
      </c>
      <c r="M60" s="97">
        <f>SUM(M27:M59)</f>
        <v>7763.5</v>
      </c>
      <c r="N60" s="57"/>
      <c r="O60" s="8"/>
    </row>
    <row r="61" spans="1:15" ht="15" customHeight="1" x14ac:dyDescent="0.2">
      <c r="A61" s="7"/>
      <c r="B61" s="3"/>
      <c r="C61" s="3"/>
      <c r="D61" s="82"/>
      <c r="E61" s="82"/>
      <c r="F61" s="82"/>
      <c r="G61" s="82"/>
      <c r="H61" s="82"/>
      <c r="I61" s="76"/>
      <c r="J61" s="76"/>
      <c r="K61" s="76"/>
      <c r="L61" s="105" t="s">
        <v>45</v>
      </c>
      <c r="M61" s="103">
        <v>1</v>
      </c>
      <c r="N61" s="57"/>
      <c r="O61" s="8"/>
    </row>
    <row r="62" spans="1:15" ht="15" customHeight="1" x14ac:dyDescent="0.25">
      <c r="A62" s="7"/>
      <c r="B62" s="3"/>
      <c r="C62" s="3"/>
      <c r="D62" s="83"/>
      <c r="E62" s="138" t="s">
        <v>62</v>
      </c>
      <c r="F62" s="82"/>
      <c r="G62" s="82"/>
      <c r="H62" s="82"/>
      <c r="I62" s="78"/>
      <c r="J62" s="78"/>
      <c r="K62" s="77"/>
      <c r="L62" s="104">
        <v>0.19</v>
      </c>
      <c r="M62" s="103">
        <f>M60*0.19</f>
        <v>1475.0650000000001</v>
      </c>
      <c r="N62" s="57"/>
      <c r="O62" s="8"/>
    </row>
    <row r="63" spans="1:15" ht="12.75" customHeight="1" x14ac:dyDescent="0.25">
      <c r="A63" s="7"/>
      <c r="B63" s="3"/>
      <c r="C63" s="3"/>
      <c r="D63" s="85"/>
      <c r="E63" s="106"/>
      <c r="F63" s="87"/>
      <c r="G63" s="85"/>
      <c r="H63" s="82"/>
      <c r="I63" s="79"/>
      <c r="J63" s="76"/>
      <c r="K63" s="76"/>
      <c r="L63" s="198" t="s">
        <v>26</v>
      </c>
      <c r="M63" s="199">
        <f>+M60+M61+M62</f>
        <v>9239.5650000000005</v>
      </c>
      <c r="N63" s="57"/>
      <c r="O63" s="8"/>
    </row>
    <row r="64" spans="1:15" ht="3" customHeight="1" x14ac:dyDescent="0.2">
      <c r="A64" s="7"/>
      <c r="B64" s="3"/>
      <c r="C64" s="3"/>
      <c r="D64" s="85">
        <v>1</v>
      </c>
      <c r="E64" s="106"/>
      <c r="F64" s="82"/>
      <c r="G64" s="86"/>
      <c r="H64" s="82"/>
      <c r="I64" s="80" t="s">
        <v>25</v>
      </c>
      <c r="J64" s="76"/>
      <c r="K64" s="76"/>
      <c r="L64" s="198"/>
      <c r="M64" s="200"/>
      <c r="N64" s="57"/>
      <c r="O64" s="8"/>
    </row>
    <row r="65" spans="1:15" ht="15" x14ac:dyDescent="0.2">
      <c r="A65" s="7"/>
      <c r="B65" s="3"/>
      <c r="C65" s="3"/>
      <c r="D65" s="85"/>
      <c r="E65" s="136"/>
      <c r="F65" s="82"/>
      <c r="G65" s="86"/>
      <c r="H65" s="82"/>
      <c r="I65" s="80"/>
      <c r="J65" s="76"/>
      <c r="K65" s="76"/>
      <c r="L65" s="99"/>
      <c r="M65" s="100"/>
      <c r="N65" s="57"/>
      <c r="O65" s="8"/>
    </row>
    <row r="66" spans="1:15" ht="15.75" customHeight="1" x14ac:dyDescent="0.2">
      <c r="A66" s="7"/>
      <c r="B66" s="126"/>
      <c r="C66" s="126"/>
      <c r="D66" s="126"/>
      <c r="E66" s="126"/>
      <c r="F66" s="126"/>
      <c r="G66" s="126"/>
      <c r="H66" s="126"/>
      <c r="I66" s="126"/>
      <c r="J66" s="126"/>
      <c r="K66" s="126"/>
      <c r="L66" s="127"/>
      <c r="M66" s="128"/>
      <c r="N66" s="57"/>
      <c r="O66" s="8"/>
    </row>
    <row r="67" spans="1:15" ht="20.25" x14ac:dyDescent="0.3">
      <c r="A67" s="7"/>
      <c r="B67" s="140" t="s">
        <v>64</v>
      </c>
      <c r="C67" s="125"/>
      <c r="D67" s="125"/>
      <c r="E67" s="125"/>
      <c r="F67" s="125"/>
      <c r="G67" s="125"/>
      <c r="H67" s="125"/>
      <c r="I67" s="125"/>
      <c r="J67" s="125"/>
      <c r="K67" s="125"/>
      <c r="L67" s="98" t="s">
        <v>57</v>
      </c>
      <c r="M67" s="101"/>
      <c r="N67" s="57"/>
      <c r="O67" s="8"/>
    </row>
    <row r="68" spans="1:15" ht="0.95" customHeight="1" x14ac:dyDescent="0.3">
      <c r="A68" s="7"/>
      <c r="B68" s="141" t="s">
        <v>65</v>
      </c>
      <c r="C68" s="125"/>
      <c r="D68" s="125"/>
      <c r="E68" s="125"/>
      <c r="F68" s="125"/>
      <c r="G68" s="125"/>
      <c r="H68" s="125"/>
      <c r="I68" s="125"/>
      <c r="J68" s="125"/>
      <c r="K68" s="125"/>
      <c r="L68" s="101"/>
      <c r="M68" s="101"/>
      <c r="N68" s="57"/>
      <c r="O68" s="8"/>
    </row>
    <row r="69" spans="1:15" ht="6" customHeight="1" x14ac:dyDescent="0.2">
      <c r="A69" s="7"/>
      <c r="B69" s="210" t="s">
        <v>65</v>
      </c>
      <c r="C69" s="210"/>
      <c r="D69" s="210"/>
      <c r="E69" s="210"/>
      <c r="F69" s="210"/>
      <c r="G69" s="210"/>
      <c r="H69" s="210"/>
      <c r="I69" s="210"/>
      <c r="J69" s="210"/>
      <c r="K69" s="210"/>
      <c r="L69" s="101"/>
      <c r="M69" s="101"/>
      <c r="N69" s="57"/>
      <c r="O69" s="8"/>
    </row>
    <row r="70" spans="1:15" ht="15.75" customHeight="1" thickBot="1" x14ac:dyDescent="0.25">
      <c r="A70" s="7"/>
      <c r="B70" s="210"/>
      <c r="C70" s="210"/>
      <c r="D70" s="210"/>
      <c r="E70" s="210"/>
      <c r="F70" s="210"/>
      <c r="G70" s="210"/>
      <c r="H70" s="210"/>
      <c r="I70" s="210"/>
      <c r="J70" s="210"/>
      <c r="K70" s="210"/>
      <c r="L70" s="99"/>
      <c r="M70" s="100"/>
      <c r="N70" s="57"/>
      <c r="O70" s="8"/>
    </row>
    <row r="71" spans="1:15" ht="16.5" thickTop="1" x14ac:dyDescent="0.2">
      <c r="A71" s="58"/>
      <c r="B71" s="3"/>
      <c r="C71" s="3"/>
      <c r="D71" s="18"/>
      <c r="E71" s="166"/>
      <c r="F71" s="166"/>
      <c r="G71" s="166"/>
      <c r="H71" s="166"/>
      <c r="I71" s="78"/>
      <c r="J71" s="99"/>
      <c r="K71" s="98"/>
      <c r="L71" s="98"/>
      <c r="M71" s="98"/>
      <c r="N71" s="57"/>
      <c r="O71" s="8"/>
    </row>
    <row r="72" spans="1:15" ht="15.75" x14ac:dyDescent="0.2">
      <c r="A72" s="123"/>
      <c r="B72" s="3"/>
      <c r="C72" s="3"/>
      <c r="D72" s="18"/>
      <c r="E72" s="110"/>
      <c r="F72" s="119"/>
      <c r="G72" s="119"/>
      <c r="H72" s="119"/>
      <c r="I72" s="120"/>
      <c r="J72" s="98"/>
      <c r="K72" s="98"/>
      <c r="L72" s="98"/>
      <c r="M72" s="98"/>
      <c r="N72" s="57"/>
      <c r="O72" s="8"/>
    </row>
    <row r="73" spans="1:15" ht="12.75" customHeight="1" x14ac:dyDescent="0.2">
      <c r="A73" s="122"/>
      <c r="B73" s="3"/>
      <c r="C73" s="3"/>
      <c r="D73" s="121" t="s">
        <v>56</v>
      </c>
      <c r="E73" s="121"/>
      <c r="F73" s="121"/>
      <c r="G73" s="121"/>
      <c r="H73" s="121"/>
      <c r="I73" s="121"/>
      <c r="J73" s="121"/>
      <c r="K73" s="121"/>
      <c r="L73" s="121"/>
      <c r="M73" s="98"/>
      <c r="N73" s="57"/>
      <c r="O73" s="8"/>
    </row>
    <row r="74" spans="1:15" ht="15.75" x14ac:dyDescent="0.2">
      <c r="B74" s="3"/>
      <c r="C74" s="3"/>
      <c r="D74" s="18"/>
      <c r="E74" s="167" t="s">
        <v>54</v>
      </c>
      <c r="F74" s="167"/>
      <c r="G74" s="167"/>
      <c r="H74" s="167"/>
      <c r="I74" s="167"/>
      <c r="J74" s="167"/>
      <c r="K74" s="167"/>
      <c r="L74" s="98"/>
      <c r="M74" s="98"/>
      <c r="N74" s="57"/>
      <c r="O74" s="8"/>
    </row>
    <row r="75" spans="1:15" ht="15.75" x14ac:dyDescent="0.2">
      <c r="B75" s="3"/>
      <c r="C75" s="3"/>
      <c r="D75" s="168" t="s">
        <v>55</v>
      </c>
      <c r="E75" s="168"/>
      <c r="F75" s="168"/>
      <c r="G75" s="168"/>
      <c r="H75" s="168"/>
      <c r="I75" s="168"/>
      <c r="J75" s="168"/>
      <c r="K75" s="168"/>
      <c r="L75" s="168"/>
      <c r="M75" s="98"/>
      <c r="N75" s="57"/>
    </row>
    <row r="76" spans="1:15" ht="15.75" x14ac:dyDescent="0.2">
      <c r="B76" s="3"/>
      <c r="C76" s="3"/>
      <c r="D76" s="168"/>
      <c r="E76" s="168"/>
      <c r="F76" s="168"/>
      <c r="G76" s="168"/>
      <c r="H76" s="168"/>
      <c r="I76" s="168"/>
      <c r="J76" s="168"/>
      <c r="K76" s="168"/>
      <c r="L76" s="168"/>
      <c r="M76" s="98"/>
      <c r="N76" s="57"/>
    </row>
    <row r="77" spans="1:15" ht="13.5" thickBot="1" x14ac:dyDescent="0.25">
      <c r="B77" s="117"/>
      <c r="C77" s="117"/>
      <c r="D77" s="118"/>
      <c r="E77" s="118"/>
      <c r="F77" s="118"/>
      <c r="G77" s="165"/>
      <c r="H77" s="165"/>
      <c r="I77" s="165"/>
      <c r="J77" s="165"/>
      <c r="K77" s="165"/>
      <c r="L77" s="118"/>
      <c r="M77" s="118"/>
      <c r="N77" s="117"/>
    </row>
    <row r="78" spans="1:15" ht="13.5" thickTop="1" x14ac:dyDescent="0.2">
      <c r="B78" s="58"/>
      <c r="C78" s="58"/>
      <c r="D78" s="58"/>
      <c r="E78" s="58"/>
      <c r="F78" s="58"/>
      <c r="G78" s="58"/>
      <c r="H78" s="58"/>
      <c r="I78" s="58"/>
      <c r="J78" s="58"/>
      <c r="K78" s="58"/>
      <c r="L78" s="58"/>
      <c r="M78" s="58"/>
      <c r="N78" s="58"/>
    </row>
    <row r="79" spans="1:15" x14ac:dyDescent="0.2">
      <c r="B79" s="123"/>
      <c r="C79" s="123"/>
      <c r="D79" s="123"/>
      <c r="E79" s="123"/>
      <c r="F79" s="123"/>
      <c r="G79" s="123"/>
      <c r="H79" s="123"/>
      <c r="I79" s="123"/>
      <c r="J79" s="164"/>
      <c r="K79" s="164"/>
      <c r="L79" s="164"/>
      <c r="M79" s="164"/>
      <c r="N79" s="164"/>
    </row>
    <row r="80" spans="1:15" x14ac:dyDescent="0.2">
      <c r="B80" s="122"/>
      <c r="C80" s="122"/>
      <c r="D80" s="122"/>
      <c r="E80" s="122"/>
      <c r="F80" s="122"/>
      <c r="G80" s="122"/>
      <c r="H80" s="122"/>
      <c r="I80" s="122"/>
      <c r="J80" s="165"/>
      <c r="K80" s="165"/>
      <c r="L80" s="165"/>
      <c r="M80" s="165"/>
      <c r="N80" s="16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L63:L64"/>
    <mergeCell ref="M63:M64"/>
    <mergeCell ref="L17:M19"/>
    <mergeCell ref="E26:K26"/>
    <mergeCell ref="B69:K70"/>
    <mergeCell ref="E53:K57"/>
    <mergeCell ref="G14:K15"/>
    <mergeCell ref="L9:M9"/>
    <mergeCell ref="E59:J59"/>
    <mergeCell ref="L21:M21"/>
    <mergeCell ref="L23:M23"/>
    <mergeCell ref="L24:M24"/>
    <mergeCell ref="L13:M13"/>
    <mergeCell ref="F23:G23"/>
    <mergeCell ref="D22:I22"/>
    <mergeCell ref="D21:I21"/>
    <mergeCell ref="D24:I24"/>
    <mergeCell ref="E27:J27"/>
    <mergeCell ref="E44:K46"/>
    <mergeCell ref="E48:K50"/>
    <mergeCell ref="J79:N80"/>
    <mergeCell ref="E71:H71"/>
    <mergeCell ref="E74:K74"/>
    <mergeCell ref="G77:K77"/>
    <mergeCell ref="D75:L7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6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2 M6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6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70 M63">
      <formula1>0</formula1>
      <formula2>0</formula2>
    </dataValidation>
    <dataValidation type="list" allowBlank="1" showInputMessage="1" showErrorMessage="1" errorTitle="Code TVA" error="Tapez 1, 2, ou 3." sqref="K27 K30:K39 K43 K58:K59">
      <formula1>"1,2,3"</formula1>
    </dataValidation>
    <dataValidation errorStyle="warning" allowBlank="1" showInputMessage="1" errorTitle="Numéro de carte de crédit" promptTitle="Numéro de carte de crédit" prompt="Tapez ici le numéro de carte de crédit du client" sqref="E71:E72 E7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72 L67"/>
    <dataValidation type="decimal" allowBlank="1" showErrorMessage="1" errorTitle="Prix unitaire" error="Tapez un nombre dans cette cellule." promptTitle="Prix unitaire" sqref="M29:M35 L27:L5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6:M59">
      <formula1>0</formula1>
      <formula2>0</formula2>
    </dataValidation>
    <dataValidation type="whole" errorStyle="warning" allowBlank="1" showErrorMessage="1" errorTitle="Quantité" error="Tapez un nombre dans cette cellule." promptTitle="Quantité" sqref="D27:D59">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0"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60</xdr:row>
                    <xdr:rowOff>152400</xdr:rowOff>
                  </from>
                  <to>
                    <xdr:col>3</xdr:col>
                    <xdr:colOff>695325</xdr:colOff>
                    <xdr:row>61</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Facture!$L$21</f>
        <v>45313</v>
      </c>
      <c r="D8" s="71" t="str">
        <f>Facture!$D$21</f>
        <v xml:space="preserve">SOCIETE CHIMIQUE ALKIMIA </v>
      </c>
      <c r="E8" s="68" t="str">
        <f>Facture!$D$22</f>
        <v xml:space="preserve">11 RUE DES LILAS 1082 TUNIS MAHRAJENE </v>
      </c>
      <c r="F8" s="68">
        <f>Facture!$D$23</f>
        <v>0</v>
      </c>
      <c r="G8" s="71">
        <f>Facture!$F$23</f>
        <v>0</v>
      </c>
      <c r="H8" s="71" t="str">
        <f>Facture!$I$23</f>
        <v>TN</v>
      </c>
      <c r="I8" s="68" t="str">
        <f>Facture!$D$24</f>
        <v xml:space="preserve">36 080 100          Fax: 71 787 283   </v>
      </c>
      <c r="J8" s="72">
        <f>Facture!$M$63</f>
        <v>9239.5650000000005</v>
      </c>
      <c r="K8" s="68" t="str">
        <f>Facture!$L$23</f>
        <v xml:space="preserve">      service achat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2024-01-22T15:07:55Z</cp:lastPrinted>
  <dcterms:created xsi:type="dcterms:W3CDTF">1995-05-29T15:50:39Z</dcterms:created>
  <dcterms:modified xsi:type="dcterms:W3CDTF">2024-01-22T15:11:42Z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9239.565</vt:r8>
  </property>
</Properties>
</file>