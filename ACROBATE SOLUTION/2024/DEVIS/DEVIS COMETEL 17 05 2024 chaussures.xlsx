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Facture!$A$3:$M$61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Facture!$A$3:$M$61</definedName>
  </definedNames>
  <calcPr calcId="152511"/>
</workbook>
</file>

<file path=xl/calcChain.xml><?xml version="1.0" encoding="utf-8"?>
<calcChain xmlns="http://schemas.openxmlformats.org/spreadsheetml/2006/main">
  <c r="L28" i="3" l="1"/>
  <c r="L44" i="3" l="1"/>
  <c r="K8" i="5" l="1"/>
  <c r="I8" i="5"/>
  <c r="H8" i="5"/>
  <c r="G8" i="5"/>
  <c r="F8" i="5"/>
  <c r="E8" i="5"/>
  <c r="D8" i="5"/>
  <c r="C8" i="5"/>
  <c r="B8" i="5"/>
  <c r="F33" i="2"/>
  <c r="L27" i="3"/>
  <c r="L46" i="3" l="1"/>
  <c r="L47"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<sst xmlns="http://schemas.openxmlformats.org/spreadsheetml/2006/main" count="93" uniqueCount="76">
  <si>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</si>
  <si>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</si>
  <si>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</si>
  <si>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</si>
  <si>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</si>
  <si>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</si>
  <si>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</si>
  <si>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</si>
  <si>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</si>
  <si>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</si>
  <si>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</si>
  <si>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</si>
  <si>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</si>
  <si>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</si>
  <si>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</si>
  <si>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</si>
  <si>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</si>
  <si>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</si>
  <si>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</si>
  <si>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</si>
  <si>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</si>
  <si>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</si>
  <si>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</si>
  <si>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</si>
  <si>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</si>
  <si>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</si>
  <si>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</si>
  <si>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</si>
  <si>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</si>
  <si>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</si>
  <si>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</si>
  <si>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</si>
  <si>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</si>
  <si>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</si>
  <si>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</si>
  <si>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</si>
  <si>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</si>
  <si>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</si>
  <si>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</si>
  <si>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</si>
  <si>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</si>
  <si>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</si>
  <si>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</si>
  <si>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</si>
  <si>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</si>
  <si>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</si>
  <si>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</si>
  <si>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</si>
  <si>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</si>
  <si>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</si>
  <si>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</si>
  <si>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</si>
  <si>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</si>
  <si>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</si>
  <si>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</si>
  <si>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</si>
  <si>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</si>
  <si>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</si>
  <si>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</si>
  <si>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</si>
  <si>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</si>
  <si>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</si>
  <si>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</si>
  <si>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</si>
  <si>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</si>
  <si>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</si>
  <si>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</si>
  <si>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</si>
  <si>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</si>
  <si>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Chaussures de sécurités  EN 345</t>
  </si>
  <si>
    <t>pointure 41 (3)</t>
  </si>
  <si>
    <t>pointure44 (3)</t>
  </si>
  <si>
    <t>pointure42 (3)</t>
  </si>
  <si>
    <t>pointure40 (2)</t>
  </si>
  <si>
    <t>pointure43 (2)</t>
  </si>
  <si>
    <t>DEVIS  N°  2024-971</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</si>
</sst>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 numFmtId="169" formatCode="0.000"/>
  </numFmts>
  <fonts count="38">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sz val="11"/>
      <name val="Arial"/>
      <family val="2"/>
    </font>
    <font>
      <b/>
      <sz val="11"/>
      <color theme="1"/>
      <name val="Arial"/>
      <family val="2"/>
    </font>
    <font>
      <b/>
      <u/>
      <sz val="11"/>
      <color rgb="FFFF0000"/>
      <name val="Arial"/>
      <family val="2"/>
    </font>
    <font>
      <u/>
      <sz val="11"/>
      <color theme="10"/>
      <name val="Arial"/>
      <family val="2"/>
    </font>
    <font>
      <sz val="12"/>
      <name val="Arial"/>
      <family val="2"/>
    </font>
    <font>
      <b/>
      <sz val="16"/>
      <color rgb="FF000000"/>
      <name val="Arial"/>
      <family val="2"/>
    </font>
    <font>
      <b/>
      <sz val="12"/>
      <name val="Arial"/>
      <family val="2"/>
    </font>
    <font>
      <u/>
      <sz val="12"/>
      <color theme="10"/>
      <name val="Arial"/>
      <family val="2"/>
    </font>
    <font>
      <sz val="22"/>
      <name val="Arial"/>
      <family val="2"/>
    </font>
    <font>
      <sz val="16"/>
      <name val="Arial"/>
      <family val="2"/>
    </font>
    <font>
      <sz val="26"/>
      <name val="Arial"/>
      <family val="2"/>
    </font>
    <font>
      <sz val="24"/>
      <name val="Arial"/>
      <family val="2"/>
    </font>
    <font>
      <u/>
      <sz val="16"/>
      <color theme="10"/>
      <name val="Arial"/>
      <family val="2"/>
    </font>
    <font>
      <b/>
      <sz val="16"/>
      <name val="Arial"/>
      <family val="2"/>
    </font>
    <font>
      <b/>
      <sz val="22"/>
      <name val="Arial"/>
      <family val="2"/>
    </font>
    <font>
      <sz val="16"/>
      <color theme="1"/>
      <name val="Arial"/>
      <family val="2"/>
    </font>
    <font>
      <sz val="16"/>
      <color rgb="FF000000"/>
      <name val="Arial"/>
      <family val="2"/>
    </font>
    <font>
      <b/>
      <sz val="12"/>
      <color theme="1"/>
      <name val="Arial"/>
      <family val="2"/>
    </font>
  </fonts>
  <fills count="8">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theme="0"/>
        <bgColor indexed="64"/>
      </patternFill>
    </fill>
  </fills>
  <borders count="49">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
      <left/>
      <right style="hair">
        <color indexed="64"/>
      </right>
      <top/>
      <bottom/>
      <diagonal/>
    </border>
    <border>
      <left style="thin">
        <color rgb="FF000000"/>
      </left>
      <right style="thin">
        <color indexed="64"/>
      </right>
      <top/>
      <bottom/>
      <diagonal/>
    </border>
    <border>
      <left style="hair">
        <color indexed="64"/>
      </left>
      <right style="hair">
        <color indexed="64"/>
      </right>
      <top/>
      <bottom/>
      <diagonal/>
    </border>
    <border>
      <left/>
      <right style="thin">
        <color rgb="FF000000"/>
      </right>
      <top/>
      <bottom/>
      <diagonal/>
    </border>
    <border>
      <left/>
      <right style="thin">
        <color indexed="64"/>
      </right>
      <top/>
      <bottom/>
      <diagonal/>
    </border>
    <border>
      <left style="hair">
        <color indexed="64"/>
      </left>
      <right style="thin">
        <color indexed="64"/>
      </right>
      <top/>
      <bottom/>
      <diagonal/>
    </border>
    <border>
      <left style="hair">
        <color indexed="64"/>
      </left>
      <right style="thin">
        <color rgb="FF000000"/>
      </right>
      <top style="thin">
        <color indexed="64"/>
      </top>
      <bottom style="thin">
        <color rgb="FF000000"/>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6" fillId="3" borderId="33" xfId="0" applyFont="1" applyFill="1" applyBorder="1" applyAlignment="1">
      <alignment horizontal="right"/>
    </xf>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164" fontId="13" fillId="0" borderId="33" xfId="0" applyNumberFormat="1" applyFont="1" applyFill="1" applyBorder="1"/>
    <xf numFmtId="164" fontId="9" fillId="0" borderId="33" xfId="0" applyNumberFormat="1" applyFont="1" applyFill="1" applyBorder="1"/>
    <xf numFmtId="49" fontId="23" fillId="0" borderId="0" xfId="2" applyNumberFormat="1" applyFont="1" applyFill="1" applyBorder="1" applyAlignment="1" applyProtection="1"/>
    <xf numFmtId="0" fontId="26" fillId="6" borderId="0" xfId="0" applyFont="1" applyFill="1" applyBorder="1" applyAlignment="1"/>
    <xf numFmtId="49" fontId="27" fillId="0" borderId="0" xfId="2" applyNumberFormat="1" applyFont="1" applyFill="1" applyBorder="1" applyAlignment="1" applyProtection="1"/>
    <xf numFmtId="0" fontId="20" fillId="7" borderId="0" xfId="0" applyFont="1" applyFill="1" applyBorder="1" applyAlignment="1">
      <alignment horizontal="left"/>
    </xf>
    <xf numFmtId="0" fontId="13" fillId="3" borderId="0" xfId="0" applyFont="1" applyFill="1" applyBorder="1"/>
    <xf numFmtId="0" fontId="13" fillId="3" borderId="0" xfId="0" applyFont="1" applyFill="1" applyBorder="1" applyAlignment="1"/>
    <xf numFmtId="0" fontId="25" fillId="3" borderId="0" xfId="0" applyFont="1" applyFill="1" applyAlignment="1">
      <alignment horizontal="left"/>
    </xf>
    <xf numFmtId="0" fontId="15" fillId="3" borderId="43" xfId="0" applyFont="1" applyFill="1" applyBorder="1" applyAlignment="1">
      <alignment horizontal="center"/>
    </xf>
    <xf numFmtId="0" fontId="17" fillId="3" borderId="0" xfId="0" applyFont="1" applyFill="1" applyBorder="1"/>
    <xf numFmtId="0" fontId="17" fillId="3" borderId="0" xfId="0" applyFont="1" applyFill="1" applyBorder="1" applyAlignment="1"/>
    <xf numFmtId="164" fontId="9" fillId="0" borderId="35" xfId="0" applyNumberFormat="1" applyFont="1" applyFill="1" applyBorder="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29" fillId="3" borderId="0" xfId="0" applyFont="1" applyFill="1"/>
    <xf numFmtId="49" fontId="32" fillId="0" borderId="0" xfId="2" applyNumberFormat="1" applyFont="1" applyFill="1" applyBorder="1" applyAlignment="1" applyProtection="1"/>
    <xf numFmtId="0" fontId="24" fillId="6" borderId="0" xfId="0" applyFont="1" applyFill="1" applyBorder="1" applyAlignment="1"/>
    <xf numFmtId="0" fontId="24" fillId="7" borderId="0" xfId="0" applyFont="1" applyFill="1" applyBorder="1" applyAlignment="1">
      <alignment horizontal="left"/>
    </xf>
    <xf numFmtId="49" fontId="29" fillId="0" borderId="0" xfId="0" applyNumberFormat="1" applyFont="1" applyFill="1" applyBorder="1" applyAlignment="1"/>
    <xf numFmtId="0" fontId="25" fillId="3" borderId="34" xfId="0" applyFont="1" applyFill="1" applyBorder="1"/>
    <xf numFmtId="0" fontId="36" fillId="3" borderId="0" xfId="0" applyFont="1" applyFill="1"/>
    <xf numFmtId="0" fontId="36" fillId="3" borderId="34" xfId="0" applyFont="1" applyFill="1" applyBorder="1" applyAlignment="1">
      <alignment horizontal="center"/>
    </xf>
    <xf numFmtId="1" fontId="29" fillId="0" borderId="44" xfId="0" applyNumberFormat="1" applyFont="1" applyFill="1" applyBorder="1" applyAlignment="1">
      <alignment horizontal="center"/>
    </xf>
    <xf numFmtId="0" fontId="36" fillId="3" borderId="0" xfId="0" applyFont="1" applyFill="1" applyAlignment="1"/>
    <xf numFmtId="0" fontId="33" fillId="6" borderId="0" xfId="0" applyFont="1" applyFill="1" applyBorder="1" applyAlignment="1"/>
    <xf numFmtId="0" fontId="29" fillId="6" borderId="0" xfId="0" applyFont="1" applyFill="1" applyBorder="1" applyAlignment="1"/>
    <xf numFmtId="49" fontId="21" fillId="0" borderId="0" xfId="0" applyNumberFormat="1" applyFont="1" applyFill="1" applyBorder="1" applyAlignment="1"/>
    <xf numFmtId="49" fontId="37" fillId="0" borderId="0" xfId="0" applyNumberFormat="1" applyFont="1" applyFill="1" applyBorder="1" applyAlignment="1"/>
    <xf numFmtId="169" fontId="29" fillId="0" borderId="42" xfId="0" applyNumberFormat="1" applyFont="1" applyFill="1" applyBorder="1" applyAlignment="1"/>
    <xf numFmtId="169" fontId="31" fillId="0" borderId="42" xfId="0" applyNumberFormat="1" applyFont="1" applyFill="1" applyBorder="1" applyAlignment="1"/>
    <xf numFmtId="164" fontId="15" fillId="0" borderId="45" xfId="0" applyNumberFormat="1" applyFont="1" applyFill="1" applyBorder="1"/>
    <xf numFmtId="49" fontId="29" fillId="0" borderId="0" xfId="0" applyNumberFormat="1" applyFont="1" applyFill="1" applyBorder="1" applyAlignment="1">
      <alignment vertical="top"/>
    </xf>
    <xf numFmtId="49" fontId="33" fillId="0" borderId="0" xfId="0" applyNumberFormat="1" applyFont="1" applyFill="1" applyBorder="1" applyAlignment="1"/>
    <xf numFmtId="49" fontId="35" fillId="0" borderId="0" xfId="2" applyNumberFormat="1" applyFont="1" applyFill="1" applyBorder="1" applyAlignment="1" applyProtection="1"/>
    <xf numFmtId="0" fontId="37" fillId="3" borderId="0" xfId="0" applyFont="1" applyFill="1" applyBorder="1"/>
    <xf numFmtId="49" fontId="22" fillId="0" borderId="0" xfId="0" applyNumberFormat="1" applyFont="1" applyFill="1" applyBorder="1" applyAlignment="1"/>
    <xf numFmtId="0" fontId="13" fillId="3" borderId="0" xfId="0" applyFont="1" applyFill="1" applyBorder="1" applyAlignment="1">
      <alignment horizontal="left"/>
    </xf>
    <xf numFmtId="0" fontId="21" fillId="3" borderId="0" xfId="0" applyFont="1" applyFill="1" applyBorder="1" applyAlignment="1">
      <alignment horizontal="left"/>
    </xf>
    <xf numFmtId="1" fontId="29" fillId="0" borderId="47" xfId="0" applyNumberFormat="1" applyFont="1" applyFill="1" applyBorder="1" applyAlignment="1">
      <alignment horizontal="center"/>
    </xf>
    <xf numFmtId="1" fontId="28" fillId="0" borderId="47" xfId="0" applyNumberFormat="1" applyFont="1" applyFill="1" applyBorder="1" applyAlignment="1">
      <alignment horizontal="center"/>
    </xf>
    <xf numFmtId="1" fontId="34" fillId="0" borderId="47" xfId="0" applyNumberFormat="1" applyFont="1" applyFill="1" applyBorder="1" applyAlignment="1">
      <alignment horizontal="center"/>
    </xf>
    <xf numFmtId="0" fontId="0" fillId="3" borderId="43" xfId="0" applyFill="1" applyBorder="1" applyAlignment="1">
      <alignment horizontal="center"/>
    </xf>
    <xf numFmtId="169" fontId="29" fillId="0" borderId="47" xfId="0" applyNumberFormat="1" applyFont="1" applyFill="1" applyBorder="1" applyAlignment="1"/>
    <xf numFmtId="0" fontId="29" fillId="7" borderId="46" xfId="0" applyFont="1" applyFill="1" applyBorder="1"/>
    <xf numFmtId="0" fontId="30" fillId="7" borderId="46" xfId="0" applyFont="1" applyFill="1" applyBorder="1"/>
    <xf numFmtId="0" fontId="30" fillId="6" borderId="46" xfId="0" applyFont="1" applyFill="1" applyBorder="1" applyAlignment="1"/>
    <xf numFmtId="169" fontId="30" fillId="0" borderId="46" xfId="0" applyNumberFormat="1" applyFont="1" applyFill="1" applyBorder="1" applyAlignment="1"/>
    <xf numFmtId="0" fontId="0" fillId="3" borderId="46" xfId="0" applyFill="1" applyBorder="1"/>
    <xf numFmtId="0" fontId="15" fillId="3" borderId="46" xfId="0" applyFont="1" applyFill="1" applyBorder="1" applyAlignment="1"/>
    <xf numFmtId="0" fontId="26" fillId="0" borderId="48" xfId="0" quotePrefix="1" applyFont="1" applyFill="1" applyBorder="1" applyAlignment="1">
      <alignment horizontal="right"/>
    </xf>
    <xf numFmtId="169" fontId="24" fillId="0" borderId="42" xfId="0" applyNumberFormat="1" applyFont="1" applyFill="1" applyBorder="1" applyAlignment="1"/>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1"/>
        <a:srcRect/>
        <a:stretch>
          <a:fillRect/>
        </a:stretch>
      </xdr:blipFill>
      <xdr:spPr>
        <a:xfrm>
          <a:off x="334880" y="743446"/>
          <a:ext cx="3268577" cy="1062788"/>
        </a:xfrm>
        <a:prstGeom prst="rect">
          <a:avLst/>
        </a:prstGeom>
        <a:noFill/>
        <a:ln cap="flat">
          <a:noFill/>
        </a:ln>
      </xdr:spPr>
    </xdr:pic>
    <xdr:clientData/>
  </xdr:oneCellAnchor>
  <xdr:oneCellAnchor>
    <xdr:from>
      <xdr:col>9</xdr:col>
      <xdr:colOff>393539</xdr:colOff>
      <xdr:row>7</xdr:row>
      <xdr:rowOff>101763</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2"/>
        <a:srcRect/>
        <a:stretch>
          <a:fillRect/>
        </a:stretch>
      </xdr:blipFill>
      <xdr:spPr>
        <a:xfrm>
          <a:off x="5260814" y="997113"/>
          <a:ext cx="1614236" cy="802102"/>
        </a:xfrm>
        <a:prstGeom prst="rect">
          <a:avLst/>
        </a:prstGeom>
        <a:noFill/>
        <a:ln cap="flat">
          <a:noFill/>
        </a:ln>
      </xdr:spPr>
    </xdr:pic>
    <xdr:clientData/>
  </xdr:oneCellAnchor>
  <xdr:twoCellAnchor editAs="oneCell">
    <xdr:from>
      <xdr:col>3</xdr:col>
      <xdr:colOff>231775</xdr:colOff>
      <xdr:row>28</xdr:row>
      <xdr:rowOff>82549</xdr:rowOff>
    </xdr:from>
    <xdr:to>
      <xdr:col>7</xdr:col>
      <xdr:colOff>180975</xdr:colOff>
      <xdr:row>33</xdr:row>
      <xdr:rowOff>23043</xdr:rowOff>
    </xdr:to>
    <xdr:pic>
      <xdr:nvPicPr>
        <xdr:cNvPr id="11" name="Image 1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74850" y="4645024"/>
          <a:ext cx="2368550" cy="1578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342900</xdr:colOff>
      <xdr:row>7</xdr:row>
      <xdr:rowOff>152400</xdr:rowOff>
    </xdr:from>
    <xdr:to>
      <xdr:col>12</xdr:col>
      <xdr:colOff>17045</xdr:colOff>
      <xdr:row>11</xdr:row>
      <xdr:rowOff>93735</xdr:rowOff>
    </xdr:to>
    <xdr:pic>
      <xdr:nvPicPr>
        <xdr:cNvPr id="13" name="Image 12"/>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91350" y="1047750"/>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19" t="s">
        <v>0</v>
      </c>
      <c r="E4" s="119"/>
      <c r="F4" s="119"/>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0" t="s">
        <v>3</v>
      </c>
      <c r="E10" s="120"/>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0" t="s">
        <v>15</v>
      </c>
      <c r="E19" s="120"/>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1" t="str">
        <f>LOWER(TemplateInformation!B3)</f>
        <v>c:\program files\microsoft office\office\macrolib\factbd.xls</v>
      </c>
      <c r="G33" s="121"/>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0" t="s">
        <v>24</v>
      </c>
      <c r="E36" s="120"/>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72"/>
  <sheetViews>
    <sheetView tabSelected="1" workbookViewId="0">
      <selection activeCell="L5" sqref="K5:L14"/>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 min="16" max="16" width="9.140625" customWidth="1"/>
  </cols>
  <sheetData>
    <row r="1" spans="1:14" ht="6" customHeight="1" thickBot="1"/>
    <row r="2" spans="1:14" ht="0.95" customHeight="1" thickTop="1">
      <c r="A2" s="2"/>
      <c r="B2" s="2"/>
      <c r="C2" s="2"/>
      <c r="D2" s="2"/>
      <c r="E2" s="2"/>
      <c r="F2" s="2"/>
      <c r="G2" s="2"/>
      <c r="H2" s="2"/>
      <c r="I2" s="2"/>
      <c r="J2" s="2"/>
      <c r="K2" s="2"/>
      <c r="L2" s="2"/>
      <c r="M2" s="2"/>
      <c r="N2" s="3"/>
    </row>
    <row r="3" spans="1:14">
      <c r="A3" s="5"/>
      <c r="B3" s="5"/>
      <c r="C3" s="5"/>
      <c r="D3" s="5"/>
      <c r="E3" s="5"/>
      <c r="F3" s="5"/>
      <c r="G3" s="5"/>
      <c r="H3" s="5"/>
      <c r="I3" s="5"/>
      <c r="J3" s="5"/>
      <c r="K3" s="5"/>
      <c r="L3" s="5"/>
      <c r="M3" s="5"/>
      <c r="N3" s="6"/>
    </row>
    <row r="4" spans="1:14">
      <c r="A4" s="5"/>
      <c r="B4" s="5"/>
      <c r="C4" s="5"/>
      <c r="D4" s="5"/>
      <c r="E4" s="5"/>
      <c r="F4" s="5"/>
      <c r="G4" s="5"/>
      <c r="H4" s="5"/>
      <c r="I4" s="5"/>
      <c r="J4" s="5"/>
      <c r="K4" s="5"/>
      <c r="L4" s="5"/>
      <c r="M4" s="5"/>
      <c r="N4" s="6"/>
    </row>
    <row r="5" spans="1:14">
      <c r="A5" s="5"/>
      <c r="B5" s="5"/>
      <c r="C5" s="5"/>
      <c r="D5" s="5"/>
      <c r="E5" s="5"/>
      <c r="F5" s="5"/>
      <c r="G5" s="5"/>
      <c r="H5" s="5"/>
      <c r="I5" s="5"/>
      <c r="J5" s="5"/>
      <c r="K5" s="5"/>
      <c r="L5" s="5"/>
      <c r="M5" s="5"/>
      <c r="N5" s="6"/>
    </row>
    <row r="6" spans="1:14">
      <c r="A6" s="5"/>
      <c r="B6" s="5"/>
      <c r="C6" s="5"/>
      <c r="D6" s="5"/>
      <c r="E6" s="5"/>
      <c r="F6" s="5"/>
      <c r="G6" s="5"/>
      <c r="H6" s="5"/>
      <c r="I6" s="5"/>
      <c r="J6" s="5"/>
      <c r="K6" s="5"/>
      <c r="L6" s="5"/>
      <c r="M6" s="5"/>
      <c r="N6" s="6"/>
    </row>
    <row r="7" spans="1:14">
      <c r="A7" s="5"/>
      <c r="B7" s="5"/>
      <c r="C7" s="5"/>
      <c r="D7" s="5"/>
      <c r="E7" s="5"/>
      <c r="F7" s="5"/>
      <c r="G7" s="5"/>
      <c r="H7" s="5"/>
      <c r="I7" s="5"/>
      <c r="J7" s="5"/>
      <c r="K7" s="5"/>
      <c r="L7" s="5"/>
      <c r="M7" s="5"/>
      <c r="N7" s="6"/>
    </row>
    <row r="8" spans="1:14">
      <c r="A8" s="5"/>
      <c r="B8" s="5"/>
      <c r="C8" s="5"/>
      <c r="D8" s="5"/>
      <c r="E8" s="5"/>
      <c r="F8" s="5"/>
      <c r="G8" s="5"/>
      <c r="H8" s="5"/>
      <c r="I8" s="5"/>
      <c r="J8" s="5"/>
      <c r="K8" s="5"/>
      <c r="L8" s="5"/>
      <c r="M8" s="5"/>
      <c r="N8" s="6"/>
    </row>
    <row r="9" spans="1:14">
      <c r="A9" s="5"/>
      <c r="B9" s="5"/>
      <c r="C9" s="5"/>
      <c r="D9" s="5"/>
      <c r="E9" s="5"/>
      <c r="F9" s="5"/>
      <c r="G9" s="5"/>
      <c r="H9" s="5"/>
      <c r="I9" s="5"/>
      <c r="J9" s="5"/>
      <c r="K9" s="122"/>
      <c r="L9" s="122"/>
      <c r="M9" s="5"/>
      <c r="N9" s="6"/>
    </row>
    <row r="10" spans="1:14">
      <c r="A10" s="5"/>
      <c r="B10" s="5"/>
      <c r="C10" s="5"/>
      <c r="D10" s="5"/>
      <c r="E10" s="5"/>
      <c r="F10" s="5"/>
      <c r="G10" s="5"/>
      <c r="H10" s="5"/>
      <c r="I10" s="5"/>
      <c r="J10" s="5"/>
      <c r="K10" s="5"/>
      <c r="L10" s="5"/>
      <c r="M10" s="5"/>
      <c r="N10" s="6"/>
    </row>
    <row r="11" spans="1:14">
      <c r="A11" s="5"/>
      <c r="B11" s="5"/>
      <c r="C11" s="5"/>
      <c r="D11" s="5"/>
      <c r="E11" s="5"/>
      <c r="F11" s="5"/>
      <c r="G11" s="5"/>
      <c r="H11" s="5"/>
      <c r="I11" s="5"/>
      <c r="J11" s="5"/>
      <c r="K11" s="58"/>
      <c r="L11" s="59"/>
      <c r="M11" s="5"/>
      <c r="N11" s="6"/>
    </row>
    <row r="12" spans="1:14">
      <c r="A12" s="5"/>
      <c r="B12" s="5"/>
      <c r="C12" s="5"/>
      <c r="D12" s="5"/>
      <c r="E12" s="5"/>
      <c r="F12" s="5"/>
      <c r="G12" s="5"/>
      <c r="H12" s="5"/>
      <c r="I12" s="5"/>
      <c r="J12" s="5"/>
      <c r="K12" s="58"/>
      <c r="L12" s="59"/>
      <c r="M12" s="5"/>
      <c r="N12" s="6"/>
    </row>
    <row r="13" spans="1:14">
      <c r="A13" s="5"/>
      <c r="B13" s="5"/>
      <c r="C13" s="5"/>
      <c r="D13" s="5"/>
      <c r="E13" s="5"/>
      <c r="F13" s="5"/>
      <c r="G13" s="5"/>
      <c r="H13" s="5"/>
      <c r="I13" s="5"/>
      <c r="J13" s="5"/>
      <c r="K13" s="123"/>
      <c r="L13" s="123"/>
      <c r="M13" s="5"/>
      <c r="N13" s="6"/>
    </row>
    <row r="14" spans="1:14">
      <c r="A14" s="5"/>
      <c r="B14" s="5"/>
      <c r="C14" s="5"/>
      <c r="D14" s="5"/>
      <c r="E14" s="5"/>
      <c r="F14" s="122"/>
      <c r="G14" s="122"/>
      <c r="H14" s="122"/>
      <c r="I14" s="122"/>
      <c r="J14" s="122"/>
      <c r="K14" s="5"/>
      <c r="L14" s="5"/>
      <c r="M14" s="5"/>
      <c r="N14" s="6"/>
    </row>
    <row r="15" spans="1:14" ht="20.100000000000001" customHeight="1">
      <c r="A15" s="5"/>
      <c r="B15" s="5"/>
      <c r="C15" s="5"/>
      <c r="D15" s="5"/>
      <c r="E15" s="5"/>
      <c r="F15" s="122"/>
      <c r="G15" s="122"/>
      <c r="H15" s="122"/>
      <c r="I15" s="122"/>
      <c r="J15" s="122"/>
      <c r="K15" s="5"/>
      <c r="L15" s="5"/>
      <c r="M15" s="5"/>
      <c r="N15" s="6"/>
    </row>
    <row r="16" spans="1:14" ht="3" customHeight="1" thickBot="1">
      <c r="A16" s="5"/>
      <c r="B16" s="5"/>
      <c r="C16" s="5"/>
      <c r="D16" s="5"/>
      <c r="E16" s="5"/>
      <c r="F16" s="5"/>
      <c r="G16" s="5"/>
      <c r="H16" s="5"/>
      <c r="I16" s="5"/>
      <c r="J16" s="5"/>
      <c r="K16" s="5"/>
      <c r="L16" s="5"/>
      <c r="M16" s="5"/>
      <c r="N16" s="6"/>
    </row>
    <row r="17" spans="1:14" ht="14.1" customHeight="1" thickBot="1">
      <c r="A17" s="5"/>
      <c r="B17" s="5"/>
      <c r="C17" s="5"/>
      <c r="D17" s="5"/>
      <c r="E17" s="5"/>
      <c r="F17" s="60"/>
      <c r="G17" s="5"/>
      <c r="H17" s="5"/>
      <c r="I17" s="5"/>
      <c r="J17" s="5"/>
      <c r="K17" s="124" t="s">
        <v>75</v>
      </c>
      <c r="L17" s="124"/>
      <c r="M17" s="5"/>
      <c r="N17" s="6"/>
    </row>
    <row r="18" spans="1:14" ht="20.25" thickTop="1" thickBot="1">
      <c r="A18" s="5"/>
      <c r="B18" s="8"/>
      <c r="C18" s="8"/>
      <c r="D18" s="8"/>
      <c r="E18" s="8"/>
      <c r="F18" s="8"/>
      <c r="G18" s="8"/>
      <c r="H18" s="61"/>
      <c r="I18" s="61"/>
      <c r="J18" s="61"/>
      <c r="K18" s="124"/>
      <c r="L18" s="124"/>
      <c r="M18" s="10"/>
      <c r="N18" s="6"/>
    </row>
    <row r="19" spans="1:14" ht="13.5" thickBot="1">
      <c r="A19" s="5"/>
      <c r="B19" s="5"/>
      <c r="C19" s="5"/>
      <c r="D19" s="5"/>
      <c r="E19" s="5"/>
      <c r="F19" s="5"/>
      <c r="G19" s="5"/>
      <c r="H19" s="5"/>
      <c r="I19" s="5"/>
      <c r="J19" s="5"/>
      <c r="K19" s="124"/>
      <c r="L19" s="124"/>
      <c r="M19" s="5"/>
      <c r="N19" s="6"/>
    </row>
    <row r="20" spans="1:14">
      <c r="A20" s="5"/>
      <c r="B20" s="5"/>
      <c r="C20" s="5"/>
      <c r="D20" s="5"/>
      <c r="E20" s="5"/>
      <c r="F20" s="5"/>
      <c r="G20" s="5"/>
      <c r="H20" s="5"/>
      <c r="I20" s="5"/>
      <c r="J20" s="5"/>
      <c r="K20" s="5"/>
      <c r="L20" s="5"/>
      <c r="M20" s="5"/>
      <c r="N20" s="6"/>
    </row>
    <row r="21" spans="1:14" ht="18">
      <c r="A21" s="5"/>
      <c r="B21" s="5" t="s">
        <v>4</v>
      </c>
      <c r="C21" s="125" t="s">
        <v>26</v>
      </c>
      <c r="D21" s="125"/>
      <c r="E21" s="125"/>
      <c r="F21" s="125"/>
      <c r="G21" s="125"/>
      <c r="H21" s="125"/>
      <c r="I21" s="5"/>
      <c r="J21" s="62" t="s">
        <v>27</v>
      </c>
      <c r="K21" s="126">
        <v>45429</v>
      </c>
      <c r="L21" s="126"/>
      <c r="M21" s="63"/>
      <c r="N21" s="6"/>
    </row>
    <row r="22" spans="1:14">
      <c r="A22" s="5"/>
      <c r="B22" s="5" t="s">
        <v>7</v>
      </c>
      <c r="C22" s="128" t="s">
        <v>28</v>
      </c>
      <c r="D22" s="128"/>
      <c r="E22" s="128"/>
      <c r="F22" s="128"/>
      <c r="G22" s="128"/>
      <c r="H22" s="128"/>
      <c r="I22" s="5"/>
      <c r="J22" s="62" t="s">
        <v>29</v>
      </c>
      <c r="K22" s="64"/>
      <c r="L22" s="65"/>
      <c r="M22" s="66"/>
      <c r="N22" s="6"/>
    </row>
    <row r="23" spans="1:14">
      <c r="A23" s="5"/>
      <c r="B23" s="5" t="s">
        <v>10</v>
      </c>
      <c r="C23" s="67">
        <v>2094</v>
      </c>
      <c r="D23" s="68" t="s">
        <v>12</v>
      </c>
      <c r="E23" s="129" t="s">
        <v>30</v>
      </c>
      <c r="F23" s="129"/>
      <c r="G23" s="69" t="s">
        <v>14</v>
      </c>
      <c r="H23" s="65" t="s">
        <v>31</v>
      </c>
      <c r="I23" s="5"/>
      <c r="J23" s="62" t="s">
        <v>32</v>
      </c>
      <c r="K23" s="130" t="s">
        <v>68</v>
      </c>
      <c r="L23" s="130"/>
      <c r="M23" s="5"/>
      <c r="N23" s="6"/>
    </row>
    <row r="24" spans="1:14">
      <c r="A24" s="5"/>
      <c r="B24" s="5" t="s">
        <v>33</v>
      </c>
      <c r="C24" s="131" t="s">
        <v>34</v>
      </c>
      <c r="D24" s="131"/>
      <c r="E24" s="131"/>
      <c r="F24" s="131"/>
      <c r="G24" s="131"/>
      <c r="H24" s="131"/>
      <c r="I24" s="5"/>
      <c r="J24" s="62" t="s">
        <v>35</v>
      </c>
      <c r="K24" s="132" t="s">
        <v>36</v>
      </c>
      <c r="L24" s="132"/>
      <c r="M24" s="5"/>
      <c r="N24" s="6"/>
    </row>
    <row r="25" spans="1:14">
      <c r="A25" s="5"/>
      <c r="B25" s="5"/>
      <c r="C25" s="5"/>
      <c r="D25" s="5"/>
      <c r="E25" s="5"/>
      <c r="F25" s="5"/>
      <c r="G25" s="5"/>
      <c r="H25" s="5"/>
      <c r="I25" s="5"/>
      <c r="J25" s="5"/>
      <c r="K25" s="5"/>
      <c r="L25" s="5"/>
      <c r="M25" s="5"/>
      <c r="N25" s="6"/>
    </row>
    <row r="26" spans="1:14">
      <c r="A26" s="5"/>
      <c r="B26" s="70" t="s">
        <v>37</v>
      </c>
      <c r="C26" s="70" t="s">
        <v>38</v>
      </c>
      <c r="D26" s="133" t="s">
        <v>39</v>
      </c>
      <c r="E26" s="133"/>
      <c r="F26" s="133"/>
      <c r="G26" s="133"/>
      <c r="H26" s="133"/>
      <c r="I26" s="133"/>
      <c r="J26" s="133"/>
      <c r="K26" s="71" t="s">
        <v>40</v>
      </c>
      <c r="L26" s="72" t="s">
        <v>41</v>
      </c>
      <c r="M26" s="73"/>
      <c r="N26" s="6"/>
    </row>
    <row r="27" spans="1:14" ht="15">
      <c r="A27" s="5"/>
      <c r="B27" s="74"/>
      <c r="C27" s="75"/>
      <c r="D27" s="134"/>
      <c r="E27" s="134"/>
      <c r="F27" s="134"/>
      <c r="G27" s="134"/>
      <c r="H27" s="134"/>
      <c r="I27" s="134"/>
      <c r="J27" s="76"/>
      <c r="K27" s="77"/>
      <c r="L27" s="77" t="str">
        <f>IF(C27&lt;&gt;"",C27*K27,"")</f>
        <v/>
      </c>
      <c r="M27" s="73"/>
      <c r="N27" s="6"/>
    </row>
    <row r="28" spans="1:14" ht="20.25">
      <c r="A28" s="145"/>
      <c r="B28" s="146"/>
      <c r="C28" s="147">
        <v>13</v>
      </c>
      <c r="D28" s="144" t="s">
        <v>69</v>
      </c>
      <c r="E28" s="139"/>
      <c r="F28" s="148"/>
      <c r="G28" s="139"/>
      <c r="H28" s="139"/>
      <c r="I28" s="148"/>
      <c r="J28" s="167"/>
      <c r="K28" s="175">
        <v>150</v>
      </c>
      <c r="L28" s="118">
        <f>K28*C28</f>
        <v>1950</v>
      </c>
      <c r="M28" s="73"/>
      <c r="N28" s="6"/>
    </row>
    <row r="29" spans="1:14" ht="15" customHeight="1">
      <c r="A29" s="145"/>
      <c r="B29" s="146"/>
      <c r="C29" s="163"/>
      <c r="D29" s="156"/>
      <c r="E29" s="140"/>
      <c r="F29" s="149"/>
      <c r="G29" s="149"/>
      <c r="H29" s="149"/>
      <c r="I29" s="150"/>
      <c r="J29" s="168"/>
      <c r="K29" s="153"/>
      <c r="L29" s="77"/>
      <c r="M29" s="73"/>
      <c r="N29" s="6"/>
    </row>
    <row r="30" spans="1:14" ht="15" customHeight="1">
      <c r="A30" s="5"/>
      <c r="B30" s="78"/>
      <c r="C30" s="164"/>
      <c r="D30" s="157"/>
      <c r="E30" s="140"/>
      <c r="F30" s="109"/>
      <c r="G30" s="109"/>
      <c r="H30" s="109"/>
      <c r="I30" s="141"/>
      <c r="J30" s="169"/>
      <c r="K30" s="154"/>
      <c r="L30" s="77"/>
      <c r="M30" s="73"/>
      <c r="N30" s="6"/>
    </row>
    <row r="31" spans="1:14" ht="33">
      <c r="A31" s="5"/>
      <c r="B31" s="78"/>
      <c r="C31" s="165"/>
      <c r="D31" s="158"/>
      <c r="E31" s="140"/>
      <c r="F31" s="110"/>
      <c r="G31" s="110"/>
      <c r="H31" s="110"/>
      <c r="I31" s="141"/>
      <c r="J31" s="169"/>
      <c r="K31" s="154"/>
      <c r="L31" s="77"/>
      <c r="M31" s="73"/>
      <c r="N31" s="6"/>
    </row>
    <row r="32" spans="1:14" ht="33">
      <c r="A32" s="5"/>
      <c r="B32" s="78"/>
      <c r="C32" s="164"/>
      <c r="D32" s="157"/>
      <c r="E32" s="140"/>
      <c r="F32" s="110"/>
      <c r="G32" s="110"/>
      <c r="H32" s="110"/>
      <c r="I32" s="142"/>
      <c r="J32" s="170"/>
      <c r="K32" s="154"/>
      <c r="L32" s="77"/>
      <c r="M32" s="73"/>
      <c r="N32" s="6"/>
    </row>
    <row r="33" spans="1:14" ht="33">
      <c r="A33" s="5"/>
      <c r="B33" s="78"/>
      <c r="C33" s="164"/>
      <c r="D33" s="143"/>
      <c r="E33" s="140"/>
      <c r="F33" s="110"/>
      <c r="G33" s="110"/>
      <c r="H33" s="110"/>
      <c r="I33" s="142"/>
      <c r="J33" s="170"/>
      <c r="K33" s="154"/>
      <c r="L33" s="77"/>
      <c r="M33" s="73"/>
      <c r="N33" s="6"/>
    </row>
    <row r="34" spans="1:14" ht="33">
      <c r="A34" s="5"/>
      <c r="B34" s="78"/>
      <c r="C34" s="164"/>
      <c r="D34" s="152" t="s">
        <v>70</v>
      </c>
      <c r="E34" s="143"/>
      <c r="F34" s="143"/>
      <c r="G34" s="143"/>
      <c r="H34" s="143"/>
      <c r="I34" s="143"/>
      <c r="J34" s="171"/>
      <c r="K34" s="154"/>
      <c r="L34" s="77"/>
      <c r="M34" s="73"/>
      <c r="N34" s="6"/>
    </row>
    <row r="35" spans="1:14" ht="15.75">
      <c r="A35" s="5"/>
      <c r="B35" s="78"/>
      <c r="C35" s="115"/>
      <c r="D35" s="152" t="s">
        <v>71</v>
      </c>
      <c r="E35" s="110"/>
      <c r="F35" s="110"/>
      <c r="G35" s="108"/>
      <c r="H35" s="108"/>
      <c r="I35" s="111"/>
      <c r="J35" s="172"/>
      <c r="K35" s="155"/>
      <c r="L35" s="77"/>
      <c r="M35" s="73"/>
      <c r="N35" s="6"/>
    </row>
    <row r="36" spans="1:14" ht="15.75">
      <c r="A36" s="5"/>
      <c r="B36" s="78"/>
      <c r="C36" s="115"/>
      <c r="D36" s="159" t="s">
        <v>72</v>
      </c>
      <c r="E36" s="116"/>
      <c r="F36" s="117"/>
      <c r="G36" s="112"/>
      <c r="H36" s="112"/>
      <c r="I36" s="113"/>
      <c r="J36" s="172"/>
      <c r="K36" s="155"/>
      <c r="L36" s="77"/>
      <c r="M36" s="73"/>
      <c r="N36" s="6"/>
    </row>
    <row r="37" spans="1:14" ht="15.75">
      <c r="A37" s="5"/>
      <c r="B37" s="78"/>
      <c r="C37" s="115"/>
      <c r="D37" s="159" t="s">
        <v>73</v>
      </c>
      <c r="E37" s="116"/>
      <c r="F37" s="117"/>
      <c r="G37" s="112"/>
      <c r="H37" s="112"/>
      <c r="I37" s="113"/>
      <c r="J37" s="172"/>
      <c r="K37" s="155"/>
      <c r="L37" s="77"/>
      <c r="M37" s="73"/>
      <c r="N37" s="6"/>
    </row>
    <row r="38" spans="1:14" ht="15.75">
      <c r="A38" s="5"/>
      <c r="B38" s="78"/>
      <c r="C38" s="115"/>
      <c r="D38" s="159" t="s">
        <v>74</v>
      </c>
      <c r="E38" s="112"/>
      <c r="F38" s="112"/>
      <c r="G38" s="112"/>
      <c r="H38" s="112"/>
      <c r="I38" s="113"/>
      <c r="J38" s="172"/>
      <c r="K38" s="155"/>
      <c r="L38" s="77"/>
      <c r="M38" s="73"/>
      <c r="N38" s="6"/>
    </row>
    <row r="39" spans="1:14" ht="15.75">
      <c r="A39" s="5"/>
      <c r="B39" s="78"/>
      <c r="C39" s="166"/>
      <c r="D39" s="160"/>
      <c r="E39" s="161"/>
      <c r="F39" s="161"/>
      <c r="G39" s="161"/>
      <c r="H39" s="161"/>
      <c r="I39" s="161"/>
      <c r="J39" s="173"/>
      <c r="K39" s="155"/>
      <c r="L39" s="77"/>
      <c r="M39" s="73"/>
      <c r="N39" s="6"/>
    </row>
    <row r="40" spans="1:14" ht="15.75">
      <c r="A40" s="5"/>
      <c r="B40" s="78"/>
      <c r="C40" s="166"/>
      <c r="D40" s="151"/>
      <c r="E40" s="162"/>
      <c r="F40" s="161"/>
      <c r="G40" s="161"/>
      <c r="H40" s="161"/>
      <c r="I40" s="161"/>
      <c r="J40" s="173"/>
      <c r="K40" s="155"/>
      <c r="L40" s="77"/>
      <c r="M40" s="73"/>
      <c r="N40" s="6"/>
    </row>
    <row r="41" spans="1:14" ht="15.75">
      <c r="A41" s="5"/>
      <c r="B41" s="78"/>
      <c r="C41" s="166"/>
      <c r="D41" s="161"/>
      <c r="E41" s="161"/>
      <c r="F41" s="161"/>
      <c r="G41" s="161"/>
      <c r="H41" s="161"/>
      <c r="I41" s="161"/>
      <c r="J41" s="173"/>
      <c r="K41" s="155"/>
      <c r="L41" s="77"/>
      <c r="M41" s="73"/>
      <c r="N41" s="6"/>
    </row>
    <row r="42" spans="1:14" ht="15">
      <c r="A42" s="5"/>
      <c r="B42" s="78"/>
      <c r="C42" s="80"/>
      <c r="D42" s="62"/>
      <c r="E42" s="62"/>
      <c r="F42" s="62"/>
      <c r="G42" s="62"/>
      <c r="H42" s="62"/>
      <c r="I42" s="62"/>
      <c r="J42" s="79"/>
      <c r="K42" s="77"/>
      <c r="L42" s="77"/>
      <c r="M42" s="73"/>
      <c r="N42" s="6"/>
    </row>
    <row r="43" spans="1:14" ht="15">
      <c r="A43" s="5"/>
      <c r="B43" s="81"/>
      <c r="C43" s="82"/>
      <c r="D43" s="135"/>
      <c r="E43" s="135"/>
      <c r="F43" s="135"/>
      <c r="G43" s="135"/>
      <c r="H43" s="135"/>
      <c r="I43" s="135"/>
      <c r="J43" s="83"/>
      <c r="K43" s="77"/>
      <c r="L43" s="77"/>
      <c r="M43" s="73"/>
      <c r="N43" s="6"/>
    </row>
    <row r="44" spans="1:14" ht="15" customHeight="1">
      <c r="A44" s="5"/>
      <c r="B44" s="5"/>
      <c r="C44" s="5"/>
      <c r="D44" s="5"/>
      <c r="E44" s="5"/>
      <c r="F44" s="5"/>
      <c r="G44" s="5"/>
      <c r="H44" s="84"/>
      <c r="I44" s="84"/>
      <c r="J44" s="84"/>
      <c r="K44" s="174" t="s">
        <v>42</v>
      </c>
      <c r="L44" s="106">
        <f>SUM(L28:L43)</f>
        <v>1950</v>
      </c>
      <c r="M44" s="73"/>
      <c r="N44" s="6"/>
    </row>
    <row r="45" spans="1:14" ht="15">
      <c r="A45" s="5"/>
      <c r="B45" s="5"/>
      <c r="C45" s="5"/>
      <c r="D45" s="5"/>
      <c r="E45" s="5"/>
      <c r="F45" s="5"/>
      <c r="G45" s="5"/>
      <c r="H45" s="84"/>
      <c r="I45" s="84"/>
      <c r="J45" s="84"/>
      <c r="K45" s="85" t="s">
        <v>18</v>
      </c>
      <c r="L45" s="107">
        <v>1</v>
      </c>
      <c r="M45" s="73"/>
      <c r="N45" s="6"/>
    </row>
    <row r="46" spans="1:14" ht="15">
      <c r="A46" s="5"/>
      <c r="B46" s="5"/>
      <c r="C46" s="86"/>
      <c r="D46" s="62" t="s">
        <v>43</v>
      </c>
      <c r="E46" s="5"/>
      <c r="F46" s="5"/>
      <c r="G46" s="5"/>
      <c r="H46" s="84"/>
      <c r="I46" s="84"/>
      <c r="J46" s="87"/>
      <c r="K46" s="88">
        <v>0.19</v>
      </c>
      <c r="L46" s="107">
        <f>L44*0.19</f>
        <v>370.5</v>
      </c>
      <c r="M46" s="73"/>
      <c r="N46" s="6"/>
    </row>
    <row r="47" spans="1:14" ht="15.75">
      <c r="A47" s="5"/>
      <c r="B47" s="5"/>
      <c r="C47" s="86"/>
      <c r="D47" s="62" t="s">
        <v>44</v>
      </c>
      <c r="E47" s="89"/>
      <c r="F47" s="86"/>
      <c r="G47" s="5"/>
      <c r="H47" s="90"/>
      <c r="I47" s="84"/>
      <c r="J47" s="84"/>
      <c r="K47" s="91" t="s">
        <v>45</v>
      </c>
      <c r="L47" s="106">
        <f>+L44+L45+L46</f>
        <v>2321.5</v>
      </c>
      <c r="M47" s="73"/>
      <c r="N47" s="6"/>
    </row>
    <row r="48" spans="1:14" ht="20.25">
      <c r="A48" s="5"/>
      <c r="B48" s="5"/>
      <c r="C48" s="86">
        <v>3</v>
      </c>
      <c r="D48" s="114" t="s">
        <v>46</v>
      </c>
      <c r="E48" s="5"/>
      <c r="F48" s="5"/>
      <c r="G48" s="5"/>
      <c r="H48" s="84" t="s">
        <v>47</v>
      </c>
      <c r="I48" s="84"/>
      <c r="J48" s="84"/>
      <c r="K48" s="92"/>
      <c r="L48" s="93"/>
      <c r="M48" s="73"/>
      <c r="N48" s="6"/>
    </row>
    <row r="49" spans="1:14" ht="15.75">
      <c r="A49" s="5"/>
      <c r="B49" s="5"/>
      <c r="C49" s="86"/>
      <c r="D49" s="62"/>
      <c r="E49" s="5"/>
      <c r="F49" s="5"/>
      <c r="G49" s="5"/>
      <c r="H49" s="84"/>
      <c r="I49" s="84"/>
      <c r="J49" s="84"/>
      <c r="K49" s="94" t="s">
        <v>48</v>
      </c>
      <c r="L49" s="93"/>
      <c r="M49" s="73"/>
      <c r="N49" s="6"/>
    </row>
    <row r="50" spans="1:14" ht="15">
      <c r="A50" s="5"/>
      <c r="B50" s="5"/>
      <c r="C50" s="5"/>
      <c r="D50" s="5"/>
      <c r="E50" s="5"/>
      <c r="F50" s="5"/>
      <c r="G50" s="5"/>
      <c r="H50" s="84" t="s">
        <v>47</v>
      </c>
      <c r="I50" s="84"/>
      <c r="J50" s="5"/>
      <c r="K50" s="5"/>
      <c r="L50" s="5"/>
      <c r="M50" s="73"/>
      <c r="N50" s="6"/>
    </row>
    <row r="51" spans="1:14" ht="17.100000000000001" customHeight="1">
      <c r="A51" s="95" t="s">
        <v>49</v>
      </c>
      <c r="B51" s="96"/>
      <c r="C51" s="96"/>
      <c r="D51" s="96"/>
      <c r="E51" s="96"/>
      <c r="F51" s="96"/>
      <c r="G51" s="96"/>
      <c r="H51" s="96"/>
      <c r="I51" s="96"/>
      <c r="J51" s="96"/>
      <c r="K51" s="5"/>
      <c r="L51" s="93"/>
      <c r="M51" s="73"/>
      <c r="N51" s="6"/>
    </row>
    <row r="52" spans="1:14" ht="17.100000000000001" customHeight="1">
      <c r="A52" s="136" t="s">
        <v>50</v>
      </c>
      <c r="B52" s="136"/>
      <c r="C52" s="136"/>
      <c r="D52" s="136"/>
      <c r="E52" s="136"/>
      <c r="F52" s="136"/>
      <c r="G52" s="136"/>
      <c r="H52" s="136"/>
      <c r="I52" s="136"/>
      <c r="J52" s="94"/>
      <c r="K52" s="94"/>
      <c r="L52" s="94"/>
      <c r="M52" s="73"/>
      <c r="N52" s="6"/>
    </row>
    <row r="53" spans="1:14" ht="15.75">
      <c r="A53" s="5"/>
      <c r="B53" s="5"/>
      <c r="C53" s="68"/>
      <c r="D53" s="97"/>
      <c r="E53" s="79"/>
      <c r="F53" s="79"/>
      <c r="G53" s="79"/>
      <c r="H53" s="84"/>
      <c r="I53" s="94"/>
      <c r="J53" s="94"/>
      <c r="K53" s="94"/>
      <c r="L53" s="94"/>
      <c r="M53" s="73"/>
      <c r="N53" s="6"/>
    </row>
    <row r="54" spans="1:14" ht="15" customHeight="1">
      <c r="A54" s="5"/>
      <c r="B54" s="5"/>
      <c r="C54" s="73" t="s">
        <v>51</v>
      </c>
      <c r="D54" s="73"/>
      <c r="E54" s="73"/>
      <c r="F54" s="73"/>
      <c r="G54" s="73"/>
      <c r="H54" s="73"/>
      <c r="I54" s="73"/>
      <c r="J54" s="73"/>
      <c r="K54" s="73"/>
      <c r="L54" s="94"/>
      <c r="M54" s="73"/>
      <c r="N54" s="6"/>
    </row>
    <row r="55" spans="1:14" ht="15" customHeight="1">
      <c r="A55" s="5"/>
      <c r="B55" s="5"/>
      <c r="C55" s="68"/>
      <c r="D55" s="137" t="s">
        <v>52</v>
      </c>
      <c r="E55" s="137"/>
      <c r="F55" s="137"/>
      <c r="G55" s="137"/>
      <c r="H55" s="137"/>
      <c r="I55" s="137"/>
      <c r="J55" s="137"/>
      <c r="K55" s="94"/>
      <c r="L55" s="94"/>
      <c r="M55" s="73"/>
      <c r="N55" s="6"/>
    </row>
    <row r="56" spans="1:14" ht="15" customHeight="1" thickBot="1">
      <c r="A56" s="5"/>
      <c r="B56" s="5"/>
      <c r="C56" s="138" t="s">
        <v>53</v>
      </c>
      <c r="D56" s="138"/>
      <c r="E56" s="138"/>
      <c r="F56" s="138"/>
      <c r="G56" s="138"/>
      <c r="H56" s="138"/>
      <c r="I56" s="138"/>
      <c r="J56" s="138"/>
      <c r="K56" s="138"/>
      <c r="L56" s="94"/>
      <c r="M56" s="73"/>
      <c r="N56" s="6"/>
    </row>
    <row r="57" spans="1:14" ht="17.25" thickTop="1" thickBot="1">
      <c r="A57" s="5"/>
      <c r="B57" s="5"/>
      <c r="C57" s="138"/>
      <c r="D57" s="138"/>
      <c r="E57" s="138"/>
      <c r="F57" s="138"/>
      <c r="G57" s="138"/>
      <c r="H57" s="138"/>
      <c r="I57" s="138"/>
      <c r="J57" s="138"/>
      <c r="K57" s="138"/>
      <c r="L57" s="94"/>
      <c r="M57" s="73"/>
      <c r="N57" s="6"/>
    </row>
    <row r="58" spans="1:14" ht="14.25" thickTop="1" thickBot="1">
      <c r="A58" s="73"/>
      <c r="B58" s="73"/>
      <c r="C58" s="138"/>
      <c r="D58" s="138"/>
      <c r="E58" s="138"/>
      <c r="F58" s="138"/>
      <c r="G58" s="138"/>
      <c r="H58" s="138"/>
      <c r="I58" s="138"/>
      <c r="J58" s="138"/>
      <c r="K58" s="138"/>
      <c r="L58" s="98"/>
      <c r="M58" s="73"/>
      <c r="N58" s="6"/>
    </row>
    <row r="59" spans="1:14" ht="13.5" thickTop="1">
      <c r="A59" s="8"/>
      <c r="B59" s="8"/>
      <c r="C59" s="8"/>
      <c r="D59" s="8"/>
      <c r="E59" s="8"/>
      <c r="F59" s="8"/>
      <c r="G59" s="8"/>
      <c r="H59" s="8"/>
      <c r="I59" s="8"/>
      <c r="J59" s="8"/>
      <c r="K59" s="8"/>
      <c r="L59" s="8"/>
      <c r="M59" s="8"/>
      <c r="N59" s="6"/>
    </row>
    <row r="60" spans="1:14" ht="15" customHeight="1">
      <c r="A60" s="99"/>
      <c r="B60" s="99"/>
      <c r="C60" s="99"/>
      <c r="D60" s="99"/>
      <c r="E60" s="99"/>
      <c r="F60" s="99"/>
      <c r="G60" s="99"/>
      <c r="H60" s="99"/>
      <c r="I60" s="127"/>
      <c r="J60" s="127"/>
      <c r="K60" s="127"/>
      <c r="L60" s="127"/>
      <c r="M60" s="127"/>
      <c r="N60" s="6"/>
    </row>
    <row r="61" spans="1:14" ht="15" customHeight="1">
      <c r="A61" s="100"/>
      <c r="B61" s="100"/>
      <c r="C61" s="100"/>
      <c r="D61" s="100"/>
      <c r="E61" s="100"/>
      <c r="F61" s="100"/>
      <c r="G61" s="100"/>
      <c r="H61" s="100"/>
      <c r="I61" s="127"/>
      <c r="J61" s="127"/>
      <c r="K61" s="127"/>
      <c r="L61" s="127"/>
      <c r="M61" s="127"/>
    </row>
    <row r="62" spans="1:14" ht="12.75" customHeight="1"/>
    <row r="63" spans="1:14"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I60:M61"/>
    <mergeCell ref="C22:H22"/>
    <mergeCell ref="E23:F23"/>
    <mergeCell ref="K23:L23"/>
    <mergeCell ref="C24:H24"/>
    <mergeCell ref="K24:L24"/>
    <mergeCell ref="D26:J26"/>
    <mergeCell ref="D27:I27"/>
    <mergeCell ref="D43:I43"/>
    <mergeCell ref="A52:I52"/>
    <mergeCell ref="D55:J55"/>
    <mergeCell ref="C56:K58"/>
    <mergeCell ref="K9:L9"/>
    <mergeCell ref="K13:L13"/>
    <mergeCell ref="F14:J15"/>
    <mergeCell ref="K17:L19"/>
    <mergeCell ref="C21:H21"/>
    <mergeCell ref="K21:L21"/>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9:J43 J27 J35:J37 J29:J33">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L28:L36 K27:K43 J34 J28">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7: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verticalDpi="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1" customWidth="1"/>
    <col min="2" max="16384" width="9.140625" style="101"/>
  </cols>
  <sheetData>
    <row r="1" spans="1:11">
      <c r="A1" s="101" t="s">
        <v>54</v>
      </c>
    </row>
    <row r="2" spans="1:11">
      <c r="A2" s="101" t="s">
        <v>55</v>
      </c>
      <c r="B2" s="101" t="s">
        <v>56</v>
      </c>
    </row>
    <row r="3" spans="1:11">
      <c r="A3" s="101" t="s">
        <v>57</v>
      </c>
      <c r="B3" s="101" t="s">
        <v>58</v>
      </c>
    </row>
    <row r="4" spans="1:11">
      <c r="A4" s="101" t="s">
        <v>59</v>
      </c>
    </row>
    <row r="5" spans="1:11">
      <c r="A5" s="101" t="s">
        <v>60</v>
      </c>
      <c r="B5" s="101">
        <v>1</v>
      </c>
    </row>
    <row r="6" spans="1:11">
      <c r="A6" s="101">
        <v>1</v>
      </c>
      <c r="B6" s="101" t="s">
        <v>61</v>
      </c>
      <c r="C6" s="101" t="s">
        <v>62</v>
      </c>
      <c r="D6" s="101" t="s">
        <v>63</v>
      </c>
      <c r="E6" s="101">
        <v>10</v>
      </c>
      <c r="G6" s="101">
        <v>-1383939328</v>
      </c>
    </row>
    <row r="7" spans="1:11">
      <c r="A7" s="101" t="s">
        <v>64</v>
      </c>
      <c r="B7" s="101" t="s">
        <v>65</v>
      </c>
      <c r="C7" s="101" t="s">
        <v>27</v>
      </c>
      <c r="D7" s="101" t="s">
        <v>4</v>
      </c>
      <c r="E7" s="101" t="s">
        <v>7</v>
      </c>
      <c r="F7" s="101" t="s">
        <v>10</v>
      </c>
      <c r="G7" s="101" t="s">
        <v>12</v>
      </c>
      <c r="H7" s="101" t="s">
        <v>14</v>
      </c>
      <c r="I7" s="101" t="s">
        <v>33</v>
      </c>
      <c r="J7" s="101" t="s">
        <v>66</v>
      </c>
      <c r="K7" s="101" t="s">
        <v>32</v>
      </c>
    </row>
    <row r="8" spans="1:11">
      <c r="A8" s="101" t="s">
        <v>67</v>
      </c>
      <c r="B8" s="102" t="e">
        <f>Facture!#REF!</f>
        <v>#REF!</v>
      </c>
      <c r="C8" s="103">
        <f>Facture!$K$21</f>
        <v>45429</v>
      </c>
      <c r="D8" s="104" t="str">
        <f>Facture!$C$21</f>
        <v xml:space="preserve">COMETEL </v>
      </c>
      <c r="E8" s="101" t="str">
        <f>Facture!$C$22</f>
        <v>RS LILIA JMZH 2AP01 MNIHLA</v>
      </c>
      <c r="F8" s="101">
        <f>Facture!$C$23</f>
        <v>2094</v>
      </c>
      <c r="G8" s="104" t="str">
        <f>Facture!$E$23</f>
        <v>ARIANA</v>
      </c>
      <c r="H8" s="104" t="str">
        <f>Facture!$H$23</f>
        <v>TN</v>
      </c>
      <c r="I8" s="101" t="str">
        <f>Facture!$C$24</f>
        <v xml:space="preserve">22619085   fax: </v>
      </c>
      <c r="J8" s="105">
        <f>Facture!$L$47</f>
        <v>2321.5</v>
      </c>
      <c r="K8" s="101" t="str">
        <f>Facture!$K$23</f>
        <v xml:space="preserve"> MR SLIM</v>
      </c>
    </row>
    <row r="9" spans="1:11">
      <c r="A9" s="101" t="s">
        <v>59</v>
      </c>
    </row>
    <row r="10" spans="1:11">
      <c r="G10" s="101">
        <v>-1261995520</v>
      </c>
    </row>
    <row r="14" spans="1:11">
      <c r="G14" s="101">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2024-05-17T08:51:58Z</cp:lastPrinted>
  <dcterms:created xsi:type="dcterms:W3CDTF">1995-05-29T15:50:39Z</dcterms:created>
  <dcterms:modified xsi:type="dcterms:W3CDTF">2024-05-17T08:53:06Z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