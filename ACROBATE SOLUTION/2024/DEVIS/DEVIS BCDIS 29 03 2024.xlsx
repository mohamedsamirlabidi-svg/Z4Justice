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29" i="3" l="1"/>
  <c r="L42" i="3" l="1"/>
  <c r="K8" i="8" l="1"/>
  <c r="I8" i="8"/>
  <c r="H8" i="8"/>
  <c r="G8" i="8"/>
  <c r="F8" i="8"/>
  <c r="E8" i="8"/>
  <c r="D8" i="8"/>
  <c r="C8" i="8"/>
  <c r="B8" i="8"/>
  <c r="L27" i="3"/>
  <c r="F33" i="2"/>
  <c r="L44" i="3" l="1"/>
  <c r="L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<sst xmlns="http://schemas.openxmlformats.org/spreadsheetml/2006/main" count="91" uniqueCount="75">
  <si>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</si>
  <si>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</si>
  <si>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</si>
  <si>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</si>
  <si>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</si>
  <si>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</si>
  <si>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</si>
  <si>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</si>
  <si>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</si>
  <si>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</si>
  <si>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</si>
  <si>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</si>
  <si>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</si>
  <si>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</si>
  <si>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</si>
  <si>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</si>
  <si>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</si>
  <si>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</si>
  <si>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</si>
  <si>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</si>
  <si>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</si>
  <si>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</si>
  <si>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</si>
  <si>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</si>
  <si>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</si>
  <si>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</si>
  <si>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</si>
  <si>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</si>
  <si>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</si>
  <si>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</si>
  <si>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</si>
  <si>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</si>
  <si>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</si>
  <si>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</si>
  <si>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</si>
  <si>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</si>
  <si>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</si>
  <si>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</si>
  <si>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</si>
  <si>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</si>
  <si>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</si>
  <si>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</si>
  <si>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</si>
  <si>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</si>
  <si>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</si>
  <si>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</si>
  <si>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</si>
  <si>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</si>
  <si>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</si>
  <si>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</si>
  <si>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</si>
  <si>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</si>
  <si>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</si>
  <si>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</si>
  <si>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</si>
  <si>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</si>
  <si>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</si>
  <si>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</si>
  <si>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</si>
  <si>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</si>
  <si>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</si>
  <si>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</si>
  <si>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</si>
  <si>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STB THAMEUR</t>
  </si>
  <si>
    <t>Devis   N° 2024- 407</t>
  </si>
  <si>
    <t xml:space="preserve">TRIPOD EVO - Trépied EN 795-B et EAC
</t>
  </si>
  <si>
    <t>* Tripod anchor system with adjustable legs. Height is adjustable from 147 to 229 cm</t>
  </si>
  <si>
    <t>for maximum versatility. Maximum working load: 140 kg</t>
  </si>
  <si>
    <t>Safe operating diameter: min 140 cm, max 213 cm. Packed size:</t>
  </si>
  <si>
    <t>24x24x180 cm. Supplied with a PVC carrying bag.</t>
  </si>
  <si>
    <t>*RESCUE LIFTING DEVICE 25M</t>
  </si>
  <si>
    <t>* Poulie de renvoi</t>
  </si>
  <si>
    <t>*harnais orbital</t>
  </si>
  <si>
    <t>PRODUITS CAMP SAFETY</t>
  </si>
  <si>
    <t>BCDIS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</si>
</sst>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sz val="11"/>
      <name val="Arial"/>
      <family val="2"/>
    </font>
    <font>
      <b/>
      <sz val="16"/>
      <name val="Aharoni"/>
      <charset val="177"/>
    </font>
    <font>
      <b/>
      <sz val="12"/>
      <color rgb="FFFF0000"/>
      <name val="Arial"/>
      <family val="2"/>
    </font>
    <font>
      <b/>
      <sz val="11"/>
      <color indexed="8"/>
      <name val="Arial"/>
      <family val="2"/>
    </font>
    <font>
      <b/>
      <sz val="14"/>
      <color rgb="FFFF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000000"/>
      </patternFill>
    </fill>
    <fill>
      <patternFill patternType="solid">
        <fgColor rgb="FF003300"/>
        <bgColor rgb="FF000000"/>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4"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1" fillId="3" borderId="31"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0" fontId="16" fillId="0" borderId="36" xfId="0" quotePrefix="1" applyNumberFormat="1" applyFont="1" applyFill="1" applyBorder="1" applyAlignment="1">
      <alignment horizontal="center"/>
    </xf>
    <xf numFmtId="0" fontId="21" fillId="3" borderId="36" xfId="0" applyFont="1" applyFill="1" applyBorder="1" applyAlignment="1">
      <alignment horizontal="right"/>
    </xf>
    <xf numFmtId="0" fontId="2" fillId="3" borderId="0" xfId="0" applyFont="1" applyFill="1" applyBorder="1" applyAlignment="1">
      <alignment horizontal="left"/>
    </xf>
    <xf numFmtId="0" fontId="21" fillId="3" borderId="31" xfId="0" applyFont="1" applyFill="1" applyBorder="1" applyAlignment="1">
      <alignment horizontal="center"/>
    </xf>
    <xf numFmtId="0" fontId="25" fillId="3" borderId="0" xfId="0" applyFont="1" applyFill="1" applyBorder="1"/>
    <xf numFmtId="0" fontId="2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1" fillId="3" borderId="0" xfId="0" applyFont="1" applyFill="1" applyBorder="1" applyAlignment="1">
      <alignment horizontal="left"/>
    </xf>
    <xf numFmtId="0" fontId="21" fillId="3" borderId="0" xfId="0" applyFont="1" applyFill="1" applyBorder="1" applyAlignment="1"/>
    <xf numFmtId="0" fontId="21" fillId="6" borderId="0" xfId="0" applyFont="1" applyFill="1"/>
    <xf numFmtId="0" fontId="21"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1"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7" fillId="3" borderId="0" xfId="0" applyFont="1" applyFill="1" applyBorder="1" applyAlignment="1">
      <alignment horizontal="left"/>
    </xf>
    <xf numFmtId="49" fontId="29" fillId="3" borderId="0" xfId="0" applyNumberFormat="1" applyFont="1" applyFill="1" applyBorder="1" applyAlignment="1"/>
    <xf numFmtId="0" fontId="1" fillId="3" borderId="0" xfId="0" applyFont="1" applyFill="1" applyBorder="1"/>
    <xf numFmtId="49" fontId="30" fillId="0" borderId="31" xfId="0" applyNumberFormat="1" applyFont="1" applyFill="1" applyBorder="1" applyAlignment="1"/>
    <xf numFmtId="0" fontId="10" fillId="3" borderId="0" xfId="0" applyFont="1" applyFill="1" applyBorder="1" applyAlignment="1">
      <alignment horizontal="left"/>
    </xf>
    <xf numFmtId="0" fontId="16" fillId="7" borderId="0" xfId="0" applyFont="1" applyFill="1" applyBorder="1" applyAlignment="1"/>
    <xf numFmtId="49" fontId="10" fillId="7" borderId="0" xfId="0" applyNumberFormat="1" applyFont="1" applyFill="1" applyBorder="1" applyAlignment="1">
      <alignment vertical="center"/>
    </xf>
    <xf numFmtId="49" fontId="21" fillId="7" borderId="0" xfId="0" applyNumberFormat="1" applyFont="1" applyFill="1" applyBorder="1" applyAlignment="1">
      <alignment vertical="center"/>
    </xf>
    <xf numFmtId="0" fontId="21" fillId="7" borderId="0" xfId="0" applyFont="1" applyFill="1" applyBorder="1"/>
    <xf numFmtId="49" fontId="21" fillId="7" borderId="32" xfId="0" applyNumberFormat="1" applyFont="1" applyFill="1" applyBorder="1" applyAlignment="1">
      <alignment vertical="center"/>
    </xf>
    <xf numFmtId="0" fontId="21" fillId="7" borderId="0" xfId="0" applyFont="1" applyFill="1" applyBorder="1" applyAlignment="1">
      <alignment horizontal="left"/>
    </xf>
    <xf numFmtId="0" fontId="21" fillId="7" borderId="0" xfId="0" applyFont="1" applyFill="1" applyBorder="1" applyAlignment="1"/>
    <xf numFmtId="0" fontId="21" fillId="7" borderId="57" xfId="0" applyFont="1" applyFill="1" applyBorder="1" applyAlignment="1"/>
    <xf numFmtId="0" fontId="21" fillId="7" borderId="32" xfId="0" applyFont="1" applyFill="1" applyBorder="1" applyAlignment="1"/>
    <xf numFmtId="168" fontId="33" fillId="0" borderId="36" xfId="0" applyNumberFormat="1" applyFont="1" applyFill="1" applyBorder="1"/>
    <xf numFmtId="168" fontId="11" fillId="0" borderId="36" xfId="0" applyNumberFormat="1" applyFont="1" applyFill="1" applyBorder="1"/>
    <xf numFmtId="0" fontId="17" fillId="3" borderId="0" xfId="0" applyFont="1" applyFill="1" applyBorder="1" applyAlignment="1">
      <alignment horizontal="left"/>
    </xf>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5"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1" fillId="3" borderId="35" xfId="0" applyFont="1" applyFill="1" applyBorder="1" applyAlignment="1"/>
    <xf numFmtId="0" fontId="21" fillId="2" borderId="35" xfId="0" applyFont="1" applyBorder="1" applyAlignment="1"/>
    <xf numFmtId="49" fontId="31" fillId="3" borderId="34" xfId="0" applyNumberFormat="1" applyFont="1" applyFill="1" applyBorder="1" applyAlignment="1"/>
    <xf numFmtId="3" fontId="2" fillId="3" borderId="34" xfId="0" applyNumberFormat="1" applyFont="1" applyFill="1" applyBorder="1" applyAlignment="1"/>
    <xf numFmtId="0" fontId="4" fillId="2" borderId="34" xfId="0" applyFont="1" applyBorder="1" applyAlignment="1"/>
    <xf numFmtId="49" fontId="28" fillId="3" borderId="40" xfId="0" applyNumberFormat="1" applyFont="1" applyFill="1" applyBorder="1" applyAlignment="1"/>
    <xf numFmtId="49" fontId="28" fillId="3" borderId="41" xfId="0" applyNumberFormat="1" applyFont="1" applyFill="1" applyBorder="1" applyAlignment="1"/>
    <xf numFmtId="0" fontId="17" fillId="3" borderId="36" xfId="0" applyFont="1" applyFill="1" applyBorder="1" applyAlignment="1">
      <alignment horizontal="center" vertical="center"/>
    </xf>
    <xf numFmtId="168" fontId="33" fillId="0" borderId="50" xfId="0" applyNumberFormat="1" applyFont="1" applyFill="1" applyBorder="1" applyAlignment="1">
      <alignment horizontal="center" vertical="center"/>
    </xf>
    <xf numFmtId="168" fontId="33"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49" fontId="32" fillId="7" borderId="0" xfId="0" applyNumberFormat="1" applyFont="1" applyFill="1" applyBorder="1" applyAlignment="1">
      <alignment horizontal="left"/>
    </xf>
    <xf numFmtId="0" fontId="25" fillId="8" borderId="0" xfId="0" applyFont="1" applyFill="1" applyBorder="1" applyAlignment="1">
      <alignment horizontal="left"/>
    </xf>
    <xf numFmtId="0" fontId="2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6" fillId="3" borderId="34" xfId="0" applyNumberFormat="1" applyFont="1" applyFill="1" applyBorder="1" applyAlignment="1">
      <alignment horizontal="center"/>
    </xf>
    <xf numFmtId="14" fontId="2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17" fillId="6" borderId="0" xfId="0" applyFont="1" applyFill="1" applyBorder="1" applyAlignment="1">
      <alignment horizontal="center"/>
    </xf>
    <xf numFmtId="0" fontId="24" fillId="3" borderId="0" xfId="5" applyFill="1" applyBorder="1" applyAlignment="1" applyProtection="1">
      <alignment horizontal="center"/>
    </xf>
    <xf numFmtId="0" fontId="0" fillId="3" borderId="0" xfId="0" applyFill="1" applyBorder="1" applyAlignment="1">
      <alignment horizontal="center"/>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34" fillId="7" borderId="31" xfId="0" applyNumberFormat="1" applyFont="1" applyFill="1" applyBorder="1" applyAlignment="1">
      <alignment horizontal="left" vertical="top"/>
    </xf>
    <xf numFmtId="49" fontId="34" fillId="7" borderId="0" xfId="0" applyNumberFormat="1" applyFont="1" applyFill="1" applyBorder="1" applyAlignment="1">
      <alignment horizontal="left" vertical="top"/>
    </xf>
    <xf numFmtId="49" fontId="34" fillId="7" borderId="32"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7" zoomScale="80" zoomScaleNormal="80" workbookViewId="0">
      <selection activeCell="G36" sqref="G36"/>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3"/>
      <c r="L9" s="174"/>
      <c r="M9" s="3"/>
      <c r="N9" s="8"/>
    </row>
    <row r="10" spans="1:14" x14ac:dyDescent="0.2">
      <c r="A10" s="3"/>
      <c r="B10" s="3"/>
      <c r="C10" s="3"/>
      <c r="D10" s="3"/>
      <c r="E10" s="3"/>
      <c r="F10" s="3"/>
      <c r="G10" s="3"/>
      <c r="H10" s="3"/>
      <c r="I10" s="3"/>
      <c r="J10" s="3"/>
      <c r="K10" s="93"/>
      <c r="L10" s="93"/>
      <c r="M10" s="3"/>
      <c r="N10" s="8"/>
    </row>
    <row r="11" spans="1:14" x14ac:dyDescent="0.2">
      <c r="A11" s="3"/>
      <c r="B11" s="3"/>
      <c r="C11" s="3"/>
      <c r="D11" s="3"/>
      <c r="E11" s="3"/>
      <c r="F11" s="3"/>
      <c r="G11" s="3"/>
      <c r="H11" s="3"/>
      <c r="I11" s="3"/>
      <c r="J11" s="3"/>
      <c r="K11" s="102"/>
      <c r="L11" s="103"/>
      <c r="M11" s="3"/>
      <c r="N11" s="8"/>
    </row>
    <row r="12" spans="1:14" x14ac:dyDescent="0.2">
      <c r="A12" s="3"/>
      <c r="B12" s="3"/>
      <c r="C12" s="3"/>
      <c r="D12" s="3"/>
      <c r="E12" s="3"/>
      <c r="F12" s="3"/>
      <c r="G12" s="3"/>
      <c r="H12" s="3"/>
      <c r="I12" s="3"/>
      <c r="J12" s="3"/>
      <c r="K12" s="102"/>
      <c r="L12" s="103"/>
      <c r="M12" s="3"/>
      <c r="N12" s="8"/>
    </row>
    <row r="13" spans="1:14" x14ac:dyDescent="0.2">
      <c r="A13" s="3"/>
      <c r="B13" s="3"/>
      <c r="C13" s="3"/>
      <c r="D13" s="3"/>
      <c r="E13" s="3"/>
      <c r="F13" s="3"/>
      <c r="G13" s="3"/>
      <c r="H13" s="3"/>
      <c r="I13" s="3"/>
      <c r="J13" s="3"/>
      <c r="K13" s="180" t="s">
        <v>54</v>
      </c>
      <c r="L13" s="181"/>
      <c r="M13" s="3"/>
      <c r="N13" s="8"/>
    </row>
    <row r="14" spans="1:14" x14ac:dyDescent="0.2">
      <c r="A14" s="3"/>
      <c r="B14" s="3"/>
      <c r="C14" s="3"/>
      <c r="D14" s="3"/>
      <c r="E14" s="3"/>
      <c r="F14" s="155"/>
      <c r="G14" s="155"/>
      <c r="H14" s="155"/>
      <c r="I14" s="155"/>
      <c r="J14" s="155"/>
      <c r="K14" s="3"/>
      <c r="L14" s="3"/>
      <c r="M14" s="3"/>
      <c r="N14" s="8"/>
    </row>
    <row r="15" spans="1:14" ht="20.100000000000001" customHeight="1" x14ac:dyDescent="0.2">
      <c r="A15" s="3"/>
      <c r="B15" s="3"/>
      <c r="C15" s="3"/>
      <c r="D15" s="3"/>
      <c r="E15" s="3"/>
      <c r="F15" s="155"/>
      <c r="G15" s="155"/>
      <c r="H15" s="155"/>
      <c r="I15" s="155"/>
      <c r="J15" s="155"/>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1"/>
      <c r="G17" s="3"/>
      <c r="H17" s="93"/>
      <c r="I17" s="3"/>
      <c r="J17" s="3"/>
      <c r="K17" s="182" t="s">
        <v>64</v>
      </c>
      <c r="L17" s="183"/>
      <c r="M17" s="3"/>
      <c r="N17" s="8"/>
    </row>
    <row r="18" spans="1:14" ht="19.5" thickTop="1" x14ac:dyDescent="0.3">
      <c r="A18" s="3"/>
      <c r="B18" s="56"/>
      <c r="C18" s="56"/>
      <c r="D18" s="56"/>
      <c r="E18" s="56"/>
      <c r="F18" s="56"/>
      <c r="G18" s="56"/>
      <c r="H18" s="57"/>
      <c r="I18" s="57"/>
      <c r="J18" s="57"/>
      <c r="K18" s="184"/>
      <c r="L18" s="185"/>
      <c r="M18" s="19"/>
      <c r="N18" s="8"/>
    </row>
    <row r="19" spans="1:14" ht="13.5" thickBot="1" x14ac:dyDescent="0.25">
      <c r="A19" s="3"/>
      <c r="B19" s="3"/>
      <c r="C19" s="3"/>
      <c r="D19" s="3"/>
      <c r="E19" s="3"/>
      <c r="F19" s="3"/>
      <c r="G19" s="3"/>
      <c r="H19" s="3"/>
      <c r="I19" s="3"/>
      <c r="J19" s="3"/>
      <c r="K19" s="186"/>
      <c r="L19" s="187"/>
      <c r="M19" s="3"/>
      <c r="N19" s="8"/>
    </row>
    <row r="20" spans="1:14" x14ac:dyDescent="0.2">
      <c r="A20" s="3"/>
      <c r="B20" s="3"/>
      <c r="C20" s="3"/>
      <c r="D20" s="3"/>
      <c r="E20" s="3"/>
      <c r="F20" s="3"/>
      <c r="G20" s="3"/>
      <c r="H20" s="3"/>
      <c r="I20" s="3"/>
      <c r="J20" s="3"/>
      <c r="K20" s="3"/>
      <c r="L20" s="3"/>
      <c r="M20" s="3"/>
      <c r="N20" s="8"/>
    </row>
    <row r="21" spans="1:14" ht="20.25" x14ac:dyDescent="0.3">
      <c r="A21" s="3"/>
      <c r="B21" s="79" t="s">
        <v>3</v>
      </c>
      <c r="C21" s="160" t="s">
        <v>74</v>
      </c>
      <c r="D21" s="160"/>
      <c r="E21" s="160"/>
      <c r="F21" s="160"/>
      <c r="G21" s="160"/>
      <c r="H21" s="160"/>
      <c r="I21" s="79"/>
      <c r="J21" s="81" t="s">
        <v>18</v>
      </c>
      <c r="K21" s="175">
        <v>45380</v>
      </c>
      <c r="L21" s="176"/>
      <c r="M21" s="53"/>
      <c r="N21" s="8"/>
    </row>
    <row r="22" spans="1:14" ht="14.25" x14ac:dyDescent="0.2">
      <c r="A22" s="3"/>
      <c r="B22" s="79" t="s">
        <v>5</v>
      </c>
      <c r="C22" s="158"/>
      <c r="D22" s="159"/>
      <c r="E22" s="159"/>
      <c r="F22" s="159"/>
      <c r="G22" s="159"/>
      <c r="H22" s="159"/>
      <c r="I22" s="79"/>
      <c r="J22" s="110" t="s">
        <v>59</v>
      </c>
      <c r="K22" s="188"/>
      <c r="L22" s="189"/>
      <c r="M22" s="54"/>
      <c r="N22" s="8"/>
    </row>
    <row r="23" spans="1:14" x14ac:dyDescent="0.2">
      <c r="A23" s="3"/>
      <c r="B23" s="79" t="s">
        <v>7</v>
      </c>
      <c r="C23" s="86"/>
      <c r="D23" s="87" t="s">
        <v>8</v>
      </c>
      <c r="E23" s="156"/>
      <c r="F23" s="157"/>
      <c r="G23" s="88" t="s">
        <v>9</v>
      </c>
      <c r="H23" s="85" t="s">
        <v>51</v>
      </c>
      <c r="I23" s="79"/>
      <c r="J23" s="81" t="s">
        <v>19</v>
      </c>
      <c r="K23" s="177"/>
      <c r="L23" s="178"/>
      <c r="M23" s="3"/>
      <c r="N23" s="8"/>
    </row>
    <row r="24" spans="1:14" ht="15.75" x14ac:dyDescent="0.25">
      <c r="A24" s="3"/>
      <c r="B24" s="79" t="s">
        <v>20</v>
      </c>
      <c r="C24" s="161"/>
      <c r="D24" s="162"/>
      <c r="E24" s="162"/>
      <c r="F24" s="162"/>
      <c r="G24" s="162"/>
      <c r="H24" s="162"/>
      <c r="I24" s="79"/>
      <c r="J24" s="81" t="s">
        <v>47</v>
      </c>
      <c r="K24" s="179"/>
      <c r="L24" s="179"/>
      <c r="M24" s="3"/>
      <c r="N24" s="8"/>
    </row>
    <row r="25" spans="1:14" x14ac:dyDescent="0.2">
      <c r="A25" s="3"/>
      <c r="B25" s="79"/>
      <c r="C25" s="79"/>
      <c r="D25" s="79"/>
      <c r="E25" s="79"/>
      <c r="F25" s="79"/>
      <c r="G25" s="79"/>
      <c r="H25" s="79"/>
      <c r="I25" s="79"/>
      <c r="J25" s="79"/>
      <c r="K25" s="79"/>
      <c r="L25" s="79"/>
      <c r="M25" s="3"/>
      <c r="N25" s="8"/>
    </row>
    <row r="26" spans="1:14" x14ac:dyDescent="0.2">
      <c r="A26" s="3"/>
      <c r="B26" s="65" t="s">
        <v>34</v>
      </c>
      <c r="C26" s="51" t="s">
        <v>21</v>
      </c>
      <c r="D26" s="168" t="s">
        <v>22</v>
      </c>
      <c r="E26" s="169"/>
      <c r="F26" s="169"/>
      <c r="G26" s="169"/>
      <c r="H26" s="169"/>
      <c r="I26" s="169"/>
      <c r="J26" s="170"/>
      <c r="K26" s="52" t="s">
        <v>53</v>
      </c>
      <c r="L26" s="104" t="s">
        <v>23</v>
      </c>
      <c r="M26" s="55"/>
      <c r="N26" s="8"/>
    </row>
    <row r="27" spans="1:14" ht="18.75" x14ac:dyDescent="0.3">
      <c r="A27" s="3"/>
      <c r="B27" s="90"/>
      <c r="C27" s="73"/>
      <c r="D27" s="163"/>
      <c r="E27" s="164"/>
      <c r="F27" s="164"/>
      <c r="G27" s="164"/>
      <c r="H27" s="164"/>
      <c r="I27" s="164"/>
      <c r="J27" s="115"/>
      <c r="K27" s="114"/>
      <c r="L27" s="91" t="str">
        <f t="shared" ref="L27" si="0">IF(C27&lt;&gt;"",C27*K27,"")</f>
        <v/>
      </c>
      <c r="M27" s="55"/>
      <c r="N27" s="8"/>
    </row>
    <row r="28" spans="1:14" ht="26.25" customHeight="1" x14ac:dyDescent="0.25">
      <c r="A28" s="3"/>
      <c r="B28" s="90"/>
      <c r="C28" s="73"/>
      <c r="D28" s="129"/>
      <c r="E28" s="127"/>
      <c r="F28" s="127"/>
      <c r="G28" s="127"/>
      <c r="H28" s="127"/>
      <c r="I28" s="127"/>
      <c r="J28" s="116"/>
      <c r="K28" s="114"/>
      <c r="L28" s="114"/>
      <c r="M28" s="55"/>
      <c r="N28" s="8"/>
    </row>
    <row r="29" spans="1:14" ht="26.25" customHeight="1" x14ac:dyDescent="0.2">
      <c r="A29" s="3"/>
      <c r="B29" s="90"/>
      <c r="C29" s="73">
        <v>1</v>
      </c>
      <c r="D29" s="190" t="s">
        <v>65</v>
      </c>
      <c r="E29" s="191"/>
      <c r="F29" s="191"/>
      <c r="G29" s="191"/>
      <c r="H29" s="191"/>
      <c r="I29" s="191"/>
      <c r="J29" s="192"/>
      <c r="K29" s="91">
        <v>8518</v>
      </c>
      <c r="L29" s="114">
        <f t="shared" ref="L29" si="1">+K29*C29</f>
        <v>8518</v>
      </c>
      <c r="M29" s="55"/>
      <c r="N29" s="8"/>
    </row>
    <row r="30" spans="1:14" ht="15" x14ac:dyDescent="0.2">
      <c r="A30" s="3"/>
      <c r="B30" s="100"/>
      <c r="C30" s="73"/>
      <c r="D30" s="132" t="s">
        <v>66</v>
      </c>
      <c r="E30" s="133"/>
      <c r="F30" s="133"/>
      <c r="G30" s="133"/>
      <c r="H30" s="133"/>
      <c r="I30" s="133"/>
      <c r="J30" s="135"/>
      <c r="K30" s="91"/>
      <c r="L30" s="114"/>
      <c r="M30" s="55"/>
      <c r="N30" s="8"/>
    </row>
    <row r="31" spans="1:14" ht="15" x14ac:dyDescent="0.2">
      <c r="A31" s="3"/>
      <c r="B31" s="100"/>
      <c r="C31" s="73"/>
      <c r="D31" s="134" t="s">
        <v>67</v>
      </c>
      <c r="E31" s="136"/>
      <c r="F31" s="136"/>
      <c r="G31" s="136"/>
      <c r="H31" s="136"/>
      <c r="I31" s="136"/>
      <c r="J31" s="137"/>
      <c r="K31" s="91"/>
      <c r="L31" s="114"/>
      <c r="M31" s="55"/>
      <c r="N31" s="8"/>
    </row>
    <row r="32" spans="1:14" ht="18" customHeight="1" x14ac:dyDescent="0.2">
      <c r="A32" s="3"/>
      <c r="B32" s="100"/>
      <c r="C32" s="73"/>
      <c r="D32" s="134" t="s">
        <v>68</v>
      </c>
      <c r="E32" s="136"/>
      <c r="F32" s="136"/>
      <c r="G32" s="136"/>
      <c r="H32" s="136"/>
      <c r="I32" s="136"/>
      <c r="J32" s="137"/>
      <c r="K32" s="91"/>
      <c r="L32" s="114"/>
      <c r="M32" s="55"/>
      <c r="N32" s="8"/>
    </row>
    <row r="33" spans="1:14" ht="18" customHeight="1" x14ac:dyDescent="0.2">
      <c r="A33" s="3"/>
      <c r="B33" s="100"/>
      <c r="C33" s="73"/>
      <c r="D33" s="134" t="s">
        <v>69</v>
      </c>
      <c r="E33" s="136"/>
      <c r="F33" s="136"/>
      <c r="G33" s="136"/>
      <c r="H33" s="136"/>
      <c r="I33" s="136"/>
      <c r="J33" s="138"/>
      <c r="K33" s="91"/>
      <c r="L33" s="114"/>
      <c r="M33" s="55"/>
      <c r="N33" s="8"/>
    </row>
    <row r="34" spans="1:14" ht="15" x14ac:dyDescent="0.2">
      <c r="A34" s="3"/>
      <c r="B34" s="100"/>
      <c r="C34" s="73"/>
      <c r="D34" s="134" t="s">
        <v>70</v>
      </c>
      <c r="E34" s="136"/>
      <c r="F34" s="136"/>
      <c r="G34" s="136"/>
      <c r="H34" s="136"/>
      <c r="I34" s="136"/>
      <c r="J34" s="137"/>
      <c r="K34" s="91"/>
      <c r="L34" s="91"/>
      <c r="M34" s="55"/>
      <c r="N34" s="8"/>
    </row>
    <row r="35" spans="1:14" ht="15" x14ac:dyDescent="0.2">
      <c r="A35" s="3"/>
      <c r="B35" s="100"/>
      <c r="C35" s="73"/>
      <c r="D35" s="134" t="s">
        <v>71</v>
      </c>
      <c r="E35" s="136"/>
      <c r="F35" s="136"/>
      <c r="G35" s="136"/>
      <c r="H35" s="136"/>
      <c r="I35" s="136"/>
      <c r="J35" s="137"/>
      <c r="K35" s="91"/>
      <c r="L35" s="91"/>
      <c r="M35" s="55"/>
      <c r="N35" s="8"/>
    </row>
    <row r="36" spans="1:14" ht="15" x14ac:dyDescent="0.2">
      <c r="A36" s="3"/>
      <c r="B36" s="100"/>
      <c r="C36" s="73"/>
      <c r="D36" s="134" t="s">
        <v>72</v>
      </c>
      <c r="E36" s="136"/>
      <c r="F36" s="136"/>
      <c r="G36" s="136"/>
      <c r="H36" s="136"/>
      <c r="I36" s="136"/>
      <c r="J36" s="139"/>
      <c r="K36" s="91"/>
      <c r="L36" s="91"/>
      <c r="M36" s="55"/>
      <c r="N36" s="8"/>
    </row>
    <row r="37" spans="1:14" ht="15" x14ac:dyDescent="0.2">
      <c r="A37" s="3"/>
      <c r="B37" s="100"/>
      <c r="C37" s="73"/>
      <c r="D37" s="134" t="s">
        <v>73</v>
      </c>
      <c r="E37" s="136"/>
      <c r="F37" s="136"/>
      <c r="G37" s="136"/>
      <c r="H37" s="136"/>
      <c r="I37" s="136"/>
      <c r="J37" s="137"/>
      <c r="K37" s="91"/>
      <c r="L37" s="91"/>
      <c r="M37" s="55"/>
      <c r="N37" s="8"/>
    </row>
    <row r="38" spans="1:14" ht="15.75" x14ac:dyDescent="0.25">
      <c r="A38" s="3"/>
      <c r="B38" s="100"/>
      <c r="C38" s="73"/>
      <c r="D38" s="171"/>
      <c r="E38" s="172"/>
      <c r="F38" s="172"/>
      <c r="G38" s="172"/>
      <c r="H38" s="172"/>
      <c r="I38" s="172"/>
      <c r="J38" s="131"/>
      <c r="K38" s="91"/>
      <c r="L38" s="114"/>
      <c r="M38" s="55"/>
      <c r="N38" s="8"/>
    </row>
    <row r="39" spans="1:14" ht="15" x14ac:dyDescent="0.2">
      <c r="A39" s="3"/>
      <c r="B39" s="100"/>
      <c r="C39" s="73"/>
      <c r="D39" s="132"/>
      <c r="E39" s="133"/>
      <c r="F39" s="133"/>
      <c r="G39" s="133"/>
      <c r="H39" s="133"/>
      <c r="I39" s="133"/>
      <c r="J39" s="135"/>
      <c r="K39" s="91"/>
      <c r="L39" s="114"/>
      <c r="M39" s="55"/>
      <c r="N39" s="8"/>
    </row>
    <row r="40" spans="1:14" ht="15" x14ac:dyDescent="0.2">
      <c r="A40" s="3"/>
      <c r="B40" s="100"/>
      <c r="C40" s="73"/>
      <c r="D40" s="134"/>
      <c r="E40" s="136"/>
      <c r="F40" s="136"/>
      <c r="G40" s="136"/>
      <c r="H40" s="136"/>
      <c r="I40" s="136"/>
      <c r="J40" s="137"/>
      <c r="K40" s="91"/>
      <c r="L40" s="114"/>
      <c r="M40" s="55"/>
      <c r="N40" s="8"/>
    </row>
    <row r="41" spans="1:14" ht="15" x14ac:dyDescent="0.2">
      <c r="A41" s="3"/>
      <c r="B41" s="121"/>
      <c r="C41" s="122"/>
      <c r="D41" s="123"/>
      <c r="E41" s="124"/>
      <c r="F41" s="123"/>
      <c r="G41" s="124"/>
      <c r="H41" s="123"/>
      <c r="I41" s="123"/>
      <c r="J41" s="125"/>
      <c r="K41" s="91"/>
      <c r="L41" s="91"/>
      <c r="M41" s="55"/>
      <c r="N41" s="8"/>
    </row>
    <row r="42" spans="1:14" ht="15.75" x14ac:dyDescent="0.25">
      <c r="A42" s="3"/>
      <c r="B42" s="3"/>
      <c r="C42" s="79"/>
      <c r="D42" s="79"/>
      <c r="E42" s="79"/>
      <c r="F42" s="79"/>
      <c r="G42" s="79"/>
      <c r="H42" s="74"/>
      <c r="I42" s="74"/>
      <c r="J42" s="74"/>
      <c r="K42" s="96" t="s">
        <v>24</v>
      </c>
      <c r="L42" s="140">
        <f>SUM(L28:L40)</f>
        <v>8518</v>
      </c>
      <c r="M42" s="55"/>
      <c r="N42" s="8"/>
    </row>
    <row r="43" spans="1:14" ht="15" x14ac:dyDescent="0.2">
      <c r="A43" s="3"/>
      <c r="B43" s="3"/>
      <c r="C43" s="79"/>
      <c r="D43" s="79"/>
      <c r="E43" s="79"/>
      <c r="F43" s="79"/>
      <c r="G43" s="79"/>
      <c r="H43" s="74"/>
      <c r="I43" s="74"/>
      <c r="J43" s="74"/>
      <c r="K43" s="98" t="s">
        <v>46</v>
      </c>
      <c r="L43" s="141">
        <v>1</v>
      </c>
      <c r="M43" s="55"/>
      <c r="N43" s="8"/>
    </row>
    <row r="44" spans="1:14" ht="15.75" x14ac:dyDescent="0.25">
      <c r="A44" s="3"/>
      <c r="B44" s="3"/>
      <c r="C44" s="80"/>
      <c r="D44" s="142" t="s">
        <v>25</v>
      </c>
      <c r="E44" s="79"/>
      <c r="F44" s="79"/>
      <c r="G44" s="79"/>
      <c r="H44" s="76"/>
      <c r="I44" s="76"/>
      <c r="J44" s="75"/>
      <c r="K44" s="97">
        <v>0.19</v>
      </c>
      <c r="L44" s="141">
        <f>L42*0.19</f>
        <v>1618.42</v>
      </c>
      <c r="M44" s="55"/>
      <c r="N44" s="8"/>
    </row>
    <row r="45" spans="1:14" ht="17.100000000000001" customHeight="1" x14ac:dyDescent="0.25">
      <c r="A45" s="3"/>
      <c r="B45" s="3"/>
      <c r="C45" s="82"/>
      <c r="D45" s="126" t="s">
        <v>61</v>
      </c>
      <c r="E45" s="84"/>
      <c r="F45" s="82"/>
      <c r="G45" s="79"/>
      <c r="H45" s="77"/>
      <c r="I45" s="74"/>
      <c r="J45" s="74"/>
      <c r="K45" s="165" t="s">
        <v>27</v>
      </c>
      <c r="L45" s="166">
        <f>+L42+L43+L44</f>
        <v>10137.42</v>
      </c>
      <c r="M45" s="55"/>
      <c r="N45" s="8"/>
    </row>
    <row r="46" spans="1:14" ht="17.100000000000001" customHeight="1" x14ac:dyDescent="0.2">
      <c r="A46" s="3"/>
      <c r="B46" s="3"/>
      <c r="C46" s="82">
        <v>1</v>
      </c>
      <c r="D46" s="99" t="s">
        <v>56</v>
      </c>
      <c r="E46" s="79"/>
      <c r="F46" s="83"/>
      <c r="G46" s="79"/>
      <c r="H46" s="78" t="s">
        <v>26</v>
      </c>
      <c r="I46" s="74"/>
      <c r="J46" s="74"/>
      <c r="K46" s="165"/>
      <c r="L46" s="167"/>
      <c r="M46" s="55"/>
      <c r="N46" s="8"/>
    </row>
    <row r="47" spans="1:14" ht="15" x14ac:dyDescent="0.2">
      <c r="A47" s="3"/>
      <c r="B47" s="3"/>
      <c r="C47" s="82"/>
      <c r="D47" s="99"/>
      <c r="E47" s="79"/>
      <c r="F47" s="83"/>
      <c r="G47" s="79"/>
      <c r="H47" s="78"/>
      <c r="I47" s="74"/>
      <c r="J47" s="74"/>
      <c r="K47" s="93"/>
      <c r="L47" s="94"/>
      <c r="M47" s="55"/>
      <c r="N47" s="8"/>
    </row>
    <row r="48" spans="1:14" ht="15" customHeight="1" x14ac:dyDescent="0.2">
      <c r="A48" s="3"/>
      <c r="B48" s="130"/>
      <c r="C48" s="111"/>
      <c r="D48" s="111"/>
      <c r="E48" s="111"/>
      <c r="F48" s="111"/>
      <c r="G48" s="111"/>
      <c r="H48" s="111"/>
      <c r="I48" s="111"/>
      <c r="J48" s="111"/>
      <c r="K48" s="112"/>
      <c r="L48" s="113"/>
      <c r="M48" s="55"/>
      <c r="N48" s="8"/>
    </row>
    <row r="49" spans="1:14" ht="15" customHeight="1" x14ac:dyDescent="0.2">
      <c r="A49" s="120"/>
      <c r="B49" s="130"/>
      <c r="C49" s="110"/>
      <c r="D49" s="110"/>
      <c r="E49" s="110"/>
      <c r="F49" s="110"/>
      <c r="G49" s="110"/>
      <c r="H49" s="110"/>
      <c r="I49" s="110"/>
      <c r="J49" s="110"/>
      <c r="K49" s="92" t="s">
        <v>60</v>
      </c>
      <c r="L49" s="95"/>
      <c r="M49" s="55"/>
      <c r="N49" s="8"/>
    </row>
    <row r="50" spans="1:14" ht="15" customHeight="1" x14ac:dyDescent="0.2">
      <c r="A50" s="3"/>
      <c r="B50" s="110"/>
      <c r="C50" s="110"/>
      <c r="D50" s="110"/>
      <c r="E50" s="110"/>
      <c r="F50" s="110"/>
      <c r="G50" s="110"/>
      <c r="H50" s="110"/>
      <c r="I50" s="110"/>
      <c r="J50" s="110"/>
      <c r="K50" s="95"/>
      <c r="L50" s="95"/>
      <c r="M50" s="55"/>
      <c r="N50" s="8"/>
    </row>
    <row r="51" spans="1:14" x14ac:dyDescent="0.2">
      <c r="A51" s="128" t="s">
        <v>62</v>
      </c>
      <c r="B51" s="110"/>
      <c r="C51" s="110"/>
      <c r="D51" s="110"/>
      <c r="E51" s="110"/>
      <c r="F51" s="110"/>
      <c r="G51" s="110"/>
      <c r="H51" s="110"/>
      <c r="I51" s="110"/>
      <c r="J51" s="110"/>
      <c r="K51" s="95"/>
      <c r="L51" s="95"/>
      <c r="M51" s="55"/>
      <c r="N51" s="8"/>
    </row>
    <row r="52" spans="1:14" ht="15" x14ac:dyDescent="0.2">
      <c r="A52" s="128" t="s">
        <v>63</v>
      </c>
      <c r="B52" s="119"/>
      <c r="C52" s="119"/>
      <c r="D52" s="119"/>
      <c r="E52" s="119"/>
      <c r="F52" s="119"/>
      <c r="G52" s="119"/>
      <c r="H52" s="119"/>
      <c r="I52" s="119"/>
      <c r="J52" s="119"/>
      <c r="K52" s="93"/>
      <c r="L52" s="94"/>
      <c r="M52" s="55"/>
      <c r="N52" s="8"/>
    </row>
    <row r="53" spans="1:14" x14ac:dyDescent="0.2">
      <c r="A53" s="3"/>
      <c r="B53" s="3"/>
      <c r="C53" s="153" t="s">
        <v>58</v>
      </c>
      <c r="D53" s="154"/>
      <c r="E53" s="154"/>
      <c r="F53" s="154"/>
      <c r="G53" s="154"/>
      <c r="H53" s="154"/>
      <c r="I53" s="154"/>
      <c r="J53" s="154"/>
      <c r="K53" s="154"/>
      <c r="L53" s="154"/>
      <c r="M53" s="55"/>
      <c r="N53" s="8"/>
    </row>
    <row r="54" spans="1:14" ht="15" customHeight="1" x14ac:dyDescent="0.2">
      <c r="A54" s="3"/>
      <c r="B54" s="3"/>
      <c r="C54" s="154"/>
      <c r="D54" s="154"/>
      <c r="E54" s="154"/>
      <c r="F54" s="154"/>
      <c r="G54" s="154"/>
      <c r="H54" s="154"/>
      <c r="I54" s="154"/>
      <c r="J54" s="154"/>
      <c r="K54" s="154"/>
      <c r="L54" s="154"/>
      <c r="M54" s="55"/>
      <c r="N54" s="8"/>
    </row>
    <row r="55" spans="1:14" ht="15" customHeight="1" x14ac:dyDescent="0.2">
      <c r="A55" s="111"/>
      <c r="B55" s="3"/>
      <c r="C55" s="107"/>
      <c r="D55" s="107"/>
      <c r="E55" s="107"/>
      <c r="F55" s="107"/>
      <c r="G55" s="107"/>
      <c r="H55" s="107"/>
      <c r="I55" s="107"/>
      <c r="J55" s="107"/>
      <c r="K55" s="107"/>
      <c r="L55" s="92"/>
      <c r="M55" s="55"/>
      <c r="N55" s="8"/>
    </row>
    <row r="56" spans="1:14" ht="12.75" customHeight="1" x14ac:dyDescent="0.2">
      <c r="A56" s="110"/>
      <c r="B56" s="3"/>
      <c r="C56" s="18"/>
      <c r="D56" s="150" t="s">
        <v>55</v>
      </c>
      <c r="E56" s="150"/>
      <c r="F56" s="150"/>
      <c r="G56" s="150"/>
      <c r="H56" s="150"/>
      <c r="I56" s="150"/>
      <c r="J56" s="150"/>
      <c r="K56" s="92"/>
      <c r="L56" s="92"/>
      <c r="M56" s="55"/>
      <c r="N56" s="8"/>
    </row>
    <row r="57" spans="1:14" ht="3" customHeight="1" x14ac:dyDescent="0.2">
      <c r="A57" s="110"/>
      <c r="B57" s="3"/>
      <c r="C57" s="152" t="s">
        <v>57</v>
      </c>
      <c r="D57" s="152"/>
      <c r="E57" s="152"/>
      <c r="F57" s="152"/>
      <c r="G57" s="152"/>
      <c r="H57" s="152"/>
      <c r="I57" s="152"/>
      <c r="J57" s="152"/>
      <c r="K57" s="152"/>
      <c r="L57" s="92"/>
      <c r="M57" s="55"/>
      <c r="N57" s="8"/>
    </row>
    <row r="58" spans="1:14" ht="15.75" x14ac:dyDescent="0.2">
      <c r="A58" s="110"/>
      <c r="B58" s="3"/>
      <c r="C58" s="152"/>
      <c r="D58" s="152"/>
      <c r="E58" s="152"/>
      <c r="F58" s="152"/>
      <c r="G58" s="152"/>
      <c r="H58" s="152"/>
      <c r="I58" s="152"/>
      <c r="J58" s="152"/>
      <c r="K58" s="152"/>
      <c r="L58" s="92"/>
      <c r="M58" s="55"/>
      <c r="N58" s="8"/>
    </row>
    <row r="59" spans="1:14" ht="15.75" customHeight="1" thickBot="1" x14ac:dyDescent="0.25">
      <c r="A59" s="119"/>
      <c r="B59" s="105"/>
      <c r="C59" s="106"/>
      <c r="D59" s="106"/>
      <c r="E59" s="106"/>
      <c r="F59" s="151"/>
      <c r="G59" s="151"/>
      <c r="H59" s="151"/>
      <c r="I59" s="151"/>
      <c r="J59" s="151"/>
      <c r="K59" s="106"/>
      <c r="L59" s="106"/>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09"/>
      <c r="C61" s="109"/>
      <c r="D61" s="109"/>
      <c r="E61" s="109"/>
      <c r="F61" s="109"/>
      <c r="G61" s="109"/>
      <c r="H61" s="109"/>
      <c r="I61" s="117"/>
      <c r="J61" s="117"/>
      <c r="K61" s="117"/>
      <c r="L61" s="117"/>
      <c r="M61" s="55"/>
      <c r="N61" s="8"/>
    </row>
    <row r="62" spans="1:14" ht="6" customHeight="1" x14ac:dyDescent="0.2">
      <c r="A62" s="3"/>
      <c r="B62" s="108"/>
      <c r="C62" s="108"/>
      <c r="D62" s="108"/>
      <c r="E62" s="108"/>
      <c r="F62" s="108"/>
      <c r="G62" s="108"/>
      <c r="H62" s="108"/>
      <c r="I62" s="118"/>
      <c r="J62" s="118"/>
      <c r="K62" s="118"/>
      <c r="L62" s="118"/>
      <c r="M62" s="55"/>
      <c r="N62" s="8"/>
    </row>
    <row r="63" spans="1:14" x14ac:dyDescent="0.2">
      <c r="A63" s="3"/>
      <c r="B63" s="93"/>
      <c r="C63" s="93"/>
      <c r="D63" s="93"/>
      <c r="E63" s="93"/>
      <c r="F63" s="93"/>
      <c r="G63" s="93"/>
      <c r="H63" s="93"/>
      <c r="I63" s="93"/>
      <c r="J63" s="93"/>
      <c r="K63" s="93"/>
      <c r="L63" s="93"/>
      <c r="M63" s="55"/>
      <c r="N63" s="8"/>
    </row>
    <row r="64" spans="1:14" x14ac:dyDescent="0.2">
      <c r="A64" s="3"/>
      <c r="B64" s="93"/>
      <c r="C64" s="93"/>
      <c r="D64" s="93"/>
      <c r="E64" s="93"/>
      <c r="F64" s="93"/>
      <c r="G64" s="93"/>
      <c r="H64" s="93"/>
      <c r="I64" s="93"/>
      <c r="J64" s="93"/>
      <c r="K64" s="93"/>
      <c r="L64" s="93"/>
      <c r="M64" s="55"/>
    </row>
    <row r="65" spans="1:13" x14ac:dyDescent="0.2">
      <c r="A65" s="3"/>
      <c r="B65" s="93"/>
      <c r="C65" s="93"/>
      <c r="D65" s="93"/>
      <c r="E65" s="93"/>
      <c r="F65" s="93"/>
      <c r="G65" s="93"/>
      <c r="H65" s="93"/>
      <c r="I65" s="93"/>
      <c r="J65" s="93"/>
      <c r="K65" s="93"/>
      <c r="L65" s="93"/>
      <c r="M65" s="55"/>
    </row>
    <row r="66" spans="1:13" ht="12.75" customHeight="1" x14ac:dyDescent="0.2">
      <c r="A66" s="3"/>
      <c r="B66" s="93"/>
      <c r="C66" s="93"/>
      <c r="D66" s="93"/>
      <c r="E66" s="93"/>
      <c r="F66" s="93"/>
      <c r="G66" s="93"/>
      <c r="H66" s="93"/>
      <c r="I66" s="93"/>
      <c r="J66" s="93"/>
      <c r="K66" s="93"/>
      <c r="L66" s="93"/>
      <c r="M66" s="55"/>
    </row>
    <row r="67" spans="1:13" x14ac:dyDescent="0.2">
      <c r="A67" s="3"/>
      <c r="B67" s="93"/>
      <c r="C67" s="93"/>
      <c r="D67" s="93"/>
      <c r="E67" s="93"/>
      <c r="F67" s="93"/>
      <c r="G67" s="93"/>
      <c r="H67" s="93"/>
      <c r="I67" s="93"/>
      <c r="J67" s="93"/>
      <c r="K67" s="93"/>
      <c r="L67" s="93"/>
      <c r="M67" s="55"/>
    </row>
    <row r="68" spans="1:13" x14ac:dyDescent="0.2">
      <c r="A68" s="3"/>
      <c r="B68" s="93"/>
      <c r="C68" s="93"/>
      <c r="D68" s="93"/>
      <c r="E68" s="93"/>
      <c r="F68" s="93"/>
      <c r="G68" s="93"/>
      <c r="H68" s="93"/>
      <c r="I68" s="93"/>
      <c r="J68" s="93"/>
      <c r="K68" s="93"/>
      <c r="L68" s="93"/>
      <c r="M68" s="55"/>
    </row>
    <row r="69" spans="1:13" x14ac:dyDescent="0.2">
      <c r="A69" s="3"/>
      <c r="B69" s="93"/>
      <c r="C69" s="93"/>
      <c r="D69" s="93"/>
      <c r="E69" s="93"/>
      <c r="F69" s="93"/>
      <c r="G69" s="93"/>
      <c r="H69" s="93"/>
      <c r="I69" s="93"/>
      <c r="J69" s="93"/>
      <c r="K69" s="93"/>
      <c r="L69" s="93"/>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2">
    <mergeCell ref="D29:J29"/>
    <mergeCell ref="K9:L9"/>
    <mergeCell ref="K21:L21"/>
    <mergeCell ref="K23:L23"/>
    <mergeCell ref="K24:L24"/>
    <mergeCell ref="K13:L13"/>
    <mergeCell ref="K17:L19"/>
    <mergeCell ref="K22:L22"/>
    <mergeCell ref="D56:J56"/>
    <mergeCell ref="F59:J59"/>
    <mergeCell ref="C57:K58"/>
    <mergeCell ref="C53:L54"/>
    <mergeCell ref="F14:J15"/>
    <mergeCell ref="E23:F23"/>
    <mergeCell ref="C22:H22"/>
    <mergeCell ref="C21:H21"/>
    <mergeCell ref="C24:H24"/>
    <mergeCell ref="D27:I27"/>
    <mergeCell ref="K45:K46"/>
    <mergeCell ref="L45:L46"/>
    <mergeCell ref="D26:J26"/>
    <mergeCell ref="D38:I3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40:J41 J31:J38 J27:J28">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L28:L33 L38:L40 K27:K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4:L37 L41">
      <formula1>0</formula1>
      <formula2>0</formula2>
    </dataValidation>
    <dataValidation type="whole" errorStyle="warning" allowBlank="1" showErrorMessage="1" errorTitle="Quantité" error="Tapez un nombre dans cette cellule." promptTitle="Quantité" sqref="C27:C41">
      <formula1>0</formula1>
      <formula2>1000000000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54"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45380</v>
      </c>
      <c r="D8" s="69" t="str">
        <f>Facture!$C$21</f>
        <v>BCDIS</v>
      </c>
      <c r="E8" s="66">
        <f>Facture!$C$22</f>
        <v>0</v>
      </c>
      <c r="F8" s="66">
        <f>Facture!$C$23</f>
        <v>0</v>
      </c>
      <c r="G8" s="69">
        <f>Facture!$E$23</f>
        <v>0</v>
      </c>
      <c r="H8" s="69" t="str">
        <f>Facture!$H$23</f>
        <v>TN</v>
      </c>
      <c r="I8" s="66">
        <f>Facture!$C$24</f>
        <v>0</v>
      </c>
      <c r="J8" s="70">
        <f>Facture!$L$45</f>
        <v>10137.42</v>
      </c>
      <c r="K8" s="66">
        <f>Facture!$K$23</f>
        <v>0</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2024-03-15T09:03:17Z</cp:lastPrinted>
  <dcterms:created xsi:type="dcterms:W3CDTF">1995-05-29T15:50:39Z</dcterms:created>
  <dcterms:modified xsi:type="dcterms:W3CDTF">2024-03-29T10:04:08Z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BCDIS</vt:lpwstr>
  </property>
  <property fmtid="{D5CDD505-2E9C-101B-9397-08002B2CF9AE}" pid="11" name="Montant de la facture" linkTarget="TOT">
    <vt:r8>10137.42</vt:r8>
  </property>
</Properties>
</file>