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Facture!$D$41</definedName>
    <definedName name="data6">Facture!$E$17</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Facture!$E$48</definedName>
    <definedName name="data67">Facture!$E$50</definedName>
    <definedName name="data68">Facture!$F$51</definedName>
    <definedName name="data69">Facture!$J$51</definedName>
    <definedName name="data7">Facture!$G$18</definedName>
    <definedName name="data70">Facture!$J$52</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Facture!$E$41:$J$41</definedName>
    <definedName name="qzqzqz26">Facture!$E$48:$H$48</definedName>
    <definedName name="qzqzqz27">Facture!$E$49:$H$49</definedName>
    <definedName name="qzqzqz28">Facture!$E$50:$H$50</definedName>
    <definedName name="qzqzqz29">Facture!$J$50:$M$52</definedName>
    <definedName name="qzqzqz3">Facture!$D$17:$I$17</definedName>
    <definedName name="qzqzqz30">Facture!$F$51:$H$51</definedName>
    <definedName name="qzqzqz31">Facture!$F$51:$G$51</definedName>
    <definedName name="qzqzqz32">Facture!$J$49:$M$51</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42" i="3" l="1"/>
  <c r="M34" i="3"/>
  <c r="M29" i="3"/>
  <c r="M24" i="3"/>
  <c r="M44" i="3" l="1"/>
  <c r="M45" i="3" s="1"/>
  <c r="L44"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<sst xmlns="http://schemas.openxmlformats.org/spreadsheetml/2006/main" count="91" uniqueCount="74">
  <si>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</si>
  <si>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</si>
  <si>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</si>
  <si>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</si>
  <si>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</si>
  <si>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</si>
  <si>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</si>
  <si>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</si>
  <si>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</si>
  <si>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</si>
  <si>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</si>
  <si>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</si>
  <si>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</si>
  <si>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</si>
  <si>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</si>
  <si>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</si>
  <si>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</si>
  <si>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</si>
  <si>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</si>
  <si>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</si>
  <si>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</si>
  <si>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</si>
  <si>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</si>
  <si>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</si>
  <si>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</si>
  <si>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</si>
  <si>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</si>
  <si>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</si>
  <si>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</si>
  <si>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</si>
  <si>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</si>
  <si>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</si>
  <si>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</si>
  <si>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</si>
  <si>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</si>
  <si>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</si>
  <si>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</si>
  <si>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</si>
  <si>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</si>
  <si>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</si>
  <si>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</si>
  <si>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</si>
  <si>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</si>
  <si>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</si>
  <si>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</si>
  <si>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</si>
  <si>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</si>
  <si>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</si>
  <si>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</si>
  <si>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</si>
  <si>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</si>
  <si>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</si>
  <si>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</si>
  <si>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</si>
  <si>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</si>
  <si>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</si>
  <si>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</si>
  <si>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</si>
  <si>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</si>
  <si>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</si>
  <si>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</si>
  <si>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</si>
  <si>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</si>
  <si>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</si>
  <si>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</si>
  <si>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</si>
  <si>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</si>
  <si>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RIB: 10 000 000 080746 3788 95</t>
  </si>
  <si>
    <t>STB THAMEUR</t>
  </si>
  <si>
    <t>Houda</t>
  </si>
  <si>
    <t>Points d'ancrage de type A</t>
  </si>
  <si>
    <t>Devis    N° 2024-587</t>
  </si>
  <si>
    <t>Point d'ancrage inox</t>
  </si>
  <si>
    <t>Plaquette d’ancrage inox FIXE2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</si>
</sst>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quot; &quot;##0.000&quot; DT&quot;;[Red]&quot;-&quot;#&quot; &quot;##0.00&quot;2 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
      <sz val="10"/>
      <name val="Arial Black"/>
      <family val="2"/>
    </font>
    <font>
      <sz val="14"/>
      <name val="Times New Roman"/>
      <family val="1"/>
    </font>
    <font>
      <sz val="14"/>
      <name val="Arial Black"/>
      <family val="2"/>
    </font>
    <font>
      <sz val="12"/>
      <color rgb="FF000000"/>
      <name val="Arial"/>
      <family val="2"/>
    </font>
    <font>
      <b/>
      <sz val="16"/>
      <name val="Arial"/>
      <family val="2"/>
    </font>
    <font>
      <b/>
      <sz val="14"/>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4" fillId="0" borderId="0" xfId="0" applyFont="1" applyFill="1" applyAlignment="1">
      <alignment horizontal="left"/>
    </xf>
    <xf numFmtId="0" fontId="34" fillId="0" borderId="34" xfId="0"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49" fontId="35" fillId="0" borderId="0" xfId="0" applyNumberFormat="1" applyFont="1" applyFill="1" applyBorder="1" applyAlignment="1">
      <alignment vertical="top" shrinkToFit="1"/>
    </xf>
    <xf numFmtId="49" fontId="35" fillId="0" borderId="34" xfId="0" applyNumberFormat="1" applyFont="1" applyFill="1" applyBorder="1" applyAlignment="1">
      <alignment vertical="top" shrinkToFit="1"/>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0" fontId="37" fillId="7" borderId="46" xfId="0" applyFont="1" applyFill="1" applyBorder="1" applyAlignment="1">
      <alignment horizontal="center"/>
    </xf>
    <xf numFmtId="0" fontId="0" fillId="7" borderId="0" xfId="0" applyFill="1"/>
    <xf numFmtId="0" fontId="37" fillId="7" borderId="0" xfId="0" applyFont="1" applyFill="1" applyAlignment="1"/>
    <xf numFmtId="169" fontId="37" fillId="0" borderId="46" xfId="0" applyNumberFormat="1" applyFont="1" applyFill="1" applyBorder="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28" fillId="0" borderId="32" xfId="0" applyNumberFormat="1" applyFont="1" applyFill="1" applyBorder="1" applyAlignment="1">
      <alignment horizontal="left" vertical="top" wrapText="1" shrinkToFit="1"/>
    </xf>
    <xf numFmtId="49" fontId="28" fillId="0" borderId="0" xfId="0" applyNumberFormat="1" applyFont="1" applyFill="1" applyBorder="1" applyAlignment="1">
      <alignment horizontal="left" vertical="top" shrinkToFit="1"/>
    </xf>
    <xf numFmtId="49" fontId="28" fillId="0" borderId="34" xfId="0" applyNumberFormat="1" applyFont="1" applyFill="1" applyBorder="1" applyAlignment="1">
      <alignment horizontal="left" vertical="top" shrinkToFit="1"/>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5" fillId="0" borderId="32" xfId="0" applyNumberFormat="1" applyFont="1" applyFill="1" applyBorder="1" applyAlignment="1">
      <alignment horizontal="left" vertical="top" shrinkToFit="1"/>
    </xf>
    <xf numFmtId="49" fontId="35" fillId="0" borderId="0" xfId="0" applyNumberFormat="1" applyFont="1" applyFill="1" applyBorder="1" applyAlignment="1">
      <alignment horizontal="left" vertical="top" shrinkToFit="1"/>
    </xf>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6" fillId="0" borderId="32" xfId="0" applyNumberFormat="1" applyFont="1" applyFill="1" applyBorder="1" applyAlignment="1">
      <alignment horizontal="left"/>
    </xf>
    <xf numFmtId="0" fontId="36" fillId="0" borderId="0" xfId="0" applyFont="1" applyFill="1" applyAlignment="1">
      <alignment horizontal="left"/>
    </xf>
    <xf numFmtId="0" fontId="36" fillId="0" borderId="34" xfId="0" applyFont="1" applyFill="1" applyBorder="1" applyAlignment="1">
      <alignment horizontal="left"/>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49" fontId="35" fillId="0" borderId="32" xfId="0" applyNumberFormat="1" applyFont="1" applyFill="1" applyBorder="1" applyAlignment="1">
      <alignment horizontal="left" vertical="top" wrapText="1" shrinkToFit="1"/>
    </xf>
    <xf numFmtId="49" fontId="35" fillId="0" borderId="34" xfId="0" applyNumberFormat="1" applyFont="1" applyFill="1" applyBorder="1" applyAlignment="1">
      <alignment horizontal="left" vertical="top" shrinkToFit="1"/>
    </xf>
    <xf numFmtId="0" fontId="38" fillId="3" borderId="0" xfId="0" applyFont="1" applyFill="1" applyBorder="1" applyAlignment="1">
      <alignment horizontal="center" vertical="center"/>
    </xf>
    <xf numFmtId="0" fontId="39" fillId="7" borderId="47" xfId="0" applyFont="1" applyFill="1" applyBorder="1"/>
    <xf numFmtId="49" fontId="21" fillId="0" borderId="32" xfId="0" applyNumberFormat="1" applyFont="1" applyFill="1" applyBorder="1" applyAlignment="1">
      <alignment horizontal="left"/>
    </xf>
    <xf numFmtId="0" fontId="18"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D46"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1.png"/><Relationship Id="rId1" Type="http://schemas.openxmlformats.org/officeDocument/2006/relationships/image" Target="../media/image7.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0</xdr:rowOff>
        </xdr:from>
        <xdr:to>
          <xdr:col>3</xdr:col>
          <xdr:colOff>704850</xdr:colOff>
          <xdr:row>45</xdr:row>
          <xdr:rowOff>19049</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45</xdr:row>
          <xdr:rowOff>28575</xdr:rowOff>
        </xdr:from>
        <xdr:to>
          <xdr:col>3</xdr:col>
          <xdr:colOff>714375</xdr:colOff>
          <xdr:row>46</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10</xdr:col>
      <xdr:colOff>772027</xdr:colOff>
      <xdr:row>5</xdr:row>
      <xdr:rowOff>150394</xdr:rowOff>
    </xdr:from>
    <xdr:to>
      <xdr:col>12</xdr:col>
      <xdr:colOff>70184</xdr:colOff>
      <xdr:row>9</xdr:row>
      <xdr:rowOff>130343</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64869" y="721894"/>
          <a:ext cx="1082841" cy="621633"/>
        </a:xfrm>
        <a:prstGeom prst="rect">
          <a:avLst/>
        </a:prstGeom>
        <a:noFill/>
        <a:ln>
          <a:noFill/>
        </a:ln>
      </xdr:spPr>
    </xdr:pic>
    <xdr:clientData/>
  </xdr:twoCellAnchor>
  <xdr:twoCellAnchor editAs="oneCell">
    <xdr:from>
      <xdr:col>5</xdr:col>
      <xdr:colOff>240634</xdr:colOff>
      <xdr:row>24</xdr:row>
      <xdr:rowOff>90236</xdr:rowOff>
    </xdr:from>
    <xdr:to>
      <xdr:col>6</xdr:col>
      <xdr:colOff>571501</xdr:colOff>
      <xdr:row>27</xdr:row>
      <xdr:rowOff>136011</xdr:rowOff>
    </xdr:to>
    <xdr:pic>
      <xdr:nvPicPr>
        <xdr:cNvPr id="12" name="Image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26634" y="4050631"/>
          <a:ext cx="942472" cy="827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180474</xdr:colOff>
      <xdr:row>5</xdr:row>
      <xdr:rowOff>70183</xdr:rowOff>
    </xdr:from>
    <xdr:to>
      <xdr:col>13</xdr:col>
      <xdr:colOff>84932</xdr:colOff>
      <xdr:row>10</xdr:row>
      <xdr:rowOff>49129</xdr:rowOff>
    </xdr:to>
    <xdr:pic>
      <xdr:nvPicPr>
        <xdr:cNvPr id="17" name="Image 1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58000" y="641683"/>
          <a:ext cx="957221" cy="781051"/>
        </a:xfrm>
        <a:prstGeom prst="rect">
          <a:avLst/>
        </a:prstGeom>
      </xdr:spPr>
    </xdr:pic>
    <xdr:clientData/>
  </xdr:twoCellAnchor>
  <xdr:twoCellAnchor editAs="oneCell">
    <xdr:from>
      <xdr:col>5</xdr:col>
      <xdr:colOff>120316</xdr:colOff>
      <xdr:row>29</xdr:row>
      <xdr:rowOff>50131</xdr:rowOff>
    </xdr:from>
    <xdr:to>
      <xdr:col>6</xdr:col>
      <xdr:colOff>772027</xdr:colOff>
      <xdr:row>32</xdr:row>
      <xdr:rowOff>180474</xdr:rowOff>
    </xdr:to>
    <xdr:pic>
      <xdr:nvPicPr>
        <xdr:cNvPr id="18" name="Image 17"/>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06316" y="5283868"/>
          <a:ext cx="1263316" cy="822159"/>
        </a:xfrm>
        <a:prstGeom prst="rect">
          <a:avLst/>
        </a:prstGeom>
        <a:noFill/>
        <a:ln>
          <a:noFill/>
        </a:ln>
      </xdr:spPr>
    </xdr:pic>
    <xdr:clientData/>
  </xdr:twoCellAnchor>
  <xdr:twoCellAnchor editAs="oneCell">
    <xdr:from>
      <xdr:col>4</xdr:col>
      <xdr:colOff>479107</xdr:colOff>
      <xdr:row>34</xdr:row>
      <xdr:rowOff>220580</xdr:rowOff>
    </xdr:from>
    <xdr:to>
      <xdr:col>6</xdr:col>
      <xdr:colOff>721896</xdr:colOff>
      <xdr:row>38</xdr:row>
      <xdr:rowOff>142803</xdr:rowOff>
    </xdr:to>
    <xdr:pic>
      <xdr:nvPicPr>
        <xdr:cNvPr id="3" name="Image 2"/>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253765" y="6677527"/>
          <a:ext cx="1365736" cy="9248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8" t="s">
        <v>0</v>
      </c>
      <c r="E4" s="139"/>
      <c r="F4" s="139"/>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0" t="s">
        <v>2</v>
      </c>
      <c r="E10" s="14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2" t="s">
        <v>47</v>
      </c>
      <c r="E19" s="14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3" t="str">
        <f>LOWER(TemplateInformation!B3)</f>
        <v>c:\program files\microsoft office\office\macrolib\factbd.xls</v>
      </c>
      <c r="G33" s="14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0" t="s">
        <v>16</v>
      </c>
      <c r="E36" s="14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8" zoomScale="95" workbookViewId="0">
      <selection activeCell="H47" sqref="H4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46"/>
      <c r="M9" s="146"/>
      <c r="N9" s="3"/>
      <c r="O9" s="9"/>
    </row>
    <row r="10" spans="1:15" x14ac:dyDescent="0.2">
      <c r="A10" s="7"/>
      <c r="B10" s="3"/>
      <c r="C10" s="3"/>
      <c r="D10" s="3"/>
      <c r="E10" s="3"/>
      <c r="F10" s="3"/>
      <c r="G10" s="3"/>
      <c r="H10" s="3"/>
      <c r="I10" s="3"/>
      <c r="J10" s="3"/>
      <c r="K10" s="3"/>
      <c r="L10" s="145"/>
      <c r="M10" s="145"/>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95" t="s">
        <v>71</v>
      </c>
      <c r="M13" s="195"/>
      <c r="N13" s="3"/>
      <c r="O13" s="9"/>
    </row>
    <row r="14" spans="1:15" ht="3" customHeight="1" thickTop="1" x14ac:dyDescent="0.3">
      <c r="A14" s="7"/>
      <c r="B14" s="3"/>
      <c r="C14" s="60"/>
      <c r="D14" s="60"/>
      <c r="E14" s="60"/>
      <c r="F14" s="60"/>
      <c r="G14" s="60"/>
      <c r="H14" s="60"/>
      <c r="I14" s="61"/>
      <c r="J14" s="61"/>
      <c r="K14" s="61"/>
      <c r="L14" s="195"/>
      <c r="M14" s="195"/>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63" t="s">
        <v>64</v>
      </c>
      <c r="E16" s="164"/>
      <c r="F16" s="164"/>
      <c r="G16" s="164"/>
      <c r="H16" s="164"/>
      <c r="I16" s="164"/>
      <c r="J16" s="88"/>
      <c r="K16" s="91" t="s">
        <v>18</v>
      </c>
      <c r="L16" s="162">
        <v>45420</v>
      </c>
      <c r="M16" s="162"/>
      <c r="N16" s="57"/>
      <c r="O16" s="9"/>
    </row>
    <row r="17" spans="1:15" x14ac:dyDescent="0.2">
      <c r="A17" s="7"/>
      <c r="B17" s="3"/>
      <c r="C17" s="88" t="s">
        <v>5</v>
      </c>
      <c r="D17" s="176"/>
      <c r="E17" s="177"/>
      <c r="F17" s="177"/>
      <c r="G17" s="177"/>
      <c r="H17" s="177"/>
      <c r="I17" s="177"/>
      <c r="J17" s="88"/>
      <c r="K17" s="110" t="s">
        <v>59</v>
      </c>
      <c r="L17" s="175"/>
      <c r="M17" s="175"/>
      <c r="N17" s="58"/>
      <c r="O17" s="9"/>
    </row>
    <row r="18" spans="1:15" ht="15" x14ac:dyDescent="0.25">
      <c r="A18" s="7"/>
      <c r="B18" s="3"/>
      <c r="C18" s="88" t="s">
        <v>7</v>
      </c>
      <c r="D18" s="95"/>
      <c r="E18" s="96" t="s">
        <v>8</v>
      </c>
      <c r="F18" s="180" t="s">
        <v>58</v>
      </c>
      <c r="G18" s="181"/>
      <c r="H18" s="97" t="s">
        <v>9</v>
      </c>
      <c r="I18" s="94" t="s">
        <v>53</v>
      </c>
      <c r="J18" s="88"/>
      <c r="K18" s="110" t="s">
        <v>19</v>
      </c>
      <c r="L18" s="178" t="s">
        <v>69</v>
      </c>
      <c r="M18" s="178"/>
      <c r="N18" s="3"/>
      <c r="O18" s="9"/>
    </row>
    <row r="19" spans="1:15" x14ac:dyDescent="0.2">
      <c r="A19" s="7"/>
      <c r="B19" s="3"/>
      <c r="C19" s="88" t="s">
        <v>20</v>
      </c>
      <c r="D19" s="165"/>
      <c r="E19" s="166"/>
      <c r="F19" s="166"/>
      <c r="G19" s="166"/>
      <c r="H19" s="166"/>
      <c r="I19" s="166"/>
      <c r="J19" s="88"/>
      <c r="K19" s="91" t="s">
        <v>49</v>
      </c>
      <c r="L19" s="179" t="s">
        <v>66</v>
      </c>
      <c r="M19" s="179"/>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67" t="s">
        <v>22</v>
      </c>
      <c r="F21" s="168"/>
      <c r="G21" s="168"/>
      <c r="H21" s="168"/>
      <c r="I21" s="168"/>
      <c r="J21" s="169"/>
      <c r="K21" s="70" t="s">
        <v>36</v>
      </c>
      <c r="L21" s="53" t="s">
        <v>57</v>
      </c>
      <c r="M21" s="54" t="s">
        <v>23</v>
      </c>
      <c r="N21" s="59"/>
      <c r="O21" s="9"/>
    </row>
    <row r="22" spans="1:15" ht="15.75" x14ac:dyDescent="0.25">
      <c r="A22" s="7"/>
      <c r="B22" s="3"/>
      <c r="C22" s="100"/>
      <c r="D22" s="79"/>
      <c r="E22" s="172"/>
      <c r="F22" s="173"/>
      <c r="G22" s="173"/>
      <c r="H22" s="173"/>
      <c r="I22" s="173"/>
      <c r="J22" s="174"/>
      <c r="K22" s="80"/>
      <c r="L22" s="103"/>
      <c r="M22" s="102"/>
      <c r="N22" s="59"/>
      <c r="O22" s="9"/>
    </row>
    <row r="23" spans="1:15" ht="19.5" x14ac:dyDescent="0.4">
      <c r="A23" s="7"/>
      <c r="B23" s="3"/>
      <c r="C23" s="117"/>
      <c r="D23" s="79"/>
      <c r="E23" s="153"/>
      <c r="F23" s="154"/>
      <c r="G23" s="154"/>
      <c r="H23" s="154"/>
      <c r="I23" s="154"/>
      <c r="J23" s="155"/>
      <c r="K23" s="80"/>
      <c r="L23" s="103"/>
      <c r="M23" s="103"/>
      <c r="N23" s="59"/>
      <c r="O23" s="9"/>
    </row>
    <row r="24" spans="1:15" ht="18" x14ac:dyDescent="0.25">
      <c r="A24" s="7"/>
      <c r="B24" s="3"/>
      <c r="C24" s="117"/>
      <c r="D24" s="134">
        <v>1</v>
      </c>
      <c r="E24" s="196" t="s">
        <v>70</v>
      </c>
      <c r="F24" s="135"/>
      <c r="G24" s="136"/>
      <c r="H24" s="135"/>
      <c r="I24" s="135"/>
      <c r="J24" s="136"/>
      <c r="K24" s="135"/>
      <c r="L24" s="137">
        <v>70</v>
      </c>
      <c r="M24" s="137">
        <f>L24*D24</f>
        <v>70</v>
      </c>
      <c r="N24" s="59"/>
      <c r="O24" s="9"/>
    </row>
    <row r="25" spans="1:15" ht="19.5" x14ac:dyDescent="0.4">
      <c r="A25" s="7"/>
      <c r="B25" s="3"/>
      <c r="C25" s="117"/>
      <c r="D25" s="79"/>
      <c r="E25" s="190"/>
      <c r="F25" s="191"/>
      <c r="G25" s="191"/>
      <c r="H25" s="191"/>
      <c r="I25" s="191"/>
      <c r="J25" s="192"/>
      <c r="K25" s="105"/>
      <c r="L25" s="103"/>
      <c r="M25" s="137"/>
      <c r="N25" s="59"/>
      <c r="O25" s="9"/>
    </row>
    <row r="26" spans="1:15" ht="18.75" x14ac:dyDescent="0.2">
      <c r="A26" s="7"/>
      <c r="B26" s="3"/>
      <c r="C26" s="117"/>
      <c r="D26" s="55"/>
      <c r="E26" s="170"/>
      <c r="F26" s="171"/>
      <c r="G26" s="129"/>
      <c r="H26" s="129"/>
      <c r="I26" s="129"/>
      <c r="J26" s="130"/>
      <c r="K26" s="80"/>
      <c r="L26" s="103"/>
      <c r="M26" s="137"/>
      <c r="N26" s="59"/>
      <c r="O26" s="9"/>
    </row>
    <row r="27" spans="1:15" ht="22.5" x14ac:dyDescent="0.45">
      <c r="A27" s="7"/>
      <c r="B27" s="3"/>
      <c r="C27" s="117"/>
      <c r="D27" s="55"/>
      <c r="E27" s="184"/>
      <c r="F27" s="185"/>
      <c r="G27" s="185"/>
      <c r="H27" s="185"/>
      <c r="I27" s="185"/>
      <c r="J27" s="186"/>
      <c r="K27" s="80"/>
      <c r="L27" s="103"/>
      <c r="M27" s="137"/>
      <c r="N27" s="59"/>
      <c r="O27" s="9"/>
    </row>
    <row r="28" spans="1:15" ht="18.75" x14ac:dyDescent="0.2">
      <c r="A28" s="7"/>
      <c r="B28" s="3"/>
      <c r="C28" s="117"/>
      <c r="D28" s="55"/>
      <c r="E28" s="193"/>
      <c r="F28" s="171"/>
      <c r="G28" s="171"/>
      <c r="H28" s="171"/>
      <c r="I28" s="171"/>
      <c r="J28" s="194"/>
      <c r="K28" s="80"/>
      <c r="L28" s="103"/>
      <c r="M28" s="137"/>
      <c r="N28" s="59"/>
      <c r="O28" s="9"/>
    </row>
    <row r="29" spans="1:15" ht="18.75" x14ac:dyDescent="0.3">
      <c r="A29" s="7"/>
      <c r="B29" s="3"/>
      <c r="C29" s="117"/>
      <c r="D29" s="55">
        <v>1</v>
      </c>
      <c r="E29" s="197" t="s">
        <v>72</v>
      </c>
      <c r="F29" s="122"/>
      <c r="G29" s="122"/>
      <c r="H29" s="122"/>
      <c r="I29" s="122"/>
      <c r="J29" s="123"/>
      <c r="K29" s="80"/>
      <c r="L29" s="103">
        <v>55</v>
      </c>
      <c r="M29" s="137">
        <f>L29*D29</f>
        <v>55</v>
      </c>
      <c r="N29" s="59"/>
      <c r="O29" s="9"/>
    </row>
    <row r="30" spans="1:15" ht="18.75" x14ac:dyDescent="0.2">
      <c r="A30" s="7"/>
      <c r="B30" s="3"/>
      <c r="C30" s="117"/>
      <c r="D30" s="55"/>
      <c r="E30" s="193"/>
      <c r="F30" s="171"/>
      <c r="G30" s="171"/>
      <c r="H30" s="171"/>
      <c r="I30" s="171"/>
      <c r="J30" s="194"/>
      <c r="K30" s="80"/>
      <c r="L30" s="103"/>
      <c r="M30" s="137"/>
      <c r="N30" s="59"/>
      <c r="O30" s="9"/>
    </row>
    <row r="31" spans="1:15" ht="19.5" x14ac:dyDescent="0.4">
      <c r="A31" s="7"/>
      <c r="B31" s="3"/>
      <c r="C31" s="117"/>
      <c r="D31" s="55"/>
      <c r="E31" s="119"/>
      <c r="F31" s="120"/>
      <c r="G31" s="120"/>
      <c r="H31" s="120"/>
      <c r="I31" s="120"/>
      <c r="J31" s="121"/>
      <c r="K31" s="80"/>
      <c r="L31" s="103"/>
      <c r="M31" s="137"/>
      <c r="N31" s="59"/>
      <c r="O31" s="9"/>
    </row>
    <row r="32" spans="1:15" ht="15.75" x14ac:dyDescent="0.2">
      <c r="A32" s="7"/>
      <c r="B32" s="3"/>
      <c r="C32" s="117"/>
      <c r="D32" s="55"/>
      <c r="E32" s="150"/>
      <c r="F32" s="151"/>
      <c r="G32" s="151"/>
      <c r="H32" s="151"/>
      <c r="I32" s="151"/>
      <c r="J32" s="152"/>
      <c r="K32" s="80"/>
      <c r="L32" s="103"/>
      <c r="M32" s="137"/>
      <c r="N32" s="59"/>
      <c r="O32" s="9"/>
    </row>
    <row r="33" spans="1:15" ht="19.5" x14ac:dyDescent="0.4">
      <c r="A33" s="7"/>
      <c r="B33" s="3"/>
      <c r="C33" s="118"/>
      <c r="D33" s="55"/>
      <c r="E33" s="159"/>
      <c r="F33" s="160"/>
      <c r="G33" s="160"/>
      <c r="H33" s="160"/>
      <c r="I33" s="160"/>
      <c r="J33" s="161"/>
      <c r="K33" s="80"/>
      <c r="L33" s="103"/>
      <c r="M33" s="137"/>
      <c r="N33" s="59"/>
      <c r="O33" s="9"/>
    </row>
    <row r="34" spans="1:15" ht="20.25" x14ac:dyDescent="0.4">
      <c r="A34" s="7"/>
      <c r="B34" s="3"/>
      <c r="C34" s="118"/>
      <c r="D34" s="55">
        <v>1</v>
      </c>
      <c r="E34" s="197" t="s">
        <v>73</v>
      </c>
      <c r="F34" s="132"/>
      <c r="G34" s="132"/>
      <c r="H34" s="132"/>
      <c r="I34" s="132"/>
      <c r="J34" s="133"/>
      <c r="K34" s="80"/>
      <c r="L34" s="103">
        <v>70</v>
      </c>
      <c r="M34" s="137">
        <f t="shared" ref="M30:M34" si="0">L34*D34</f>
        <v>70</v>
      </c>
      <c r="N34" s="59"/>
      <c r="O34" s="9"/>
    </row>
    <row r="35" spans="1:15" ht="19.5" x14ac:dyDescent="0.4">
      <c r="A35" s="7"/>
      <c r="B35" s="3"/>
      <c r="C35" s="118"/>
      <c r="D35" s="55"/>
      <c r="E35" s="131"/>
      <c r="F35" s="132"/>
      <c r="G35" s="132"/>
      <c r="H35" s="132"/>
      <c r="I35" s="132"/>
      <c r="J35" s="133"/>
      <c r="K35" s="80"/>
      <c r="L35" s="103"/>
      <c r="M35" s="137"/>
      <c r="N35" s="59"/>
      <c r="O35" s="9"/>
    </row>
    <row r="36" spans="1:15" ht="19.5" x14ac:dyDescent="0.4">
      <c r="A36" s="7"/>
      <c r="B36" s="3"/>
      <c r="C36" s="118"/>
      <c r="D36" s="55"/>
      <c r="E36" s="131"/>
      <c r="F36" s="132"/>
      <c r="G36" s="132"/>
      <c r="H36" s="132"/>
      <c r="I36" s="132"/>
      <c r="J36" s="133"/>
      <c r="K36" s="80"/>
      <c r="L36" s="103"/>
      <c r="M36" s="137"/>
      <c r="N36" s="59"/>
      <c r="O36" s="9"/>
    </row>
    <row r="37" spans="1:15" ht="19.5" x14ac:dyDescent="0.4">
      <c r="A37" s="7"/>
      <c r="B37" s="3"/>
      <c r="C37" s="118"/>
      <c r="D37" s="55"/>
      <c r="E37" s="131"/>
      <c r="F37" s="132"/>
      <c r="G37" s="132"/>
      <c r="H37" s="132"/>
      <c r="I37" s="132"/>
      <c r="J37" s="133"/>
      <c r="K37" s="80"/>
      <c r="L37" s="103"/>
      <c r="M37" s="137"/>
      <c r="N37" s="59"/>
      <c r="O37" s="9"/>
    </row>
    <row r="38" spans="1:15" ht="19.5" x14ac:dyDescent="0.4">
      <c r="A38" s="7"/>
      <c r="B38" s="3"/>
      <c r="C38" s="118"/>
      <c r="D38" s="55"/>
      <c r="E38" s="131"/>
      <c r="F38" s="132"/>
      <c r="G38" s="132"/>
      <c r="H38" s="132"/>
      <c r="I38" s="132"/>
      <c r="J38" s="133"/>
      <c r="K38" s="80"/>
      <c r="L38" s="103"/>
      <c r="M38" s="137"/>
      <c r="N38" s="59"/>
      <c r="O38" s="9"/>
    </row>
    <row r="39" spans="1:15" ht="19.5" x14ac:dyDescent="0.4">
      <c r="A39" s="7"/>
      <c r="B39" s="3"/>
      <c r="C39" s="118"/>
      <c r="D39" s="55"/>
      <c r="E39" s="131"/>
      <c r="F39" s="132"/>
      <c r="G39" s="132"/>
      <c r="H39" s="132"/>
      <c r="I39" s="132"/>
      <c r="J39" s="133"/>
      <c r="K39" s="80"/>
      <c r="L39" s="103"/>
      <c r="M39" s="137"/>
      <c r="N39" s="59"/>
      <c r="O39" s="9"/>
    </row>
    <row r="40" spans="1:15" ht="19.5" x14ac:dyDescent="0.4">
      <c r="A40" s="7"/>
      <c r="B40" s="3"/>
      <c r="C40" s="100"/>
      <c r="D40" s="55"/>
      <c r="E40" s="126"/>
      <c r="F40" s="124"/>
      <c r="G40" s="124"/>
      <c r="H40" s="124"/>
      <c r="I40" s="124"/>
      <c r="J40" s="125"/>
      <c r="K40" s="80"/>
      <c r="L40" s="103"/>
      <c r="M40" s="137"/>
      <c r="N40" s="59"/>
      <c r="O40" s="9"/>
    </row>
    <row r="41" spans="1:15" ht="15.75" x14ac:dyDescent="0.25">
      <c r="A41" s="7"/>
      <c r="B41" s="3"/>
      <c r="C41" s="101"/>
      <c r="D41" s="56"/>
      <c r="E41" s="156"/>
      <c r="F41" s="157"/>
      <c r="G41" s="157"/>
      <c r="H41" s="157"/>
      <c r="I41" s="157"/>
      <c r="J41" s="158"/>
      <c r="K41" s="81"/>
      <c r="L41" s="104"/>
      <c r="M41" s="137"/>
      <c r="N41" s="59"/>
      <c r="O41" s="9"/>
    </row>
    <row r="42" spans="1:15" ht="15" x14ac:dyDescent="0.2">
      <c r="A42" s="7"/>
      <c r="B42" s="3"/>
      <c r="C42" s="3"/>
      <c r="D42" s="88"/>
      <c r="E42" s="88"/>
      <c r="F42" s="88"/>
      <c r="G42" s="88"/>
      <c r="H42" s="88"/>
      <c r="I42" s="82"/>
      <c r="J42" s="82"/>
      <c r="K42" s="82"/>
      <c r="L42" s="106" t="s">
        <v>24</v>
      </c>
      <c r="M42" s="111">
        <f>SUM(M23:M37)</f>
        <v>195</v>
      </c>
      <c r="N42" s="59"/>
      <c r="O42" s="9"/>
    </row>
    <row r="43" spans="1:15" ht="15" x14ac:dyDescent="0.2">
      <c r="A43" s="7"/>
      <c r="B43" s="3"/>
      <c r="C43" s="3"/>
      <c r="D43" s="88"/>
      <c r="E43" s="88"/>
      <c r="F43" s="88"/>
      <c r="G43" s="88"/>
      <c r="H43" s="88"/>
      <c r="I43" s="82"/>
      <c r="J43" s="82"/>
      <c r="K43" s="82"/>
      <c r="L43" s="109" t="s">
        <v>48</v>
      </c>
      <c r="M43" s="116">
        <v>1</v>
      </c>
      <c r="N43" s="59"/>
      <c r="O43" s="9"/>
    </row>
    <row r="44" spans="1:15" ht="15.75" x14ac:dyDescent="0.25">
      <c r="A44" s="7"/>
      <c r="B44" s="3"/>
      <c r="C44" s="3"/>
      <c r="D44" s="90"/>
      <c r="E44" s="198" t="s">
        <v>25</v>
      </c>
      <c r="F44" s="88"/>
      <c r="G44" s="88"/>
      <c r="H44" s="88"/>
      <c r="I44" s="84"/>
      <c r="J44" s="84"/>
      <c r="K44" s="83"/>
      <c r="L44" s="107">
        <f>19%</f>
        <v>0.19</v>
      </c>
      <c r="M44" s="116">
        <f>M42*0.19</f>
        <v>37.049999999999997</v>
      </c>
      <c r="N44" s="59"/>
      <c r="O44" s="9"/>
    </row>
    <row r="45" spans="1:15" ht="15.75" x14ac:dyDescent="0.25">
      <c r="A45" s="7"/>
      <c r="B45" s="3"/>
      <c r="C45" s="3"/>
      <c r="D45" s="92"/>
      <c r="E45" s="110" t="s">
        <v>26</v>
      </c>
      <c r="F45" s="93"/>
      <c r="G45" s="92"/>
      <c r="H45" s="88"/>
      <c r="I45" s="85"/>
      <c r="J45" s="82"/>
      <c r="K45" s="82"/>
      <c r="L45" s="108" t="s">
        <v>28</v>
      </c>
      <c r="M45" s="112">
        <f>SUM(M42:M44)</f>
        <v>233.05</v>
      </c>
      <c r="N45" s="59"/>
      <c r="O45" s="9"/>
    </row>
    <row r="46" spans="1:15" ht="15.75" x14ac:dyDescent="0.25">
      <c r="A46" s="7"/>
      <c r="B46" s="3"/>
      <c r="C46" s="3"/>
      <c r="D46" s="92">
        <v>1</v>
      </c>
      <c r="E46" s="114" t="s">
        <v>65</v>
      </c>
      <c r="F46" s="114"/>
      <c r="G46" s="114"/>
      <c r="H46" s="113"/>
      <c r="I46" s="113"/>
      <c r="J46" s="82"/>
      <c r="K46" s="82"/>
      <c r="L46" s="87"/>
      <c r="M46" s="87"/>
      <c r="N46" s="59"/>
      <c r="O46" s="9"/>
    </row>
    <row r="47" spans="1:15" ht="15.75" customHeight="1" x14ac:dyDescent="0.25">
      <c r="A47" s="7"/>
      <c r="B47" s="3"/>
      <c r="C47" s="3"/>
      <c r="D47" s="89"/>
      <c r="E47" s="89"/>
      <c r="F47" s="88"/>
      <c r="G47" s="89"/>
      <c r="H47" s="88"/>
      <c r="I47" s="86" t="s">
        <v>27</v>
      </c>
      <c r="J47" s="82"/>
      <c r="K47" s="82"/>
      <c r="L47" s="87"/>
      <c r="M47" s="87" t="s">
        <v>55</v>
      </c>
      <c r="N47" s="59"/>
      <c r="O47" s="9"/>
    </row>
    <row r="48" spans="1:15" ht="15" x14ac:dyDescent="0.2">
      <c r="A48" s="7"/>
      <c r="B48" s="189"/>
      <c r="C48" s="189"/>
      <c r="D48" s="189"/>
      <c r="E48" s="189"/>
      <c r="F48" s="189"/>
      <c r="G48" s="189"/>
      <c r="H48" s="189"/>
      <c r="I48" s="189"/>
      <c r="J48" s="189"/>
      <c r="K48" s="189"/>
      <c r="L48" s="189"/>
      <c r="M48" s="189"/>
      <c r="N48" s="59"/>
      <c r="O48" s="9"/>
    </row>
    <row r="49" spans="1:15" ht="17.100000000000001" customHeight="1" x14ac:dyDescent="0.25">
      <c r="A49" s="127" t="s">
        <v>67</v>
      </c>
      <c r="B49" s="128"/>
      <c r="C49" s="128"/>
      <c r="D49" s="128"/>
      <c r="E49" s="128"/>
      <c r="F49" s="128"/>
      <c r="G49" s="128"/>
      <c r="H49" s="128"/>
      <c r="I49" s="84"/>
      <c r="J49" s="82"/>
      <c r="K49" s="82"/>
      <c r="L49" s="82"/>
      <c r="M49" s="82"/>
      <c r="N49" s="59"/>
      <c r="O49" s="9"/>
    </row>
    <row r="50" spans="1:15" ht="17.100000000000001" customHeight="1" x14ac:dyDescent="0.25">
      <c r="A50" s="127" t="s">
        <v>68</v>
      </c>
      <c r="B50" s="128"/>
      <c r="C50" s="128"/>
      <c r="D50" s="128"/>
      <c r="E50" s="128"/>
      <c r="F50" s="128"/>
      <c r="G50" s="128"/>
      <c r="H50" s="128"/>
      <c r="I50" s="84"/>
      <c r="J50" s="149" t="s">
        <v>56</v>
      </c>
      <c r="K50" s="149"/>
      <c r="L50" s="149"/>
      <c r="M50" s="149"/>
      <c r="N50" s="59"/>
      <c r="O50" s="9"/>
    </row>
    <row r="51" spans="1:15" ht="15" x14ac:dyDescent="0.2">
      <c r="A51" s="7"/>
      <c r="B51" s="3"/>
      <c r="C51" s="3"/>
      <c r="D51" s="20"/>
      <c r="E51" s="83"/>
      <c r="F51" s="147"/>
      <c r="G51" s="148"/>
      <c r="H51" s="148"/>
      <c r="I51" s="84"/>
      <c r="J51" s="149"/>
      <c r="K51" s="149"/>
      <c r="L51" s="149"/>
      <c r="M51" s="149"/>
      <c r="N51" s="59"/>
      <c r="O51" s="9"/>
    </row>
    <row r="52" spans="1:15" ht="15" customHeight="1" x14ac:dyDescent="0.2">
      <c r="A52" s="7"/>
      <c r="B52" s="3"/>
      <c r="C52" s="3"/>
      <c r="D52" s="3"/>
      <c r="E52" s="82"/>
      <c r="F52" s="82"/>
      <c r="G52" s="82"/>
      <c r="H52" s="82"/>
      <c r="I52" s="84"/>
      <c r="J52" s="149"/>
      <c r="K52" s="149"/>
      <c r="L52" s="149"/>
      <c r="M52" s="149"/>
      <c r="N52" s="59"/>
      <c r="O52" s="9"/>
    </row>
    <row r="53" spans="1:15" ht="15" customHeight="1" x14ac:dyDescent="0.2">
      <c r="A53" s="7"/>
      <c r="B53" s="115"/>
      <c r="C53" s="188" t="s">
        <v>60</v>
      </c>
      <c r="D53" s="188"/>
      <c r="E53" s="188"/>
      <c r="F53" s="188"/>
      <c r="G53" s="188"/>
      <c r="H53" s="188"/>
      <c r="I53" s="188"/>
      <c r="J53" s="188"/>
      <c r="K53" s="188"/>
      <c r="L53" s="188"/>
      <c r="M53" s="188"/>
      <c r="N53" s="59"/>
      <c r="O53" s="9"/>
    </row>
    <row r="54" spans="1:15" ht="15" customHeight="1" x14ac:dyDescent="0.2">
      <c r="A54" s="7"/>
      <c r="B54" s="115"/>
      <c r="C54" s="188" t="s">
        <v>61</v>
      </c>
      <c r="D54" s="188"/>
      <c r="E54" s="188"/>
      <c r="F54" s="188"/>
      <c r="G54" s="188"/>
      <c r="H54" s="188"/>
      <c r="I54" s="188"/>
      <c r="J54" s="188"/>
      <c r="K54" s="188"/>
      <c r="L54" s="188"/>
      <c r="M54" s="188"/>
      <c r="N54" s="59"/>
      <c r="O54" s="9"/>
    </row>
    <row r="55" spans="1:15" x14ac:dyDescent="0.2">
      <c r="A55" s="7"/>
      <c r="B55" s="188" t="s">
        <v>62</v>
      </c>
      <c r="C55" s="188"/>
      <c r="D55" s="188"/>
      <c r="E55" s="188"/>
      <c r="F55" s="188"/>
      <c r="G55" s="188"/>
      <c r="H55" s="188"/>
      <c r="I55" s="188"/>
      <c r="J55" s="188"/>
      <c r="K55" s="188"/>
      <c r="L55" s="188"/>
      <c r="M55" s="188"/>
      <c r="N55" s="59"/>
      <c r="O55" s="9"/>
    </row>
    <row r="56" spans="1:15" x14ac:dyDescent="0.2">
      <c r="A56" s="7"/>
      <c r="B56" s="115"/>
      <c r="C56" s="115"/>
      <c r="D56" s="187" t="s">
        <v>63</v>
      </c>
      <c r="E56" s="187"/>
      <c r="F56" s="187"/>
      <c r="G56" s="187"/>
      <c r="H56" s="187"/>
      <c r="I56" s="187"/>
      <c r="J56" s="187"/>
      <c r="K56" s="187"/>
      <c r="L56" s="187"/>
      <c r="M56" s="114"/>
      <c r="N56" s="59"/>
      <c r="O56" s="9"/>
    </row>
    <row r="57" spans="1:15" ht="15" x14ac:dyDescent="0.2">
      <c r="A57" s="7"/>
      <c r="B57" s="3"/>
      <c r="C57" s="3"/>
      <c r="D57" s="3"/>
      <c r="E57" s="99"/>
      <c r="F57" s="99"/>
      <c r="G57" s="99"/>
      <c r="H57" s="99"/>
      <c r="I57" s="99"/>
      <c r="J57" s="99"/>
      <c r="K57" s="99"/>
      <c r="L57" s="99"/>
      <c r="M57" s="82"/>
      <c r="N57" s="59"/>
      <c r="O57" s="9"/>
    </row>
    <row r="58" spans="1:15" ht="13.5" thickBot="1" x14ac:dyDescent="0.25">
      <c r="A58" s="7"/>
      <c r="B58" s="3"/>
      <c r="C58" s="3"/>
      <c r="D58" s="3"/>
      <c r="E58" s="3"/>
      <c r="F58" s="3"/>
      <c r="G58" s="3"/>
      <c r="H58" s="3"/>
      <c r="I58" s="3"/>
      <c r="J58" s="3"/>
      <c r="K58" s="3"/>
      <c r="L58" s="3"/>
      <c r="M58" s="3"/>
      <c r="N58" s="59"/>
      <c r="O58" s="9"/>
    </row>
    <row r="59" spans="1:15" ht="13.5" thickTop="1" x14ac:dyDescent="0.2">
      <c r="A59" s="60"/>
      <c r="B59" s="60"/>
      <c r="C59" s="60"/>
      <c r="D59" s="60"/>
      <c r="E59" s="60"/>
      <c r="F59" s="60"/>
      <c r="G59" s="60"/>
      <c r="H59" s="60"/>
      <c r="I59" s="60"/>
      <c r="J59" s="60"/>
      <c r="K59" s="60"/>
      <c r="L59" s="60"/>
      <c r="M59" s="60"/>
      <c r="N59" s="59"/>
      <c r="O59" s="9"/>
    </row>
    <row r="60" spans="1:15" x14ac:dyDescent="0.2">
      <c r="A60" s="182"/>
      <c r="B60" s="182"/>
      <c r="C60" s="182"/>
      <c r="D60" s="182"/>
      <c r="E60" s="182"/>
      <c r="F60" s="182"/>
      <c r="G60" s="182"/>
      <c r="H60" s="182"/>
      <c r="I60" s="182"/>
      <c r="J60" s="182"/>
      <c r="K60" s="182"/>
      <c r="L60" s="182"/>
      <c r="M60" s="3"/>
      <c r="N60" s="59"/>
      <c r="O60" s="9"/>
    </row>
    <row r="61" spans="1:15" ht="3" customHeight="1" x14ac:dyDescent="0.2">
      <c r="A61" s="183"/>
      <c r="B61" s="183"/>
      <c r="C61" s="183"/>
      <c r="D61" s="183"/>
      <c r="E61" s="183"/>
      <c r="F61" s="183"/>
      <c r="G61" s="183"/>
      <c r="H61" s="183"/>
      <c r="I61" s="183"/>
      <c r="J61" s="183"/>
      <c r="K61" s="183"/>
      <c r="L61" s="183"/>
      <c r="M61" s="3"/>
      <c r="N61" s="59"/>
      <c r="O61" s="9"/>
    </row>
    <row r="62" spans="1:15" x14ac:dyDescent="0.2">
      <c r="A62" s="183"/>
      <c r="B62" s="183"/>
      <c r="C62" s="183"/>
      <c r="D62" s="183"/>
      <c r="E62" s="183"/>
      <c r="F62" s="183"/>
      <c r="G62" s="183"/>
      <c r="H62" s="183"/>
      <c r="I62" s="183"/>
      <c r="J62" s="183"/>
      <c r="K62" s="183"/>
      <c r="L62" s="183"/>
      <c r="M62" s="3"/>
      <c r="N62" s="59"/>
      <c r="O62" s="9"/>
    </row>
    <row r="63" spans="1:15" ht="13.5" thickBot="1" x14ac:dyDescent="0.25">
      <c r="A63" s="11"/>
      <c r="B63" s="11"/>
      <c r="C63" s="11"/>
      <c r="D63" s="11"/>
      <c r="E63" s="11"/>
      <c r="F63" s="11"/>
      <c r="G63" s="11"/>
      <c r="H63" s="11"/>
      <c r="I63" s="11"/>
      <c r="J63" s="11"/>
      <c r="K63" s="11"/>
      <c r="L63" s="11"/>
      <c r="M63" s="11"/>
      <c r="N63" s="11"/>
      <c r="O63" s="12"/>
    </row>
    <row r="64" spans="1:15" ht="13.5" thickTop="1" x14ac:dyDescent="0.2"/>
    <row r="65" ht="0.95" customHeight="1" x14ac:dyDescent="0.2"/>
    <row r="66"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1">
    <mergeCell ref="D17:I17"/>
    <mergeCell ref="L18:M18"/>
    <mergeCell ref="L19:M19"/>
    <mergeCell ref="F18:G18"/>
    <mergeCell ref="E60:L62"/>
    <mergeCell ref="E27:J27"/>
    <mergeCell ref="D56:L56"/>
    <mergeCell ref="A60:D62"/>
    <mergeCell ref="C53:M53"/>
    <mergeCell ref="C54:M54"/>
    <mergeCell ref="B48:M48"/>
    <mergeCell ref="B55:M55"/>
    <mergeCell ref="E25:J25"/>
    <mergeCell ref="E28:J28"/>
    <mergeCell ref="E30:J30"/>
    <mergeCell ref="L10:M10"/>
    <mergeCell ref="L9:M9"/>
    <mergeCell ref="F51:H51"/>
    <mergeCell ref="J50:M52"/>
    <mergeCell ref="E32:J32"/>
    <mergeCell ref="E23:J23"/>
    <mergeCell ref="E41:J41"/>
    <mergeCell ref="E33:J33"/>
    <mergeCell ref="L16:M16"/>
    <mergeCell ref="L13:M14"/>
    <mergeCell ref="D16:I16"/>
    <mergeCell ref="D19:I19"/>
    <mergeCell ref="E21:J21"/>
    <mergeCell ref="E26:F26"/>
    <mergeCell ref="E22:J22"/>
    <mergeCell ref="L17:M17"/>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9:J50 K49:M4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0:L62"/>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decimal" allowBlank="1" showErrorMessage="1" errorTitle="Prix unitaire" error="Tapez un nombre dans cette cellule." promptTitle="Prix unitaire" sqref="L22:L41 M23:M41">
      <formula1>0</formula1>
      <formula2>1000000000</formula2>
    </dataValidation>
    <dataValidation type="whole" errorStyle="warning" allowBlank="1" showErrorMessage="1" errorTitle="Quantité" error="Tapez un nombre dans cette cellule." promptTitle="Quantité" sqref="D22:D41">
      <formula1>0</formula1>
      <formula2>1000000000</formula2>
    </dataValidation>
    <dataValidation type="list" allowBlank="1" showInputMessage="1" showErrorMessage="1" errorTitle="Code TVA" error="Tapez 1, 2, ou 3." sqref="K22:K41">
      <formula1>"1,2,3"</formula1>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42</xdr:row>
                    <xdr:rowOff>152400</xdr:rowOff>
                  </from>
                  <to>
                    <xdr:col>3</xdr:col>
                    <xdr:colOff>695325</xdr:colOff>
                    <xdr:row>43</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44</xdr:row>
                    <xdr:rowOff>0</xdr:rowOff>
                  </from>
                  <to>
                    <xdr:col>3</xdr:col>
                    <xdr:colOff>704850</xdr:colOff>
                    <xdr:row>45</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45</xdr:row>
                    <xdr:rowOff>28575</xdr:rowOff>
                  </from>
                  <to>
                    <xdr:col>3</xdr:col>
                    <xdr:colOff>714375</xdr:colOff>
                    <xdr:row>46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45420</v>
      </c>
      <c r="D8" s="74" t="str">
        <f>Facture!$D$16</f>
        <v xml:space="preserve">EAET </v>
      </c>
      <c r="E8" s="71">
        <f>Facture!$D$17</f>
        <v>0</v>
      </c>
      <c r="F8" s="71">
        <f>Facture!$D$18</f>
        <v>0</v>
      </c>
      <c r="G8" s="74" t="str">
        <f>Facture!$F$18</f>
        <v>TUNIS</v>
      </c>
      <c r="H8" s="74" t="str">
        <f>Facture!$I$18</f>
        <v>TN</v>
      </c>
      <c r="I8" s="71">
        <f>Facture!$D$19</f>
        <v>0</v>
      </c>
      <c r="J8" s="75" t="str">
        <f>Facture!$M$47</f>
        <v/>
      </c>
      <c r="K8" s="71" t="str">
        <f>Facture!$L$18</f>
        <v>Houda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2024-05-08T15:29:33Z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