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45" i="3" l="1"/>
  <c r="M33" i="3"/>
  <c r="M34" i="3"/>
  <c r="M35" i="3"/>
  <c r="M36" i="3"/>
  <c r="M37" i="3"/>
  <c r="M38" i="3"/>
  <c r="M39" i="3"/>
  <c r="M40" i="3"/>
  <c r="M41" i="3"/>
  <c r="M42" i="3"/>
  <c r="M48"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<sst xmlns="http://schemas.openxmlformats.org/spreadsheetml/2006/main" count="88" uniqueCount="78">
  <si>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</si>
  <si>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</si>
  <si>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</si>
  <si>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</si>
  <si>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</si>
  <si>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</si>
  <si>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</si>
  <si>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</si>
  <si>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</si>
  <si>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</si>
  <si>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</si>
  <si>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</si>
  <si>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</si>
  <si>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</si>
  <si>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</si>
  <si>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</si>
  <si>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</si>
  <si>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</si>
  <si>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</si>
  <si>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</si>
  <si>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</si>
  <si>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</si>
  <si>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</si>
  <si>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</si>
  <si>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</si>
  <si>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</si>
  <si>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</si>
  <si>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</si>
  <si>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</si>
  <si>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</si>
  <si>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</si>
  <si>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</si>
  <si>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</si>
  <si>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</si>
  <si>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</si>
  <si>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</si>
  <si>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</si>
  <si>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</si>
  <si>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</si>
  <si>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</si>
  <si>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</si>
  <si>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</si>
  <si>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</si>
  <si>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</si>
  <si>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</si>
  <si>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</si>
  <si>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</si>
  <si>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</si>
  <si>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</si>
  <si>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</si>
  <si>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</si>
  <si>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</si>
  <si>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</si>
  <si>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</si>
  <si>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</si>
  <si>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</si>
  <si>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</si>
  <si>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</si>
  <si>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</si>
  <si>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</si>
  <si>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</si>
  <si>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</si>
  <si>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</si>
  <si>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</si>
  <si>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</si>
  <si>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</si>
  <si>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</si>
  <si>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</si>
  <si>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</si>
  <si>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</si>
  <si>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</si>
  <si>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MF:0005381A/P/M/000</t>
  </si>
  <si>
    <t xml:space="preserve">chéque </t>
  </si>
  <si>
    <t>SYNCRONISATION MODULE DE FREINAGE</t>
  </si>
  <si>
    <t>/ SYSTÈME ANTIPANIQUE</t>
  </si>
  <si>
    <t>DEVIS                          N°2024-1242</t>
  </si>
  <si>
    <t>Date : 23/08/2024</t>
  </si>
  <si>
    <t xml:space="preserve">Responsable:service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</si>
</sst>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746125</xdr:colOff>
      <xdr:row>5</xdr:row>
      <xdr:rowOff>63500</xdr:rowOff>
    </xdr:from>
    <xdr:to>
      <xdr:col>12</xdr:col>
      <xdr:colOff>2167491</xdr:colOff>
      <xdr:row>12</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969750" y="730250"/>
          <a:ext cx="1421366" cy="1222375"/>
        </a:xfrm>
        <a:prstGeom prst="rect">
          <a:avLst/>
        </a:prstGeom>
      </xdr:spPr>
    </xdr:pic>
    <xdr:clientData/>
  </xdr:twoCellAnchor>
  <xdr:twoCellAnchor editAs="oneCell">
    <xdr:from>
      <xdr:col>11</xdr:col>
      <xdr:colOff>1825625</xdr:colOff>
      <xdr:row>7</xdr:row>
      <xdr:rowOff>47625</xdr:rowOff>
    </xdr:from>
    <xdr:to>
      <xdr:col>12</xdr:col>
      <xdr:colOff>455360</xdr:colOff>
      <xdr:row>11</xdr:row>
      <xdr:rowOff>151230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64750" y="103187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8"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74" t="s">
        <v>75</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80" t="s">
        <v>63</v>
      </c>
      <c r="F22" s="180"/>
      <c r="G22" s="180"/>
      <c r="H22" s="180"/>
      <c r="I22" s="180"/>
      <c r="J22" s="180"/>
      <c r="K22" s="100"/>
      <c r="L22" s="177" t="s">
        <v>76</v>
      </c>
      <c r="M22" s="177"/>
      <c r="N22" s="52"/>
      <c r="O22" s="9"/>
    </row>
    <row r="23" spans="2:15" ht="33.75" x14ac:dyDescent="0.5">
      <c r="B23" s="7"/>
      <c r="C23" s="3"/>
      <c r="D23" s="99" t="s">
        <v>54</v>
      </c>
      <c r="E23" s="190" t="s">
        <v>65</v>
      </c>
      <c r="F23" s="190"/>
      <c r="G23" s="190"/>
      <c r="H23" s="190"/>
      <c r="I23" s="190"/>
      <c r="J23" s="190"/>
      <c r="K23" s="190"/>
      <c r="L23" s="101" t="s">
        <v>64</v>
      </c>
      <c r="M23" s="101"/>
      <c r="N23" s="53"/>
      <c r="O23" s="9"/>
    </row>
    <row r="24" spans="2:15" ht="33.75" x14ac:dyDescent="0.5">
      <c r="B24" s="7"/>
      <c r="C24" s="3"/>
      <c r="D24" s="99" t="s">
        <v>55</v>
      </c>
      <c r="E24" s="114">
        <v>1053</v>
      </c>
      <c r="F24" s="102" t="s">
        <v>8</v>
      </c>
      <c r="G24" s="191"/>
      <c r="H24" s="191"/>
      <c r="I24" s="103" t="s">
        <v>9</v>
      </c>
      <c r="J24" s="104" t="s">
        <v>58</v>
      </c>
      <c r="K24" s="100"/>
      <c r="L24" s="178" t="s">
        <v>77</v>
      </c>
      <c r="M24" s="178"/>
      <c r="N24" s="3"/>
      <c r="O24" s="9"/>
    </row>
    <row r="25" spans="2:15" ht="33.75" x14ac:dyDescent="0.5">
      <c r="B25" s="7"/>
      <c r="C25" s="3"/>
      <c r="D25" s="99" t="s">
        <v>56</v>
      </c>
      <c r="E25" s="181" t="s">
        <v>66</v>
      </c>
      <c r="F25" s="181"/>
      <c r="G25" s="181"/>
      <c r="H25" s="181"/>
      <c r="I25" s="181"/>
      <c r="J25" s="181"/>
      <c r="K25" s="100"/>
      <c r="L25" s="179" t="s">
        <v>71</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2" t="s">
        <v>23</v>
      </c>
      <c r="G27" s="193"/>
      <c r="H27" s="193"/>
      <c r="I27" s="193"/>
      <c r="J27" s="193"/>
      <c r="K27" s="194"/>
      <c r="L27" s="89" t="s">
        <v>24</v>
      </c>
      <c r="M27" s="90" t="s">
        <v>25</v>
      </c>
      <c r="N27" s="91"/>
      <c r="O27" s="9"/>
    </row>
    <row r="28" spans="2:15" ht="18" x14ac:dyDescent="0.25">
      <c r="B28" s="7"/>
      <c r="C28" s="3"/>
      <c r="D28" s="155"/>
      <c r="E28" s="155"/>
      <c r="F28" s="161"/>
      <c r="G28" s="156"/>
      <c r="H28" s="156"/>
      <c r="I28" s="156"/>
      <c r="J28" s="156"/>
      <c r="K28" s="156"/>
      <c r="L28" s="155"/>
      <c r="M28" s="157"/>
      <c r="N28" s="91"/>
      <c r="O28" s="9"/>
    </row>
    <row r="29" spans="2:15" ht="18" x14ac:dyDescent="0.25">
      <c r="B29" s="7"/>
      <c r="C29" s="3"/>
      <c r="D29" s="155"/>
      <c r="E29" s="155"/>
      <c r="F29" s="160"/>
      <c r="G29" s="156"/>
      <c r="H29" s="156"/>
      <c r="I29" s="156"/>
      <c r="J29" s="156"/>
      <c r="K29" s="156"/>
      <c r="L29" s="155"/>
      <c r="M29" s="157"/>
      <c r="N29" s="91"/>
      <c r="O29" s="9"/>
    </row>
    <row r="30" spans="2:15" ht="18" x14ac:dyDescent="0.25">
      <c r="B30" s="7"/>
      <c r="C30" s="3"/>
      <c r="D30" s="155"/>
      <c r="E30" s="155"/>
      <c r="F30" s="160"/>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t="s">
        <v>70</v>
      </c>
      <c r="E32" s="154">
        <v>1</v>
      </c>
      <c r="F32" s="162" t="s">
        <v>67</v>
      </c>
      <c r="G32" s="162"/>
      <c r="H32" s="162"/>
      <c r="I32" s="162"/>
      <c r="J32" s="162"/>
      <c r="K32" s="162"/>
      <c r="L32" s="109">
        <v>935</v>
      </c>
      <c r="M32" s="115">
        <f t="shared" ref="M32:M42" si="0">IF(E32&lt;&gt;"",E32*L32,"")</f>
        <v>935</v>
      </c>
      <c r="N32" s="54"/>
      <c r="O32" s="9"/>
    </row>
    <row r="33" spans="2:15" ht="30" x14ac:dyDescent="0.4">
      <c r="B33" s="7"/>
      <c r="C33" s="3"/>
      <c r="D33" s="126"/>
      <c r="E33" s="107"/>
      <c r="F33" s="162" t="s">
        <v>73</v>
      </c>
      <c r="G33" s="162"/>
      <c r="H33" s="162"/>
      <c r="I33" s="162"/>
      <c r="J33" s="162"/>
      <c r="K33" s="162"/>
      <c r="L33" s="110"/>
      <c r="M33" s="115" t="str">
        <f t="shared" si="0"/>
        <v/>
      </c>
      <c r="N33" s="54"/>
      <c r="O33" s="9"/>
    </row>
    <row r="34" spans="2:15" ht="30" x14ac:dyDescent="0.4">
      <c r="B34" s="7"/>
      <c r="C34" s="3"/>
      <c r="D34" s="126"/>
      <c r="E34" s="107"/>
      <c r="F34" s="162" t="s">
        <v>74</v>
      </c>
      <c r="G34" s="162"/>
      <c r="H34" s="162"/>
      <c r="I34" s="162"/>
      <c r="J34" s="162"/>
      <c r="K34" s="162"/>
      <c r="L34" s="110"/>
      <c r="M34" s="115" t="str">
        <f t="shared" si="0"/>
        <v/>
      </c>
      <c r="N34" s="54"/>
      <c r="O34" s="9"/>
    </row>
    <row r="35" spans="2:15" ht="30" x14ac:dyDescent="0.4">
      <c r="B35" s="7"/>
      <c r="C35" s="3"/>
      <c r="D35" s="126"/>
      <c r="E35" s="107"/>
      <c r="F35" s="162" t="s">
        <v>68</v>
      </c>
      <c r="G35" s="162"/>
      <c r="H35" s="162"/>
      <c r="I35" s="162"/>
      <c r="J35" s="162"/>
      <c r="K35" s="162"/>
      <c r="L35" s="110"/>
      <c r="M35" s="115" t="str">
        <f t="shared" si="0"/>
        <v/>
      </c>
      <c r="N35" s="54"/>
      <c r="O35" s="9"/>
    </row>
    <row r="36" spans="2:15" ht="30" x14ac:dyDescent="0.4">
      <c r="B36" s="7"/>
      <c r="C36" s="3"/>
      <c r="D36" s="126"/>
      <c r="E36" s="107"/>
      <c r="F36" s="163" t="s">
        <v>69</v>
      </c>
      <c r="G36" s="162"/>
      <c r="H36" s="162"/>
      <c r="I36" s="164"/>
      <c r="J36" s="164"/>
      <c r="K36" s="165"/>
      <c r="L36" s="110"/>
      <c r="M36" s="115" t="str">
        <f t="shared" si="0"/>
        <v/>
      </c>
      <c r="N36" s="54"/>
      <c r="O36" s="9"/>
    </row>
    <row r="37" spans="2:15" ht="30" x14ac:dyDescent="0.4">
      <c r="B37" s="7"/>
      <c r="C37" s="3"/>
      <c r="D37" s="126"/>
      <c r="E37" s="107"/>
      <c r="F37" s="158"/>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83"/>
      <c r="G40" s="184"/>
      <c r="H40" s="184"/>
      <c r="I40" s="184"/>
      <c r="J40" s="184"/>
      <c r="K40" s="185"/>
      <c r="L40" s="153"/>
      <c r="M40" s="115" t="str">
        <f t="shared" si="0"/>
        <v/>
      </c>
      <c r="N40" s="93"/>
      <c r="O40" s="9"/>
    </row>
    <row r="41" spans="2:15" ht="30" x14ac:dyDescent="0.4">
      <c r="B41" s="7"/>
      <c r="C41" s="3"/>
      <c r="D41" s="126"/>
      <c r="E41" s="108"/>
      <c r="F41" s="128"/>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9"/>
      <c r="H43" s="139"/>
      <c r="I43" s="139"/>
      <c r="J43" s="139"/>
      <c r="K43" s="124"/>
      <c r="L43" s="110"/>
      <c r="M43" s="115"/>
      <c r="N43" s="54"/>
      <c r="O43" s="9"/>
    </row>
    <row r="44" spans="2:15" ht="30" customHeight="1" x14ac:dyDescent="0.25">
      <c r="B44" s="7"/>
      <c r="C44" s="3"/>
      <c r="D44" s="149"/>
      <c r="E44" s="141"/>
      <c r="F44" s="186"/>
      <c r="G44" s="187"/>
      <c r="H44" s="187"/>
      <c r="I44" s="187"/>
      <c r="J44" s="187"/>
      <c r="K44" s="188"/>
      <c r="L44" s="150"/>
      <c r="M44" s="140"/>
      <c r="N44" s="54"/>
      <c r="O44" s="9"/>
    </row>
    <row r="45" spans="2:15" ht="35.25" x14ac:dyDescent="0.5">
      <c r="B45" s="7"/>
      <c r="C45" s="3"/>
      <c r="D45" s="85"/>
      <c r="E45" s="94"/>
      <c r="F45" s="132"/>
      <c r="G45" s="129"/>
      <c r="H45" s="129"/>
      <c r="I45" s="129"/>
      <c r="J45" s="130"/>
      <c r="K45" s="131"/>
      <c r="L45" s="134" t="s">
        <v>26</v>
      </c>
      <c r="M45" s="142">
        <f>SUM(M32:M44)</f>
        <v>935</v>
      </c>
      <c r="N45" s="54"/>
      <c r="O45" s="9"/>
    </row>
    <row r="46" spans="2:15" ht="35.25" x14ac:dyDescent="0.5">
      <c r="B46" s="7"/>
      <c r="C46" s="3"/>
      <c r="D46" s="98"/>
      <c r="E46" s="166" t="s">
        <v>57</v>
      </c>
      <c r="F46" s="77"/>
      <c r="G46" s="77"/>
      <c r="H46" s="77"/>
      <c r="I46" s="77"/>
      <c r="J46" s="78"/>
      <c r="K46" s="92"/>
      <c r="L46" s="133" t="s">
        <v>47</v>
      </c>
      <c r="M46" s="105">
        <v>1</v>
      </c>
      <c r="N46" s="54"/>
      <c r="O46" s="9"/>
    </row>
    <row r="47" spans="2:15" ht="35.25" x14ac:dyDescent="0.5">
      <c r="B47" s="7"/>
      <c r="C47" s="3"/>
      <c r="D47" s="85"/>
      <c r="E47" s="97" t="s">
        <v>72</v>
      </c>
      <c r="F47" s="95"/>
      <c r="G47" s="82"/>
      <c r="H47" s="81"/>
      <c r="I47" s="77"/>
      <c r="J47" s="83"/>
      <c r="K47" s="92"/>
      <c r="L47" s="135">
        <v>0.19</v>
      </c>
      <c r="M47" s="105"/>
      <c r="N47" s="54"/>
      <c r="O47" s="9"/>
    </row>
    <row r="48" spans="2:15" ht="35.25" x14ac:dyDescent="0.5">
      <c r="B48" s="7"/>
      <c r="C48" s="3"/>
      <c r="D48" s="76"/>
      <c r="E48" s="86"/>
      <c r="F48" s="96"/>
      <c r="G48" s="77"/>
      <c r="H48" s="64"/>
      <c r="I48" s="77"/>
      <c r="J48" s="84" t="s">
        <v>27</v>
      </c>
      <c r="K48" s="78"/>
      <c r="L48" s="106" t="s">
        <v>28</v>
      </c>
      <c r="M48" s="105">
        <f>SUM(M45:M47)</f>
        <v>936</v>
      </c>
      <c r="N48" s="54"/>
      <c r="O48" s="9"/>
    </row>
    <row r="49" spans="1:16" ht="20.25" x14ac:dyDescent="0.3">
      <c r="B49" s="7"/>
      <c r="C49" s="3"/>
      <c r="D49" s="195"/>
      <c r="E49" s="195"/>
      <c r="F49" s="195"/>
      <c r="G49" s="195"/>
      <c r="H49" s="195"/>
      <c r="I49" s="195"/>
      <c r="J49" s="195"/>
      <c r="K49" s="195"/>
      <c r="L49" s="195"/>
      <c r="M49" s="125"/>
      <c r="N49" s="54"/>
      <c r="O49" s="9"/>
    </row>
    <row r="50" spans="1:16" ht="26.25" x14ac:dyDescent="0.4">
      <c r="B50" s="7"/>
      <c r="C50" s="3"/>
      <c r="D50" s="196"/>
      <c r="E50" s="196"/>
      <c r="F50" s="196"/>
      <c r="G50" s="196"/>
      <c r="H50" s="196"/>
      <c r="I50" s="196"/>
      <c r="J50" s="196"/>
      <c r="K50" s="196"/>
      <c r="L50" s="196"/>
      <c r="M50" s="120"/>
      <c r="N50" s="54"/>
      <c r="O50" s="9"/>
    </row>
    <row r="51" spans="1:16" ht="26.25" x14ac:dyDescent="0.4">
      <c r="B51" s="7"/>
      <c r="C51" s="3"/>
      <c r="D51" s="76"/>
      <c r="E51" s="76"/>
      <c r="F51" s="138"/>
      <c r="G51" s="147"/>
      <c r="H51" s="147"/>
      <c r="I51" s="147"/>
      <c r="J51" s="80"/>
      <c r="K51" s="119"/>
      <c r="L51" s="159" t="s">
        <v>62</v>
      </c>
      <c r="M51" s="159"/>
      <c r="N51" s="112"/>
      <c r="O51" s="9"/>
    </row>
    <row r="52" spans="1:16" ht="23.25" x14ac:dyDescent="0.25">
      <c r="B52" s="7"/>
      <c r="C52" s="3"/>
      <c r="D52" s="76"/>
      <c r="E52" s="76"/>
      <c r="F52" s="148"/>
      <c r="G52" s="189"/>
      <c r="H52" s="189"/>
      <c r="I52" s="189"/>
      <c r="J52" s="80"/>
      <c r="K52" s="119"/>
      <c r="L52" s="112"/>
      <c r="M52" s="112"/>
      <c r="N52" s="112"/>
      <c r="O52" s="9"/>
    </row>
    <row r="53" spans="1:16" ht="23.25" x14ac:dyDescent="0.2">
      <c r="B53" s="7"/>
      <c r="C53" s="3"/>
      <c r="D53" s="76"/>
      <c r="E53" s="76"/>
      <c r="F53" s="79"/>
      <c r="G53" s="78"/>
      <c r="H53" s="78"/>
      <c r="I53" s="78"/>
      <c r="J53" s="80"/>
      <c r="K53" s="119"/>
      <c r="L53" s="112"/>
      <c r="M53" s="112"/>
      <c r="N53" s="112"/>
      <c r="O53" s="9"/>
    </row>
    <row r="54" spans="1:16" ht="15" x14ac:dyDescent="0.2">
      <c r="B54" s="7"/>
      <c r="C54" s="3"/>
      <c r="D54" s="76"/>
      <c r="E54" s="76"/>
      <c r="F54" s="78"/>
      <c r="G54" s="78"/>
      <c r="H54" s="78"/>
      <c r="I54" s="78"/>
      <c r="J54" s="80"/>
      <c r="K54" s="112"/>
      <c r="L54" s="112"/>
      <c r="M54" s="112"/>
      <c r="N54" s="54"/>
      <c r="O54" s="9"/>
    </row>
    <row r="55" spans="1:16" ht="20.25" x14ac:dyDescent="0.3">
      <c r="B55" s="7"/>
      <c r="C55" s="3"/>
      <c r="D55" s="116" t="s">
        <v>59</v>
      </c>
      <c r="E55" s="117"/>
      <c r="F55" s="78"/>
      <c r="G55" s="78"/>
      <c r="H55" s="78"/>
      <c r="I55" s="78"/>
      <c r="J55" s="80"/>
      <c r="K55" s="87"/>
      <c r="L55" s="87"/>
      <c r="M55" s="88"/>
      <c r="N55" s="54"/>
      <c r="O55" s="143"/>
      <c r="P55" s="144"/>
    </row>
    <row r="56" spans="1:16" ht="20.25" x14ac:dyDescent="0.3">
      <c r="B56" s="7"/>
      <c r="C56" s="3"/>
      <c r="D56" s="118" t="s">
        <v>60</v>
      </c>
      <c r="E56" s="118"/>
      <c r="F56" s="78"/>
      <c r="G56" s="78"/>
      <c r="H56" s="78"/>
      <c r="I56" s="78"/>
      <c r="J56" s="80"/>
      <c r="K56" s="87"/>
      <c r="L56" s="87"/>
      <c r="M56" s="87"/>
      <c r="N56" s="91"/>
      <c r="O56" s="145"/>
      <c r="P56" s="146"/>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82" t="s">
        <v>52</v>
      </c>
      <c r="E58" s="182"/>
      <c r="F58" s="182"/>
      <c r="G58" s="182"/>
      <c r="H58" s="182"/>
      <c r="I58" s="182"/>
      <c r="J58" s="182"/>
      <c r="K58" s="182"/>
      <c r="L58" s="182"/>
      <c r="M58" s="87"/>
      <c r="N58" s="91"/>
      <c r="O58" s="9"/>
    </row>
    <row r="59" spans="1:16" ht="15" customHeight="1" x14ac:dyDescent="0.2">
      <c r="B59" s="7"/>
      <c r="C59" s="3"/>
      <c r="D59" s="182"/>
      <c r="E59" s="182"/>
      <c r="F59" s="182"/>
      <c r="G59" s="182"/>
      <c r="H59" s="182"/>
      <c r="I59" s="182"/>
      <c r="J59" s="182"/>
      <c r="K59" s="182"/>
      <c r="L59" s="182"/>
      <c r="M59" s="88"/>
      <c r="N59" s="54"/>
      <c r="O59" s="9"/>
    </row>
    <row r="60" spans="1:16" ht="20.100000000000001" customHeight="1" x14ac:dyDescent="0.2">
      <c r="B60" s="7"/>
      <c r="C60" s="3"/>
      <c r="D60" s="182"/>
      <c r="E60" s="182"/>
      <c r="F60" s="182"/>
      <c r="G60" s="182"/>
      <c r="H60" s="182"/>
      <c r="I60" s="182"/>
      <c r="J60" s="182"/>
      <c r="K60" s="182"/>
      <c r="L60" s="182"/>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F40:K40"/>
    <mergeCell ref="F44:K44"/>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23/08/2024</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2023-07-11T08:46:31Z</cp:lastPrinted>
  <dcterms:created xsi:type="dcterms:W3CDTF">1995-05-29T15:50:39Z</dcterms:created>
  <dcterms:modified xsi:type="dcterms:W3CDTF">2024-08-23T11:41:08Z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