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Facture!$K$52</definedName>
    <definedName name="_Tax3">Facture!$K$54</definedName>
    <definedName name="_tax4">Facture!$K$54</definedName>
    <definedName name="_xlnm.Auto_Open21">AutoOpen_Stub_Data!$A$1</definedName>
    <definedName name="boxes">Facture!$C$52:$C$53</definedName>
    <definedName name="CC">Personnaliser_votre_facture!$G$22:$G$25</definedName>
    <definedName name="CCT">Facture!$F$54</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Facture!$D$22</definedName>
    <definedName name="data60">Facture!$D$49</definedName>
    <definedName name="data61">Facture!$K$49</definedName>
    <definedName name="data62">Facture!$C$52</definedName>
    <definedName name="data63">Facture!$C$53</definedName>
    <definedName name="data64">Facture!$C$54</definedName>
    <definedName name="data65">Facture!$F$53</definedName>
    <definedName name="data66">Facture!$D$57</definedName>
    <definedName name="data67">Facture!$D$58</definedName>
    <definedName name="data68">Facture!$E$62</definedName>
    <definedName name="data69">Facture!$I$62</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Facture!$D$49:$I$49</definedName>
    <definedName name="qzqzqz26">Facture!$D$57:$G$57</definedName>
    <definedName name="qzqzqz27">Facture!#REF!</definedName>
    <definedName name="qzqzqz28">Facture!$D$58:$G$58</definedName>
    <definedName name="qzqzqz29">Facture!$I$62:$L$62</definedName>
    <definedName name="qzqzqz3">Facture!$C$22:$H$22</definedName>
    <definedName name="qzqzqz30">Facture!$E$62:$G$62</definedName>
    <definedName name="qzqzqz31">Facture!$E$62:$F$62</definedName>
    <definedName name="qzqzqz32">Facture!$I$58:$L$62</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Facture!$L$53</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Facture!$A$3:$M$67</definedName>
  </definedNames>
  <calcPr calcId="152511"/>
</workbook>
</file>

<file path=xl/calcChain.xml><?xml version="1.0" encoding="utf-8"?>
<calcChain xmlns="http://schemas.openxmlformats.org/spreadsheetml/2006/main">
  <c r="L46" i="3" l="1"/>
  <c r="L28" i="3"/>
  <c r="L29" i="3"/>
  <c r="L30" i="3"/>
  <c r="L31" i="3"/>
  <c r="L32" i="3"/>
  <c r="L33" i="3"/>
  <c r="L34" i="3"/>
  <c r="L35" i="3"/>
  <c r="L36" i="3"/>
  <c r="L37" i="3"/>
  <c r="L38" i="3"/>
  <c r="L39" i="3"/>
  <c r="L40" i="3"/>
  <c r="L41" i="3"/>
  <c r="L42" i="3"/>
  <c r="L43" i="3"/>
  <c r="L44" i="3"/>
  <c r="L45" i="3"/>
  <c r="K8" i="5" l="1"/>
  <c r="I8" i="5"/>
  <c r="H8" i="5"/>
  <c r="G8" i="5"/>
  <c r="F8" i="5"/>
  <c r="E8" i="5"/>
  <c r="D8" i="5"/>
  <c r="C8" i="5"/>
  <c r="B8" i="5"/>
  <c r="F33" i="2"/>
  <c r="L49" i="3"/>
  <c r="L27" i="3"/>
  <c r="L50" i="3" s="1"/>
  <c r="L52" i="3" l="1"/>
  <c r="L53"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51"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<sst xmlns="http://schemas.openxmlformats.org/spreadsheetml/2006/main" count="102" uniqueCount="85">
  <si>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</si>
  <si>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</si>
  <si>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</si>
  <si>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</si>
  <si>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</si>
  <si>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</si>
  <si>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</si>
  <si>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</si>
  <si>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</si>
  <si>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</si>
  <si>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</si>
  <si>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</si>
  <si>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</si>
  <si>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</si>
  <si>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</si>
  <si>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</si>
  <si>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</si>
  <si>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</si>
  <si>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</si>
  <si>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</si>
  <si>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</si>
  <si>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</si>
  <si>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</si>
  <si>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</si>
  <si>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</si>
  <si>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</si>
  <si>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</si>
  <si>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Date</t>
  </si>
  <si>
    <t xml:space="preserve">Commande N°:             </t>
  </si>
  <si>
    <t>TN</t>
  </si>
  <si>
    <t>Responsable</t>
  </si>
  <si>
    <t>Téléphone</t>
  </si>
  <si>
    <t>MF</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</si>
  <si>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</si>
  <si>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</si>
  <si>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</si>
  <si>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</si>
  <si>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</si>
  <si>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</si>
  <si>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</si>
  <si>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</si>
  <si>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</si>
  <si>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</si>
  <si>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</si>
  <si>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</si>
  <si>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</si>
  <si>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</si>
  <si>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</si>
  <si>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</si>
  <si>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</si>
  <si>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</si>
  <si>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</si>
  <si>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</si>
  <si>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</si>
  <si>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</si>
  <si>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</si>
  <si>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</si>
  <si>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</si>
  <si>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</si>
  <si>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</si>
  <si>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</si>
  <si>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</si>
  <si>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</si>
  <si>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</si>
  <si>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harnais d'escalade :FALCON MOUNTAIN PETZL ultralight seat harness designed for rescue interventions with climbing technique</t>
  </si>
  <si>
    <t>mousqueton à vis</t>
  </si>
  <si>
    <t>Grigri descender</t>
  </si>
  <si>
    <t>casque : ALPIN helmet for work at height. With chin strap and quilted adjustment for the craneal perimeter</t>
  </si>
  <si>
    <t>corde dynamique (60m) 10.1 mm</t>
  </si>
  <si>
    <t>Dégaine SPIRIT EXPRESS</t>
  </si>
  <si>
    <t xml:space="preserve">Longe simple réglable pour l'escalade </t>
  </si>
  <si>
    <t>kit speleo 45 litres</t>
  </si>
  <si>
    <t>Bloquer poignée</t>
  </si>
  <si>
    <t>Bloquer ventrale</t>
  </si>
  <si>
    <t>corde semi statique 200m</t>
  </si>
  <si>
    <t>Descendeur :Descender I´D S self-braking descender for rescue, with anti-panic function</t>
  </si>
  <si>
    <t>Torse : Top harness CHEST'AIR for FALCOM PETZL seat harness</t>
  </si>
  <si>
    <t>Harnais de spéléologie</t>
  </si>
  <si>
    <t>DEMI ROND</t>
  </si>
  <si>
    <t xml:space="preserve">Longe double asymétrique pour la spéléologie </t>
  </si>
  <si>
    <t xml:space="preserve">frais de livraison </t>
  </si>
  <si>
    <t xml:space="preserve">LEADERS INTERNATIONAL TRANS-TUNISIA </t>
  </si>
  <si>
    <t xml:space="preserve">AV DE LA BOURSE LES JARDINS DU LAC </t>
  </si>
  <si>
    <t>DEVIS  N°  2024-074</t>
  </si>
  <si>
    <t>1824883K/N/N/000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</si>
</sst>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1">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0"/>
      <color theme="1"/>
      <name val="Arial"/>
      <family val="2"/>
    </font>
    <font>
      <b/>
      <sz val="10"/>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4">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right style="thin">
        <color rgb="FF000000"/>
      </right>
      <top style="thin">
        <color rgb="FF000000"/>
      </top>
      <bottom/>
      <diagonal/>
    </border>
    <border>
      <left/>
      <right style="thin">
        <color rgb="FF000000"/>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5" fillId="3" borderId="34" xfId="0" applyFont="1" applyFill="1" applyBorder="1" applyAlignment="1">
      <alignment horizontal="left"/>
    </xf>
    <xf numFmtId="164" fontId="14" fillId="0" borderId="35" xfId="0" applyNumberFormat="1" applyFont="1" applyFill="1" applyBorder="1"/>
    <xf numFmtId="0" fontId="15" fillId="3" borderId="34" xfId="0" applyFont="1" applyFill="1" applyBorder="1" applyAlignment="1">
      <alignment horizontal="center"/>
    </xf>
    <xf numFmtId="0" fontId="14" fillId="3" borderId="0" xfId="0" applyFont="1" applyFill="1" applyAlignment="1"/>
    <xf numFmtId="0" fontId="0" fillId="3" borderId="35" xfId="0" applyFill="1" applyBorder="1" applyAlignment="1">
      <alignment horizontal="center"/>
    </xf>
    <xf numFmtId="0" fontId="15" fillId="3" borderId="38" xfId="0" applyFont="1" applyFill="1" applyBorder="1" applyAlignment="1">
      <alignment horizontal="left"/>
    </xf>
    <xf numFmtId="0" fontId="0" fillId="3" borderId="39" xfId="0" applyFill="1" applyBorder="1" applyAlignment="1">
      <alignment horizontal="center"/>
    </xf>
    <xf numFmtId="0" fontId="14" fillId="3" borderId="40" xfId="0" applyFont="1" applyFill="1" applyBorder="1" applyAlignment="1"/>
    <xf numFmtId="0" fontId="14" fillId="3" borderId="0" xfId="0" applyFont="1" applyFill="1"/>
    <xf numFmtId="0" fontId="14" fillId="3" borderId="33" xfId="0" applyFont="1" applyFill="1" applyBorder="1" applyAlignment="1">
      <alignment horizontal="right"/>
    </xf>
    <xf numFmtId="0" fontId="15" fillId="3" borderId="33" xfId="0" applyFont="1" applyFill="1" applyBorder="1" applyAlignment="1">
      <alignment horizontal="right"/>
    </xf>
    <xf numFmtId="164" fontId="14" fillId="0" borderId="33" xfId="0" applyNumberFormat="1" applyFont="1" applyFill="1" applyBorder="1"/>
    <xf numFmtId="165" fontId="0" fillId="3" borderId="0" xfId="0" applyNumberFormat="1" applyFill="1"/>
    <xf numFmtId="0" fontId="14" fillId="3" borderId="0" xfId="0" applyFont="1" applyFill="1" applyAlignment="1">
      <alignment horizontal="right"/>
    </xf>
    <xf numFmtId="10" fontId="14" fillId="0" borderId="33" xfId="0" applyNumberFormat="1" applyFont="1" applyFill="1" applyBorder="1" applyAlignment="1">
      <alignment horizontal="center"/>
    </xf>
    <xf numFmtId="0" fontId="0" fillId="3" borderId="0" xfId="0" applyFill="1" applyAlignment="1">
      <alignment vertical="top"/>
    </xf>
    <xf numFmtId="9" fontId="16" fillId="3" borderId="0" xfId="0" applyNumberFormat="1" applyFont="1" applyFill="1"/>
    <xf numFmtId="0" fontId="16" fillId="3" borderId="33" xfId="0" applyFont="1" applyFill="1" applyBorder="1" applyAlignment="1">
      <alignment horizontal="right"/>
    </xf>
    <xf numFmtId="10" fontId="14" fillId="3" borderId="0" xfId="0" applyNumberFormat="1" applyFont="1" applyFill="1" applyAlignment="1">
      <alignment horizontal="center"/>
    </xf>
    <xf numFmtId="164" fontId="14" fillId="3" borderId="0" xfId="0" applyNumberFormat="1" applyFont="1" applyFill="1"/>
    <xf numFmtId="0" fontId="17" fillId="3" borderId="0" xfId="0" applyFont="1" applyFill="1" applyAlignment="1">
      <alignment vertical="top"/>
    </xf>
    <xf numFmtId="0" fontId="16" fillId="0" borderId="0" xfId="0" applyFont="1" applyFill="1"/>
    <xf numFmtId="0" fontId="6" fillId="3" borderId="0" xfId="0" applyFont="1" applyFill="1" applyAlignment="1">
      <alignment horizontal="left"/>
    </xf>
    <xf numFmtId="49" fontId="14" fillId="3" borderId="0" xfId="0" applyNumberFormat="1" applyFont="1" applyFill="1" applyAlignment="1"/>
    <xf numFmtId="0" fontId="18" fillId="3" borderId="0" xfId="0" applyFont="1" applyFill="1" applyAlignment="1">
      <alignment vertical="center" wrapText="1"/>
    </xf>
    <xf numFmtId="0" fontId="18" fillId="3" borderId="41" xfId="0" applyFont="1" applyFill="1" applyBorder="1" applyAlignment="1">
      <alignment horizontal="center" vertical="center" wrapText="1"/>
    </xf>
    <xf numFmtId="0" fontId="18"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16" fillId="3" borderId="0" xfId="0" applyFont="1" applyFill="1" applyAlignment="1">
      <alignment horizontal="left"/>
    </xf>
    <xf numFmtId="0" fontId="0" fillId="3" borderId="0" xfId="0" applyFill="1"/>
    <xf numFmtId="0" fontId="19" fillId="3" borderId="34" xfId="0" applyFont="1" applyFill="1" applyBorder="1"/>
    <xf numFmtId="164" fontId="13" fillId="0" borderId="33" xfId="0" applyNumberFormat="1" applyFont="1" applyFill="1" applyBorder="1"/>
    <xf numFmtId="164" fontId="8" fillId="0" borderId="33" xfId="0" applyNumberFormat="1" applyFont="1" applyFill="1" applyBorder="1"/>
    <xf numFmtId="49" fontId="19" fillId="0" borderId="34" xfId="0" applyNumberFormat="1" applyFont="1" applyFill="1" applyBorder="1" applyAlignment="1"/>
    <xf numFmtId="0" fontId="8" fillId="3" borderId="35" xfId="0" applyFont="1" applyFill="1" applyBorder="1" applyAlignment="1">
      <alignment horizontal="center"/>
    </xf>
    <xf numFmtId="0" fontId="19" fillId="3" borderId="0" xfId="0" applyFont="1" applyFill="1"/>
    <xf numFmtId="0" fontId="19" fillId="3" borderId="0" xfId="0" applyFont="1" applyFill="1" applyAlignment="1">
      <alignment horizontal="left"/>
    </xf>
    <xf numFmtId="0" fontId="19" fillId="3" borderId="0" xfId="0" applyFont="1" applyFill="1" applyAlignment="1"/>
    <xf numFmtId="49" fontId="20" fillId="0" borderId="34"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19" fillId="3" borderId="34" xfId="0" applyFont="1" applyFill="1" applyBorder="1" applyAlignment="1">
      <alignment horizontal="left" vertical="top" wrapText="1"/>
    </xf>
    <xf numFmtId="0" fontId="19" fillId="3" borderId="0" xfId="0" applyFont="1" applyFill="1" applyBorder="1" applyAlignment="1">
      <alignment horizontal="left" vertical="top" wrapText="1"/>
    </xf>
    <xf numFmtId="0" fontId="19" fillId="3" borderId="43" xfId="0" applyFont="1" applyFill="1" applyBorder="1" applyAlignment="1">
      <alignment horizontal="left" vertical="top" wrapText="1"/>
    </xf>
    <xf numFmtId="0" fontId="0" fillId="3" borderId="41" xfId="0" applyFill="1" applyBorder="1"/>
    <xf numFmtId="0" fontId="15"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8" xfId="0" applyFill="1" applyBorder="1"/>
    <xf numFmtId="0" fontId="16" fillId="3" borderId="0" xfId="0" applyFont="1" applyFill="1" applyAlignment="1">
      <alignment shrinkToFit="1"/>
    </xf>
    <xf numFmtId="49" fontId="14" fillId="3" borderId="0" xfId="0" applyNumberFormat="1" applyFont="1" applyFill="1" applyAlignment="1">
      <alignment horizontal="center"/>
    </xf>
    <xf numFmtId="0" fontId="14" fillId="3" borderId="6" xfId="0" applyFont="1" applyFill="1" applyBorder="1" applyAlignment="1">
      <alignment horizontal="center" vertical="center"/>
    </xf>
    <xf numFmtId="49" fontId="19" fillId="0" borderId="34" xfId="0" applyNumberFormat="1" applyFont="1" applyFill="1" applyBorder="1" applyAlignment="1">
      <alignment horizontal="left" vertical="top" wrapText="1" shrinkToFit="1"/>
    </xf>
    <xf numFmtId="49" fontId="19" fillId="0" borderId="0" xfId="0" applyNumberFormat="1" applyFont="1" applyFill="1" applyBorder="1" applyAlignment="1">
      <alignment horizontal="left" vertical="top" shrinkToFit="1"/>
    </xf>
    <xf numFmtId="0" fontId="19" fillId="3" borderId="36" xfId="0" applyFont="1" applyFill="1" applyBorder="1" applyAlignment="1">
      <alignment horizontal="left" vertical="top" wrapText="1"/>
    </xf>
    <xf numFmtId="0" fontId="19" fillId="3" borderId="37" xfId="0" applyFont="1" applyFill="1" applyBorder="1" applyAlignment="1">
      <alignment horizontal="left" vertical="top" wrapText="1"/>
    </xf>
    <xf numFmtId="0" fontId="19" fillId="3" borderId="42" xfId="0" applyFont="1" applyFill="1" applyBorder="1" applyAlignment="1">
      <alignment horizontal="left" vertical="top" wrapText="1"/>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3" fillId="3" borderId="30" xfId="0" applyNumberFormat="1" applyFont="1" applyFill="1" applyBorder="1" applyAlignment="1"/>
    <xf numFmtId="14" fontId="14"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7" t="s">
        <v>0</v>
      </c>
      <c r="E4" s="117"/>
      <c r="F4" s="11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8" t="s">
        <v>3</v>
      </c>
      <c r="E10" s="11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8" t="s">
        <v>15</v>
      </c>
      <c r="E19" s="11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9" t="str">
        <f>LOWER(TemplateInformation!B3)</f>
        <v>c:\program files\microsoft office\office\macrolib\factbd.xls</v>
      </c>
      <c r="G33" s="11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8" t="s">
        <v>24</v>
      </c>
      <c r="E36" s="11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8"/>
  <sheetViews>
    <sheetView tabSelected="1" topLeftCell="A4" workbookViewId="0">
      <selection activeCell="K23" sqref="K23:L23"/>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39"/>
      <c r="L9" s="139"/>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40" t="s">
        <v>26</v>
      </c>
      <c r="L13" s="140"/>
      <c r="M13" s="5"/>
      <c r="N13" s="6"/>
    </row>
    <row r="14" spans="1:14">
      <c r="A14" s="5"/>
      <c r="B14" s="5"/>
      <c r="C14" s="5"/>
      <c r="D14" s="5"/>
      <c r="E14" s="5"/>
      <c r="F14" s="139"/>
      <c r="G14" s="139"/>
      <c r="H14" s="139"/>
      <c r="I14" s="139"/>
      <c r="J14" s="139"/>
      <c r="K14" s="5"/>
      <c r="L14" s="5"/>
      <c r="M14" s="5"/>
      <c r="N14" s="6"/>
    </row>
    <row r="15" spans="1:14" ht="20.100000000000001" customHeight="1">
      <c r="A15" s="5"/>
      <c r="B15" s="5"/>
      <c r="C15" s="5"/>
      <c r="D15" s="5"/>
      <c r="E15" s="5"/>
      <c r="F15" s="139"/>
      <c r="G15" s="139"/>
      <c r="H15" s="139"/>
      <c r="I15" s="139"/>
      <c r="J15" s="139"/>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41" t="s">
        <v>83</v>
      </c>
      <c r="L17" s="141"/>
      <c r="M17" s="5"/>
      <c r="N17" s="6"/>
    </row>
    <row r="18" spans="1:14" ht="20.25" thickTop="1" thickBot="1">
      <c r="A18" s="5"/>
      <c r="B18" s="8"/>
      <c r="C18" s="8"/>
      <c r="D18" s="8"/>
      <c r="E18" s="8"/>
      <c r="F18" s="8"/>
      <c r="G18" s="8"/>
      <c r="H18" s="61"/>
      <c r="I18" s="61"/>
      <c r="J18" s="61"/>
      <c r="K18" s="141"/>
      <c r="L18" s="141"/>
      <c r="M18" s="10"/>
      <c r="N18" s="6"/>
    </row>
    <row r="19" spans="1:14" ht="13.5" thickBot="1">
      <c r="A19" s="5"/>
      <c r="B19" s="5"/>
      <c r="C19" s="5"/>
      <c r="D19" s="5"/>
      <c r="E19" s="5"/>
      <c r="F19" s="5"/>
      <c r="G19" s="5"/>
      <c r="H19" s="5"/>
      <c r="I19" s="5"/>
      <c r="J19" s="5"/>
      <c r="K19" s="141"/>
      <c r="L19" s="141"/>
      <c r="M19" s="5"/>
      <c r="N19" s="6"/>
    </row>
    <row r="20" spans="1:14">
      <c r="A20" s="5"/>
      <c r="B20" s="5"/>
      <c r="C20" s="5"/>
      <c r="D20" s="5"/>
      <c r="E20" s="5"/>
      <c r="F20" s="5"/>
      <c r="G20" s="5"/>
      <c r="H20" s="5"/>
      <c r="I20" s="5"/>
      <c r="J20" s="5"/>
      <c r="K20" s="5"/>
      <c r="L20" s="5"/>
      <c r="M20" s="5"/>
      <c r="N20" s="6"/>
    </row>
    <row r="21" spans="1:14" ht="15.75">
      <c r="A21" s="5"/>
      <c r="B21" s="5" t="s">
        <v>4</v>
      </c>
      <c r="C21" s="142" t="s">
        <v>81</v>
      </c>
      <c r="D21" s="142"/>
      <c r="E21" s="142"/>
      <c r="F21" s="142"/>
      <c r="G21" s="142"/>
      <c r="H21" s="142"/>
      <c r="I21" s="5"/>
      <c r="J21" s="62" t="s">
        <v>27</v>
      </c>
      <c r="K21" s="143">
        <v>44936</v>
      </c>
      <c r="L21" s="143"/>
      <c r="M21" s="63"/>
      <c r="N21" s="6"/>
    </row>
    <row r="22" spans="1:14">
      <c r="A22" s="5"/>
      <c r="B22" s="5" t="s">
        <v>7</v>
      </c>
      <c r="C22" s="124" t="s">
        <v>82</v>
      </c>
      <c r="D22" s="124"/>
      <c r="E22" s="124"/>
      <c r="F22" s="124"/>
      <c r="G22" s="124"/>
      <c r="H22" s="124"/>
      <c r="I22" s="5"/>
      <c r="J22" s="62" t="s">
        <v>28</v>
      </c>
      <c r="K22" s="64"/>
      <c r="L22" s="65"/>
      <c r="M22" s="66"/>
      <c r="N22" s="6"/>
    </row>
    <row r="23" spans="1:14">
      <c r="A23" s="5"/>
      <c r="B23" s="5" t="s">
        <v>10</v>
      </c>
      <c r="C23" s="67"/>
      <c r="D23" s="68" t="s">
        <v>12</v>
      </c>
      <c r="E23" s="125"/>
      <c r="F23" s="125"/>
      <c r="G23" s="69" t="s">
        <v>14</v>
      </c>
      <c r="H23" s="65" t="s">
        <v>29</v>
      </c>
      <c r="I23" s="5"/>
      <c r="J23" s="62" t="s">
        <v>30</v>
      </c>
      <c r="K23" s="126"/>
      <c r="L23" s="126"/>
      <c r="M23" s="5"/>
      <c r="N23" s="6"/>
    </row>
    <row r="24" spans="1:14">
      <c r="A24" s="5"/>
      <c r="B24" s="5" t="s">
        <v>31</v>
      </c>
      <c r="C24" s="127"/>
      <c r="D24" s="127"/>
      <c r="E24" s="127"/>
      <c r="F24" s="127"/>
      <c r="G24" s="127"/>
      <c r="H24" s="127"/>
      <c r="I24" s="5"/>
      <c r="J24" s="62" t="s">
        <v>32</v>
      </c>
      <c r="K24" s="128" t="s">
        <v>84</v>
      </c>
      <c r="L24" s="128"/>
      <c r="M24" s="5"/>
      <c r="N24" s="6"/>
    </row>
    <row r="25" spans="1:14">
      <c r="A25" s="5"/>
      <c r="B25" s="5"/>
      <c r="C25" s="5"/>
      <c r="D25" s="5"/>
      <c r="E25" s="5"/>
      <c r="F25" s="5"/>
      <c r="G25" s="5"/>
      <c r="H25" s="5"/>
      <c r="I25" s="5"/>
      <c r="J25" s="5"/>
      <c r="K25" s="5"/>
      <c r="L25" s="5"/>
      <c r="M25" s="5"/>
      <c r="N25" s="6"/>
    </row>
    <row r="26" spans="1:14">
      <c r="A26" s="5"/>
      <c r="B26" s="70" t="s">
        <v>33</v>
      </c>
      <c r="C26" s="70" t="s">
        <v>34</v>
      </c>
      <c r="D26" s="129" t="s">
        <v>35</v>
      </c>
      <c r="E26" s="129"/>
      <c r="F26" s="129"/>
      <c r="G26" s="129"/>
      <c r="H26" s="129"/>
      <c r="I26" s="129"/>
      <c r="J26" s="129"/>
      <c r="K26" s="71" t="s">
        <v>36</v>
      </c>
      <c r="L26" s="72" t="s">
        <v>37</v>
      </c>
      <c r="M26" s="73"/>
      <c r="N26" s="6"/>
    </row>
    <row r="27" spans="1:14" ht="15">
      <c r="A27" s="5"/>
      <c r="B27" s="74"/>
      <c r="C27" s="112">
        <v>8</v>
      </c>
      <c r="D27" s="136" t="s">
        <v>64</v>
      </c>
      <c r="E27" s="137"/>
      <c r="F27" s="137"/>
      <c r="G27" s="137"/>
      <c r="H27" s="137"/>
      <c r="I27" s="137"/>
      <c r="J27" s="138"/>
      <c r="K27" s="75">
        <v>630</v>
      </c>
      <c r="L27" s="75">
        <f>IF(C27&lt;&gt;"",C27*K27,"")</f>
        <v>5040</v>
      </c>
      <c r="M27" s="73"/>
      <c r="N27" s="6"/>
    </row>
    <row r="28" spans="1:14" ht="15">
      <c r="A28" s="5"/>
      <c r="B28" s="76"/>
      <c r="C28" s="112"/>
      <c r="D28" s="120"/>
      <c r="E28" s="121"/>
      <c r="F28" s="121"/>
      <c r="G28" s="121"/>
      <c r="H28" s="121"/>
      <c r="I28" s="121"/>
      <c r="J28" s="122"/>
      <c r="K28" s="75"/>
      <c r="L28" s="75" t="str">
        <f t="shared" ref="L28:L29" si="0">IF(C28&lt;&gt;"",C28*K28,"")</f>
        <v/>
      </c>
      <c r="M28" s="73"/>
      <c r="N28" s="6"/>
    </row>
    <row r="29" spans="1:14" ht="15" customHeight="1">
      <c r="A29" s="5"/>
      <c r="B29" s="76"/>
      <c r="C29" s="112">
        <v>15</v>
      </c>
      <c r="D29" s="134" t="s">
        <v>65</v>
      </c>
      <c r="E29" s="135"/>
      <c r="F29" s="135"/>
      <c r="G29" s="135"/>
      <c r="H29" s="135"/>
      <c r="I29" s="135"/>
      <c r="J29" s="113"/>
      <c r="K29" s="75">
        <v>24</v>
      </c>
      <c r="L29" s="75">
        <f t="shared" si="0"/>
        <v>360</v>
      </c>
      <c r="M29" s="73"/>
      <c r="N29" s="6"/>
    </row>
    <row r="30" spans="1:14" ht="15" customHeight="1">
      <c r="A30" s="5"/>
      <c r="B30" s="76"/>
      <c r="C30" s="112">
        <v>2</v>
      </c>
      <c r="D30" s="108" t="s">
        <v>66</v>
      </c>
      <c r="E30" s="113"/>
      <c r="F30" s="115"/>
      <c r="G30" s="113"/>
      <c r="H30" s="113"/>
      <c r="I30" s="115"/>
      <c r="J30" s="113"/>
      <c r="K30" s="75">
        <v>408</v>
      </c>
      <c r="L30" s="75">
        <f t="shared" ref="L30:L38" si="1">IF(C30&lt;&gt;"",C30*K30,"")</f>
        <v>816</v>
      </c>
      <c r="M30" s="73"/>
      <c r="N30" s="6"/>
    </row>
    <row r="31" spans="1:14" ht="15">
      <c r="A31" s="5"/>
      <c r="B31" s="76"/>
      <c r="C31" s="112">
        <v>8</v>
      </c>
      <c r="D31" s="120" t="s">
        <v>67</v>
      </c>
      <c r="E31" s="121"/>
      <c r="F31" s="121"/>
      <c r="G31" s="121"/>
      <c r="H31" s="121"/>
      <c r="I31" s="121"/>
      <c r="J31" s="122"/>
      <c r="K31" s="75">
        <v>138</v>
      </c>
      <c r="L31" s="75">
        <f t="shared" si="1"/>
        <v>1104</v>
      </c>
      <c r="M31" s="73"/>
      <c r="N31" s="6"/>
    </row>
    <row r="32" spans="1:14" ht="15.75" customHeight="1">
      <c r="A32" s="5"/>
      <c r="B32" s="76"/>
      <c r="C32" s="112"/>
      <c r="D32" s="120"/>
      <c r="E32" s="121"/>
      <c r="F32" s="121"/>
      <c r="G32" s="121"/>
      <c r="H32" s="121"/>
      <c r="I32" s="121"/>
      <c r="J32" s="122"/>
      <c r="K32" s="75"/>
      <c r="L32" s="75" t="str">
        <f t="shared" si="1"/>
        <v/>
      </c>
      <c r="M32" s="73"/>
      <c r="N32" s="6"/>
    </row>
    <row r="33" spans="1:14" ht="15">
      <c r="A33" s="5"/>
      <c r="B33" s="76"/>
      <c r="C33" s="112">
        <v>2</v>
      </c>
      <c r="D33" s="108" t="s">
        <v>68</v>
      </c>
      <c r="E33" s="113"/>
      <c r="F33" s="115"/>
      <c r="G33" s="113"/>
      <c r="H33" s="113"/>
      <c r="I33" s="115"/>
      <c r="J33" s="113"/>
      <c r="K33" s="75">
        <v>720</v>
      </c>
      <c r="L33" s="75">
        <f t="shared" si="1"/>
        <v>1440</v>
      </c>
      <c r="M33" s="73"/>
      <c r="N33" s="6"/>
    </row>
    <row r="34" spans="1:14" ht="15">
      <c r="A34" s="5"/>
      <c r="B34" s="76"/>
      <c r="C34" s="112">
        <v>9</v>
      </c>
      <c r="D34" s="108" t="s">
        <v>69</v>
      </c>
      <c r="E34" s="113"/>
      <c r="F34" s="115"/>
      <c r="G34" s="113"/>
      <c r="H34" s="113"/>
      <c r="I34" s="115"/>
      <c r="J34" s="113"/>
      <c r="K34" s="75">
        <v>105</v>
      </c>
      <c r="L34" s="75">
        <f t="shared" si="1"/>
        <v>945</v>
      </c>
      <c r="M34" s="73"/>
      <c r="N34" s="6"/>
    </row>
    <row r="35" spans="1:14" ht="15">
      <c r="A35" s="107"/>
      <c r="B35" s="76"/>
      <c r="C35" s="112">
        <v>8</v>
      </c>
      <c r="D35" s="108" t="s">
        <v>70</v>
      </c>
      <c r="E35" s="113"/>
      <c r="F35" s="115"/>
      <c r="G35" s="113"/>
      <c r="H35" s="113"/>
      <c r="I35" s="115"/>
      <c r="J35" s="113"/>
      <c r="K35" s="75">
        <v>270</v>
      </c>
      <c r="L35" s="75">
        <f t="shared" si="1"/>
        <v>2160</v>
      </c>
      <c r="M35" s="73"/>
      <c r="N35" s="6"/>
    </row>
    <row r="36" spans="1:14" ht="15">
      <c r="A36" s="107"/>
      <c r="B36" s="76"/>
      <c r="C36" s="112">
        <v>1</v>
      </c>
      <c r="D36" s="108" t="s">
        <v>71</v>
      </c>
      <c r="E36" s="113"/>
      <c r="F36" s="115"/>
      <c r="G36" s="113"/>
      <c r="H36" s="113"/>
      <c r="I36" s="115"/>
      <c r="J36" s="113"/>
      <c r="K36" s="75">
        <v>540</v>
      </c>
      <c r="L36" s="75">
        <f t="shared" si="1"/>
        <v>540</v>
      </c>
      <c r="M36" s="73"/>
      <c r="N36" s="6"/>
    </row>
    <row r="37" spans="1:14" ht="15">
      <c r="A37" s="107"/>
      <c r="B37" s="76"/>
      <c r="C37" s="112">
        <v>5</v>
      </c>
      <c r="D37" s="108" t="s">
        <v>72</v>
      </c>
      <c r="E37" s="113"/>
      <c r="F37" s="115"/>
      <c r="G37" s="113"/>
      <c r="H37" s="113"/>
      <c r="I37" s="115"/>
      <c r="J37" s="113"/>
      <c r="K37" s="75">
        <v>222</v>
      </c>
      <c r="L37" s="75">
        <f t="shared" si="1"/>
        <v>1110</v>
      </c>
      <c r="M37" s="73"/>
      <c r="N37" s="6"/>
    </row>
    <row r="38" spans="1:14" ht="15">
      <c r="A38" s="107"/>
      <c r="B38" s="76"/>
      <c r="C38" s="112">
        <v>5</v>
      </c>
      <c r="D38" s="108" t="s">
        <v>73</v>
      </c>
      <c r="E38" s="113"/>
      <c r="F38" s="115"/>
      <c r="G38" s="113"/>
      <c r="H38" s="113"/>
      <c r="I38" s="115"/>
      <c r="J38" s="113"/>
      <c r="K38" s="75">
        <v>252</v>
      </c>
      <c r="L38" s="75">
        <f t="shared" si="1"/>
        <v>1260</v>
      </c>
      <c r="M38" s="73"/>
      <c r="N38" s="6"/>
    </row>
    <row r="39" spans="1:14" ht="15">
      <c r="A39" s="107"/>
      <c r="B39" s="76"/>
      <c r="C39" s="112">
        <v>1</v>
      </c>
      <c r="D39" s="108" t="s">
        <v>74</v>
      </c>
      <c r="E39" s="113"/>
      <c r="F39" s="115"/>
      <c r="G39" s="113"/>
      <c r="H39" s="113"/>
      <c r="I39" s="115"/>
      <c r="J39" s="113"/>
      <c r="K39" s="75">
        <v>1044</v>
      </c>
      <c r="L39" s="75">
        <f t="shared" ref="L39:L46" si="2">IF(C39&lt;&gt;"",C39*K39,"")</f>
        <v>1044</v>
      </c>
      <c r="M39" s="73"/>
      <c r="N39" s="6"/>
    </row>
    <row r="40" spans="1:14" ht="15" customHeight="1">
      <c r="A40" s="107"/>
      <c r="B40" s="76"/>
      <c r="C40" s="112">
        <v>5</v>
      </c>
      <c r="D40" s="120" t="s">
        <v>75</v>
      </c>
      <c r="E40" s="121"/>
      <c r="F40" s="121"/>
      <c r="G40" s="121"/>
      <c r="H40" s="121"/>
      <c r="I40" s="121"/>
      <c r="J40" s="122"/>
      <c r="K40" s="75">
        <v>978</v>
      </c>
      <c r="L40" s="75">
        <f t="shared" si="2"/>
        <v>4890</v>
      </c>
      <c r="M40" s="73"/>
      <c r="N40" s="6"/>
    </row>
    <row r="41" spans="1:14" ht="15">
      <c r="A41" s="5"/>
      <c r="B41" s="76"/>
      <c r="C41" s="112"/>
      <c r="D41" s="120"/>
      <c r="E41" s="121"/>
      <c r="F41" s="121"/>
      <c r="G41" s="121"/>
      <c r="H41" s="121"/>
      <c r="I41" s="121"/>
      <c r="J41" s="122"/>
      <c r="K41" s="75"/>
      <c r="L41" s="75" t="str">
        <f t="shared" si="2"/>
        <v/>
      </c>
      <c r="M41" s="73"/>
      <c r="N41" s="6"/>
    </row>
    <row r="42" spans="1:14" ht="15">
      <c r="A42" s="5"/>
      <c r="B42" s="76"/>
      <c r="C42" s="112">
        <v>5</v>
      </c>
      <c r="D42" s="108" t="s">
        <v>76</v>
      </c>
      <c r="E42" s="113"/>
      <c r="F42" s="115"/>
      <c r="G42" s="113"/>
      <c r="H42" s="113"/>
      <c r="I42" s="115"/>
      <c r="J42" s="113"/>
      <c r="K42" s="75">
        <v>540</v>
      </c>
      <c r="L42" s="75">
        <f t="shared" si="2"/>
        <v>2700</v>
      </c>
      <c r="M42" s="73"/>
      <c r="N42" s="6"/>
    </row>
    <row r="43" spans="1:14" ht="15">
      <c r="A43" s="5"/>
      <c r="B43" s="76"/>
      <c r="C43" s="112">
        <v>5</v>
      </c>
      <c r="D43" s="108" t="s">
        <v>77</v>
      </c>
      <c r="E43" s="113"/>
      <c r="F43" s="115"/>
      <c r="G43" s="113"/>
      <c r="H43" s="113"/>
      <c r="I43" s="115"/>
      <c r="J43" s="113"/>
      <c r="K43" s="75">
        <v>732</v>
      </c>
      <c r="L43" s="75">
        <f t="shared" si="2"/>
        <v>3660</v>
      </c>
      <c r="M43" s="73"/>
      <c r="N43" s="6"/>
    </row>
    <row r="44" spans="1:14" ht="15">
      <c r="A44" s="5"/>
      <c r="B44" s="76"/>
      <c r="C44" s="112">
        <v>5</v>
      </c>
      <c r="D44" s="108" t="s">
        <v>78</v>
      </c>
      <c r="E44" s="113"/>
      <c r="F44" s="113"/>
      <c r="G44" s="113"/>
      <c r="H44" s="113"/>
      <c r="I44" s="115"/>
      <c r="J44" s="113"/>
      <c r="K44" s="75">
        <v>84</v>
      </c>
      <c r="L44" s="75">
        <f t="shared" si="2"/>
        <v>420</v>
      </c>
      <c r="M44" s="73"/>
      <c r="N44" s="6"/>
    </row>
    <row r="45" spans="1:14" ht="15">
      <c r="A45" s="5"/>
      <c r="B45" s="76"/>
      <c r="C45" s="112">
        <v>5</v>
      </c>
      <c r="D45" s="111" t="s">
        <v>79</v>
      </c>
      <c r="E45" s="114"/>
      <c r="F45" s="114"/>
      <c r="G45" s="114"/>
      <c r="H45" s="114"/>
      <c r="I45" s="114"/>
      <c r="J45" s="115"/>
      <c r="K45" s="75">
        <v>126</v>
      </c>
      <c r="L45" s="75">
        <f t="shared" si="2"/>
        <v>630</v>
      </c>
      <c r="M45" s="73"/>
      <c r="N45" s="6"/>
    </row>
    <row r="46" spans="1:14" ht="15">
      <c r="A46" s="5"/>
      <c r="B46" s="76"/>
      <c r="C46" s="112">
        <v>1</v>
      </c>
      <c r="D46" s="116" t="s">
        <v>80</v>
      </c>
      <c r="E46" s="114"/>
      <c r="F46" s="114"/>
      <c r="G46" s="114"/>
      <c r="H46" s="114"/>
      <c r="I46" s="114"/>
      <c r="J46" s="115"/>
      <c r="K46" s="75">
        <v>250</v>
      </c>
      <c r="L46" s="75">
        <f t="shared" si="2"/>
        <v>250</v>
      </c>
      <c r="M46" s="73"/>
      <c r="N46" s="6"/>
    </row>
    <row r="47" spans="1:14" ht="15">
      <c r="A47" s="5"/>
      <c r="B47" s="76"/>
      <c r="C47" s="112"/>
      <c r="D47" s="114"/>
      <c r="E47" s="114"/>
      <c r="F47" s="114"/>
      <c r="G47" s="114"/>
      <c r="H47" s="114"/>
      <c r="I47" s="114"/>
      <c r="J47" s="115"/>
      <c r="K47" s="75"/>
      <c r="L47" s="75"/>
      <c r="M47" s="73"/>
      <c r="N47" s="6"/>
    </row>
    <row r="48" spans="1:14" ht="15">
      <c r="A48" s="5"/>
      <c r="B48" s="76"/>
      <c r="C48" s="78"/>
      <c r="D48" s="62"/>
      <c r="E48" s="62"/>
      <c r="F48" s="62"/>
      <c r="G48" s="62"/>
      <c r="H48" s="62"/>
      <c r="I48" s="62"/>
      <c r="J48" s="77"/>
      <c r="K48" s="75"/>
      <c r="L48" s="75"/>
      <c r="M48" s="73"/>
      <c r="N48" s="6"/>
    </row>
    <row r="49" spans="1:14" ht="15">
      <c r="A49" s="5"/>
      <c r="B49" s="79"/>
      <c r="C49" s="80"/>
      <c r="D49" s="130"/>
      <c r="E49" s="130"/>
      <c r="F49" s="130"/>
      <c r="G49" s="130"/>
      <c r="H49" s="130"/>
      <c r="I49" s="130"/>
      <c r="J49" s="81"/>
      <c r="K49" s="75"/>
      <c r="L49" s="75" t="str">
        <f>IF(C49&lt;&gt;"",C49*K49,"")</f>
        <v/>
      </c>
      <c r="M49" s="73"/>
      <c r="N49" s="6"/>
    </row>
    <row r="50" spans="1:14" ht="15" customHeight="1">
      <c r="A50" s="5"/>
      <c r="B50" s="5"/>
      <c r="C50" s="5"/>
      <c r="D50" s="5"/>
      <c r="E50" s="5"/>
      <c r="F50" s="5"/>
      <c r="G50" s="5"/>
      <c r="H50" s="82"/>
      <c r="I50" s="82"/>
      <c r="J50" s="82"/>
      <c r="K50" s="83" t="s">
        <v>38</v>
      </c>
      <c r="L50" s="110">
        <f>SUM(L27:L47)</f>
        <v>28369</v>
      </c>
      <c r="M50" s="73"/>
      <c r="N50" s="6"/>
    </row>
    <row r="51" spans="1:14" ht="15">
      <c r="A51" s="5"/>
      <c r="B51" s="5"/>
      <c r="C51" s="5"/>
      <c r="D51" s="5"/>
      <c r="E51" s="5"/>
      <c r="F51" s="5"/>
      <c r="G51" s="5"/>
      <c r="H51" s="82"/>
      <c r="I51" s="82"/>
      <c r="J51" s="82"/>
      <c r="K51" s="84" t="s">
        <v>18</v>
      </c>
      <c r="L51" s="85">
        <v>1</v>
      </c>
      <c r="M51" s="73"/>
      <c r="N51" s="6"/>
    </row>
    <row r="52" spans="1:14" ht="15">
      <c r="A52" s="5"/>
      <c r="B52" s="5"/>
      <c r="C52" s="86"/>
      <c r="D52" s="62" t="s">
        <v>39</v>
      </c>
      <c r="E52" s="5"/>
      <c r="F52" s="5"/>
      <c r="G52" s="5"/>
      <c r="H52" s="82"/>
      <c r="I52" s="82"/>
      <c r="J52" s="87"/>
      <c r="K52" s="88">
        <v>0.19</v>
      </c>
      <c r="L52" s="85">
        <f>L50*0.19</f>
        <v>5390.11</v>
      </c>
      <c r="M52" s="73"/>
      <c r="N52" s="6"/>
    </row>
    <row r="53" spans="1:14" ht="15.75">
      <c r="A53" s="5"/>
      <c r="B53" s="5"/>
      <c r="C53" s="86"/>
      <c r="D53" s="62" t="s">
        <v>40</v>
      </c>
      <c r="E53" s="89"/>
      <c r="F53" s="86"/>
      <c r="G53" s="5"/>
      <c r="H53" s="90"/>
      <c r="I53" s="82"/>
      <c r="J53" s="82"/>
      <c r="K53" s="91" t="s">
        <v>41</v>
      </c>
      <c r="L53" s="109">
        <f>+L50+L51+L52</f>
        <v>33760.11</v>
      </c>
      <c r="M53" s="73"/>
      <c r="N53" s="6"/>
    </row>
    <row r="54" spans="1:14" ht="15.75">
      <c r="A54" s="5"/>
      <c r="B54" s="5"/>
      <c r="C54" s="86">
        <v>3</v>
      </c>
      <c r="D54" s="106" t="s">
        <v>42</v>
      </c>
      <c r="E54" s="5"/>
      <c r="F54" s="5"/>
      <c r="G54" s="5"/>
      <c r="H54" s="82" t="s">
        <v>43</v>
      </c>
      <c r="I54" s="82"/>
      <c r="J54" s="82"/>
      <c r="K54" s="92"/>
      <c r="L54" s="93"/>
      <c r="M54" s="73"/>
      <c r="N54" s="6"/>
    </row>
    <row r="55" spans="1:14" ht="15.75">
      <c r="A55" s="5"/>
      <c r="B55" s="5"/>
      <c r="C55" s="86"/>
      <c r="D55" s="62"/>
      <c r="E55" s="5"/>
      <c r="F55" s="5"/>
      <c r="G55" s="5"/>
      <c r="H55" s="82"/>
      <c r="I55" s="82"/>
      <c r="J55" s="82"/>
      <c r="K55" s="94" t="s">
        <v>44</v>
      </c>
      <c r="L55" s="93"/>
      <c r="M55" s="73"/>
      <c r="N55" s="6"/>
    </row>
    <row r="56" spans="1:14" ht="15">
      <c r="A56" s="5"/>
      <c r="B56" s="5"/>
      <c r="C56" s="5"/>
      <c r="D56" s="5"/>
      <c r="E56" s="5"/>
      <c r="F56" s="5"/>
      <c r="G56" s="5"/>
      <c r="H56" s="82" t="s">
        <v>43</v>
      </c>
      <c r="I56" s="82"/>
      <c r="J56" s="5"/>
      <c r="K56" s="5"/>
      <c r="L56" s="5"/>
      <c r="M56" s="73"/>
      <c r="N56" s="6"/>
    </row>
    <row r="57" spans="1:14" ht="17.100000000000001" customHeight="1">
      <c r="A57" s="95" t="s">
        <v>45</v>
      </c>
      <c r="B57" s="96"/>
      <c r="C57" s="96"/>
      <c r="D57" s="96"/>
      <c r="E57" s="96"/>
      <c r="F57" s="96"/>
      <c r="G57" s="96"/>
      <c r="H57" s="96"/>
      <c r="I57" s="96"/>
      <c r="J57" s="96"/>
      <c r="K57" s="5"/>
      <c r="L57" s="93"/>
      <c r="M57" s="73"/>
      <c r="N57" s="6"/>
    </row>
    <row r="58" spans="1:14" ht="17.100000000000001" customHeight="1">
      <c r="A58" s="131" t="s">
        <v>46</v>
      </c>
      <c r="B58" s="131"/>
      <c r="C58" s="131"/>
      <c r="D58" s="131"/>
      <c r="E58" s="131"/>
      <c r="F58" s="131"/>
      <c r="G58" s="131"/>
      <c r="H58" s="131"/>
      <c r="I58" s="131"/>
      <c r="J58" s="94"/>
      <c r="K58" s="94"/>
      <c r="L58" s="94"/>
      <c r="M58" s="73"/>
      <c r="N58" s="6"/>
    </row>
    <row r="59" spans="1:14" ht="15.75">
      <c r="A59" s="5"/>
      <c r="B59" s="5"/>
      <c r="C59" s="68"/>
      <c r="D59" s="97"/>
      <c r="E59" s="77"/>
      <c r="F59" s="77"/>
      <c r="G59" s="77"/>
      <c r="H59" s="82"/>
      <c r="I59" s="94"/>
      <c r="J59" s="94"/>
      <c r="K59" s="94"/>
      <c r="L59" s="94"/>
      <c r="M59" s="73"/>
      <c r="N59" s="6"/>
    </row>
    <row r="60" spans="1:14" ht="15" customHeight="1">
      <c r="A60" s="5"/>
      <c r="B60" s="5"/>
      <c r="C60" s="73" t="s">
        <v>47</v>
      </c>
      <c r="D60" s="73"/>
      <c r="E60" s="73"/>
      <c r="F60" s="73"/>
      <c r="G60" s="73"/>
      <c r="H60" s="73"/>
      <c r="I60" s="73"/>
      <c r="J60" s="73"/>
      <c r="K60" s="73"/>
      <c r="L60" s="94"/>
      <c r="M60" s="73"/>
      <c r="N60" s="6"/>
    </row>
    <row r="61" spans="1:14" ht="15" customHeight="1">
      <c r="A61" s="5"/>
      <c r="B61" s="5"/>
      <c r="C61" s="68"/>
      <c r="D61" s="132" t="s">
        <v>48</v>
      </c>
      <c r="E61" s="132"/>
      <c r="F61" s="132"/>
      <c r="G61" s="132"/>
      <c r="H61" s="132"/>
      <c r="I61" s="132"/>
      <c r="J61" s="132"/>
      <c r="K61" s="94"/>
      <c r="L61" s="94"/>
      <c r="M61" s="73"/>
      <c r="N61" s="6"/>
    </row>
    <row r="62" spans="1:14" ht="15" customHeight="1" thickBot="1">
      <c r="A62" s="5"/>
      <c r="B62" s="5"/>
      <c r="C62" s="133" t="s">
        <v>49</v>
      </c>
      <c r="D62" s="133"/>
      <c r="E62" s="133"/>
      <c r="F62" s="133"/>
      <c r="G62" s="133"/>
      <c r="H62" s="133"/>
      <c r="I62" s="133"/>
      <c r="J62" s="133"/>
      <c r="K62" s="133"/>
      <c r="L62" s="94"/>
      <c r="M62" s="73"/>
      <c r="N62" s="6"/>
    </row>
    <row r="63" spans="1:14" ht="17.25" thickTop="1" thickBot="1">
      <c r="A63" s="5"/>
      <c r="B63" s="5"/>
      <c r="C63" s="133"/>
      <c r="D63" s="133"/>
      <c r="E63" s="133"/>
      <c r="F63" s="133"/>
      <c r="G63" s="133"/>
      <c r="H63" s="133"/>
      <c r="I63" s="133"/>
      <c r="J63" s="133"/>
      <c r="K63" s="133"/>
      <c r="L63" s="94"/>
      <c r="M63" s="73"/>
      <c r="N63" s="6"/>
    </row>
    <row r="64" spans="1:14" ht="14.25" thickTop="1" thickBot="1">
      <c r="A64" s="73"/>
      <c r="B64" s="73"/>
      <c r="C64" s="133"/>
      <c r="D64" s="133"/>
      <c r="E64" s="133"/>
      <c r="F64" s="133"/>
      <c r="G64" s="133"/>
      <c r="H64" s="133"/>
      <c r="I64" s="133"/>
      <c r="J64" s="133"/>
      <c r="K64" s="133"/>
      <c r="L64" s="98"/>
      <c r="M64" s="73"/>
      <c r="N64" s="6"/>
    </row>
    <row r="65" spans="1:14" ht="13.5" thickTop="1">
      <c r="A65" s="8"/>
      <c r="B65" s="8"/>
      <c r="C65" s="8"/>
      <c r="D65" s="8"/>
      <c r="E65" s="8"/>
      <c r="F65" s="8"/>
      <c r="G65" s="8"/>
      <c r="H65" s="8"/>
      <c r="I65" s="8"/>
      <c r="J65" s="8"/>
      <c r="K65" s="8"/>
      <c r="L65" s="8"/>
      <c r="M65" s="8"/>
      <c r="N65" s="6"/>
    </row>
    <row r="66" spans="1:14" ht="15" customHeight="1">
      <c r="A66" s="99"/>
      <c r="B66" s="99"/>
      <c r="C66" s="99"/>
      <c r="D66" s="99"/>
      <c r="E66" s="99"/>
      <c r="F66" s="99"/>
      <c r="G66" s="99"/>
      <c r="H66" s="99"/>
      <c r="I66" s="123"/>
      <c r="J66" s="123"/>
      <c r="K66" s="123"/>
      <c r="L66" s="123"/>
      <c r="M66" s="123"/>
      <c r="N66" s="6"/>
    </row>
    <row r="67" spans="1:14" ht="15" customHeight="1">
      <c r="A67" s="100"/>
      <c r="B67" s="100"/>
      <c r="C67" s="100"/>
      <c r="D67" s="100"/>
      <c r="E67" s="100"/>
      <c r="F67" s="100"/>
      <c r="G67" s="100"/>
      <c r="H67" s="100"/>
      <c r="I67" s="123"/>
      <c r="J67" s="123"/>
      <c r="K67" s="123"/>
      <c r="L67" s="123"/>
      <c r="M67" s="123"/>
    </row>
    <row r="68" spans="1:14" ht="12.75" customHeight="1"/>
    <row r="69" spans="1:14" ht="3" customHeight="1"/>
    <row r="73" spans="1:14" ht="0.95" customHeight="1"/>
    <row r="74" spans="1:14" ht="6" customHeight="1"/>
    <row r="78" spans="1:14"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21">
    <mergeCell ref="K9:L9"/>
    <mergeCell ref="K13:L13"/>
    <mergeCell ref="F14:J15"/>
    <mergeCell ref="K17:L19"/>
    <mergeCell ref="C21:H21"/>
    <mergeCell ref="K21:L21"/>
    <mergeCell ref="D40:J41"/>
    <mergeCell ref="I66:M67"/>
    <mergeCell ref="C22:H22"/>
    <mergeCell ref="E23:F23"/>
    <mergeCell ref="K23:L23"/>
    <mergeCell ref="C24:H24"/>
    <mergeCell ref="K24:L24"/>
    <mergeCell ref="D26:J26"/>
    <mergeCell ref="D49:I49"/>
    <mergeCell ref="A58:I58"/>
    <mergeCell ref="D61:J61"/>
    <mergeCell ref="C62:K64"/>
    <mergeCell ref="D29:I29"/>
    <mergeCell ref="D27:J28"/>
    <mergeCell ref="D31:J32"/>
  </mergeCells>
  <dataValidations count="12">
    <dataValidation type="textLength" errorStyle="warning" allowBlank="1" showErrorMessage="1" errorTitle="T.V.A." error="Les cellules ombrées contiennent des formules et sont calculées automatiquement par Excel. N'y tapez aucune information." promptTitle="T.V.A." sqref="K52 K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 L57">
      <formula1>0</formula1>
      <formula2>0</formula2>
    </dataValidation>
    <dataValidation type="list" allowBlank="1" showInputMessage="1" showErrorMessage="1" errorTitle="Code TVA" error="Tapez 1, 2, ou 3." sqref="J45:J49 J29:J30 J33:J39 J42:J43">
      <formula1>"1,2,3"</formula1>
    </dataValidation>
    <dataValidation errorStyle="warning" allowBlank="1" showInputMessage="1" errorTitle="Numéro de carte de crédit" promptTitle="Numéro de carte de crédit" prompt="Tapez ici le numéro de carte de crédit du client" sqref="D59 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I59"/>
    <dataValidation type="decimal" allowBlank="1" showErrorMessage="1" errorTitle="Prix unitaire" error="Tapez un nombre dans cette cellule." promptTitle="Prix unitaire" sqref="K27:K49">
      <formula1>0</formula1>
      <formula2>1000000000</formula2>
    </dataValidation>
    <dataValidation type="whole" errorStyle="warning" allowBlank="1" showErrorMessage="1" errorTitle="Quantité" error="Tapez un nombre dans cette cellule." promptTitle="Quantité" sqref="C27:C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L54:L55">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50</v>
      </c>
    </row>
    <row r="2" spans="1:11">
      <c r="A2" s="101" t="s">
        <v>51</v>
      </c>
      <c r="B2" s="101" t="s">
        <v>52</v>
      </c>
    </row>
    <row r="3" spans="1:11">
      <c r="A3" s="101" t="s">
        <v>53</v>
      </c>
      <c r="B3" s="101" t="s">
        <v>54</v>
      </c>
    </row>
    <row r="4" spans="1:11">
      <c r="A4" s="101" t="s">
        <v>55</v>
      </c>
    </row>
    <row r="5" spans="1:11">
      <c r="A5" s="101" t="s">
        <v>56</v>
      </c>
      <c r="B5" s="101">
        <v>1</v>
      </c>
    </row>
    <row r="6" spans="1:11">
      <c r="A6" s="101">
        <v>1</v>
      </c>
      <c r="B6" s="101" t="s">
        <v>57</v>
      </c>
      <c r="C6" s="101" t="s">
        <v>58</v>
      </c>
      <c r="D6" s="101" t="s">
        <v>59</v>
      </c>
      <c r="E6" s="101">
        <v>10</v>
      </c>
      <c r="G6" s="101">
        <v>-1383939328</v>
      </c>
    </row>
    <row r="7" spans="1:11">
      <c r="A7" s="101" t="s">
        <v>60</v>
      </c>
      <c r="B7" s="101" t="s">
        <v>61</v>
      </c>
      <c r="C7" s="101" t="s">
        <v>27</v>
      </c>
      <c r="D7" s="101" t="s">
        <v>4</v>
      </c>
      <c r="E7" s="101" t="s">
        <v>7</v>
      </c>
      <c r="F7" s="101" t="s">
        <v>10</v>
      </c>
      <c r="G7" s="101" t="s">
        <v>12</v>
      </c>
      <c r="H7" s="101" t="s">
        <v>14</v>
      </c>
      <c r="I7" s="101" t="s">
        <v>31</v>
      </c>
      <c r="J7" s="101" t="s">
        <v>62</v>
      </c>
      <c r="K7" s="101" t="s">
        <v>30</v>
      </c>
    </row>
    <row r="8" spans="1:11">
      <c r="A8" s="101" t="s">
        <v>63</v>
      </c>
      <c r="B8" s="102" t="e">
        <f>Facture!#REF!</f>
        <v>#REF!</v>
      </c>
      <c r="C8" s="103">
        <f>Facture!$K$21</f>
        <v>44936</v>
      </c>
      <c r="D8" s="104" t="str">
        <f>Facture!$C$21</f>
        <v xml:space="preserve">LEADERS INTERNATIONAL TRANS-TUNISIA </v>
      </c>
      <c r="E8" s="101" t="str">
        <f>Facture!$C$22</f>
        <v xml:space="preserve">AV DE LA BOURSE LES JARDINS DU LAC </v>
      </c>
      <c r="F8" s="101">
        <f>Facture!$C$23</f>
        <v>0</v>
      </c>
      <c r="G8" s="104">
        <f>Facture!$E$23</f>
        <v>0</v>
      </c>
      <c r="H8" s="104" t="str">
        <f>Facture!$H$23</f>
        <v>TN</v>
      </c>
      <c r="I8" s="101">
        <f>Facture!$C$24</f>
        <v>0</v>
      </c>
      <c r="J8" s="105">
        <f>Facture!$L$53</f>
        <v>33760.11</v>
      </c>
      <c r="K8" s="101">
        <f>Facture!$K$23</f>
        <v>0</v>
      </c>
    </row>
    <row r="9" spans="1:11">
      <c r="A9" s="101" t="s">
        <v>55</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2024-01-02T07:47:15Z</cp:lastPrinted>
  <dcterms:created xsi:type="dcterms:W3CDTF">1995-05-29T15:50:39Z</dcterms:created>
  <dcterms:modified xsi:type="dcterms:W3CDTF">2024-01-11T07:09:36Z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