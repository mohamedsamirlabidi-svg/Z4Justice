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Facture!$L$18</definedName>
    <definedName name="data10">Facture!$E$21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Facture!$D$24</definedName>
    <definedName name="data48">Facture!$E$24</definedName>
    <definedName name="data49">Facture!$L$24</definedName>
    <definedName name="data5">Facture!$D$18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Facture!$E$19</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Facture!$G$20</definedName>
    <definedName name="data70">Facture!#REF!</definedName>
    <definedName name="data8">Facture!$I$20</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Facture!$D$18:$I$18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Facture!$L$18:$M$18</definedName>
    <definedName name="qzqzqz20">Facture!#REF!</definedName>
    <definedName name="qzqzqz21">Facture!$E$24:$J$24</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Facture!$D$19:$I$19</definedName>
    <definedName name="qzqzqz30">Facture!$F$60:$H$60</definedName>
    <definedName name="qzqzqz31">Facture!$F$60:$G$60</definedName>
    <definedName name="qzqzqz32">Facture!$J$56:$M$60</definedName>
    <definedName name="qzqzqz4">Facture!$F$20:$G$20</definedName>
    <definedName name="qzqzqz5">Facture!$L$20:$M$20</definedName>
    <definedName name="qzqzqz6">Facture!$D$21:$I$21</definedName>
    <definedName name="qzqzqz7">Facture!$L$21:$M$21</definedName>
    <definedName name="qzqzqz8">Facture!$E$23:$J$23</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2" i="3" l="1"/>
  <c r="M34" i="3"/>
  <c r="M36" i="3"/>
  <c r="M38" i="3"/>
  <c r="M40" i="3"/>
  <c r="M42" i="3"/>
  <c r="M30" i="3"/>
  <c r="M45" i="3" l="1"/>
  <c r="M47" i="3" s="1"/>
  <c r="M48" i="3" s="1"/>
  <c r="K8" i="8" l="1"/>
  <c r="I8" i="8"/>
  <c r="H8" i="8"/>
  <c r="G8" i="8"/>
  <c r="F8" i="8"/>
  <c r="E8" i="8"/>
  <c r="D8" i="8"/>
  <c r="C8" i="8"/>
  <c r="B8" i="8"/>
  <c r="M24"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Cliquez sur ce bouton pour retourner à la feuille Personnaliser vos frais et modifier vos informations personnelles.</t>
        </r>
      </text>
    </comment>
    <comment ref="K21"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<sst xmlns="http://schemas.openxmlformats.org/spreadsheetml/2006/main" count="103" uniqueCount="87">
  <si>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</si>
  <si>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</si>
  <si>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</si>
  <si>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</si>
  <si>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</si>
  <si>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</si>
  <si>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</si>
  <si>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</si>
  <si>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</si>
  <si>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</si>
  <si>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</si>
  <si>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</si>
  <si>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</si>
  <si>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</si>
  <si>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</si>
  <si>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</si>
  <si>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</si>
  <si>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</si>
  <si>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</si>
  <si>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</si>
  <si>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</si>
  <si>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</si>
  <si>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</si>
  <si>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</si>
  <si>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</si>
  <si>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</si>
  <si>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</si>
  <si>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</si>
  <si>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</si>
  <si>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</si>
  <si>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</si>
  <si>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</si>
  <si>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</si>
  <si>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</si>
  <si>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</si>
  <si>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</si>
  <si>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</si>
  <si>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</si>
  <si>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</si>
  <si>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</si>
  <si>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</si>
  <si>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</si>
  <si>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</si>
  <si>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</si>
  <si>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</si>
  <si>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</si>
  <si>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</si>
  <si>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</si>
  <si>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</si>
  <si>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</si>
  <si>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</si>
  <si>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</si>
  <si>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</si>
  <si>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</si>
  <si>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</si>
  <si>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</si>
  <si>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</si>
  <si>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</si>
  <si>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</si>
  <si>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</si>
  <si>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</si>
  <si>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</si>
  <si>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</si>
  <si>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</si>
  <si>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</si>
  <si>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</si>
  <si>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 xml:space="preserve">COMMANDE N° </t>
  </si>
  <si>
    <t>devis   N°2024-304</t>
  </si>
  <si>
    <t>LDV09M</t>
  </si>
  <si>
    <t>LONGUEUR  9 M</t>
  </si>
  <si>
    <t>LDV12M</t>
  </si>
  <si>
    <t>LONGUEUR  12 M</t>
  </si>
  <si>
    <t>LDV15M</t>
  </si>
  <si>
    <t>LONGUEUR  15M</t>
  </si>
  <si>
    <t>LDV20M</t>
  </si>
  <si>
    <t>LONGUEUR 20M</t>
  </si>
  <si>
    <t>LDV25M</t>
  </si>
  <si>
    <t>LONGUEUR  25M</t>
  </si>
  <si>
    <t>LDV35M</t>
  </si>
  <si>
    <t>LONGUEUR  35M</t>
  </si>
  <si>
    <t>LDV45M</t>
  </si>
  <si>
    <t>LONGUEUR 45 M</t>
  </si>
  <si>
    <t>LIGNE DE VIE SECUROPE   conforme aux:</t>
  </si>
  <si>
    <t>* Norme Européenne EN353-1 :2014+A1:2017</t>
  </si>
  <si>
    <t>* la réglementation nationale américaine,</t>
  </si>
  <si>
    <t>OSHA 1910</t>
  </si>
  <si>
    <t>ANSI A14 -3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</si>
</sst>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sz val="10"/>
      <color theme="1"/>
      <name val="Arial"/>
      <family val="2"/>
    </font>
    <font>
      <sz val="11"/>
      <color theme="1"/>
      <name val="Arial"/>
      <family val="2"/>
    </font>
    <font>
      <u/>
      <sz val="11"/>
      <color theme="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 fillId="6" borderId="0" xfId="0" applyFont="1" applyFill="1" applyBorder="1"/>
    <xf numFmtId="0" fontId="28"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49" fontId="25" fillId="3" borderId="32" xfId="0" applyNumberFormat="1" applyFont="1" applyFill="1" applyBorder="1" applyAlignment="1">
      <alignment wrapText="1"/>
    </xf>
    <xf numFmtId="49" fontId="25" fillId="3" borderId="0" xfId="0" applyNumberFormat="1" applyFont="1" applyFill="1" applyBorder="1" applyAlignment="1">
      <alignment wrapText="1"/>
    </xf>
    <xf numFmtId="49" fontId="7" fillId="0" borderId="32" xfId="0" applyNumberFormat="1" applyFont="1" applyFill="1" applyBorder="1" applyAlignment="1"/>
    <xf numFmtId="49" fontId="7" fillId="0" borderId="0" xfId="0" applyNumberFormat="1" applyFont="1" applyFill="1" applyBorder="1" applyAlignment="1"/>
    <xf numFmtId="49" fontId="30" fillId="0" borderId="32" xfId="0" applyNumberFormat="1" applyFont="1" applyFill="1" applyBorder="1" applyAlignment="1">
      <alignment horizontal="left" vertical="top"/>
    </xf>
    <xf numFmtId="49" fontId="30" fillId="0" borderId="0" xfId="0" applyNumberFormat="1" applyFont="1" applyFill="1" applyBorder="1" applyAlignment="1">
      <alignment horizontal="left" vertical="top"/>
    </xf>
    <xf numFmtId="49" fontId="30" fillId="0" borderId="32" xfId="5" applyNumberFormat="1" applyFont="1" applyFill="1" applyBorder="1" applyAlignment="1" applyProtection="1">
      <alignment horizontal="left" vertical="center"/>
    </xf>
    <xf numFmtId="49" fontId="30" fillId="0" borderId="0" xfId="5" applyNumberFormat="1" applyFont="1" applyFill="1" applyBorder="1" applyAlignment="1" applyProtection="1">
      <alignment horizontal="left" vertical="center"/>
    </xf>
    <xf numFmtId="49" fontId="31" fillId="0" borderId="0" xfId="5" applyNumberFormat="1" applyFont="1" applyFill="1" applyBorder="1" applyAlignment="1" applyProtection="1"/>
    <xf numFmtId="0" fontId="7" fillId="0" borderId="0" xfId="0" applyFont="1" applyFill="1" applyAlignment="1"/>
    <xf numFmtId="49" fontId="32" fillId="0" borderId="43" xfId="0" applyNumberFormat="1" applyFont="1" applyFill="1" applyBorder="1" applyAlignment="1"/>
    <xf numFmtId="49" fontId="32" fillId="0" borderId="44" xfId="0" applyNumberFormat="1" applyFont="1" applyFill="1" applyBorder="1" applyAlignment="1"/>
    <xf numFmtId="49" fontId="31"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1" fillId="6" borderId="0" xfId="5" applyNumberFormat="1" applyFont="1" applyFill="1" applyBorder="1" applyAlignment="1" applyProtection="1"/>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5" fillId="6" borderId="40" xfId="0"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20052</xdr:rowOff>
    </xdr:from>
    <xdr:to>
      <xdr:col>2</xdr:col>
      <xdr:colOff>360947</xdr:colOff>
      <xdr:row>12</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16</xdr:row>
      <xdr:rowOff>66675</xdr:rowOff>
    </xdr:from>
    <xdr:to>
      <xdr:col>9</xdr:col>
      <xdr:colOff>76200</xdr:colOff>
      <xdr:row>21</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16</xdr:row>
      <xdr:rowOff>76702</xdr:rowOff>
    </xdr:from>
    <xdr:to>
      <xdr:col>13</xdr:col>
      <xdr:colOff>134353</xdr:colOff>
      <xdr:row>21</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15</xdr:row>
      <xdr:rowOff>152400</xdr:rowOff>
    </xdr:from>
    <xdr:to>
      <xdr:col>5</xdr:col>
      <xdr:colOff>3008</xdr:colOff>
      <xdr:row>17</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3</xdr:row>
      <xdr:rowOff>110290</xdr:rowOff>
    </xdr:from>
    <xdr:to>
      <xdr:col>12</xdr:col>
      <xdr:colOff>561475</xdr:colOff>
      <xdr:row>8</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11</xdr:row>
          <xdr:rowOff>0</xdr:rowOff>
        </xdr:from>
        <xdr:to>
          <xdr:col>12</xdr:col>
          <xdr:colOff>714375</xdr:colOff>
          <xdr:row>12</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48</xdr:row>
          <xdr:rowOff>28575</xdr:rowOff>
        </xdr:from>
        <xdr:to>
          <xdr:col>3</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3</xdr:row>
      <xdr:rowOff>10026</xdr:rowOff>
    </xdr:from>
    <xdr:to>
      <xdr:col>6</xdr:col>
      <xdr:colOff>621631</xdr:colOff>
      <xdr:row>9</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4</xdr:row>
      <xdr:rowOff>130343</xdr:rowOff>
    </xdr:from>
    <xdr:to>
      <xdr:col>10</xdr:col>
      <xdr:colOff>782053</xdr:colOff>
      <xdr:row>9</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1" t="s">
        <v>0</v>
      </c>
      <c r="E4" s="132"/>
      <c r="F4" s="13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3" t="s">
        <v>2</v>
      </c>
      <c r="E10" s="13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5" t="s">
        <v>45</v>
      </c>
      <c r="E19" s="13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6" t="str">
        <f>LOWER(TemplateInformation!B3)</f>
        <v>c:\program files\microsoft office\office\macrolib\factbd.xls</v>
      </c>
      <c r="G33" s="13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3" t="s">
        <v>16</v>
      </c>
      <c r="E36" s="13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1" zoomScale="95" workbookViewId="0">
      <selection activeCell="E34" sqref="E34:J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144"/>
      <c r="M6" s="145"/>
      <c r="N6" s="3"/>
      <c r="O6" s="8"/>
    </row>
    <row r="7" spans="1:15" x14ac:dyDescent="0.2">
      <c r="A7" s="7"/>
      <c r="B7" s="3"/>
      <c r="C7" s="3"/>
      <c r="D7" s="3"/>
      <c r="E7" s="3"/>
      <c r="F7" s="3"/>
      <c r="G7" s="3"/>
      <c r="H7" s="3"/>
      <c r="I7" s="3"/>
      <c r="J7" s="3"/>
      <c r="K7" s="3"/>
      <c r="L7" s="99"/>
      <c r="M7" s="99"/>
      <c r="N7" s="3"/>
      <c r="O7" s="8"/>
    </row>
    <row r="8" spans="1:15" x14ac:dyDescent="0.2">
      <c r="A8" s="7"/>
      <c r="B8" s="3"/>
      <c r="C8" s="3"/>
      <c r="D8" s="3"/>
      <c r="E8" s="3"/>
      <c r="F8" s="3"/>
      <c r="G8" s="3"/>
      <c r="H8" s="3"/>
      <c r="I8" s="3"/>
      <c r="J8" s="3"/>
      <c r="K8" s="3"/>
      <c r="L8" s="109"/>
      <c r="M8" s="110"/>
      <c r="N8" s="3"/>
      <c r="O8" s="8"/>
    </row>
    <row r="9" spans="1:15" x14ac:dyDescent="0.2">
      <c r="A9" s="7"/>
      <c r="B9" s="3"/>
      <c r="C9" s="3"/>
      <c r="D9" s="3"/>
      <c r="E9" s="3"/>
      <c r="F9" s="3"/>
      <c r="G9" s="3"/>
      <c r="H9" s="3"/>
      <c r="I9" s="3"/>
      <c r="J9" s="3"/>
      <c r="K9" s="3"/>
      <c r="L9" s="109"/>
      <c r="M9" s="110"/>
      <c r="N9" s="3"/>
      <c r="O9" s="8"/>
    </row>
    <row r="10" spans="1:15" x14ac:dyDescent="0.2">
      <c r="A10" s="7"/>
      <c r="B10" s="3"/>
      <c r="C10" s="3"/>
      <c r="D10" s="3"/>
      <c r="E10" s="3"/>
      <c r="F10" s="3"/>
      <c r="G10" s="3"/>
      <c r="H10" s="3"/>
      <c r="I10" s="3"/>
      <c r="J10" s="3"/>
      <c r="K10" s="3"/>
      <c r="L10" s="154" t="s">
        <v>54</v>
      </c>
      <c r="M10" s="155"/>
      <c r="N10" s="3"/>
      <c r="O10" s="8"/>
    </row>
    <row r="11" spans="1:15" x14ac:dyDescent="0.2">
      <c r="A11" s="7"/>
      <c r="B11" s="3"/>
      <c r="C11" s="3"/>
      <c r="D11" s="3"/>
      <c r="E11" s="3"/>
      <c r="F11" s="3"/>
      <c r="G11" s="143"/>
      <c r="H11" s="143"/>
      <c r="I11" s="143"/>
      <c r="J11" s="143"/>
      <c r="K11" s="143"/>
      <c r="L11" s="3"/>
      <c r="M11" s="3"/>
      <c r="N11" s="3"/>
      <c r="O11" s="8"/>
    </row>
    <row r="12" spans="1:15" ht="20.100000000000001" customHeight="1" x14ac:dyDescent="0.2">
      <c r="A12" s="7"/>
      <c r="B12" s="3"/>
      <c r="C12" s="3"/>
      <c r="D12" s="3"/>
      <c r="E12" s="3"/>
      <c r="F12" s="3"/>
      <c r="G12" s="143"/>
      <c r="H12" s="143"/>
      <c r="I12" s="143"/>
      <c r="J12" s="143"/>
      <c r="K12" s="143"/>
      <c r="L12" s="3"/>
      <c r="M12" s="3"/>
      <c r="N12" s="3"/>
      <c r="O12" s="8"/>
    </row>
    <row r="13" spans="1:15" ht="3" customHeight="1" thickBot="1" x14ac:dyDescent="0.25">
      <c r="A13" s="7"/>
      <c r="B13" s="3"/>
      <c r="C13" s="3"/>
      <c r="D13" s="3"/>
      <c r="E13" s="3"/>
      <c r="F13" s="3"/>
      <c r="G13" s="3"/>
      <c r="H13" s="3"/>
      <c r="I13" s="3"/>
      <c r="J13" s="3"/>
      <c r="K13" s="3"/>
      <c r="L13" s="3"/>
      <c r="M13" s="3"/>
      <c r="N13" s="3"/>
      <c r="O13" s="8"/>
    </row>
    <row r="14" spans="1:15" ht="14.1" customHeight="1" thickBot="1" x14ac:dyDescent="0.25">
      <c r="A14" s="7"/>
      <c r="B14" s="3"/>
      <c r="C14" s="3"/>
      <c r="D14" s="3"/>
      <c r="E14" s="3"/>
      <c r="F14" s="3"/>
      <c r="G14" s="108"/>
      <c r="H14" s="3"/>
      <c r="I14" s="99"/>
      <c r="J14" s="3"/>
      <c r="K14" s="3"/>
      <c r="L14" s="167" t="s">
        <v>67</v>
      </c>
      <c r="M14" s="168"/>
      <c r="N14" s="3"/>
      <c r="O14" s="8"/>
    </row>
    <row r="15" spans="1:15" ht="19.5" thickTop="1" x14ac:dyDescent="0.3">
      <c r="A15" s="7"/>
      <c r="B15" s="3"/>
      <c r="C15" s="58"/>
      <c r="D15" s="58"/>
      <c r="E15" s="58"/>
      <c r="F15" s="58"/>
      <c r="G15" s="58"/>
      <c r="H15" s="58"/>
      <c r="I15" s="59"/>
      <c r="J15" s="59"/>
      <c r="K15" s="59"/>
      <c r="L15" s="169"/>
      <c r="M15" s="170"/>
      <c r="N15" s="19"/>
      <c r="O15" s="8"/>
    </row>
    <row r="16" spans="1:15" ht="13.5" thickBot="1" x14ac:dyDescent="0.25">
      <c r="A16" s="7"/>
      <c r="B16" s="3"/>
      <c r="C16" s="3"/>
      <c r="D16" s="3"/>
      <c r="E16" s="3"/>
      <c r="F16" s="3"/>
      <c r="G16" s="3"/>
      <c r="H16" s="3"/>
      <c r="I16" s="3"/>
      <c r="J16" s="3"/>
      <c r="K16" s="3"/>
      <c r="L16" s="171"/>
      <c r="M16" s="172"/>
      <c r="N16" s="3"/>
      <c r="O16" s="8"/>
    </row>
    <row r="17" spans="1:15" x14ac:dyDescent="0.2">
      <c r="A17" s="7"/>
      <c r="B17" s="3"/>
      <c r="C17" s="3"/>
      <c r="D17" s="3"/>
      <c r="E17" s="3"/>
      <c r="F17" s="3"/>
      <c r="G17" s="3"/>
      <c r="H17" s="3"/>
      <c r="I17" s="3"/>
      <c r="J17" s="3"/>
      <c r="K17" s="3"/>
      <c r="L17" s="127"/>
      <c r="M17" s="3"/>
      <c r="N17" s="3"/>
      <c r="O17" s="8"/>
    </row>
    <row r="18" spans="1:15" ht="18" x14ac:dyDescent="0.25">
      <c r="A18" s="7"/>
      <c r="B18" s="3"/>
      <c r="C18" s="82" t="s">
        <v>3</v>
      </c>
      <c r="D18" s="160" t="s">
        <v>60</v>
      </c>
      <c r="E18" s="161"/>
      <c r="F18" s="161"/>
      <c r="G18" s="161"/>
      <c r="H18" s="161"/>
      <c r="I18" s="161"/>
      <c r="J18" s="82"/>
      <c r="K18" s="128" t="s">
        <v>18</v>
      </c>
      <c r="L18" s="148">
        <v>45380</v>
      </c>
      <c r="M18" s="149"/>
      <c r="N18" s="55"/>
      <c r="O18" s="8"/>
    </row>
    <row r="19" spans="1:15" ht="14.25" x14ac:dyDescent="0.2">
      <c r="A19" s="7"/>
      <c r="B19" s="3"/>
      <c r="C19" s="82" t="s">
        <v>5</v>
      </c>
      <c r="D19" s="158" t="s">
        <v>61</v>
      </c>
      <c r="E19" s="159"/>
      <c r="F19" s="159"/>
      <c r="G19" s="159"/>
      <c r="H19" s="159"/>
      <c r="I19" s="159"/>
      <c r="J19" s="82"/>
      <c r="K19" s="120" t="s">
        <v>66</v>
      </c>
      <c r="L19" s="177"/>
      <c r="M19" s="178"/>
      <c r="N19" s="56"/>
      <c r="O19" s="8"/>
    </row>
    <row r="20" spans="1:15" x14ac:dyDescent="0.2">
      <c r="A20" s="7"/>
      <c r="B20" s="3"/>
      <c r="C20" s="82" t="s">
        <v>7</v>
      </c>
      <c r="D20" s="89"/>
      <c r="E20" s="90" t="s">
        <v>8</v>
      </c>
      <c r="F20" s="156"/>
      <c r="G20" s="157"/>
      <c r="H20" s="91" t="s">
        <v>9</v>
      </c>
      <c r="I20" s="88" t="s">
        <v>51</v>
      </c>
      <c r="J20" s="82"/>
      <c r="K20" s="84" t="s">
        <v>19</v>
      </c>
      <c r="L20" s="150" t="s">
        <v>64</v>
      </c>
      <c r="M20" s="151"/>
      <c r="N20" s="3"/>
      <c r="O20" s="8"/>
    </row>
    <row r="21" spans="1:15" x14ac:dyDescent="0.2">
      <c r="A21" s="7"/>
      <c r="B21" s="3"/>
      <c r="C21" s="82" t="s">
        <v>20</v>
      </c>
      <c r="D21" s="162" t="s">
        <v>62</v>
      </c>
      <c r="E21" s="163"/>
      <c r="F21" s="163"/>
      <c r="G21" s="163"/>
      <c r="H21" s="163"/>
      <c r="I21" s="163"/>
      <c r="J21" s="82"/>
      <c r="K21" s="128" t="s">
        <v>47</v>
      </c>
      <c r="L21" s="152" t="s">
        <v>63</v>
      </c>
      <c r="M21" s="153"/>
      <c r="N21" s="3"/>
      <c r="O21" s="8"/>
    </row>
    <row r="22" spans="1:15" x14ac:dyDescent="0.2">
      <c r="A22" s="7"/>
      <c r="B22" s="3"/>
      <c r="C22" s="82"/>
      <c r="D22" s="82"/>
      <c r="E22" s="82"/>
      <c r="F22" s="82"/>
      <c r="G22" s="82"/>
      <c r="H22" s="82"/>
      <c r="I22" s="82"/>
      <c r="J22" s="82"/>
      <c r="K22" s="82"/>
      <c r="L22" s="82"/>
      <c r="M22" s="82"/>
      <c r="N22" s="3"/>
      <c r="O22" s="8"/>
    </row>
    <row r="23" spans="1:15" x14ac:dyDescent="0.2">
      <c r="A23" s="7"/>
      <c r="B23" s="3"/>
      <c r="C23" s="67" t="s">
        <v>34</v>
      </c>
      <c r="D23" s="51" t="s">
        <v>21</v>
      </c>
      <c r="E23" s="173" t="s">
        <v>22</v>
      </c>
      <c r="F23" s="174"/>
      <c r="G23" s="174"/>
      <c r="H23" s="174"/>
      <c r="I23" s="174"/>
      <c r="J23" s="174"/>
      <c r="K23" s="175"/>
      <c r="L23" s="52" t="s">
        <v>53</v>
      </c>
      <c r="M23" s="111" t="s">
        <v>23</v>
      </c>
      <c r="N23" s="57"/>
      <c r="O23" s="8"/>
    </row>
    <row r="24" spans="1:15" ht="15.75" x14ac:dyDescent="0.25">
      <c r="A24" s="7"/>
      <c r="B24" s="3"/>
      <c r="C24" s="93"/>
      <c r="D24" s="75"/>
      <c r="E24" s="189" t="s">
        <v>82</v>
      </c>
      <c r="F24" s="190"/>
      <c r="G24" s="190"/>
      <c r="H24" s="190"/>
      <c r="I24" s="191"/>
      <c r="J24" s="191"/>
      <c r="K24" s="125"/>
      <c r="L24" s="124"/>
      <c r="M24" s="96" t="str">
        <f>IF(D24&lt;&gt;"",D24*L24,"")</f>
        <v/>
      </c>
      <c r="N24" s="57"/>
      <c r="O24" s="8"/>
    </row>
    <row r="25" spans="1:15" ht="15.75" x14ac:dyDescent="0.25">
      <c r="A25" s="7"/>
      <c r="B25" s="3"/>
      <c r="C25" s="93"/>
      <c r="D25" s="75"/>
      <c r="E25" s="192" t="s">
        <v>83</v>
      </c>
      <c r="F25" s="193"/>
      <c r="G25" s="193"/>
      <c r="H25" s="193"/>
      <c r="I25" s="194"/>
      <c r="J25" s="194"/>
      <c r="K25" s="126"/>
      <c r="L25" s="124"/>
      <c r="M25" s="124"/>
      <c r="N25" s="57"/>
      <c r="O25" s="8"/>
    </row>
    <row r="26" spans="1:15" ht="15" customHeight="1" x14ac:dyDescent="0.2">
      <c r="A26" s="7"/>
      <c r="B26" s="3"/>
      <c r="C26" s="93"/>
      <c r="D26" s="75"/>
      <c r="E26" s="195" t="s">
        <v>84</v>
      </c>
      <c r="F26" s="196"/>
      <c r="G26" s="196"/>
      <c r="H26" s="196"/>
      <c r="I26" s="196"/>
      <c r="J26" s="196"/>
      <c r="K26" s="126"/>
      <c r="L26" s="124"/>
      <c r="M26" s="124"/>
      <c r="N26" s="57"/>
      <c r="O26" s="8"/>
    </row>
    <row r="27" spans="1:15" ht="15.75" x14ac:dyDescent="0.25">
      <c r="A27" s="7"/>
      <c r="B27" s="3"/>
      <c r="C27" s="93"/>
      <c r="D27" s="75"/>
      <c r="E27" s="197" t="s">
        <v>85</v>
      </c>
      <c r="F27" s="198"/>
      <c r="G27" s="198"/>
      <c r="H27" s="198"/>
      <c r="I27" s="198"/>
      <c r="J27" s="198"/>
      <c r="K27" s="126"/>
      <c r="L27" s="124"/>
      <c r="M27" s="124"/>
      <c r="N27" s="57"/>
      <c r="O27" s="8"/>
    </row>
    <row r="28" spans="1:15" ht="15.75" x14ac:dyDescent="0.25">
      <c r="A28" s="7"/>
      <c r="B28" s="3"/>
      <c r="C28" s="93"/>
      <c r="D28" s="75"/>
      <c r="E28" s="197" t="s">
        <v>86</v>
      </c>
      <c r="F28" s="198"/>
      <c r="G28" s="198"/>
      <c r="H28" s="198"/>
      <c r="I28" s="198"/>
      <c r="J28" s="198"/>
      <c r="K28" s="126"/>
      <c r="L28" s="124"/>
      <c r="M28" s="124"/>
      <c r="N28" s="57"/>
      <c r="O28" s="8"/>
    </row>
    <row r="29" spans="1:15" ht="15.75" x14ac:dyDescent="0.25">
      <c r="A29" s="7"/>
      <c r="B29" s="3"/>
      <c r="C29" s="93"/>
      <c r="D29" s="75"/>
      <c r="E29" s="179"/>
      <c r="F29" s="180"/>
      <c r="G29" s="180"/>
      <c r="H29" s="180"/>
      <c r="I29" s="180"/>
      <c r="J29" s="180"/>
      <c r="K29" s="126"/>
      <c r="L29" s="124"/>
      <c r="M29" s="124"/>
      <c r="N29" s="57"/>
      <c r="O29" s="8"/>
    </row>
    <row r="30" spans="1:15" ht="15" customHeight="1" x14ac:dyDescent="0.2">
      <c r="A30" s="7"/>
      <c r="B30" s="3"/>
      <c r="C30" s="53" t="s">
        <v>68</v>
      </c>
      <c r="D30" s="53">
        <v>1</v>
      </c>
      <c r="E30" s="181" t="s">
        <v>69</v>
      </c>
      <c r="F30" s="182"/>
      <c r="G30" s="182"/>
      <c r="H30" s="182"/>
      <c r="I30" s="182"/>
      <c r="J30" s="182"/>
      <c r="K30" s="126"/>
      <c r="L30" s="96">
        <v>1380</v>
      </c>
      <c r="M30" s="96">
        <f>L30*D30</f>
        <v>1380</v>
      </c>
      <c r="N30" s="57"/>
      <c r="O30" s="8"/>
    </row>
    <row r="31" spans="1:15" ht="15" customHeight="1" x14ac:dyDescent="0.2">
      <c r="A31" s="7"/>
      <c r="B31" s="3"/>
      <c r="C31" s="75"/>
      <c r="D31" s="75"/>
      <c r="E31" s="183"/>
      <c r="F31" s="184"/>
      <c r="G31" s="184"/>
      <c r="H31" s="184"/>
      <c r="I31" s="184"/>
      <c r="J31" s="184"/>
      <c r="K31" s="126"/>
      <c r="L31" s="112"/>
      <c r="M31" s="96"/>
      <c r="N31" s="57"/>
      <c r="O31" s="8"/>
    </row>
    <row r="32" spans="1:15" ht="15" x14ac:dyDescent="0.2">
      <c r="A32" s="7"/>
      <c r="B32" s="3"/>
      <c r="C32" s="75" t="s">
        <v>70</v>
      </c>
      <c r="D32" s="75">
        <v>1</v>
      </c>
      <c r="E32" s="185" t="s">
        <v>71</v>
      </c>
      <c r="F32" s="186"/>
      <c r="G32" s="186"/>
      <c r="H32" s="186"/>
      <c r="I32" s="186"/>
      <c r="J32" s="186"/>
      <c r="K32" s="126"/>
      <c r="L32" s="112">
        <v>1610</v>
      </c>
      <c r="M32" s="96">
        <f>L32*D32</f>
        <v>1610</v>
      </c>
      <c r="N32" s="57"/>
      <c r="O32" s="8"/>
    </row>
    <row r="33" spans="1:15" ht="15" x14ac:dyDescent="0.2">
      <c r="A33" s="7"/>
      <c r="B33" s="3"/>
      <c r="C33" s="75"/>
      <c r="D33" s="75"/>
      <c r="E33" s="181"/>
      <c r="F33" s="187"/>
      <c r="G33" s="187"/>
      <c r="H33" s="187"/>
      <c r="I33" s="187"/>
      <c r="J33" s="187"/>
      <c r="K33" s="126"/>
      <c r="L33" s="112"/>
      <c r="M33" s="96"/>
      <c r="N33" s="57"/>
      <c r="O33" s="8"/>
    </row>
    <row r="34" spans="1:15" ht="15" x14ac:dyDescent="0.2">
      <c r="A34" s="7"/>
      <c r="B34" s="3"/>
      <c r="C34" s="75" t="s">
        <v>72</v>
      </c>
      <c r="D34" s="75">
        <v>1</v>
      </c>
      <c r="E34" s="185" t="s">
        <v>73</v>
      </c>
      <c r="F34" s="186"/>
      <c r="G34" s="186"/>
      <c r="H34" s="186"/>
      <c r="I34" s="186"/>
      <c r="J34" s="186"/>
      <c r="K34" s="126"/>
      <c r="L34" s="112">
        <v>1757</v>
      </c>
      <c r="M34" s="96">
        <f>L34*D34</f>
        <v>1757</v>
      </c>
      <c r="N34" s="57"/>
      <c r="O34" s="8"/>
    </row>
    <row r="35" spans="1:15" ht="15" x14ac:dyDescent="0.2">
      <c r="A35" s="7"/>
      <c r="B35" s="3"/>
      <c r="C35" s="75"/>
      <c r="D35" s="75"/>
      <c r="E35" s="188"/>
      <c r="F35" s="187"/>
      <c r="G35" s="187"/>
      <c r="H35" s="187"/>
      <c r="I35" s="187"/>
      <c r="J35" s="187"/>
      <c r="K35" s="126"/>
      <c r="L35" s="112"/>
      <c r="M35" s="96"/>
      <c r="N35" s="57"/>
      <c r="O35" s="8"/>
    </row>
    <row r="36" spans="1:15" ht="15" x14ac:dyDescent="0.2">
      <c r="A36" s="7"/>
      <c r="B36" s="3"/>
      <c r="C36" s="75" t="s">
        <v>74</v>
      </c>
      <c r="D36" s="75">
        <v>1</v>
      </c>
      <c r="E36" s="185" t="s">
        <v>75</v>
      </c>
      <c r="F36" s="186"/>
      <c r="G36" s="186"/>
      <c r="H36" s="186"/>
      <c r="I36" s="186"/>
      <c r="J36" s="186"/>
      <c r="K36" s="107"/>
      <c r="L36" s="96">
        <v>2170</v>
      </c>
      <c r="M36" s="96">
        <f>L36*D36</f>
        <v>2170</v>
      </c>
      <c r="N36" s="57"/>
      <c r="O36" s="8"/>
    </row>
    <row r="37" spans="1:15" ht="17.100000000000001" customHeight="1" x14ac:dyDescent="0.2">
      <c r="A37" s="7"/>
      <c r="B37" s="3"/>
      <c r="C37" s="75"/>
      <c r="D37" s="75"/>
      <c r="E37" s="181"/>
      <c r="F37" s="187"/>
      <c r="G37" s="187"/>
      <c r="H37" s="187"/>
      <c r="I37" s="187"/>
      <c r="J37" s="187"/>
      <c r="K37" s="126"/>
      <c r="L37" s="96"/>
      <c r="M37" s="96"/>
      <c r="N37" s="57"/>
      <c r="O37" s="8"/>
    </row>
    <row r="38" spans="1:15" ht="17.100000000000001" customHeight="1" x14ac:dyDescent="0.2">
      <c r="A38" s="7"/>
      <c r="B38" s="3"/>
      <c r="C38" s="53" t="s">
        <v>76</v>
      </c>
      <c r="D38" s="53">
        <v>1</v>
      </c>
      <c r="E38" s="185" t="s">
        <v>77</v>
      </c>
      <c r="F38" s="186"/>
      <c r="G38" s="186"/>
      <c r="H38" s="186"/>
      <c r="I38" s="186"/>
      <c r="J38" s="186"/>
      <c r="K38" s="126"/>
      <c r="L38" s="96">
        <v>2584</v>
      </c>
      <c r="M38" s="96">
        <f>L38*D38</f>
        <v>2584</v>
      </c>
      <c r="N38" s="57"/>
      <c r="O38" s="8"/>
    </row>
    <row r="39" spans="1:15" ht="17.100000000000001" customHeight="1" x14ac:dyDescent="0.2">
      <c r="A39" s="7"/>
      <c r="B39" s="3"/>
      <c r="C39" s="53"/>
      <c r="D39" s="53"/>
      <c r="E39" s="181"/>
      <c r="F39" s="187"/>
      <c r="G39" s="187"/>
      <c r="H39" s="187"/>
      <c r="I39" s="187"/>
      <c r="J39" s="187"/>
      <c r="K39" s="126"/>
      <c r="L39" s="96"/>
      <c r="M39" s="96"/>
      <c r="N39" s="57"/>
      <c r="O39" s="8"/>
    </row>
    <row r="40" spans="1:15" ht="17.100000000000001" customHeight="1" x14ac:dyDescent="0.2">
      <c r="A40" s="7"/>
      <c r="B40" s="3"/>
      <c r="C40" s="53" t="s">
        <v>78</v>
      </c>
      <c r="D40" s="53">
        <v>1</v>
      </c>
      <c r="E40" s="185" t="s">
        <v>79</v>
      </c>
      <c r="F40" s="186"/>
      <c r="G40" s="186"/>
      <c r="H40" s="186"/>
      <c r="I40" s="186"/>
      <c r="J40" s="186"/>
      <c r="K40" s="126"/>
      <c r="L40" s="96">
        <v>3410</v>
      </c>
      <c r="M40" s="96">
        <f>L40*D40</f>
        <v>3410</v>
      </c>
      <c r="N40" s="57"/>
      <c r="O40" s="8"/>
    </row>
    <row r="41" spans="1:15" ht="17.100000000000001" customHeight="1" x14ac:dyDescent="0.2">
      <c r="A41" s="7"/>
      <c r="B41" s="3"/>
      <c r="C41" s="53"/>
      <c r="D41" s="53"/>
      <c r="E41" s="185"/>
      <c r="F41" s="186"/>
      <c r="G41" s="186"/>
      <c r="H41" s="186"/>
      <c r="I41" s="186"/>
      <c r="J41" s="186"/>
      <c r="K41" s="126"/>
      <c r="L41" s="96"/>
      <c r="M41" s="96"/>
      <c r="N41" s="57"/>
      <c r="O41" s="8"/>
    </row>
    <row r="42" spans="1:15" ht="17.100000000000001" customHeight="1" x14ac:dyDescent="0.2">
      <c r="A42" s="7"/>
      <c r="B42" s="3"/>
      <c r="C42" s="53" t="s">
        <v>80</v>
      </c>
      <c r="D42" s="53">
        <v>1</v>
      </c>
      <c r="E42" s="181" t="s">
        <v>81</v>
      </c>
      <c r="F42" s="182"/>
      <c r="G42" s="182"/>
      <c r="H42" s="182"/>
      <c r="I42" s="182"/>
      <c r="J42" s="182"/>
      <c r="K42" s="126"/>
      <c r="L42" s="96">
        <v>4237</v>
      </c>
      <c r="M42" s="96">
        <f>L42*D42</f>
        <v>4237</v>
      </c>
      <c r="N42" s="57"/>
      <c r="O42" s="8"/>
    </row>
    <row r="43" spans="1:15" ht="15.75" x14ac:dyDescent="0.25">
      <c r="A43" s="7"/>
      <c r="B43" s="3"/>
      <c r="C43" s="93"/>
      <c r="D43" s="53"/>
      <c r="E43" s="95"/>
      <c r="F43" s="113"/>
      <c r="G43" s="113"/>
      <c r="H43" s="113"/>
      <c r="I43" s="113"/>
      <c r="J43" s="113"/>
      <c r="K43" s="81"/>
      <c r="L43" s="96"/>
      <c r="M43" s="96"/>
      <c r="N43" s="57"/>
      <c r="O43" s="8"/>
    </row>
    <row r="44" spans="1:15" ht="15" customHeight="1" x14ac:dyDescent="0.2">
      <c r="A44" s="7"/>
      <c r="B44" s="3"/>
      <c r="C44" s="94"/>
      <c r="D44" s="54"/>
      <c r="E44" s="146"/>
      <c r="F44" s="147"/>
      <c r="G44" s="147"/>
      <c r="H44" s="147"/>
      <c r="I44" s="147"/>
      <c r="J44" s="147"/>
      <c r="K44" s="114"/>
      <c r="L44" s="96"/>
      <c r="M44" s="96"/>
      <c r="N44" s="57"/>
      <c r="O44" s="8"/>
    </row>
    <row r="45" spans="1:15" ht="15" customHeight="1" x14ac:dyDescent="0.25">
      <c r="A45" s="7"/>
      <c r="B45" s="3"/>
      <c r="C45" s="3"/>
      <c r="D45" s="82"/>
      <c r="E45" s="82"/>
      <c r="F45" s="82"/>
      <c r="G45" s="82"/>
      <c r="H45" s="82"/>
      <c r="I45" s="76"/>
      <c r="J45" s="76"/>
      <c r="K45" s="76"/>
      <c r="L45" s="102" t="s">
        <v>24</v>
      </c>
      <c r="M45" s="97">
        <f>SUM(M30:M44)</f>
        <v>17148</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8" x14ac:dyDescent="0.25">
      <c r="A47" s="7"/>
      <c r="B47" s="3"/>
      <c r="C47" s="3"/>
      <c r="D47" s="83"/>
      <c r="E47" s="130" t="s">
        <v>25</v>
      </c>
      <c r="F47" s="82"/>
      <c r="G47" s="82"/>
      <c r="H47" s="82"/>
      <c r="I47" s="78"/>
      <c r="J47" s="78"/>
      <c r="K47" s="77"/>
      <c r="L47" s="104">
        <v>0.19</v>
      </c>
      <c r="M47" s="103">
        <f>+M45*0.19</f>
        <v>3258.12</v>
      </c>
      <c r="N47" s="57"/>
      <c r="O47" s="8"/>
    </row>
    <row r="48" spans="1:15" ht="15.75" x14ac:dyDescent="0.25">
      <c r="A48" s="7"/>
      <c r="B48" s="3"/>
      <c r="C48" s="3"/>
      <c r="D48" s="85"/>
      <c r="E48" s="129" t="s">
        <v>65</v>
      </c>
      <c r="F48" s="87"/>
      <c r="G48" s="85"/>
      <c r="H48" s="82"/>
      <c r="I48" s="79"/>
      <c r="J48" s="76"/>
      <c r="K48" s="76"/>
      <c r="L48" s="164" t="s">
        <v>27</v>
      </c>
      <c r="M48" s="165">
        <f>SUM(M45:M47)</f>
        <v>20407.12</v>
      </c>
      <c r="N48" s="57"/>
      <c r="O48" s="8"/>
    </row>
    <row r="49" spans="1:15" ht="15" x14ac:dyDescent="0.2">
      <c r="A49" s="7"/>
      <c r="B49" s="3"/>
      <c r="C49" s="3"/>
      <c r="D49" s="85">
        <v>1</v>
      </c>
      <c r="E49" s="106" t="s">
        <v>56</v>
      </c>
      <c r="F49" s="82"/>
      <c r="G49" s="86"/>
      <c r="H49" s="82"/>
      <c r="I49" s="80" t="s">
        <v>26</v>
      </c>
      <c r="J49" s="76"/>
      <c r="K49" s="76"/>
      <c r="L49" s="164"/>
      <c r="M49" s="166"/>
      <c r="N49" s="57"/>
      <c r="O49" s="8"/>
    </row>
    <row r="50" spans="1:15" ht="15" customHeight="1" x14ac:dyDescent="0.2">
      <c r="A50" s="7"/>
      <c r="B50" s="3"/>
      <c r="C50" s="3"/>
      <c r="D50" s="85"/>
      <c r="E50" s="106"/>
      <c r="F50" s="82"/>
      <c r="G50" s="86"/>
      <c r="H50" s="82"/>
      <c r="I50" s="80"/>
      <c r="J50" s="76"/>
      <c r="K50" s="76"/>
      <c r="L50" s="99"/>
      <c r="M50" s="100"/>
      <c r="N50" s="57"/>
      <c r="O50" s="8"/>
    </row>
    <row r="51" spans="1:15" ht="15" customHeight="1" x14ac:dyDescent="0.2">
      <c r="A51" s="7"/>
      <c r="B51" s="121"/>
      <c r="C51" s="121"/>
      <c r="D51" s="121"/>
      <c r="E51" s="121"/>
      <c r="F51" s="121"/>
      <c r="G51" s="121"/>
      <c r="H51" s="121"/>
      <c r="I51" s="121"/>
      <c r="J51" s="121"/>
      <c r="K51" s="121"/>
      <c r="L51" s="122"/>
      <c r="M51" s="123"/>
      <c r="N51" s="57"/>
      <c r="O51" s="8"/>
    </row>
    <row r="52" spans="1:15" ht="12.75" customHeight="1" x14ac:dyDescent="0.2">
      <c r="A52" s="7"/>
      <c r="B52" s="120"/>
      <c r="C52" s="120"/>
      <c r="D52" s="120"/>
      <c r="E52" s="120"/>
      <c r="F52" s="120"/>
      <c r="G52" s="120"/>
      <c r="H52" s="120"/>
      <c r="I52" s="120"/>
      <c r="J52" s="120"/>
      <c r="K52" s="120"/>
      <c r="L52" s="98" t="s">
        <v>59</v>
      </c>
      <c r="M52" s="101"/>
      <c r="N52" s="57"/>
      <c r="O52" s="8"/>
    </row>
    <row r="53" spans="1:15" ht="3" customHeight="1" x14ac:dyDescent="0.2">
      <c r="A53" s="7"/>
      <c r="B53" s="120"/>
      <c r="C53" s="120"/>
      <c r="D53" s="120"/>
      <c r="E53" s="120"/>
      <c r="F53" s="120"/>
      <c r="G53" s="120"/>
      <c r="H53" s="120"/>
      <c r="I53" s="120"/>
      <c r="J53" s="120"/>
      <c r="K53" s="120"/>
      <c r="L53" s="101"/>
      <c r="M53" s="101"/>
      <c r="N53" s="57"/>
      <c r="O53" s="8"/>
    </row>
    <row r="54" spans="1:15" x14ac:dyDescent="0.2">
      <c r="A54" s="7"/>
      <c r="B54" s="120"/>
      <c r="C54" s="120"/>
      <c r="D54" s="120"/>
      <c r="E54" s="120"/>
      <c r="F54" s="120"/>
      <c r="G54" s="120"/>
      <c r="H54" s="120"/>
      <c r="I54" s="120"/>
      <c r="J54" s="120"/>
      <c r="K54" s="120"/>
      <c r="L54" s="101"/>
      <c r="M54" s="101"/>
      <c r="N54" s="57"/>
      <c r="O54" s="8"/>
    </row>
    <row r="55" spans="1:15" ht="15.75" customHeight="1" x14ac:dyDescent="0.2">
      <c r="A55" s="7"/>
      <c r="B55" s="176"/>
      <c r="C55" s="176"/>
      <c r="D55" s="176"/>
      <c r="E55" s="176"/>
      <c r="F55" s="176"/>
      <c r="G55" s="176"/>
      <c r="H55" s="176"/>
      <c r="I55" s="176"/>
      <c r="J55" s="176"/>
      <c r="K55" s="176"/>
      <c r="L55" s="99"/>
      <c r="M55" s="100"/>
      <c r="N55" s="57"/>
      <c r="O55" s="8"/>
    </row>
    <row r="56" spans="1:15" ht="15.75" customHeight="1" x14ac:dyDescent="0.2">
      <c r="A56" s="7"/>
      <c r="B56" s="3"/>
      <c r="C56" s="3"/>
      <c r="D56" s="142" t="s">
        <v>58</v>
      </c>
      <c r="E56" s="142"/>
      <c r="F56" s="142"/>
      <c r="G56" s="142"/>
      <c r="H56" s="142"/>
      <c r="I56" s="142"/>
      <c r="J56" s="142"/>
      <c r="K56" s="142"/>
      <c r="L56" s="142"/>
      <c r="M56" s="142"/>
      <c r="N56" s="57"/>
      <c r="O56" s="8"/>
    </row>
    <row r="57" spans="1:15" ht="0.95" customHeight="1" x14ac:dyDescent="0.2">
      <c r="A57" s="7"/>
      <c r="B57" s="3"/>
      <c r="C57" s="3"/>
      <c r="D57" s="142"/>
      <c r="E57" s="142"/>
      <c r="F57" s="142"/>
      <c r="G57" s="142"/>
      <c r="H57" s="142"/>
      <c r="I57" s="142"/>
      <c r="J57" s="142"/>
      <c r="K57" s="142"/>
      <c r="L57" s="142"/>
      <c r="M57" s="142"/>
      <c r="N57" s="57"/>
      <c r="O57" s="8"/>
    </row>
    <row r="58" spans="1:15" ht="6" customHeight="1" x14ac:dyDescent="0.2">
      <c r="A58" s="7"/>
      <c r="B58" s="3"/>
      <c r="C58" s="3"/>
      <c r="D58" s="117"/>
      <c r="E58" s="117"/>
      <c r="F58" s="117"/>
      <c r="G58" s="117"/>
      <c r="H58" s="117"/>
      <c r="I58" s="117"/>
      <c r="J58" s="117"/>
      <c r="K58" s="117"/>
      <c r="L58" s="117"/>
      <c r="M58" s="98"/>
      <c r="N58" s="57"/>
      <c r="O58" s="8"/>
    </row>
    <row r="59" spans="1:15" ht="16.5" thickBot="1" x14ac:dyDescent="0.25">
      <c r="A59" s="7"/>
      <c r="B59" s="3"/>
      <c r="C59" s="3"/>
      <c r="D59" s="18"/>
      <c r="E59" s="140" t="s">
        <v>55</v>
      </c>
      <c r="F59" s="140"/>
      <c r="G59" s="140"/>
      <c r="H59" s="140"/>
      <c r="I59" s="140"/>
      <c r="J59" s="140"/>
      <c r="K59" s="140"/>
      <c r="L59" s="98"/>
      <c r="M59" s="98"/>
      <c r="N59" s="57"/>
      <c r="O59" s="8"/>
    </row>
    <row r="60" spans="1:15" ht="16.5" thickTop="1" x14ac:dyDescent="0.2">
      <c r="A60" s="58"/>
      <c r="B60" s="3"/>
      <c r="C60" s="3"/>
      <c r="D60" s="141" t="s">
        <v>57</v>
      </c>
      <c r="E60" s="141"/>
      <c r="F60" s="141"/>
      <c r="G60" s="141"/>
      <c r="H60" s="141"/>
      <c r="I60" s="141"/>
      <c r="J60" s="141"/>
      <c r="K60" s="141"/>
      <c r="L60" s="141"/>
      <c r="M60" s="98"/>
      <c r="N60" s="57"/>
    </row>
    <row r="61" spans="1:15" ht="15.75" x14ac:dyDescent="0.2">
      <c r="A61" s="119"/>
      <c r="B61" s="3"/>
      <c r="C61" s="3"/>
      <c r="D61" s="141"/>
      <c r="E61" s="141"/>
      <c r="F61" s="141"/>
      <c r="G61" s="141"/>
      <c r="H61" s="141"/>
      <c r="I61" s="141"/>
      <c r="J61" s="141"/>
      <c r="K61" s="141"/>
      <c r="L61" s="141"/>
      <c r="M61" s="98"/>
      <c r="N61" s="57"/>
    </row>
    <row r="62" spans="1:15" ht="12.75" customHeight="1" thickBot="1" x14ac:dyDescent="0.25">
      <c r="A62" s="118"/>
      <c r="B62" s="115"/>
      <c r="C62" s="115"/>
      <c r="D62" s="116"/>
      <c r="E62" s="116"/>
      <c r="F62" s="116"/>
      <c r="G62" s="199"/>
      <c r="H62" s="199"/>
      <c r="I62" s="199"/>
      <c r="J62" s="199"/>
      <c r="K62" s="199"/>
      <c r="L62" s="116"/>
      <c r="M62" s="116"/>
      <c r="N62" s="115"/>
    </row>
    <row r="63" spans="1:15" ht="13.5" thickTop="1" x14ac:dyDescent="0.2">
      <c r="B63" s="58"/>
      <c r="C63" s="58"/>
      <c r="D63" s="58"/>
      <c r="E63" s="58"/>
      <c r="F63" s="58"/>
      <c r="G63" s="58"/>
      <c r="H63" s="58"/>
      <c r="I63" s="58"/>
      <c r="J63" s="58"/>
      <c r="K63" s="58"/>
      <c r="L63" s="58"/>
      <c r="M63" s="58"/>
      <c r="N63" s="58"/>
    </row>
    <row r="64" spans="1:15" x14ac:dyDescent="0.2">
      <c r="B64" s="119"/>
      <c r="C64" s="119"/>
      <c r="D64" s="119"/>
      <c r="E64" s="119"/>
      <c r="F64" s="119"/>
      <c r="G64" s="119"/>
      <c r="H64" s="119"/>
      <c r="I64" s="119"/>
      <c r="J64" s="138"/>
      <c r="K64" s="138"/>
      <c r="L64" s="138"/>
      <c r="M64" s="138"/>
      <c r="N64" s="138"/>
    </row>
    <row r="65" spans="2:14" x14ac:dyDescent="0.2">
      <c r="B65" s="118"/>
      <c r="C65" s="118"/>
      <c r="D65" s="118"/>
      <c r="E65" s="118"/>
      <c r="F65" s="118"/>
      <c r="G65" s="118"/>
      <c r="H65" s="118"/>
      <c r="I65" s="118"/>
      <c r="J65" s="139"/>
      <c r="K65" s="139"/>
      <c r="L65" s="139"/>
      <c r="M65" s="139"/>
      <c r="N65" s="139"/>
    </row>
  </sheetData>
  <scenarios current="0">
    <scenario name="sample1" locked="1" count="10" user="Nickte" comment="Created by Nickte on 23/10/96">
      <inputCells r="D18" val="M. Antoine CIVAUX"/>
      <inputCells r="D19" val="34, route de Marseille"/>
      <inputCells r="D20" val="84000"/>
      <inputCells r="D21" val="04.90.26.45.78"/>
      <inputCells r="F20" val="Avignon"/>
      <inputCells r="I20" val="France"/>
      <inputCells r="L18" val="35343" numFmtId="14"/>
      <inputCells r="L19" val="452"/>
      <inputCells r="L20" val="T. Farot"/>
      <inputCells r="L21" val="Le Havre"/>
    </scenario>
  </scenarios>
  <mergeCells count="33">
    <mergeCell ref="E27:J27"/>
    <mergeCell ref="E28:J28"/>
    <mergeCell ref="G62:K62"/>
    <mergeCell ref="D60:L61"/>
    <mergeCell ref="E59:K59"/>
    <mergeCell ref="D56:M57"/>
    <mergeCell ref="B55:K55"/>
    <mergeCell ref="E44:J44"/>
    <mergeCell ref="L48:L49"/>
    <mergeCell ref="M48:M49"/>
    <mergeCell ref="L14:M16"/>
    <mergeCell ref="E23:K23"/>
    <mergeCell ref="L19:M19"/>
    <mergeCell ref="E29:J29"/>
    <mergeCell ref="E38:J38"/>
    <mergeCell ref="E26:J26"/>
    <mergeCell ref="E31:J31"/>
    <mergeCell ref="E32:J32"/>
    <mergeCell ref="E34:J34"/>
    <mergeCell ref="E36:J36"/>
    <mergeCell ref="E40:J40"/>
    <mergeCell ref="E41:J41"/>
    <mergeCell ref="G11:K12"/>
    <mergeCell ref="L6:M6"/>
    <mergeCell ref="L18:M18"/>
    <mergeCell ref="L20:M20"/>
    <mergeCell ref="L21:M21"/>
    <mergeCell ref="L10:M10"/>
    <mergeCell ref="F20:G20"/>
    <mergeCell ref="D19:I19"/>
    <mergeCell ref="D18:I18"/>
    <mergeCell ref="D21:I21"/>
    <mergeCell ref="J64:N6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0:G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type="list" allowBlank="1" showInputMessage="1" showErrorMessage="1" errorTitle="Code TVA" error="Tapez 1, 2, ou 3." sqref="K32:K44 K24:K30">
      <formula1>"1,2,3"</formula1>
    </dataValidation>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2"/>
    <dataValidation type="decimal" allowBlank="1" showErrorMessage="1" errorTitle="Prix unitaire" error="Tapez un nombre dans cette cellule." promptTitle="Prix unitaire" sqref="M29:M42 L24:L44">
      <formula1>0</formula1>
      <formula2>1000000000</formula2>
    </dataValidation>
    <dataValidation type="whole" errorStyle="warning" allowBlank="1" showErrorMessage="1" errorTitle="Quantité" error="Tapez un nombre dans cette cellule." promptTitle="Quantité" sqref="D24:D44 C30:C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4:M28 M43:M44">
      <formula1>0</formula1>
      <formula2>0</formula2>
    </dataValidation>
  </dataValidations>
  <hyperlinks>
    <hyperlink ref="L10"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11</xdr:row>
                    <xdr:rowOff>0</xdr:rowOff>
                  </from>
                  <to>
                    <xdr:col>12</xdr:col>
                    <xdr:colOff>714375</xdr:colOff>
                    <xdr:row>12</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48</xdr:row>
                    <xdr:rowOff>28575</xdr:rowOff>
                  </from>
                  <to>
                    <xdr:col>3</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Facture!$L$18</f>
        <v>45380</v>
      </c>
      <c r="D8" s="71" t="str">
        <f>Facture!$D$18</f>
        <v>NXT</v>
      </c>
      <c r="E8" s="68" t="str">
        <f>Facture!$D$19</f>
        <v>AV MOSBAH JARBOU EL MANAR II</v>
      </c>
      <c r="F8" s="68">
        <f>Facture!$D$20</f>
        <v>0</v>
      </c>
      <c r="G8" s="71">
        <f>Facture!$F$20</f>
        <v>0</v>
      </c>
      <c r="H8" s="71" t="str">
        <f>Facture!$I$20</f>
        <v>TN</v>
      </c>
      <c r="I8" s="68" t="str">
        <f>Facture!$D$21</f>
        <v xml:space="preserve">     71882832       Fax: </v>
      </c>
      <c r="J8" s="72">
        <f>Facture!$M$48</f>
        <v>20407.12</v>
      </c>
      <c r="K8" s="68" t="str">
        <f>Facture!$L$20</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2024-03-13T08:37:00Z</cp:lastPrinted>
  <dcterms:created xsi:type="dcterms:W3CDTF">1995-05-29T15:50:39Z</dcterms:created>
  <dcterms:modified xsi:type="dcterms:W3CDTF">2024-03-29T12:59:18Z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20407.12</vt:r8>
  </property>
</Properties>
</file>