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33" i="3" l="1"/>
  <c r="M36" i="3"/>
  <c r="M30" i="3"/>
  <c r="M43" i="3" l="1"/>
  <c r="M45" i="3" l="1"/>
  <c r="M46"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<sst xmlns="http://schemas.openxmlformats.org/spreadsheetml/2006/main" count="91" uniqueCount="75">
  <si>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</si>
  <si>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</si>
  <si>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</si>
  <si>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</si>
  <si>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</si>
  <si>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</si>
  <si>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</si>
  <si>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</si>
  <si>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</si>
  <si>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</si>
  <si>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</si>
  <si>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</si>
  <si>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</si>
  <si>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</si>
  <si>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</si>
  <si>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</si>
  <si>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</si>
  <si>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</si>
  <si>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</si>
  <si>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</si>
  <si>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</si>
  <si>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</si>
  <si>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</si>
  <si>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</si>
  <si>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</si>
  <si>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</si>
  <si>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</si>
  <si>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</si>
  <si>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</si>
  <si>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</si>
  <si>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</si>
  <si>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</si>
  <si>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</si>
  <si>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</si>
  <si>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</si>
  <si>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</si>
  <si>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</si>
  <si>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</si>
  <si>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</si>
  <si>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</si>
  <si>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</si>
  <si>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</si>
  <si>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</si>
  <si>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</si>
  <si>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</si>
  <si>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</si>
  <si>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</si>
  <si>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</si>
  <si>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</si>
  <si>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</si>
  <si>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</si>
  <si>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</si>
  <si>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</si>
  <si>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</si>
  <si>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</si>
  <si>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</si>
  <si>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</si>
  <si>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</si>
  <si>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</si>
  <si>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</si>
  <si>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</si>
  <si>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Cheque</t>
  </si>
  <si>
    <t xml:space="preserve">SIGNATURE </t>
  </si>
  <si>
    <t>RIB: 10 000 000 080746 3788 95</t>
  </si>
  <si>
    <t>STB THAMEUR</t>
  </si>
  <si>
    <t xml:space="preserve">  tunis </t>
  </si>
  <si>
    <t>KIT COMPLET COMPOSE DE :</t>
  </si>
  <si>
    <t xml:space="preserve">* HARNIAS MIGUEL MIRANDA </t>
  </si>
  <si>
    <t xml:space="preserve"> CONFORME 3 NORMES EN 361 - EN358 - EN813</t>
  </si>
  <si>
    <t xml:space="preserve">* LONGE DOUBLE ELASTIQUE </t>
  </si>
  <si>
    <t xml:space="preserve"> CONFORME EN 355</t>
  </si>
  <si>
    <t xml:space="preserve">*LONGE DE MAINTIEN </t>
  </si>
  <si>
    <t>CONFORME EN 358</t>
  </si>
  <si>
    <t>EUROCAST</t>
  </si>
  <si>
    <t>DEVIS   N° 2024-1548</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</si>
</sst>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sz val="12"/>
      <color rgb="FF000000"/>
      <name val="Arial"/>
      <family val="2"/>
    </font>
    <font>
      <b/>
      <u/>
      <sz val="11"/>
      <color rgb="FFC00000"/>
      <name val="Arial"/>
      <family val="2"/>
    </font>
    <font>
      <sz val="11"/>
      <color rgb="FF000000"/>
      <name val="Arial"/>
      <family val="2"/>
    </font>
    <font>
      <b/>
      <sz val="12"/>
      <color rgb="FF000000"/>
      <name val="Arial"/>
      <family val="2"/>
    </font>
    <font>
      <u/>
      <sz val="12"/>
      <color theme="10"/>
      <name val="Arial"/>
      <family val="2"/>
    </font>
    <font>
      <b/>
      <sz val="11"/>
      <color rgb="FF000000"/>
      <name val="Arial"/>
      <family val="2"/>
    </font>
    <font>
      <sz val="12"/>
      <color theme="1"/>
      <name val="Arial"/>
      <family val="2"/>
    </font>
    <font>
      <sz val="8"/>
      <color rgb="FF000000"/>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6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indexed="64"/>
      </left>
      <right/>
      <top/>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right style="thin">
        <color indexed="64"/>
      </right>
      <top/>
      <bottom/>
      <diagonal/>
    </border>
    <border>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1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7"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7" fillId="3" borderId="0" xfId="0" applyFont="1" applyFill="1" applyBorder="1" applyAlignment="1">
      <alignment horizontal="left"/>
    </xf>
    <xf numFmtId="0" fontId="28" fillId="6" borderId="0" xfId="0" applyFont="1" applyFill="1" applyBorder="1"/>
    <xf numFmtId="0" fontId="10" fillId="6" borderId="0" xfId="0" applyFont="1" applyFill="1" applyBorder="1" applyAlignment="1"/>
    <xf numFmtId="49" fontId="29" fillId="0" borderId="43" xfId="0" applyNumberFormat="1" applyFont="1" applyFill="1" applyBorder="1" applyAlignment="1"/>
    <xf numFmtId="49" fontId="29" fillId="0" borderId="44" xfId="0" applyNumberFormat="1" applyFont="1" applyFill="1" applyBorder="1" applyAlignment="1"/>
    <xf numFmtId="49" fontId="30" fillId="6" borderId="44" xfId="5" applyNumberFormat="1" applyFont="1" applyFill="1" applyBorder="1" applyAlignment="1" applyProtection="1"/>
    <xf numFmtId="0" fontId="29" fillId="3" borderId="0" xfId="0" applyFont="1" applyFill="1" applyBorder="1" applyAlignment="1">
      <alignment horizontal="left"/>
    </xf>
    <xf numFmtId="0" fontId="31" fillId="7" borderId="56" xfId="0" applyFont="1" applyFill="1" applyBorder="1" applyAlignment="1">
      <alignment horizontal="center"/>
    </xf>
    <xf numFmtId="49" fontId="32" fillId="0" borderId="32" xfId="0" applyNumberFormat="1" applyFont="1" applyFill="1" applyBorder="1" applyAlignment="1"/>
    <xf numFmtId="49" fontId="30" fillId="0" borderId="0" xfId="5" applyNumberFormat="1" applyFont="1" applyFill="1" applyBorder="1" applyAlignment="1" applyProtection="1"/>
    <xf numFmtId="0" fontId="29" fillId="3" borderId="0" xfId="0" applyFont="1" applyFill="1" applyBorder="1" applyAlignment="1"/>
    <xf numFmtId="0" fontId="7" fillId="3" borderId="0" xfId="0" applyFont="1" applyFill="1" applyBorder="1" applyAlignment="1"/>
    <xf numFmtId="0" fontId="0" fillId="7" borderId="0" xfId="0" applyFill="1"/>
    <xf numFmtId="169" fontId="31" fillId="0" borderId="56" xfId="0" applyNumberFormat="1" applyFont="1" applyFill="1" applyBorder="1"/>
    <xf numFmtId="169" fontId="33" fillId="0" borderId="56" xfId="0" applyNumberFormat="1" applyFont="1" applyFill="1" applyBorder="1"/>
    <xf numFmtId="49" fontId="32" fillId="0" borderId="0" xfId="0" applyNumberFormat="1" applyFont="1" applyFill="1" applyBorder="1" applyAlignment="1"/>
    <xf numFmtId="0" fontId="34" fillId="7" borderId="57" xfId="0" applyFont="1" applyFill="1" applyBorder="1"/>
    <xf numFmtId="0" fontId="16" fillId="7" borderId="0" xfId="0" applyFont="1" applyFill="1" applyBorder="1"/>
    <xf numFmtId="0" fontId="31" fillId="7" borderId="0" xfId="0" applyFont="1" applyFill="1" applyBorder="1" applyAlignment="1"/>
    <xf numFmtId="0" fontId="7" fillId="7" borderId="0" xfId="0" applyFont="1" applyFill="1" applyBorder="1"/>
    <xf numFmtId="0" fontId="33" fillId="7" borderId="0" xfId="0" applyFont="1" applyFill="1" applyBorder="1" applyAlignment="1"/>
    <xf numFmtId="0" fontId="0" fillId="7" borderId="0" xfId="0" applyFill="1" applyBorder="1"/>
    <xf numFmtId="49" fontId="16" fillId="0" borderId="57" xfId="0" applyNumberFormat="1" applyFont="1" applyFill="1" applyBorder="1" applyAlignment="1">
      <alignment vertical="top"/>
    </xf>
    <xf numFmtId="49" fontId="35" fillId="0" borderId="0" xfId="5" applyNumberFormat="1" applyFont="1" applyFill="1" applyBorder="1" applyAlignment="1" applyProtection="1"/>
    <xf numFmtId="0" fontId="17" fillId="3" borderId="0" xfId="0" applyFont="1" applyFill="1" applyBorder="1" applyAlignment="1"/>
    <xf numFmtId="49" fontId="17" fillId="0" borderId="57" xfId="0" applyNumberFormat="1" applyFont="1" applyFill="1" applyBorder="1" applyAlignment="1"/>
    <xf numFmtId="0" fontId="34" fillId="7" borderId="0" xfId="0" applyFont="1" applyFill="1" applyBorder="1"/>
    <xf numFmtId="0" fontId="34" fillId="7" borderId="0" xfId="0" applyFont="1" applyFill="1" applyBorder="1" applyAlignment="1"/>
    <xf numFmtId="0" fontId="36" fillId="7" borderId="0" xfId="0" applyFont="1" applyFill="1" applyBorder="1"/>
    <xf numFmtId="0" fontId="36" fillId="7" borderId="0" xfId="0" applyFont="1" applyFill="1" applyBorder="1" applyAlignment="1"/>
    <xf numFmtId="0" fontId="31" fillId="7" borderId="58" xfId="0" applyFont="1" applyFill="1" applyBorder="1" applyAlignment="1">
      <alignment horizontal="center"/>
    </xf>
    <xf numFmtId="49" fontId="37" fillId="0" borderId="57" xfId="5" applyNumberFormat="1" applyFont="1" applyFill="1" applyBorder="1" applyAlignment="1" applyProtection="1"/>
    <xf numFmtId="169" fontId="31" fillId="0" borderId="59" xfId="0" applyNumberFormat="1" applyFont="1" applyFill="1" applyBorder="1"/>
    <xf numFmtId="49" fontId="16" fillId="0" borderId="0" xfId="0" applyNumberFormat="1" applyFont="1" applyFill="1" applyBorder="1" applyAlignment="1"/>
    <xf numFmtId="0" fontId="34" fillId="8" borderId="0" xfId="0" applyFont="1" applyFill="1" applyBorder="1"/>
    <xf numFmtId="0" fontId="34" fillId="8" borderId="0" xfId="0" applyFont="1" applyFill="1" applyBorder="1" applyAlignment="1"/>
    <xf numFmtId="0" fontId="36" fillId="8" borderId="0" xfId="0" applyFont="1" applyFill="1" applyBorder="1"/>
    <xf numFmtId="0" fontId="36" fillId="8" borderId="0" xfId="0" applyFont="1" applyFill="1" applyBorder="1" applyAlignment="1"/>
    <xf numFmtId="0" fontId="0" fillId="8" borderId="61" xfId="0" applyFill="1" applyBorder="1"/>
    <xf numFmtId="169" fontId="31" fillId="0" borderId="62" xfId="0" applyNumberFormat="1" applyFont="1" applyFill="1" applyBorder="1"/>
    <xf numFmtId="0" fontId="36" fillId="7" borderId="0" xfId="0" applyFont="1" applyFill="1"/>
    <xf numFmtId="0" fontId="38" fillId="8" borderId="57" xfId="0" applyFont="1" applyFill="1" applyBorder="1"/>
    <xf numFmtId="0" fontId="7"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2"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31" fillId="8" borderId="58" xfId="0" applyFont="1" applyFill="1" applyBorder="1" applyAlignment="1">
      <alignment horizontal="center"/>
    </xf>
    <xf numFmtId="0" fontId="0" fillId="8" borderId="0" xfId="0" applyFill="1" applyBorder="1"/>
    <xf numFmtId="0" fontId="31" fillId="8" borderId="60" xfId="0" applyFont="1" applyFill="1" applyBorder="1" applyAlignment="1">
      <alignment horizontal="center"/>
    </xf>
    <xf numFmtId="49" fontId="32" fillId="6"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45</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370976</xdr:colOff>
      <xdr:row>4</xdr:row>
      <xdr:rowOff>130343</xdr:rowOff>
    </xdr:from>
    <xdr:to>
      <xdr:col>12</xdr:col>
      <xdr:colOff>200527</xdr:colOff>
      <xdr:row>9</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63818" y="541422"/>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160421</xdr:colOff>
      <xdr:row>4</xdr:row>
      <xdr:rowOff>120315</xdr:rowOff>
    </xdr:from>
    <xdr:to>
      <xdr:col>13</xdr:col>
      <xdr:colOff>22137</xdr:colOff>
      <xdr:row>9</xdr:row>
      <xdr:rowOff>104662</xdr:rowOff>
    </xdr:to>
    <xdr:pic>
      <xdr:nvPicPr>
        <xdr:cNvPr id="3" name="Image 2"/>
        <xdr:cNvPicPr>
          <a:picLocks noChangeAspect="1"/>
        </xdr:cNvPicPr>
      </xdr:nvPicPr>
      <xdr:blipFill>
        <a:blip xmlns:r="http://schemas.openxmlformats.org/officeDocument/2006/relationships" r:embed="rId3"/>
        <a:stretch>
          <a:fillRect/>
        </a:stretch>
      </xdr:blipFill>
      <xdr:spPr>
        <a:xfrm>
          <a:off x="6837947" y="531394"/>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67" t="s">
        <v>0</v>
      </c>
      <c r="E4" s="168"/>
      <c r="F4" s="168"/>
      <c r="G4" s="3"/>
      <c r="H4" s="3"/>
      <c r="I4" s="3"/>
      <c r="J4" s="8"/>
    </row>
    <row r="5" spans="2:10" ht="3" customHeight="1" thickTop="1" x14ac:dyDescent="0.2">
      <c r="B5" s="2"/>
      <c r="C5" s="57"/>
      <c r="D5" s="57"/>
      <c r="E5" s="57"/>
      <c r="F5" s="57"/>
      <c r="G5" s="57"/>
      <c r="H5" s="57"/>
      <c r="I5" s="57"/>
      <c r="J5" s="1"/>
    </row>
    <row r="6" spans="2:10" ht="12.75" customHeight="1" x14ac:dyDescent="0.3">
      <c r="B6" s="7"/>
      <c r="C6" s="3"/>
      <c r="D6" s="19"/>
      <c r="E6" s="3"/>
      <c r="F6" s="3"/>
      <c r="G6" s="3"/>
      <c r="H6" s="3"/>
      <c r="I6" s="3"/>
      <c r="J6" s="8"/>
    </row>
    <row r="7" spans="2:10" x14ac:dyDescent="0.2">
      <c r="B7" s="7"/>
      <c r="C7" s="3"/>
      <c r="D7" s="3"/>
      <c r="E7" s="3"/>
      <c r="F7" s="3"/>
      <c r="G7" s="63" t="s">
        <v>44</v>
      </c>
      <c r="H7" s="3"/>
      <c r="I7" s="3"/>
      <c r="J7" s="8"/>
    </row>
    <row r="8" spans="2:10" x14ac:dyDescent="0.2">
      <c r="B8" s="7"/>
      <c r="C8" s="3"/>
      <c r="D8" s="3"/>
      <c r="E8" s="3"/>
      <c r="F8" s="3"/>
      <c r="G8" s="63" t="s">
        <v>1</v>
      </c>
      <c r="H8" s="3"/>
      <c r="I8" s="3"/>
      <c r="J8" s="8"/>
    </row>
    <row r="9" spans="2:10" x14ac:dyDescent="0.2">
      <c r="B9" s="7"/>
      <c r="C9" s="3"/>
      <c r="D9" s="20"/>
      <c r="E9" s="3"/>
      <c r="F9" s="3"/>
      <c r="G9" s="42"/>
      <c r="H9" s="3"/>
      <c r="I9" s="3"/>
      <c r="J9" s="8"/>
    </row>
    <row r="10" spans="2:10" ht="13.5" thickBot="1" x14ac:dyDescent="0.25">
      <c r="B10" s="7"/>
      <c r="C10" s="3"/>
      <c r="D10" s="169" t="s">
        <v>2</v>
      </c>
      <c r="E10" s="17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4" t="s">
        <v>4</v>
      </c>
      <c r="G12" s="16"/>
      <c r="H12" s="25"/>
      <c r="I12" s="3"/>
      <c r="J12" s="8"/>
    </row>
    <row r="13" spans="2:10" ht="13.5" thickBot="1" x14ac:dyDescent="0.25">
      <c r="B13" s="7"/>
      <c r="C13" s="3"/>
      <c r="D13" s="32" t="s">
        <v>5</v>
      </c>
      <c r="E13" s="13" t="s">
        <v>48</v>
      </c>
      <c r="F13" s="64"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71" t="s">
        <v>45</v>
      </c>
      <c r="E19" s="17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2">
        <v>0.1</v>
      </c>
      <c r="F22" s="33"/>
      <c r="G22" s="36"/>
      <c r="H22" s="25"/>
      <c r="I22" s="3"/>
      <c r="J22" s="8"/>
    </row>
    <row r="23" spans="2:10" x14ac:dyDescent="0.2">
      <c r="B23" s="7"/>
      <c r="C23" s="3"/>
      <c r="D23" s="34">
        <v>2</v>
      </c>
      <c r="E23" s="65">
        <v>0.18</v>
      </c>
      <c r="F23" s="33"/>
      <c r="G23" s="37"/>
      <c r="H23" s="25"/>
      <c r="I23" s="3"/>
      <c r="J23" s="8"/>
    </row>
    <row r="24" spans="2:10" ht="13.5" thickBot="1" x14ac:dyDescent="0.25">
      <c r="B24" s="7"/>
      <c r="C24" s="3"/>
      <c r="D24" s="34">
        <v>3</v>
      </c>
      <c r="E24" s="61">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3">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0"/>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72" t="str">
        <f>LOWER(TemplateInformation!B3)</f>
        <v>c:\program files\microsoft office\office\macrolib\factbd.xls</v>
      </c>
      <c r="G33" s="17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69" t="s">
        <v>16</v>
      </c>
      <c r="E36" s="17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9"/>
      <c r="J38" s="21"/>
    </row>
    <row r="39" spans="2:10" ht="14.25" x14ac:dyDescent="0.2">
      <c r="B39" s="7"/>
      <c r="C39" s="3"/>
      <c r="D39" s="44"/>
      <c r="E39" s="45"/>
      <c r="F39" s="47"/>
      <c r="G39" s="45"/>
      <c r="H39" s="46"/>
      <c r="I39" s="59"/>
      <c r="J39" s="21"/>
    </row>
    <row r="40" spans="2:10" ht="14.25" x14ac:dyDescent="0.2">
      <c r="B40" s="7"/>
      <c r="C40" s="3"/>
      <c r="D40" s="44"/>
      <c r="E40" s="45"/>
      <c r="F40" s="45"/>
      <c r="G40" s="45"/>
      <c r="H40" s="46"/>
      <c r="I40" s="59"/>
      <c r="J40" s="21"/>
    </row>
    <row r="41" spans="2:10" ht="14.25" x14ac:dyDescent="0.2">
      <c r="B41" s="7"/>
      <c r="C41" s="3"/>
      <c r="D41" s="44"/>
      <c r="E41" s="45"/>
      <c r="F41" s="45"/>
      <c r="G41" s="45"/>
      <c r="H41" s="46"/>
      <c r="I41" s="59"/>
      <c r="J41" s="21"/>
    </row>
    <row r="42" spans="2:10" ht="20.100000000000001" customHeight="1" x14ac:dyDescent="0.2">
      <c r="B42" s="7"/>
      <c r="C42" s="3"/>
      <c r="D42" s="44"/>
      <c r="E42" s="45"/>
      <c r="F42" s="45"/>
      <c r="G42" s="45"/>
      <c r="H42" s="46"/>
      <c r="I42" s="59"/>
      <c r="J42" s="21"/>
    </row>
    <row r="43" spans="2:10" ht="14.25" x14ac:dyDescent="0.2">
      <c r="B43" s="7"/>
      <c r="C43" s="3"/>
      <c r="D43" s="44"/>
      <c r="E43" s="45"/>
      <c r="F43" s="45"/>
      <c r="G43" s="45"/>
      <c r="H43" s="46"/>
      <c r="I43" s="59"/>
      <c r="J43" s="21"/>
    </row>
    <row r="44" spans="2:10" ht="26.25" customHeight="1" thickBot="1" x14ac:dyDescent="0.25">
      <c r="B44" s="7"/>
      <c r="C44" s="3"/>
      <c r="D44" s="48"/>
      <c r="E44" s="49"/>
      <c r="F44" s="49"/>
      <c r="G44" s="49"/>
      <c r="H44" s="50"/>
      <c r="I44" s="59"/>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12" zoomScale="95" workbookViewId="0">
      <selection activeCell="D21" sqref="D21:I21"/>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82"/>
      <c r="M9" s="183"/>
      <c r="N9" s="3"/>
      <c r="O9" s="8"/>
    </row>
    <row r="10" spans="1:15" x14ac:dyDescent="0.2">
      <c r="A10" s="7"/>
      <c r="B10" s="3"/>
      <c r="C10" s="3"/>
      <c r="D10" s="3"/>
      <c r="E10" s="3"/>
      <c r="F10" s="3"/>
      <c r="G10" s="3"/>
      <c r="H10" s="3"/>
      <c r="I10" s="3"/>
      <c r="J10" s="3"/>
      <c r="K10" s="3"/>
      <c r="L10" s="96"/>
      <c r="M10" s="96"/>
      <c r="N10" s="3"/>
      <c r="O10" s="8"/>
    </row>
    <row r="11" spans="1:15" x14ac:dyDescent="0.2">
      <c r="A11" s="7"/>
      <c r="B11" s="3"/>
      <c r="C11" s="3"/>
      <c r="D11" s="3"/>
      <c r="E11" s="3"/>
      <c r="F11" s="3"/>
      <c r="G11" s="3"/>
      <c r="H11" s="3"/>
      <c r="I11" s="3"/>
      <c r="J11" s="3"/>
      <c r="K11" s="3"/>
      <c r="L11" s="107"/>
      <c r="M11" s="108"/>
      <c r="N11" s="3"/>
      <c r="O11" s="8"/>
    </row>
    <row r="12" spans="1:15" x14ac:dyDescent="0.2">
      <c r="A12" s="7"/>
      <c r="B12" s="3"/>
      <c r="C12" s="3"/>
      <c r="D12" s="3"/>
      <c r="E12" s="3"/>
      <c r="F12" s="3"/>
      <c r="G12" s="3"/>
      <c r="H12" s="3"/>
      <c r="I12" s="3"/>
      <c r="J12" s="3"/>
      <c r="K12" s="3"/>
      <c r="L12" s="107"/>
      <c r="M12" s="108"/>
      <c r="N12" s="3"/>
      <c r="O12" s="8"/>
    </row>
    <row r="13" spans="1:15" x14ac:dyDescent="0.2">
      <c r="A13" s="7"/>
      <c r="B13" s="3"/>
      <c r="C13" s="3"/>
      <c r="D13" s="3"/>
      <c r="E13" s="3"/>
      <c r="F13" s="3"/>
      <c r="G13" s="3"/>
      <c r="H13" s="3"/>
      <c r="I13" s="3"/>
      <c r="J13" s="3"/>
      <c r="K13" s="3"/>
      <c r="L13" s="191"/>
      <c r="M13" s="192"/>
      <c r="N13" s="3"/>
      <c r="O13" s="8"/>
    </row>
    <row r="14" spans="1:15" x14ac:dyDescent="0.2">
      <c r="A14" s="7"/>
      <c r="B14" s="3"/>
      <c r="C14" s="3"/>
      <c r="D14" s="3"/>
      <c r="E14" s="3"/>
      <c r="F14" s="3"/>
      <c r="G14" s="181"/>
      <c r="H14" s="181"/>
      <c r="I14" s="181"/>
      <c r="J14" s="181"/>
      <c r="K14" s="181"/>
      <c r="L14" s="3"/>
      <c r="M14" s="3"/>
      <c r="N14" s="3"/>
      <c r="O14" s="8"/>
    </row>
    <row r="15" spans="1:15" ht="20.100000000000001" customHeight="1" x14ac:dyDescent="0.2">
      <c r="A15" s="7"/>
      <c r="B15" s="3"/>
      <c r="C15" s="3"/>
      <c r="D15" s="3"/>
      <c r="E15" s="3"/>
      <c r="F15" s="3"/>
      <c r="G15" s="181"/>
      <c r="H15" s="181"/>
      <c r="I15" s="181"/>
      <c r="J15" s="181"/>
      <c r="K15" s="181"/>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5"/>
      <c r="H17" s="3"/>
      <c r="I17" s="96"/>
      <c r="J17" s="3"/>
      <c r="K17" s="3"/>
      <c r="L17" s="203" t="s">
        <v>74</v>
      </c>
      <c r="M17" s="204"/>
      <c r="N17" s="3"/>
      <c r="O17" s="8"/>
    </row>
    <row r="18" spans="1:15" ht="19.5" thickTop="1" x14ac:dyDescent="0.3">
      <c r="A18" s="7"/>
      <c r="B18" s="3"/>
      <c r="C18" s="57"/>
      <c r="D18" s="57"/>
      <c r="E18" s="57"/>
      <c r="F18" s="57"/>
      <c r="G18" s="57"/>
      <c r="H18" s="57"/>
      <c r="I18" s="58"/>
      <c r="J18" s="58"/>
      <c r="K18" s="58"/>
      <c r="L18" s="205"/>
      <c r="M18" s="206"/>
      <c r="N18" s="19"/>
      <c r="O18" s="8"/>
    </row>
    <row r="19" spans="1:15" ht="13.5" thickBot="1" x14ac:dyDescent="0.25">
      <c r="A19" s="7"/>
      <c r="B19" s="3"/>
      <c r="C19" s="3"/>
      <c r="D19" s="3"/>
      <c r="E19" s="3"/>
      <c r="F19" s="3"/>
      <c r="G19" s="3"/>
      <c r="H19" s="3"/>
      <c r="I19" s="3"/>
      <c r="J19" s="3"/>
      <c r="K19" s="3"/>
      <c r="L19" s="207"/>
      <c r="M19" s="208"/>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0" t="s">
        <v>3</v>
      </c>
      <c r="D21" s="196" t="s">
        <v>73</v>
      </c>
      <c r="E21" s="197"/>
      <c r="F21" s="197"/>
      <c r="G21" s="197"/>
      <c r="H21" s="197"/>
      <c r="I21" s="197"/>
      <c r="J21" s="80"/>
      <c r="K21" s="82" t="s">
        <v>18</v>
      </c>
      <c r="L21" s="186">
        <v>45562</v>
      </c>
      <c r="M21" s="187"/>
      <c r="N21" s="54"/>
      <c r="O21" s="8"/>
    </row>
    <row r="22" spans="1:15" ht="14.25" x14ac:dyDescent="0.2">
      <c r="A22" s="7"/>
      <c r="B22" s="3"/>
      <c r="C22" s="80" t="s">
        <v>5</v>
      </c>
      <c r="D22" s="194"/>
      <c r="E22" s="195"/>
      <c r="F22" s="195"/>
      <c r="G22" s="195"/>
      <c r="H22" s="195"/>
      <c r="I22" s="195"/>
      <c r="J22" s="80"/>
      <c r="K22" s="118" t="s">
        <v>58</v>
      </c>
      <c r="L22" s="212"/>
      <c r="M22" s="213"/>
      <c r="N22" s="55"/>
      <c r="O22" s="8"/>
    </row>
    <row r="23" spans="1:15" x14ac:dyDescent="0.2">
      <c r="A23" s="7"/>
      <c r="B23" s="3"/>
      <c r="C23" s="80" t="s">
        <v>7</v>
      </c>
      <c r="D23" s="87"/>
      <c r="E23" s="88" t="s">
        <v>8</v>
      </c>
      <c r="F23" s="193" t="s">
        <v>65</v>
      </c>
      <c r="G23" s="193"/>
      <c r="H23" s="89" t="s">
        <v>9</v>
      </c>
      <c r="I23" s="86" t="s">
        <v>51</v>
      </c>
      <c r="J23" s="80"/>
      <c r="K23" s="82" t="s">
        <v>19</v>
      </c>
      <c r="L23" s="188"/>
      <c r="M23" s="189"/>
      <c r="N23" s="3"/>
      <c r="O23" s="8"/>
    </row>
    <row r="24" spans="1:15" x14ac:dyDescent="0.2">
      <c r="A24" s="7"/>
      <c r="B24" s="3"/>
      <c r="C24" s="80" t="s">
        <v>20</v>
      </c>
      <c r="D24" s="198"/>
      <c r="E24" s="199"/>
      <c r="F24" s="199"/>
      <c r="G24" s="199"/>
      <c r="H24" s="199"/>
      <c r="I24" s="199"/>
      <c r="J24" s="80"/>
      <c r="K24" s="82" t="s">
        <v>47</v>
      </c>
      <c r="L24" s="190"/>
      <c r="M24" s="190"/>
      <c r="N24" s="3"/>
      <c r="O24" s="8"/>
    </row>
    <row r="25" spans="1:15" x14ac:dyDescent="0.2">
      <c r="A25" s="7"/>
      <c r="B25" s="3"/>
      <c r="C25" s="80"/>
      <c r="D25" s="80"/>
      <c r="E25" s="80"/>
      <c r="F25" s="80"/>
      <c r="G25" s="80"/>
      <c r="H25" s="80"/>
      <c r="I25" s="80"/>
      <c r="J25" s="80"/>
      <c r="K25" s="80"/>
      <c r="L25" s="80"/>
      <c r="M25" s="80"/>
      <c r="N25" s="3"/>
      <c r="O25" s="8"/>
    </row>
    <row r="26" spans="1:15" x14ac:dyDescent="0.2">
      <c r="A26" s="7"/>
      <c r="B26" s="3"/>
      <c r="C26" s="66" t="s">
        <v>34</v>
      </c>
      <c r="D26" s="51" t="s">
        <v>21</v>
      </c>
      <c r="E26" s="209" t="s">
        <v>22</v>
      </c>
      <c r="F26" s="210"/>
      <c r="G26" s="210"/>
      <c r="H26" s="210"/>
      <c r="I26" s="210"/>
      <c r="J26" s="210"/>
      <c r="K26" s="211"/>
      <c r="L26" s="52" t="s">
        <v>53</v>
      </c>
      <c r="M26" s="109" t="s">
        <v>23</v>
      </c>
      <c r="N26" s="56"/>
      <c r="O26" s="8"/>
    </row>
    <row r="27" spans="1:15" ht="15.75" x14ac:dyDescent="0.25">
      <c r="A27" s="7"/>
      <c r="B27" s="3"/>
      <c r="C27" s="91"/>
      <c r="D27" s="74"/>
      <c r="E27" s="127"/>
      <c r="F27" s="128"/>
      <c r="G27" s="128"/>
      <c r="H27" s="128"/>
      <c r="I27" s="129"/>
      <c r="J27" s="129"/>
      <c r="K27" s="123"/>
      <c r="L27" s="122"/>
      <c r="M27" s="93"/>
      <c r="N27" s="56"/>
      <c r="O27" s="8"/>
    </row>
    <row r="28" spans="1:15" ht="15.75" x14ac:dyDescent="0.25">
      <c r="A28" s="7"/>
      <c r="B28" s="3"/>
      <c r="C28" s="91"/>
      <c r="D28" s="131"/>
      <c r="E28" s="132" t="s">
        <v>66</v>
      </c>
      <c r="F28" s="133"/>
      <c r="G28" s="133"/>
      <c r="H28" s="134"/>
      <c r="I28" s="134"/>
      <c r="J28" s="135"/>
      <c r="K28" s="136"/>
      <c r="L28" s="137"/>
      <c r="M28" s="138"/>
      <c r="N28" s="56"/>
      <c r="O28" s="8"/>
    </row>
    <row r="29" spans="1:15" ht="15.75" x14ac:dyDescent="0.25">
      <c r="A29" s="7"/>
      <c r="B29" s="3"/>
      <c r="C29" s="104"/>
      <c r="D29" s="131"/>
      <c r="E29" s="139"/>
      <c r="F29" s="133"/>
      <c r="G29" s="133"/>
      <c r="H29" s="134"/>
      <c r="I29" s="134"/>
      <c r="J29" s="135"/>
      <c r="K29" s="136"/>
      <c r="L29" s="137"/>
      <c r="M29" s="138"/>
      <c r="N29" s="56"/>
      <c r="O29" s="8"/>
    </row>
    <row r="30" spans="1:15" ht="15.75" x14ac:dyDescent="0.25">
      <c r="A30" s="7"/>
      <c r="B30" s="3"/>
      <c r="C30" s="104"/>
      <c r="D30" s="131">
        <v>1</v>
      </c>
      <c r="E30" s="140" t="s">
        <v>67</v>
      </c>
      <c r="F30" s="141"/>
      <c r="G30" s="142"/>
      <c r="H30" s="143"/>
      <c r="I30" s="143"/>
      <c r="J30" s="144"/>
      <c r="K30" s="145"/>
      <c r="L30" s="137">
        <v>590</v>
      </c>
      <c r="M30" s="138">
        <f>+L30*D30</f>
        <v>590</v>
      </c>
      <c r="N30" s="56"/>
      <c r="O30" s="8"/>
    </row>
    <row r="31" spans="1:15" ht="15.75" x14ac:dyDescent="0.25">
      <c r="A31" s="7"/>
      <c r="B31" s="3"/>
      <c r="C31" s="104"/>
      <c r="D31" s="131"/>
      <c r="E31" s="146" t="s">
        <v>68</v>
      </c>
      <c r="F31" s="147"/>
      <c r="G31" s="148"/>
      <c r="H31" s="134"/>
      <c r="I31" s="134"/>
      <c r="J31" s="135"/>
      <c r="K31" s="145"/>
      <c r="L31" s="137"/>
      <c r="M31" s="138"/>
      <c r="N31" s="56"/>
      <c r="O31" s="8"/>
    </row>
    <row r="32" spans="1:15" ht="15.75" x14ac:dyDescent="0.25">
      <c r="A32" s="7"/>
      <c r="B32" s="3"/>
      <c r="C32" s="104"/>
      <c r="D32" s="131"/>
      <c r="E32" s="149"/>
      <c r="F32" s="150"/>
      <c r="G32" s="151"/>
      <c r="H32" s="152"/>
      <c r="I32" s="152"/>
      <c r="J32" s="153"/>
      <c r="K32" s="145"/>
      <c r="L32" s="137"/>
      <c r="M32" s="138"/>
      <c r="N32" s="56"/>
      <c r="O32" s="8"/>
    </row>
    <row r="33" spans="1:15" ht="15.75" x14ac:dyDescent="0.25">
      <c r="A33" s="7"/>
      <c r="B33" s="3"/>
      <c r="C33" s="104"/>
      <c r="D33" s="154">
        <v>1</v>
      </c>
      <c r="E33" s="149" t="s">
        <v>69</v>
      </c>
      <c r="F33" s="150"/>
      <c r="G33" s="151"/>
      <c r="H33" s="152"/>
      <c r="I33" s="152"/>
      <c r="J33" s="153"/>
      <c r="K33" s="145"/>
      <c r="L33" s="156">
        <v>270</v>
      </c>
      <c r="M33" s="138">
        <f t="shared" ref="M31:M36" si="0">+L33*D33</f>
        <v>270</v>
      </c>
      <c r="N33" s="56"/>
      <c r="O33" s="8"/>
    </row>
    <row r="34" spans="1:15" ht="15.75" x14ac:dyDescent="0.25">
      <c r="A34" s="7"/>
      <c r="B34" s="3"/>
      <c r="C34" s="104"/>
      <c r="D34" s="154"/>
      <c r="E34" s="155" t="s">
        <v>70</v>
      </c>
      <c r="F34" s="150"/>
      <c r="G34" s="151"/>
      <c r="H34" s="152"/>
      <c r="I34" s="152"/>
      <c r="J34" s="153"/>
      <c r="K34" s="145"/>
      <c r="L34" s="156"/>
      <c r="M34" s="138"/>
      <c r="N34" s="56"/>
      <c r="O34" s="8"/>
    </row>
    <row r="35" spans="1:15" ht="15.75" x14ac:dyDescent="0.25">
      <c r="A35" s="7"/>
      <c r="B35" s="3"/>
      <c r="C35" s="104"/>
      <c r="D35" s="154"/>
      <c r="E35" s="149"/>
      <c r="F35" s="150"/>
      <c r="G35" s="151"/>
      <c r="H35" s="152"/>
      <c r="I35" s="152"/>
      <c r="J35" s="153"/>
      <c r="K35" s="145"/>
      <c r="L35" s="156"/>
      <c r="M35" s="138"/>
      <c r="N35" s="56"/>
      <c r="O35" s="8"/>
    </row>
    <row r="36" spans="1:15" ht="15.75" x14ac:dyDescent="0.25">
      <c r="A36" s="7"/>
      <c r="B36" s="3"/>
      <c r="C36" s="104"/>
      <c r="D36" s="214">
        <v>1</v>
      </c>
      <c r="E36" s="149" t="s">
        <v>71</v>
      </c>
      <c r="F36" s="150"/>
      <c r="G36" s="151"/>
      <c r="H36" s="152"/>
      <c r="I36" s="152"/>
      <c r="J36" s="161"/>
      <c r="K36" s="215"/>
      <c r="L36" s="156">
        <v>240</v>
      </c>
      <c r="M36" s="138">
        <f t="shared" si="0"/>
        <v>240</v>
      </c>
      <c r="N36" s="56"/>
      <c r="O36" s="8"/>
    </row>
    <row r="37" spans="1:15" ht="15.75" x14ac:dyDescent="0.25">
      <c r="A37" s="7"/>
      <c r="B37" s="3"/>
      <c r="C37" s="104"/>
      <c r="D37" s="214"/>
      <c r="E37" s="157" t="s">
        <v>72</v>
      </c>
      <c r="F37" s="158"/>
      <c r="G37" s="159"/>
      <c r="H37" s="160"/>
      <c r="I37" s="160"/>
      <c r="J37" s="161"/>
      <c r="K37" s="215"/>
      <c r="L37" s="156"/>
      <c r="M37" s="137"/>
      <c r="N37" s="56"/>
      <c r="O37" s="8"/>
    </row>
    <row r="38" spans="1:15" ht="15.75" x14ac:dyDescent="0.25">
      <c r="A38" s="7"/>
      <c r="B38" s="3"/>
      <c r="C38" s="104"/>
      <c r="D38" s="216"/>
      <c r="E38" s="165"/>
      <c r="F38" s="158"/>
      <c r="G38" s="159"/>
      <c r="H38" s="160"/>
      <c r="I38" s="160"/>
      <c r="J38" s="161"/>
      <c r="K38" s="162"/>
      <c r="L38" s="156"/>
      <c r="M38" s="137"/>
      <c r="N38" s="56"/>
      <c r="O38" s="8"/>
    </row>
    <row r="39" spans="1:15" ht="15.75" x14ac:dyDescent="0.25">
      <c r="A39" s="7"/>
      <c r="B39" s="3"/>
      <c r="C39" s="104"/>
      <c r="D39" s="214"/>
      <c r="E39" s="165"/>
      <c r="F39" s="158"/>
      <c r="G39" s="159"/>
      <c r="H39" s="160"/>
      <c r="I39" s="160"/>
      <c r="J39" s="161"/>
      <c r="K39" s="215"/>
      <c r="L39" s="156"/>
      <c r="M39" s="137"/>
      <c r="N39" s="56"/>
      <c r="O39" s="8"/>
    </row>
    <row r="40" spans="1:15" ht="15.75" x14ac:dyDescent="0.25">
      <c r="A40" s="7"/>
      <c r="B40" s="3"/>
      <c r="C40" s="104"/>
      <c r="D40" s="214"/>
      <c r="E40" s="165"/>
      <c r="F40" s="158"/>
      <c r="G40" s="159"/>
      <c r="H40" s="160"/>
      <c r="I40" s="158"/>
      <c r="J40" s="159"/>
      <c r="K40" s="166"/>
      <c r="L40" s="156"/>
      <c r="M40" s="137"/>
      <c r="N40" s="56"/>
      <c r="O40" s="8"/>
    </row>
    <row r="41" spans="1:15" ht="15.75" x14ac:dyDescent="0.25">
      <c r="A41" s="7"/>
      <c r="B41" s="3"/>
      <c r="C41" s="91"/>
      <c r="D41" s="216"/>
      <c r="E41" s="217"/>
      <c r="F41" s="158"/>
      <c r="G41" s="159"/>
      <c r="H41" s="160"/>
      <c r="I41" s="160"/>
      <c r="J41" s="161"/>
      <c r="K41" s="162"/>
      <c r="L41" s="163"/>
      <c r="M41" s="137"/>
      <c r="N41" s="56"/>
      <c r="O41" s="8"/>
    </row>
    <row r="42" spans="1:15" ht="15" x14ac:dyDescent="0.2">
      <c r="A42" s="7"/>
      <c r="B42" s="3"/>
      <c r="C42" s="92"/>
      <c r="D42" s="53"/>
      <c r="E42" s="184"/>
      <c r="F42" s="185"/>
      <c r="G42" s="185"/>
      <c r="H42" s="185"/>
      <c r="I42" s="185"/>
      <c r="J42" s="185"/>
      <c r="K42" s="110"/>
      <c r="L42" s="93"/>
      <c r="M42" s="93"/>
      <c r="N42" s="56"/>
      <c r="O42" s="8"/>
    </row>
    <row r="43" spans="1:15" ht="15" customHeight="1" x14ac:dyDescent="0.25">
      <c r="A43" s="7"/>
      <c r="B43" s="164"/>
      <c r="C43" s="3"/>
      <c r="D43" s="80"/>
      <c r="E43" s="80"/>
      <c r="F43" s="80"/>
      <c r="G43" s="80"/>
      <c r="H43" s="80"/>
      <c r="I43" s="75"/>
      <c r="J43" s="75"/>
      <c r="K43" s="75"/>
      <c r="L43" s="99" t="s">
        <v>24</v>
      </c>
      <c r="M43" s="94">
        <f>SUM(M28:M42)</f>
        <v>1100</v>
      </c>
      <c r="N43" s="56"/>
      <c r="O43" s="8"/>
    </row>
    <row r="44" spans="1:15" ht="15" customHeight="1" x14ac:dyDescent="0.2">
      <c r="A44" s="7"/>
      <c r="B44" s="3"/>
      <c r="C44" s="3"/>
      <c r="D44" s="80"/>
      <c r="E44" s="80"/>
      <c r="F44" s="80"/>
      <c r="G44" s="80"/>
      <c r="H44" s="80"/>
      <c r="I44" s="75"/>
      <c r="J44" s="75"/>
      <c r="K44" s="75"/>
      <c r="L44" s="102" t="s">
        <v>46</v>
      </c>
      <c r="M44" s="100">
        <v>1</v>
      </c>
      <c r="N44" s="56"/>
      <c r="O44" s="8"/>
    </row>
    <row r="45" spans="1:15" ht="12.75" customHeight="1" x14ac:dyDescent="0.25">
      <c r="A45" s="7"/>
      <c r="B45" s="3"/>
      <c r="C45" s="3"/>
      <c r="D45" s="81"/>
      <c r="E45" s="130" t="s">
        <v>25</v>
      </c>
      <c r="F45" s="80"/>
      <c r="G45" s="80"/>
      <c r="H45" s="80"/>
      <c r="I45" s="77"/>
      <c r="J45" s="77"/>
      <c r="K45" s="76"/>
      <c r="L45" s="101">
        <v>0.19</v>
      </c>
      <c r="M45" s="100">
        <f>SUM(M43*0.19)</f>
        <v>209</v>
      </c>
      <c r="N45" s="56"/>
      <c r="O45" s="8"/>
    </row>
    <row r="46" spans="1:15" ht="3" customHeight="1" x14ac:dyDescent="0.25">
      <c r="A46" s="7"/>
      <c r="B46" s="3"/>
      <c r="C46" s="3"/>
      <c r="D46" s="83"/>
      <c r="E46" s="124" t="s">
        <v>60</v>
      </c>
      <c r="F46" s="85"/>
      <c r="G46" s="83"/>
      <c r="H46" s="80"/>
      <c r="I46" s="78"/>
      <c r="J46" s="75"/>
      <c r="K46" s="75"/>
      <c r="L46" s="200" t="s">
        <v>27</v>
      </c>
      <c r="M46" s="201">
        <f>SUM(M43:M45)</f>
        <v>1310</v>
      </c>
      <c r="N46" s="56"/>
      <c r="O46" s="8"/>
    </row>
    <row r="47" spans="1:15" ht="15" x14ac:dyDescent="0.2">
      <c r="A47" s="7"/>
      <c r="B47" s="3"/>
      <c r="C47" s="3"/>
      <c r="D47" s="83">
        <v>1</v>
      </c>
      <c r="E47" s="103" t="s">
        <v>61</v>
      </c>
      <c r="F47" s="80"/>
      <c r="G47" s="84"/>
      <c r="H47" s="80"/>
      <c r="I47" s="79" t="s">
        <v>26</v>
      </c>
      <c r="J47" s="75"/>
      <c r="K47" s="75"/>
      <c r="L47" s="200"/>
      <c r="M47" s="202"/>
      <c r="N47" s="56"/>
      <c r="O47" s="8"/>
    </row>
    <row r="48" spans="1:15" ht="15.75" customHeight="1" x14ac:dyDescent="0.2">
      <c r="A48" s="7"/>
      <c r="B48" s="3"/>
      <c r="C48" s="3"/>
      <c r="D48" s="83"/>
      <c r="E48" s="103" t="s">
        <v>55</v>
      </c>
      <c r="F48" s="80"/>
      <c r="G48" s="84"/>
      <c r="H48" s="80"/>
      <c r="I48" s="79"/>
      <c r="J48" s="75"/>
      <c r="K48" s="75"/>
      <c r="L48" s="96"/>
      <c r="M48" s="97"/>
      <c r="N48" s="56"/>
      <c r="O48" s="8"/>
    </row>
    <row r="49" spans="1:15" x14ac:dyDescent="0.2">
      <c r="A49" s="7"/>
      <c r="B49" s="119"/>
      <c r="C49" s="119"/>
      <c r="D49" s="119"/>
      <c r="E49" s="119"/>
      <c r="F49" s="119"/>
      <c r="G49" s="119"/>
      <c r="H49" s="119"/>
      <c r="I49" s="119"/>
      <c r="J49" s="119"/>
      <c r="K49" s="119"/>
      <c r="L49" s="120"/>
      <c r="M49" s="121"/>
      <c r="N49" s="56"/>
      <c r="O49" s="8"/>
    </row>
    <row r="50" spans="1:15" ht="0.95" customHeight="1" x14ac:dyDescent="0.2">
      <c r="A50" s="7"/>
      <c r="B50" s="118"/>
      <c r="C50" s="118"/>
      <c r="D50" s="118"/>
      <c r="E50" s="118"/>
      <c r="F50" s="118"/>
      <c r="G50" s="118"/>
      <c r="H50" s="118"/>
      <c r="I50" s="118"/>
      <c r="J50" s="118"/>
      <c r="K50" s="118"/>
      <c r="L50" s="95" t="s">
        <v>59</v>
      </c>
      <c r="M50" s="98"/>
      <c r="N50" s="56"/>
      <c r="O50" s="8"/>
    </row>
    <row r="51" spans="1:15" ht="6" customHeight="1" x14ac:dyDescent="0.2">
      <c r="A51" s="7"/>
      <c r="B51" s="118"/>
      <c r="C51" s="118"/>
      <c r="D51" s="118"/>
      <c r="E51" s="118"/>
      <c r="F51" s="118"/>
      <c r="G51" s="118"/>
      <c r="H51" s="118"/>
      <c r="I51" s="118"/>
      <c r="J51" s="118"/>
      <c r="K51" s="118"/>
      <c r="L51" s="98"/>
      <c r="M51" s="98"/>
      <c r="N51" s="56"/>
      <c r="O51" s="8"/>
    </row>
    <row r="52" spans="1:15" ht="15.75" x14ac:dyDescent="0.25">
      <c r="A52" s="7"/>
      <c r="B52" s="174" t="s">
        <v>63</v>
      </c>
      <c r="C52" s="174"/>
      <c r="D52" s="174"/>
      <c r="E52" s="174"/>
      <c r="F52" s="174"/>
      <c r="G52" s="118"/>
      <c r="H52" s="118"/>
      <c r="I52" s="118"/>
      <c r="J52" s="118"/>
      <c r="K52" s="118"/>
      <c r="L52" s="125" t="s">
        <v>62</v>
      </c>
      <c r="M52" s="98"/>
      <c r="N52" s="56"/>
      <c r="O52" s="8"/>
    </row>
    <row r="53" spans="1:15" ht="15.75" x14ac:dyDescent="0.2">
      <c r="A53" s="7"/>
      <c r="B53" s="175" t="s">
        <v>64</v>
      </c>
      <c r="C53" s="175"/>
      <c r="D53" s="175"/>
      <c r="E53" s="175"/>
      <c r="F53" s="175"/>
      <c r="G53" s="126"/>
      <c r="H53" s="126"/>
      <c r="I53" s="126"/>
      <c r="J53" s="126"/>
      <c r="K53" s="126"/>
      <c r="L53" s="96"/>
      <c r="M53" s="97"/>
      <c r="N53" s="56"/>
      <c r="O53" s="8"/>
    </row>
    <row r="54" spans="1:15" ht="15.75" x14ac:dyDescent="0.2">
      <c r="A54" s="7"/>
      <c r="B54" s="3"/>
      <c r="C54" s="3"/>
      <c r="D54" s="18"/>
      <c r="E54" s="178"/>
      <c r="F54" s="178"/>
      <c r="G54" s="178"/>
      <c r="H54" s="178"/>
      <c r="I54" s="77"/>
      <c r="J54" s="96"/>
      <c r="K54" s="95"/>
      <c r="L54" s="95"/>
      <c r="M54" s="95"/>
      <c r="N54" s="56"/>
      <c r="O54" s="8"/>
    </row>
    <row r="55" spans="1:15" ht="12.75" customHeight="1" x14ac:dyDescent="0.2">
      <c r="A55" s="7"/>
      <c r="B55" s="3"/>
      <c r="C55" s="3"/>
      <c r="D55" s="18"/>
      <c r="E55" s="106"/>
      <c r="F55" s="113"/>
      <c r="G55" s="113"/>
      <c r="H55" s="113"/>
      <c r="I55" s="114"/>
      <c r="J55" s="95"/>
      <c r="K55" s="95"/>
      <c r="L55" s="95"/>
      <c r="M55" s="95"/>
      <c r="N55" s="56"/>
      <c r="O55" s="8"/>
    </row>
    <row r="56" spans="1:15" ht="16.5" thickBot="1" x14ac:dyDescent="0.25">
      <c r="A56" s="7"/>
      <c r="B56" s="3"/>
      <c r="C56" s="3"/>
      <c r="D56" s="115" t="s">
        <v>57</v>
      </c>
      <c r="E56" s="115"/>
      <c r="F56" s="115"/>
      <c r="G56" s="115"/>
      <c r="H56" s="115"/>
      <c r="I56" s="115"/>
      <c r="J56" s="115"/>
      <c r="K56" s="115"/>
      <c r="L56" s="115"/>
      <c r="M56" s="95"/>
      <c r="N56" s="56"/>
      <c r="O56" s="8"/>
    </row>
    <row r="57" spans="1:15" ht="16.5" thickTop="1" x14ac:dyDescent="0.2">
      <c r="A57" s="57"/>
      <c r="B57" s="3"/>
      <c r="C57" s="3"/>
      <c r="D57" s="18"/>
      <c r="E57" s="179" t="s">
        <v>54</v>
      </c>
      <c r="F57" s="179"/>
      <c r="G57" s="179"/>
      <c r="H57" s="179"/>
      <c r="I57" s="179"/>
      <c r="J57" s="179"/>
      <c r="K57" s="179"/>
      <c r="L57" s="95"/>
      <c r="M57" s="95"/>
      <c r="N57" s="56"/>
      <c r="O57" s="8"/>
    </row>
    <row r="58" spans="1:15" ht="15.75" x14ac:dyDescent="0.2">
      <c r="A58" s="117"/>
      <c r="B58" s="3"/>
      <c r="C58" s="3"/>
      <c r="D58" s="180" t="s">
        <v>56</v>
      </c>
      <c r="E58" s="180"/>
      <c r="F58" s="180"/>
      <c r="G58" s="180"/>
      <c r="H58" s="180"/>
      <c r="I58" s="180"/>
      <c r="J58" s="180"/>
      <c r="K58" s="180"/>
      <c r="L58" s="180"/>
      <c r="M58" s="95"/>
      <c r="N58" s="56"/>
    </row>
    <row r="59" spans="1:15" ht="15.75" x14ac:dyDescent="0.2">
      <c r="A59" s="116"/>
      <c r="B59" s="3"/>
      <c r="C59" s="3"/>
      <c r="D59" s="180"/>
      <c r="E59" s="180"/>
      <c r="F59" s="180"/>
      <c r="G59" s="180"/>
      <c r="H59" s="180"/>
      <c r="I59" s="180"/>
      <c r="J59" s="180"/>
      <c r="K59" s="180"/>
      <c r="L59" s="180"/>
      <c r="M59" s="95"/>
      <c r="N59" s="56"/>
    </row>
    <row r="60" spans="1:15" ht="13.5" thickBot="1" x14ac:dyDescent="0.25">
      <c r="B60" s="111"/>
      <c r="C60" s="111"/>
      <c r="D60" s="112"/>
      <c r="E60" s="112"/>
      <c r="F60" s="112"/>
      <c r="G60" s="177"/>
      <c r="H60" s="177"/>
      <c r="I60" s="177"/>
      <c r="J60" s="177"/>
      <c r="K60" s="177"/>
      <c r="L60" s="112"/>
      <c r="M60" s="112"/>
      <c r="N60" s="111"/>
    </row>
    <row r="61" spans="1:15" ht="13.5" thickTop="1" x14ac:dyDescent="0.2">
      <c r="B61" s="57"/>
      <c r="C61" s="57"/>
      <c r="D61" s="57"/>
      <c r="E61" s="57"/>
      <c r="F61" s="57"/>
      <c r="G61" s="57"/>
      <c r="H61" s="57"/>
      <c r="I61" s="57"/>
      <c r="J61" s="57"/>
      <c r="K61" s="57"/>
      <c r="L61" s="57"/>
      <c r="M61" s="57"/>
      <c r="N61" s="57"/>
    </row>
    <row r="62" spans="1:15" x14ac:dyDescent="0.2">
      <c r="B62" s="117"/>
      <c r="C62" s="117"/>
      <c r="D62" s="117"/>
      <c r="E62" s="117"/>
      <c r="F62" s="117"/>
      <c r="G62" s="117"/>
      <c r="H62" s="117"/>
      <c r="I62" s="117"/>
      <c r="J62" s="176"/>
      <c r="K62" s="176"/>
      <c r="L62" s="176"/>
      <c r="M62" s="176"/>
      <c r="N62" s="176"/>
    </row>
    <row r="63" spans="1:15" x14ac:dyDescent="0.2">
      <c r="B63" s="116"/>
      <c r="C63" s="116"/>
      <c r="D63" s="116"/>
      <c r="E63" s="116"/>
      <c r="F63" s="116"/>
      <c r="G63" s="116"/>
      <c r="H63" s="116"/>
      <c r="I63" s="116"/>
      <c r="J63" s="177"/>
      <c r="K63" s="177"/>
      <c r="L63" s="177"/>
      <c r="M63" s="177"/>
      <c r="N63" s="177"/>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L46:L47"/>
    <mergeCell ref="M46:M47"/>
    <mergeCell ref="L17:M19"/>
    <mergeCell ref="E26:K26"/>
    <mergeCell ref="L22:M22"/>
    <mergeCell ref="G14:K15"/>
    <mergeCell ref="L9:M9"/>
    <mergeCell ref="E42:J42"/>
    <mergeCell ref="L21:M21"/>
    <mergeCell ref="L23:M23"/>
    <mergeCell ref="L24:M24"/>
    <mergeCell ref="L13:M13"/>
    <mergeCell ref="F23:G23"/>
    <mergeCell ref="D22:I22"/>
    <mergeCell ref="D21:I21"/>
    <mergeCell ref="D24:I24"/>
    <mergeCell ref="B52:F52"/>
    <mergeCell ref="B53:F53"/>
    <mergeCell ref="J62:N63"/>
    <mergeCell ref="E54:H54"/>
    <mergeCell ref="E57:K57"/>
    <mergeCell ref="G60:K60"/>
    <mergeCell ref="D58:L59"/>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errorStyle="warning" allowBlank="1" showInputMessage="1" errorTitle="Numéro de carte de crédit" promptTitle="Numéro de carte de crédit" prompt="Tapez ici le numéro de carte de crédit du client" sqref="E54:E55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 L50"/>
    <dataValidation type="decimal" allowBlank="1" showErrorMessage="1" errorTitle="Prix unitaire" error="Tapez un nombre dans cette cellule." promptTitle="Prix unitaire" sqref="L27:L42 M28:M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0:M42 M27">
      <formula1>0</formula1>
      <formula2>0</formula2>
    </dataValidation>
    <dataValidation type="list" allowBlank="1" showInputMessage="1" showErrorMessage="1" errorTitle="Code TVA" error="Tapez 1, 2, ou 3." sqref="K27:K42">
      <formula1>"1,2,3"</formula1>
    </dataValidation>
    <dataValidation type="whole" errorStyle="warning" allowBlank="1" showErrorMessage="1" errorTitle="Quantité" error="Tapez un nombre dans cette cellule." promptTitle="Quantité" sqref="D27: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45</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46</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47</xdr:row>
                    <xdr:rowOff>28575</xdr:rowOff>
                  </from>
                  <to>
                    <xdr:col>3</xdr:col>
                    <xdr:colOff>714375</xdr:colOff>
                    <xdr:row>48</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7"/>
  </cols>
  <sheetData>
    <row r="1" spans="1:11" x14ac:dyDescent="0.2">
      <c r="A1" s="67" t="s">
        <v>28</v>
      </c>
    </row>
    <row r="2" spans="1:11" x14ac:dyDescent="0.2">
      <c r="A2" s="67" t="s">
        <v>35</v>
      </c>
      <c r="B2" s="67" t="s">
        <v>29</v>
      </c>
    </row>
    <row r="3" spans="1:11" x14ac:dyDescent="0.2">
      <c r="A3" s="67" t="s">
        <v>36</v>
      </c>
      <c r="B3" s="67" t="s">
        <v>43</v>
      </c>
    </row>
    <row r="4" spans="1:11" x14ac:dyDescent="0.2">
      <c r="A4" s="67" t="s">
        <v>30</v>
      </c>
    </row>
    <row r="5" spans="1:11" x14ac:dyDescent="0.2">
      <c r="A5" s="67" t="s">
        <v>37</v>
      </c>
      <c r="B5" s="67">
        <v>1</v>
      </c>
    </row>
    <row r="6" spans="1:11" x14ac:dyDescent="0.2">
      <c r="A6" s="67">
        <v>1</v>
      </c>
      <c r="B6" s="67" t="s">
        <v>38</v>
      </c>
      <c r="C6" s="67" t="s">
        <v>42</v>
      </c>
      <c r="D6" s="67" t="s">
        <v>39</v>
      </c>
      <c r="E6" s="67">
        <v>10</v>
      </c>
      <c r="G6" s="67">
        <v>-1383939328</v>
      </c>
    </row>
    <row r="7" spans="1:11" x14ac:dyDescent="0.2">
      <c r="A7" s="67" t="s">
        <v>40</v>
      </c>
      <c r="B7" s="67" t="s">
        <v>31</v>
      </c>
      <c r="C7" s="67" t="s">
        <v>18</v>
      </c>
      <c r="D7" s="67" t="s">
        <v>3</v>
      </c>
      <c r="E7" s="67" t="s">
        <v>5</v>
      </c>
      <c r="F7" s="67" t="s">
        <v>7</v>
      </c>
      <c r="G7" s="67" t="s">
        <v>8</v>
      </c>
      <c r="H7" s="67" t="s">
        <v>9</v>
      </c>
      <c r="I7" s="67" t="s">
        <v>20</v>
      </c>
      <c r="J7" s="67" t="s">
        <v>32</v>
      </c>
      <c r="K7" s="67" t="s">
        <v>19</v>
      </c>
    </row>
    <row r="8" spans="1:11" x14ac:dyDescent="0.2">
      <c r="A8" s="67" t="s">
        <v>41</v>
      </c>
      <c r="B8" s="68" t="e">
        <f>Facture!#REF!</f>
        <v>#REF!</v>
      </c>
      <c r="C8" s="69">
        <f>Facture!$L$21</f>
        <v>45562</v>
      </c>
      <c r="D8" s="70" t="str">
        <f>Facture!$D$21</f>
        <v>EUROCAST</v>
      </c>
      <c r="E8" s="67">
        <f>Facture!$D$22</f>
        <v>0</v>
      </c>
      <c r="F8" s="67">
        <f>Facture!$D$23</f>
        <v>0</v>
      </c>
      <c r="G8" s="70" t="str">
        <f>Facture!$F$23</f>
        <v xml:space="preserve">  tunis </v>
      </c>
      <c r="H8" s="70" t="str">
        <f>Facture!$I$23</f>
        <v>TN</v>
      </c>
      <c r="I8" s="67">
        <f>Facture!$D$24</f>
        <v>0</v>
      </c>
      <c r="J8" s="71">
        <f>Facture!$M$46</f>
        <v>1310</v>
      </c>
      <c r="K8" s="67">
        <f>Facture!$L$23</f>
        <v>0</v>
      </c>
    </row>
    <row r="9" spans="1:11" x14ac:dyDescent="0.2">
      <c r="A9" s="67" t="s">
        <v>30</v>
      </c>
    </row>
    <row r="10" spans="1:11" x14ac:dyDescent="0.2">
      <c r="G10" s="67">
        <v>-1261995520</v>
      </c>
    </row>
    <row r="14" spans="1:11" x14ac:dyDescent="0.2">
      <c r="G14" s="67">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2024-09-27T14:24:49Z</cp:lastPrinted>
  <dcterms:created xsi:type="dcterms:W3CDTF">1995-05-29T15:50:39Z</dcterms:created>
  <dcterms:modified xsi:type="dcterms:W3CDTF">2024-09-27T14:25:18Z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EUROCAST</vt:lpwstr>
  </property>
  <property fmtid="{D5CDD505-2E9C-101B-9397-08002B2CF9AE}" pid="11" name="Montant de la facture" linkTarget="TOT">
    <vt:r8>1310</vt:r8>
  </property>
</Properties>
</file>