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User\Desktop\ACROBATE SOLUTION\2024\BL\"/>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Facture!#REF!</definedName>
    <definedName name="data66">Facture!#REF!</definedName>
    <definedName name="data67">Facture!$F$53</definedName>
    <definedName name="data68">Facture!$G$53</definedName>
    <definedName name="data69">Facture!$K$53</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Facture!$F$52:$I$52</definedName>
    <definedName name="qzqzqz29">Facture!$L$52:$M$53</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<sst xmlns="http://schemas.openxmlformats.org/spreadsheetml/2006/main" count="84" uniqueCount="73">
  <si>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</si>
  <si>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</si>
  <si>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</si>
  <si>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</si>
  <si>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</si>
  <si>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</si>
  <si>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</si>
  <si>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</si>
  <si>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</si>
  <si>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</si>
  <si>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</si>
  <si>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</si>
  <si>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</si>
  <si>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</si>
  <si>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</si>
  <si>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</si>
  <si>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</si>
  <si>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</si>
  <si>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</si>
  <si>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</si>
  <si>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</si>
  <si>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</si>
  <si>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</si>
  <si>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</si>
  <si>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</si>
  <si>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</si>
  <si>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</si>
  <si>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</si>
  <si>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</si>
  <si>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</si>
  <si>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</si>
  <si>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</si>
  <si>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</si>
  <si>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</si>
  <si>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</si>
  <si>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</si>
  <si>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</si>
  <si>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</si>
  <si>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</si>
  <si>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</si>
  <si>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</si>
  <si>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</si>
  <si>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</si>
  <si>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</si>
  <si>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</si>
  <si>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</si>
  <si>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</si>
  <si>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</si>
  <si>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</si>
  <si>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</si>
  <si>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</si>
  <si>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</si>
  <si>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</si>
  <si>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</si>
  <si>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</si>
  <si>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</si>
  <si>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</si>
  <si>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</si>
  <si>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</si>
  <si>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</si>
  <si>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</si>
  <si>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</si>
  <si>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</si>
  <si>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</si>
  <si>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</si>
  <si>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 xml:space="preserve">Responsable:SERVICE ACHAT </t>
  </si>
  <si>
    <t>4 RUE DU CAIRE 1001 TUNIS TEL:  71 258108 FAX : 71 259346 RC:B161701999  MF:645 267 KMA 000</t>
  </si>
  <si>
    <t>Site web:www.acrobatsolution.com</t>
  </si>
  <si>
    <t>MAIL: gamestream@plane.tn///////gamestream.formation@gmail.com</t>
  </si>
  <si>
    <t>Réf commande: 2031255</t>
  </si>
  <si>
    <t>Date :08/07/2027</t>
  </si>
  <si>
    <t>kit</t>
  </si>
  <si>
    <t>BL    N°2024-310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</si>
</sst>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1"/>
      <name val="Arial"/>
      <family val="2"/>
    </font>
    <font>
      <sz val="14"/>
      <color theme="1"/>
      <name val="Arial"/>
      <family val="2"/>
    </font>
    <font>
      <b/>
      <u/>
      <sz val="10"/>
      <color theme="10"/>
      <name val="Arial"/>
      <family val="2"/>
    </font>
    <font>
      <b/>
      <u/>
      <sz val="20"/>
      <name val="Arial"/>
      <family val="2"/>
    </font>
    <font>
      <b/>
      <u/>
      <sz val="20"/>
      <color rgb="FF0070C0"/>
      <name val="Arial"/>
      <family val="2"/>
    </font>
    <font>
      <b/>
      <sz val="22"/>
      <name val="Arial"/>
      <family val="2"/>
    </font>
    <font>
      <b/>
      <sz val="22"/>
      <name val="Times New Roman"/>
      <family val="1"/>
    </font>
    <font>
      <b/>
      <sz val="24"/>
      <color theme="1"/>
      <name val="Arial"/>
      <family val="2"/>
    </font>
    <font>
      <b/>
      <sz val="18"/>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49" fontId="34"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0" fontId="23" fillId="0" borderId="50" xfId="0" applyFont="1" applyFill="1" applyBorder="1"/>
    <xf numFmtId="49" fontId="38" fillId="0" borderId="47" xfId="5" applyNumberFormat="1" applyFill="1" applyBorder="1" applyAlignment="1"/>
    <xf numFmtId="49" fontId="38" fillId="0" borderId="48"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0" fillId="0" borderId="50" xfId="5" applyNumberFormat="1" applyFont="1" applyFill="1" applyBorder="1" applyAlignment="1"/>
    <xf numFmtId="49" fontId="40" fillId="0" borderId="47"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6" fillId="0" borderId="51"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39" fillId="6" borderId="0" xfId="0" applyFont="1" applyFill="1" applyBorder="1" applyAlignment="1">
      <alignment vertical="top"/>
    </xf>
    <xf numFmtId="49" fontId="36" fillId="0" borderId="0" xfId="0" applyNumberFormat="1" applyFont="1" applyFill="1" applyBorder="1" applyAlignment="1"/>
    <xf numFmtId="49" fontId="36" fillId="0" borderId="39" xfId="0" applyNumberFormat="1" applyFont="1" applyFill="1" applyBorder="1" applyAlignment="1"/>
    <xf numFmtId="49" fontId="23" fillId="0" borderId="28" xfId="0" applyNumberFormat="1" applyFont="1" applyFill="1" applyBorder="1" applyAlignment="1"/>
    <xf numFmtId="1" fontId="33"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6" fillId="3" borderId="0" xfId="0" applyFont="1" applyFill="1" applyBorder="1" applyAlignment="1">
      <alignment horizontal="left"/>
    </xf>
    <xf numFmtId="49" fontId="34" fillId="0" borderId="0" xfId="0" applyNumberFormat="1" applyFont="1" applyFill="1" applyBorder="1" applyAlignment="1"/>
    <xf numFmtId="168" fontId="23" fillId="3" borderId="0" xfId="0" applyNumberFormat="1" applyFont="1" applyFill="1" applyBorder="1" applyAlignment="1"/>
    <xf numFmtId="1" fontId="34" fillId="0" borderId="29" xfId="0" applyNumberFormat="1" applyFont="1" applyFill="1" applyBorder="1" applyAlignment="1">
      <alignment horizontal="center"/>
    </xf>
    <xf numFmtId="49" fontId="42" fillId="0" borderId="28" xfId="5" applyNumberFormat="1" applyFont="1" applyFill="1" applyBorder="1" applyAlignment="1"/>
    <xf numFmtId="0" fontId="31" fillId="3" borderId="0" xfId="0" applyFont="1" applyFill="1" applyBorder="1" applyAlignment="1">
      <alignment horizontal="left"/>
    </xf>
    <xf numFmtId="0" fontId="32" fillId="0" borderId="0" xfId="0" applyFont="1" applyFill="1" applyBorder="1" applyAlignment="1">
      <alignment vertical="top"/>
    </xf>
    <xf numFmtId="49" fontId="21" fillId="0" borderId="28" xfId="0" applyNumberFormat="1" applyFont="1" applyFill="1" applyBorder="1" applyAlignment="1"/>
    <xf numFmtId="49" fontId="32" fillId="0" borderId="0" xfId="0" applyNumberFormat="1" applyFont="1" applyFill="1" applyBorder="1" applyAlignment="1"/>
    <xf numFmtId="49" fontId="32" fillId="0" borderId="39" xfId="0" applyNumberFormat="1" applyFont="1" applyFill="1" applyBorder="1" applyAlignment="1"/>
    <xf numFmtId="49" fontId="43" fillId="0" borderId="0" xfId="5" applyNumberFormat="1" applyFont="1" applyFill="1" applyBorder="1" applyAlignment="1"/>
    <xf numFmtId="49" fontId="43" fillId="0" borderId="39" xfId="5" applyNumberFormat="1" applyFont="1" applyFill="1" applyBorder="1" applyAlignment="1"/>
    <xf numFmtId="0" fontId="44" fillId="6" borderId="0" xfId="0" applyFont="1" applyFill="1" applyBorder="1" applyAlignment="1">
      <alignment vertical="top"/>
    </xf>
    <xf numFmtId="0" fontId="31" fillId="3" borderId="0" xfId="0" quotePrefix="1" applyFont="1" applyFill="1" applyBorder="1" applyAlignment="1"/>
    <xf numFmtId="0" fontId="31" fillId="3" borderId="0" xfId="0" quotePrefix="1" applyFont="1" applyFill="1" applyBorder="1" applyAlignment="1">
      <alignment horizontal="right"/>
    </xf>
    <xf numFmtId="49" fontId="45" fillId="0" borderId="28" xfId="0" applyNumberFormat="1" applyFont="1" applyFill="1" applyBorder="1" applyAlignment="1"/>
    <xf numFmtId="49" fontId="46" fillId="0" borderId="28" xfId="0" applyNumberFormat="1" applyFont="1" applyFill="1" applyBorder="1" applyAlignment="1"/>
    <xf numFmtId="49" fontId="41" fillId="0" borderId="28" xfId="0" applyNumberFormat="1" applyFont="1" applyFill="1" applyBorder="1" applyAlignment="1">
      <alignment horizontal="left" vertical="top"/>
    </xf>
    <xf numFmtId="49" fontId="41" fillId="0" borderId="0" xfId="0" applyNumberFormat="1" applyFont="1" applyFill="1" applyBorder="1" applyAlignment="1">
      <alignment horizontal="left" vertical="top"/>
    </xf>
    <xf numFmtId="49" fontId="41" fillId="0" borderId="39" xfId="0" applyNumberFormat="1" applyFont="1" applyFill="1" applyBorder="1" applyAlignment="1">
      <alignment horizontal="left" vertical="top"/>
    </xf>
    <xf numFmtId="49" fontId="49" fillId="0" borderId="28" xfId="0" applyNumberFormat="1" applyFont="1" applyFill="1" applyBorder="1" applyAlignment="1"/>
    <xf numFmtId="0" fontId="50" fillId="0" borderId="0" xfId="0" applyFont="1" applyFill="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1" fillId="0" borderId="28" xfId="5" applyNumberFormat="1" applyFont="1" applyFill="1" applyBorder="1" applyAlignment="1">
      <alignment horizontal="left" vertical="center"/>
    </xf>
    <xf numFmtId="49" fontId="41" fillId="0" borderId="0" xfId="5" applyNumberFormat="1" applyFont="1" applyFill="1" applyBorder="1" applyAlignment="1">
      <alignment horizontal="left" vertical="center"/>
    </xf>
    <xf numFmtId="49" fontId="41" fillId="0" borderId="39" xfId="5" applyNumberFormat="1" applyFont="1" applyFill="1" applyBorder="1" applyAlignment="1">
      <alignment horizontal="left" vertical="center"/>
    </xf>
    <xf numFmtId="49" fontId="41" fillId="0" borderId="28" xfId="0" applyNumberFormat="1" applyFont="1" applyFill="1" applyBorder="1" applyAlignment="1">
      <alignment horizontal="left" vertical="top"/>
    </xf>
    <xf numFmtId="49" fontId="41" fillId="0" borderId="0" xfId="0" applyNumberFormat="1" applyFont="1" applyFill="1" applyBorder="1" applyAlignment="1">
      <alignment horizontal="left" vertical="top"/>
    </xf>
    <xf numFmtId="49" fontId="41" fillId="0" borderId="39" xfId="0" applyNumberFormat="1" applyFont="1" applyFill="1" applyBorder="1" applyAlignment="1">
      <alignment horizontal="left" vertical="top"/>
    </xf>
    <xf numFmtId="0" fontId="36" fillId="0" borderId="0" xfId="0" applyFont="1" applyFill="1" applyBorder="1" applyAlignment="1">
      <alignment horizontal="center" wrapText="1"/>
    </xf>
    <xf numFmtId="0" fontId="31" fillId="3" borderId="0" xfId="0" quotePrefix="1" applyFont="1" applyFill="1" applyBorder="1" applyAlignment="1">
      <alignment horizontal="center"/>
    </xf>
    <xf numFmtId="49" fontId="31" fillId="3" borderId="0" xfId="0" applyNumberFormat="1" applyFont="1" applyFill="1" applyBorder="1" applyAlignment="1">
      <alignment horizontal="center"/>
    </xf>
    <xf numFmtId="49" fontId="31" fillId="3" borderId="0" xfId="0" applyNumberFormat="1" applyFont="1" applyFill="1" applyBorder="1" applyAlignment="1">
      <alignment horizontal="center" vertical="center"/>
    </xf>
    <xf numFmtId="49" fontId="48" fillId="0" borderId="28" xfId="0" applyNumberFormat="1" applyFont="1" applyFill="1" applyBorder="1" applyAlignment="1">
      <alignment horizontal="left" vertical="top"/>
    </xf>
    <xf numFmtId="49" fontId="48" fillId="0" borderId="0" xfId="0" applyNumberFormat="1" applyFont="1" applyFill="1" applyBorder="1" applyAlignment="1">
      <alignment horizontal="left" vertical="top"/>
    </xf>
    <xf numFmtId="49" fontId="48" fillId="0" borderId="39" xfId="0" applyNumberFormat="1" applyFont="1" applyFill="1" applyBorder="1" applyAlignment="1">
      <alignment horizontal="left" vertical="top"/>
    </xf>
    <xf numFmtId="0" fontId="47" fillId="3" borderId="41" xfId="0" applyFont="1" applyFill="1" applyBorder="1" applyAlignment="1">
      <alignment horizontal="center" vertical="center" wrapText="1" shrinkToFit="1"/>
    </xf>
    <xf numFmtId="0" fontId="47" fillId="3" borderId="42" xfId="0" applyFont="1" applyFill="1" applyBorder="1" applyAlignment="1">
      <alignment horizontal="center" vertical="center" wrapText="1" shrinkToFit="1"/>
    </xf>
    <xf numFmtId="0" fontId="47"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emf"/><Relationship Id="rId5" Type="http://schemas.openxmlformats.org/officeDocument/2006/relationships/image" Target="../media/image5.png"/><Relationship Id="rId4"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8.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1047750</xdr:colOff>
      <xdr:row>7</xdr:row>
      <xdr:rowOff>95250</xdr:rowOff>
    </xdr:from>
    <xdr:to>
      <xdr:col>13</xdr:col>
      <xdr:colOff>43797</xdr:colOff>
      <xdr:row>13</xdr:row>
      <xdr:rowOff>47625</xdr:rowOff>
    </xdr:to>
    <xdr:pic>
      <xdr:nvPicPr>
        <xdr:cNvPr id="10" name="Image 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271375" y="1079500"/>
          <a:ext cx="1186797" cy="968375"/>
        </a:xfrm>
        <a:prstGeom prst="rect">
          <a:avLst/>
        </a:prstGeom>
      </xdr:spPr>
    </xdr:pic>
    <xdr:clientData/>
  </xdr:twoCellAnchor>
  <xdr:twoCellAnchor editAs="oneCell">
    <xdr:from>
      <xdr:col>11</xdr:col>
      <xdr:colOff>2095500</xdr:colOff>
      <xdr:row>8</xdr:row>
      <xdr:rowOff>63500</xdr:rowOff>
    </xdr:from>
    <xdr:to>
      <xdr:col>12</xdr:col>
      <xdr:colOff>857250</xdr:colOff>
      <xdr:row>13</xdr:row>
      <xdr:rowOff>127000</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334625" y="1206500"/>
          <a:ext cx="1746250" cy="920750"/>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5</xdr:col>
          <xdr:colOff>47624</xdr:colOff>
          <xdr:row>30</xdr:row>
          <xdr:rowOff>333374</xdr:rowOff>
        </xdr:from>
        <xdr:to>
          <xdr:col>11</xdr:col>
          <xdr:colOff>2979974</xdr:colOff>
          <xdr:row>44</xdr:row>
          <xdr:rowOff>317499</xdr:rowOff>
        </xdr:to>
        <xdr:pic>
          <xdr:nvPicPr>
            <xdr:cNvPr id="13" name="Image 12"/>
            <xdr:cNvPicPr>
              <a:picLocks noChangeAspect="1" noChangeArrowheads="1"/>
              <a:extLst>
                <a:ext uri="{84589F7E-364E-4C9E-8A38-B11213B215E9}">
                  <a14:cameraTool cellRange="[3]Feuil1!$B$26:$G$46" spid="_x0000_s2135"/>
                </a:ext>
              </a:extLst>
            </xdr:cNvPicPr>
          </xdr:nvPicPr>
          <xdr:blipFill>
            <a:blip xmlns:r="http://schemas.openxmlformats.org/officeDocument/2006/relationships" r:embed="rId4"/>
            <a:srcRect/>
            <a:stretch>
              <a:fillRect/>
            </a:stretch>
          </xdr:blipFill>
          <xdr:spPr bwMode="auto">
            <a:xfrm>
              <a:off x="3286124" y="7302499"/>
              <a:ext cx="7932975" cy="53181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63500</xdr:colOff>
      <xdr:row>33</xdr:row>
      <xdr:rowOff>0</xdr:rowOff>
    </xdr:from>
    <xdr:to>
      <xdr:col>11</xdr:col>
      <xdr:colOff>2921000</xdr:colOff>
      <xdr:row>34</xdr:row>
      <xdr:rowOff>317500</xdr:rowOff>
    </xdr:to>
    <xdr:sp macro="" textlink="">
      <xdr:nvSpPr>
        <xdr:cNvPr id="2" name="ZoneTexte 1"/>
        <xdr:cNvSpPr txBox="1"/>
      </xdr:nvSpPr>
      <xdr:spPr>
        <a:xfrm>
          <a:off x="3302000" y="8112125"/>
          <a:ext cx="7858125" cy="698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fr-FR" sz="1100"/>
        </a:p>
      </xdr:txBody>
    </xdr:sp>
    <xdr:clientData/>
  </xdr:twoCellAnchor>
  <xdr:twoCellAnchor editAs="oneCell">
    <xdr:from>
      <xdr:col>5</xdr:col>
      <xdr:colOff>63500</xdr:colOff>
      <xdr:row>42</xdr:row>
      <xdr:rowOff>333375</xdr:rowOff>
    </xdr:from>
    <xdr:to>
      <xdr:col>11</xdr:col>
      <xdr:colOff>2933493</xdr:colOff>
      <xdr:row>44</xdr:row>
      <xdr:rowOff>278572</xdr:rowOff>
    </xdr:to>
    <xdr:pic>
      <xdr:nvPicPr>
        <xdr:cNvPr id="4" name="Image 3"/>
        <xdr:cNvPicPr>
          <a:picLocks noChangeAspect="1"/>
        </xdr:cNvPicPr>
      </xdr:nvPicPr>
      <xdr:blipFill>
        <a:blip xmlns:r="http://schemas.openxmlformats.org/officeDocument/2006/relationships" r:embed="rId5"/>
        <a:stretch>
          <a:fillRect/>
        </a:stretch>
      </xdr:blipFill>
      <xdr:spPr>
        <a:xfrm>
          <a:off x="3302000" y="11874500"/>
          <a:ext cx="7870618" cy="707197"/>
        </a:xfrm>
        <a:prstGeom prst="rect">
          <a:avLst/>
        </a:prstGeom>
      </xdr:spPr>
    </xdr:pic>
    <xdr:clientData/>
  </xdr:twoCellAnchor>
  <xdr:twoCellAnchor editAs="oneCell">
    <xdr:from>
      <xdr:col>5</xdr:col>
      <xdr:colOff>0</xdr:colOff>
      <xdr:row>29</xdr:row>
      <xdr:rowOff>158750</xdr:rowOff>
    </xdr:from>
    <xdr:to>
      <xdr:col>12</xdr:col>
      <xdr:colOff>0</xdr:colOff>
      <xdr:row>30</xdr:row>
      <xdr:rowOff>317500</xdr:rowOff>
    </xdr:to>
    <xdr:pic>
      <xdr:nvPicPr>
        <xdr:cNvPr id="16" name="Image 15"/>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238500" y="6746875"/>
          <a:ext cx="7985125" cy="539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User/Desktop/CLIENT/sotetel/2024/acrobate/CONTROLE%20EPI%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s>
    <sheetDataSet>
      <sheetData sheetId="0"/>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1" t="s">
        <v>44</v>
      </c>
      <c r="E19" s="17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2" t="str">
        <f>LOWER(TemplateInformation!B3)</f>
        <v>c:\program files\microsoft office\office\macrolib\factbd.xls</v>
      </c>
      <c r="G33" s="17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22" zoomScale="60" zoomScaleNormal="60" workbookViewId="0">
      <selection activeCell="R34" sqref="R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2"/>
      <c r="K9" s="10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0" t="s">
        <v>59</v>
      </c>
      <c r="E18" s="75"/>
      <c r="F18" s="75"/>
      <c r="G18" s="75"/>
      <c r="H18" s="3"/>
      <c r="I18" s="3"/>
      <c r="J18" s="3"/>
      <c r="K18" s="3"/>
      <c r="L18" s="194" t="s">
        <v>72</v>
      </c>
      <c r="M18" s="3"/>
      <c r="N18" s="3"/>
      <c r="O18" s="9"/>
    </row>
    <row r="19" spans="2:15" ht="21.95" customHeight="1" thickTop="1" x14ac:dyDescent="0.3">
      <c r="B19" s="7"/>
      <c r="C19" s="3"/>
      <c r="D19" s="55"/>
      <c r="E19" s="55"/>
      <c r="F19" s="55"/>
      <c r="G19" s="55"/>
      <c r="H19" s="55"/>
      <c r="I19" s="55"/>
      <c r="J19" s="56"/>
      <c r="K19" s="56"/>
      <c r="L19" s="195"/>
      <c r="M19" s="56"/>
      <c r="N19" s="20"/>
      <c r="O19" s="9"/>
    </row>
    <row r="20" spans="2:15" ht="21.95" customHeight="1" thickBot="1" x14ac:dyDescent="0.25">
      <c r="B20" s="7"/>
      <c r="C20" s="3"/>
      <c r="D20" s="3"/>
      <c r="E20" s="3"/>
      <c r="F20" s="3"/>
      <c r="G20" s="3"/>
      <c r="H20" s="3"/>
      <c r="I20" s="3"/>
      <c r="J20" s="3"/>
      <c r="K20" s="3"/>
      <c r="L20" s="19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0" t="s">
        <v>50</v>
      </c>
      <c r="E22" s="199" t="s">
        <v>61</v>
      </c>
      <c r="F22" s="199"/>
      <c r="G22" s="199"/>
      <c r="H22" s="199"/>
      <c r="I22" s="199"/>
      <c r="J22" s="199"/>
      <c r="K22" s="91"/>
      <c r="L22" s="197" t="s">
        <v>70</v>
      </c>
      <c r="M22" s="197"/>
      <c r="N22" s="52"/>
      <c r="O22" s="9"/>
    </row>
    <row r="23" spans="2:15" ht="33.75" x14ac:dyDescent="0.5">
      <c r="B23" s="7"/>
      <c r="C23" s="3"/>
      <c r="D23" s="90" t="s">
        <v>51</v>
      </c>
      <c r="E23" s="175" t="s">
        <v>62</v>
      </c>
      <c r="F23" s="175"/>
      <c r="G23" s="175"/>
      <c r="H23" s="175"/>
      <c r="I23" s="175"/>
      <c r="J23" s="175"/>
      <c r="K23" s="175"/>
      <c r="L23" s="92" t="s">
        <v>69</v>
      </c>
      <c r="M23" s="92"/>
      <c r="N23" s="53"/>
      <c r="O23" s="9"/>
    </row>
    <row r="24" spans="2:15" ht="33.75" x14ac:dyDescent="0.5">
      <c r="B24" s="7"/>
      <c r="C24" s="3"/>
      <c r="D24" s="90" t="s">
        <v>52</v>
      </c>
      <c r="E24" s="103">
        <v>1080</v>
      </c>
      <c r="F24" s="93" t="s">
        <v>8</v>
      </c>
      <c r="G24" s="176"/>
      <c r="H24" s="176"/>
      <c r="I24" s="94" t="s">
        <v>9</v>
      </c>
      <c r="J24" s="95" t="s">
        <v>56</v>
      </c>
      <c r="K24" s="91"/>
      <c r="L24" s="198" t="s">
        <v>65</v>
      </c>
      <c r="M24" s="198"/>
      <c r="N24" s="3"/>
      <c r="O24" s="9"/>
    </row>
    <row r="25" spans="2:15" ht="33.75" x14ac:dyDescent="0.5">
      <c r="B25" s="7"/>
      <c r="C25" s="3"/>
      <c r="D25" s="90" t="s">
        <v>53</v>
      </c>
      <c r="E25" s="200" t="s">
        <v>63</v>
      </c>
      <c r="F25" s="200"/>
      <c r="G25" s="200"/>
      <c r="H25" s="200"/>
      <c r="I25" s="200"/>
      <c r="J25" s="200"/>
      <c r="K25" s="91"/>
      <c r="L25" s="198" t="s">
        <v>64</v>
      </c>
      <c r="M25" s="19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2" t="s">
        <v>33</v>
      </c>
      <c r="E27" s="82" t="s">
        <v>22</v>
      </c>
      <c r="F27" s="177" t="s">
        <v>23</v>
      </c>
      <c r="G27" s="178"/>
      <c r="H27" s="178"/>
      <c r="I27" s="178"/>
      <c r="J27" s="178"/>
      <c r="K27" s="179"/>
      <c r="L27" s="82" t="s">
        <v>24</v>
      </c>
      <c r="M27" s="83" t="s">
        <v>25</v>
      </c>
      <c r="N27" s="84"/>
      <c r="O27" s="9"/>
    </row>
    <row r="28" spans="2:15" ht="30" x14ac:dyDescent="0.4">
      <c r="B28" s="7"/>
      <c r="C28" s="3"/>
      <c r="D28" s="132"/>
      <c r="E28" s="141"/>
      <c r="F28" s="146"/>
      <c r="G28" s="126"/>
      <c r="H28" s="126"/>
      <c r="I28" s="128"/>
      <c r="J28" s="128"/>
      <c r="K28" s="129"/>
      <c r="L28" s="98"/>
      <c r="M28" s="98"/>
      <c r="N28" s="147"/>
      <c r="O28" s="9"/>
    </row>
    <row r="29" spans="2:15" ht="30" x14ac:dyDescent="0.4">
      <c r="B29" s="7"/>
      <c r="C29" s="3"/>
      <c r="D29" s="142"/>
      <c r="E29" s="148">
        <v>6</v>
      </c>
      <c r="F29" s="107" t="s">
        <v>71</v>
      </c>
      <c r="G29" s="138"/>
      <c r="H29" s="138"/>
      <c r="I29" s="138"/>
      <c r="J29" s="138"/>
      <c r="K29" s="139"/>
      <c r="L29" s="98"/>
      <c r="M29" s="98"/>
      <c r="N29" s="84"/>
      <c r="O29" s="9"/>
    </row>
    <row r="30" spans="2:15" ht="30" x14ac:dyDescent="0.4">
      <c r="B30" s="7"/>
      <c r="C30" s="3"/>
      <c r="D30" s="142"/>
      <c r="E30" s="148"/>
      <c r="F30" s="161"/>
      <c r="G30" s="153"/>
      <c r="H30" s="153"/>
      <c r="I30" s="153"/>
      <c r="J30" s="153"/>
      <c r="K30" s="154"/>
      <c r="L30" s="98"/>
      <c r="M30" s="98"/>
      <c r="N30" s="84"/>
      <c r="O30" s="9"/>
    </row>
    <row r="31" spans="2:15" ht="30" x14ac:dyDescent="0.4">
      <c r="B31" s="7"/>
      <c r="C31" s="3"/>
      <c r="D31" s="142"/>
      <c r="E31" s="148"/>
      <c r="F31" s="181"/>
      <c r="G31" s="182"/>
      <c r="H31" s="182"/>
      <c r="I31" s="182"/>
      <c r="J31" s="182"/>
      <c r="K31" s="183"/>
      <c r="L31" s="98"/>
      <c r="M31" s="98"/>
      <c r="N31" s="84"/>
      <c r="O31" s="9"/>
    </row>
    <row r="32" spans="2:15" ht="30" x14ac:dyDescent="0.4">
      <c r="B32" s="7"/>
      <c r="C32" s="3"/>
      <c r="D32" s="142"/>
      <c r="E32" s="148"/>
      <c r="F32" s="184"/>
      <c r="G32" s="185"/>
      <c r="H32" s="185"/>
      <c r="I32" s="185"/>
      <c r="J32" s="185"/>
      <c r="K32" s="186"/>
      <c r="L32" s="98"/>
      <c r="M32" s="98"/>
      <c r="N32" s="84"/>
      <c r="O32" s="9"/>
    </row>
    <row r="33" spans="2:15" ht="30" x14ac:dyDescent="0.4">
      <c r="B33" s="7"/>
      <c r="C33" s="3"/>
      <c r="D33" s="142"/>
      <c r="E33" s="148"/>
      <c r="F33" s="162"/>
      <c r="G33" s="163"/>
      <c r="H33" s="163"/>
      <c r="I33" s="163"/>
      <c r="J33" s="163"/>
      <c r="K33" s="164"/>
      <c r="L33" s="98"/>
      <c r="M33" s="98"/>
      <c r="N33" s="84"/>
      <c r="O33" s="9"/>
    </row>
    <row r="34" spans="2:15" ht="30" x14ac:dyDescent="0.4">
      <c r="B34" s="7"/>
      <c r="C34" s="3"/>
      <c r="D34" s="142"/>
      <c r="E34" s="148"/>
      <c r="F34" s="162"/>
      <c r="G34" s="163"/>
      <c r="H34" s="163"/>
      <c r="I34" s="163"/>
      <c r="J34" s="163"/>
      <c r="K34" s="164"/>
      <c r="L34" s="98"/>
      <c r="M34" s="98"/>
      <c r="N34" s="84"/>
      <c r="O34" s="9"/>
    </row>
    <row r="35" spans="2:15" ht="30" x14ac:dyDescent="0.4">
      <c r="B35" s="7"/>
      <c r="C35" s="3"/>
      <c r="D35" s="142"/>
      <c r="E35" s="148"/>
      <c r="F35" s="162"/>
      <c r="G35" s="163"/>
      <c r="H35" s="163"/>
      <c r="I35" s="163"/>
      <c r="J35" s="163"/>
      <c r="K35" s="164"/>
      <c r="L35" s="98"/>
      <c r="M35" s="98"/>
      <c r="N35" s="84"/>
      <c r="O35" s="9"/>
    </row>
    <row r="36" spans="2:15" ht="30" x14ac:dyDescent="0.4">
      <c r="B36" s="7"/>
      <c r="C36" s="3"/>
      <c r="D36" s="142"/>
      <c r="E36" s="148"/>
      <c r="F36" s="162"/>
      <c r="G36" s="163"/>
      <c r="H36" s="163"/>
      <c r="I36" s="163"/>
      <c r="J36" s="163"/>
      <c r="K36" s="164"/>
      <c r="L36" s="98"/>
      <c r="M36" s="98"/>
      <c r="N36" s="84"/>
      <c r="O36" s="9"/>
    </row>
    <row r="37" spans="2:15" ht="30" x14ac:dyDescent="0.4">
      <c r="B37" s="7"/>
      <c r="C37" s="3"/>
      <c r="D37" s="142"/>
      <c r="E37" s="148"/>
      <c r="F37" s="162"/>
      <c r="G37" s="163"/>
      <c r="H37" s="163"/>
      <c r="I37" s="163"/>
      <c r="J37" s="163"/>
      <c r="K37" s="164"/>
      <c r="L37" s="98"/>
      <c r="M37" s="98"/>
      <c r="N37" s="84"/>
      <c r="O37" s="9"/>
    </row>
    <row r="38" spans="2:15" ht="30" x14ac:dyDescent="0.4">
      <c r="B38" s="7"/>
      <c r="C38" s="3"/>
      <c r="D38" s="143"/>
      <c r="E38" s="148"/>
      <c r="F38" s="191"/>
      <c r="G38" s="192"/>
      <c r="H38" s="192"/>
      <c r="I38" s="192"/>
      <c r="J38" s="192"/>
      <c r="K38" s="193"/>
      <c r="L38" s="98"/>
      <c r="M38" s="98"/>
      <c r="N38" s="54"/>
      <c r="O38" s="9"/>
    </row>
    <row r="39" spans="2:15" ht="30" x14ac:dyDescent="0.4">
      <c r="B39" s="7"/>
      <c r="C39" s="3"/>
      <c r="D39" s="143"/>
      <c r="E39" s="148"/>
      <c r="F39" s="152"/>
      <c r="G39" s="155"/>
      <c r="H39" s="155"/>
      <c r="I39" s="155"/>
      <c r="J39" s="155"/>
      <c r="K39" s="156"/>
      <c r="L39" s="98"/>
      <c r="M39" s="98"/>
      <c r="N39" s="54"/>
      <c r="O39" s="9"/>
    </row>
    <row r="40" spans="2:15" ht="30" x14ac:dyDescent="0.4">
      <c r="B40" s="7"/>
      <c r="C40" s="3"/>
      <c r="D40" s="143"/>
      <c r="E40" s="148"/>
      <c r="F40" s="165"/>
      <c r="G40" s="155"/>
      <c r="H40" s="155"/>
      <c r="I40" s="155"/>
      <c r="J40" s="155"/>
      <c r="K40" s="156"/>
      <c r="L40" s="99"/>
      <c r="M40" s="98"/>
      <c r="N40" s="54"/>
      <c r="O40" s="9"/>
    </row>
    <row r="41" spans="2:15" ht="30" x14ac:dyDescent="0.4">
      <c r="B41" s="7"/>
      <c r="C41" s="3"/>
      <c r="D41" s="143"/>
      <c r="E41" s="148"/>
      <c r="F41" s="166"/>
      <c r="G41" s="155"/>
      <c r="H41" s="155"/>
      <c r="I41" s="155"/>
      <c r="J41" s="155"/>
      <c r="K41" s="156"/>
      <c r="L41" s="99"/>
      <c r="M41" s="98"/>
      <c r="N41" s="54"/>
      <c r="O41" s="9"/>
    </row>
    <row r="42" spans="2:15" ht="30" x14ac:dyDescent="0.4">
      <c r="B42" s="7"/>
      <c r="C42" s="3"/>
      <c r="D42" s="143"/>
      <c r="E42" s="148"/>
      <c r="F42" s="160"/>
      <c r="G42" s="126"/>
      <c r="H42" s="126"/>
      <c r="I42" s="126"/>
      <c r="J42" s="126"/>
      <c r="K42" s="127"/>
      <c r="L42" s="99"/>
      <c r="M42" s="98"/>
      <c r="N42" s="54"/>
      <c r="O42" s="9"/>
    </row>
    <row r="43" spans="2:15" ht="30" x14ac:dyDescent="0.4">
      <c r="B43" s="7"/>
      <c r="C43" s="3"/>
      <c r="D43" s="109"/>
      <c r="E43" s="148"/>
      <c r="F43" s="140"/>
      <c r="G43" s="126"/>
      <c r="H43" s="126"/>
      <c r="I43" s="126"/>
      <c r="J43" s="126"/>
      <c r="K43" s="127"/>
      <c r="L43" s="99"/>
      <c r="M43" s="98"/>
      <c r="N43" s="54"/>
      <c r="O43" s="9"/>
    </row>
    <row r="44" spans="2:15" ht="30" x14ac:dyDescent="0.4">
      <c r="B44" s="7"/>
      <c r="C44" s="3"/>
      <c r="D44" s="109"/>
      <c r="E44" s="97"/>
      <c r="F44" s="149"/>
      <c r="G44" s="126"/>
      <c r="H44" s="126"/>
      <c r="I44" s="126"/>
      <c r="J44" s="126"/>
      <c r="K44" s="127"/>
      <c r="L44" s="99"/>
      <c r="M44" s="98"/>
      <c r="N44" s="54"/>
      <c r="O44" s="9"/>
    </row>
    <row r="45" spans="2:15" ht="30" customHeight="1" x14ac:dyDescent="0.35">
      <c r="B45" s="7"/>
      <c r="C45" s="3"/>
      <c r="D45" s="123"/>
      <c r="E45" s="117"/>
      <c r="F45" s="130"/>
      <c r="G45" s="131"/>
      <c r="H45" s="131"/>
      <c r="I45" s="124"/>
      <c r="J45" s="124"/>
      <c r="K45" s="125"/>
      <c r="L45" s="133"/>
      <c r="M45" s="104"/>
      <c r="N45" s="54"/>
      <c r="O45" s="9"/>
    </row>
    <row r="46" spans="2:15" ht="35.25" x14ac:dyDescent="0.5">
      <c r="B46" s="7"/>
      <c r="C46" s="3"/>
      <c r="D46" s="79"/>
      <c r="E46" s="87"/>
      <c r="F46" s="113"/>
      <c r="G46" s="110"/>
      <c r="H46" s="110"/>
      <c r="I46" s="110"/>
      <c r="J46" s="111"/>
      <c r="K46" s="112"/>
      <c r="L46" s="134" t="s">
        <v>26</v>
      </c>
      <c r="M46" s="96"/>
      <c r="N46" s="54"/>
      <c r="O46" s="9"/>
    </row>
    <row r="47" spans="2:15" ht="35.25" x14ac:dyDescent="0.5">
      <c r="B47" s="7"/>
      <c r="C47" s="3"/>
      <c r="D47" s="89"/>
      <c r="E47" s="150" t="s">
        <v>54</v>
      </c>
      <c r="F47" s="76"/>
      <c r="G47" s="76"/>
      <c r="H47" s="76"/>
      <c r="I47" s="76"/>
      <c r="J47" s="77"/>
      <c r="K47" s="85"/>
      <c r="L47" s="135" t="s">
        <v>45</v>
      </c>
      <c r="M47" s="96"/>
      <c r="N47" s="54"/>
      <c r="O47" s="9"/>
    </row>
    <row r="48" spans="2:15" ht="35.25" x14ac:dyDescent="0.5">
      <c r="B48" s="7"/>
      <c r="C48" s="3"/>
      <c r="D48" s="88"/>
      <c r="E48" s="145" t="s">
        <v>55</v>
      </c>
      <c r="F48" s="76"/>
      <c r="G48" s="76"/>
      <c r="H48" s="76"/>
      <c r="I48" s="76"/>
      <c r="J48" s="78"/>
      <c r="K48" s="86"/>
      <c r="L48" s="136">
        <v>0.19</v>
      </c>
      <c r="M48" s="96"/>
      <c r="N48" s="54"/>
      <c r="O48" s="9"/>
    </row>
    <row r="49" spans="2:16" ht="35.25" x14ac:dyDescent="0.5">
      <c r="B49" s="7"/>
      <c r="C49" s="151" t="s">
        <v>57</v>
      </c>
      <c r="D49" s="151"/>
      <c r="E49" s="151"/>
      <c r="F49" s="151"/>
      <c r="G49" s="151"/>
      <c r="H49" s="151"/>
      <c r="I49" s="151"/>
      <c r="J49" s="151"/>
      <c r="K49" s="151"/>
      <c r="L49" s="151"/>
      <c r="M49" s="96" t="s">
        <v>18</v>
      </c>
      <c r="N49" s="54"/>
      <c r="O49" s="9"/>
    </row>
    <row r="50" spans="2:16" ht="20.25" customHeight="1" x14ac:dyDescent="0.3">
      <c r="B50" s="7"/>
      <c r="C50" s="187" t="s">
        <v>58</v>
      </c>
      <c r="D50" s="187"/>
      <c r="E50" s="151"/>
      <c r="F50" s="151"/>
      <c r="G50" s="151"/>
      <c r="H50" s="151"/>
      <c r="I50" s="151"/>
      <c r="J50" s="151"/>
      <c r="K50" s="151"/>
      <c r="L50" s="151"/>
      <c r="M50" s="108"/>
      <c r="N50" s="54"/>
      <c r="O50" s="9"/>
    </row>
    <row r="51" spans="2:16" ht="20.25" x14ac:dyDescent="0.2">
      <c r="B51" s="7"/>
      <c r="C51" s="3"/>
      <c r="D51" s="180"/>
      <c r="E51" s="180"/>
      <c r="F51" s="180"/>
      <c r="G51" s="180"/>
      <c r="H51" s="180"/>
      <c r="I51" s="180"/>
      <c r="J51" s="180"/>
      <c r="K51" s="180"/>
      <c r="L51" s="180"/>
      <c r="M51" s="144" t="s">
        <v>60</v>
      </c>
      <c r="N51" s="54"/>
      <c r="O51" s="9"/>
    </row>
    <row r="52" spans="2:16" ht="26.25" x14ac:dyDescent="0.4">
      <c r="B52" s="7"/>
      <c r="C52" s="3"/>
      <c r="D52" s="77"/>
      <c r="E52" s="108"/>
      <c r="F52" s="116"/>
      <c r="G52" s="122"/>
      <c r="H52" s="122"/>
      <c r="I52" s="122"/>
      <c r="J52" s="77"/>
      <c r="K52" s="106"/>
      <c r="L52" s="137"/>
      <c r="M52" s="137"/>
      <c r="N52" s="101"/>
      <c r="O52" s="9"/>
    </row>
    <row r="53" spans="2:16" ht="15" x14ac:dyDescent="0.2">
      <c r="B53" s="7"/>
      <c r="C53" s="3"/>
      <c r="D53" s="188" t="s">
        <v>66</v>
      </c>
      <c r="E53" s="188"/>
      <c r="F53" s="188"/>
      <c r="G53" s="188"/>
      <c r="H53" s="188"/>
      <c r="I53" s="188"/>
      <c r="J53" s="188"/>
      <c r="K53" s="188"/>
      <c r="L53" s="188"/>
      <c r="M53" s="188"/>
      <c r="N53" s="101"/>
      <c r="O53" s="9"/>
    </row>
    <row r="54" spans="2:16" ht="15" x14ac:dyDescent="0.2">
      <c r="B54" s="7"/>
      <c r="C54" s="3"/>
      <c r="D54" s="188"/>
      <c r="E54" s="188"/>
      <c r="F54" s="188"/>
      <c r="G54" s="188"/>
      <c r="H54" s="188"/>
      <c r="I54" s="188"/>
      <c r="J54" s="188"/>
      <c r="K54" s="188"/>
      <c r="L54" s="188"/>
      <c r="M54" s="188"/>
      <c r="N54" s="54"/>
      <c r="O54" s="118"/>
      <c r="P54" s="119"/>
    </row>
    <row r="55" spans="2:16" ht="26.25" x14ac:dyDescent="0.4">
      <c r="B55" s="7"/>
      <c r="C55" s="3"/>
      <c r="D55" s="158"/>
      <c r="E55" s="158"/>
      <c r="F55" s="158"/>
      <c r="G55" s="158"/>
      <c r="H55" s="158"/>
      <c r="I55" s="158"/>
      <c r="J55" s="158"/>
      <c r="K55" s="158"/>
      <c r="L55" s="158"/>
      <c r="M55" s="157"/>
      <c r="N55" s="54"/>
      <c r="O55" s="118"/>
      <c r="P55" s="119"/>
    </row>
    <row r="56" spans="2:16" ht="26.25" x14ac:dyDescent="0.4">
      <c r="B56" s="7"/>
      <c r="C56" s="3"/>
      <c r="D56" s="159"/>
      <c r="E56" s="189" t="s">
        <v>67</v>
      </c>
      <c r="F56" s="189"/>
      <c r="G56" s="189"/>
      <c r="H56" s="189"/>
      <c r="I56" s="189"/>
      <c r="J56" s="189"/>
      <c r="K56" s="189"/>
      <c r="L56" s="157"/>
      <c r="M56" s="157"/>
      <c r="N56" s="54"/>
      <c r="O56" s="118"/>
      <c r="P56" s="119"/>
    </row>
    <row r="57" spans="2:16" ht="26.25" x14ac:dyDescent="0.2">
      <c r="B57" s="7"/>
      <c r="C57" s="3"/>
      <c r="D57" s="190" t="s">
        <v>68</v>
      </c>
      <c r="E57" s="190"/>
      <c r="F57" s="190"/>
      <c r="G57" s="190"/>
      <c r="H57" s="190"/>
      <c r="I57" s="190"/>
      <c r="J57" s="190"/>
      <c r="K57" s="190"/>
      <c r="L57" s="190"/>
      <c r="M57" s="157"/>
      <c r="N57" s="54"/>
      <c r="O57" s="118"/>
      <c r="P57" s="119"/>
    </row>
    <row r="58" spans="2:16" ht="26.25" x14ac:dyDescent="0.2">
      <c r="B58" s="7"/>
      <c r="C58" s="3"/>
      <c r="D58" s="190"/>
      <c r="E58" s="190"/>
      <c r="F58" s="190"/>
      <c r="G58" s="190"/>
      <c r="H58" s="190"/>
      <c r="I58" s="190"/>
      <c r="J58" s="190"/>
      <c r="K58" s="190"/>
      <c r="L58" s="190"/>
      <c r="M58" s="157"/>
      <c r="N58" s="54"/>
      <c r="O58" s="118"/>
      <c r="P58" s="119"/>
    </row>
    <row r="59" spans="2:16" ht="20.25" x14ac:dyDescent="0.3">
      <c r="B59" s="7"/>
      <c r="C59" s="3"/>
      <c r="D59" s="105"/>
      <c r="E59" s="105"/>
      <c r="F59" s="77"/>
      <c r="G59" s="77"/>
      <c r="H59" s="77"/>
      <c r="I59" s="77"/>
      <c r="J59" s="77"/>
      <c r="K59" s="80"/>
      <c r="L59" s="80"/>
      <c r="M59" s="80"/>
      <c r="N59" s="84"/>
      <c r="O59" s="120"/>
      <c r="P59" s="121"/>
    </row>
    <row r="60" spans="2:16" ht="18" customHeight="1" x14ac:dyDescent="0.25">
      <c r="B60" s="7"/>
      <c r="C60" s="3"/>
      <c r="D60" s="174"/>
      <c r="E60" s="174"/>
      <c r="F60" s="174"/>
      <c r="G60" s="174"/>
      <c r="H60" s="174"/>
      <c r="I60" s="174"/>
      <c r="J60" s="174"/>
      <c r="K60" s="174"/>
      <c r="L60" s="174"/>
      <c r="M60" s="80"/>
      <c r="N60" s="84"/>
      <c r="O60" s="9"/>
    </row>
    <row r="61" spans="2:16" ht="15" customHeight="1" x14ac:dyDescent="0.2">
      <c r="B61" s="7"/>
      <c r="C61" s="3"/>
      <c r="D61" s="174"/>
      <c r="E61" s="174"/>
      <c r="F61" s="174"/>
      <c r="G61" s="174"/>
      <c r="H61" s="174"/>
      <c r="I61" s="174"/>
      <c r="J61" s="174"/>
      <c r="K61" s="174"/>
      <c r="L61" s="174"/>
      <c r="M61" s="81"/>
      <c r="N61" s="54"/>
      <c r="O61" s="9"/>
    </row>
    <row r="62" spans="2:16" ht="20.100000000000001" customHeight="1" x14ac:dyDescent="0.2">
      <c r="B62" s="7"/>
      <c r="C62" s="3"/>
      <c r="D62" s="174"/>
      <c r="E62" s="174"/>
      <c r="F62" s="174"/>
      <c r="G62" s="174"/>
      <c r="H62" s="174"/>
      <c r="I62" s="174"/>
      <c r="J62" s="174"/>
      <c r="K62" s="174"/>
      <c r="L62" s="174"/>
      <c r="M62" s="81"/>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14"/>
      <c r="B65" s="114"/>
      <c r="C65" s="114"/>
      <c r="D65" s="114"/>
      <c r="E65" s="114"/>
      <c r="F65" s="114"/>
      <c r="G65" s="114"/>
      <c r="H65" s="114"/>
      <c r="I65" s="114"/>
      <c r="J65" s="114"/>
      <c r="K65" s="114"/>
      <c r="L65" s="114"/>
      <c r="M65" s="115"/>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8">
    <mergeCell ref="L18:L20"/>
    <mergeCell ref="L22:M22"/>
    <mergeCell ref="L24:M24"/>
    <mergeCell ref="L25:M25"/>
    <mergeCell ref="E22:J22"/>
    <mergeCell ref="E25:J25"/>
    <mergeCell ref="D60:L62"/>
    <mergeCell ref="E23:K23"/>
    <mergeCell ref="G24:H24"/>
    <mergeCell ref="F27:K27"/>
    <mergeCell ref="D51:L51"/>
    <mergeCell ref="F31:K31"/>
    <mergeCell ref="F32:K32"/>
    <mergeCell ref="C50:D50"/>
    <mergeCell ref="D53:M54"/>
    <mergeCell ref="E56:K56"/>
    <mergeCell ref="D57:L58"/>
    <mergeCell ref="F38:K3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E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1 K52:M52"/>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allowBlank="1" showErrorMessage="1" errorTitle="Cellules ombrées" error="Les cellules ombrées contiennent des formules et sont calculées automatiquement par Excel. N'y tapez aucune information." promptTitle="Cellules ombrées" sqref="M45">
      <formula1>0</formula1>
      <formula2>0</formula2>
    </dataValidation>
    <dataValidation type="decimal" allowBlank="1" showErrorMessage="1" errorTitle="Prix unitaire" error="Tapez un nombre dans cette cellule." promptTitle="Prix unitaire" sqref="L38:L45">
      <formula1>0</formula1>
      <formula2>1000000000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:08/07/2027</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t="str">
        <f>Facture!$M$49</f>
        <v/>
      </c>
      <c r="K8" s="64" t="str">
        <f>Facture!$L$24</f>
        <v xml:space="preserve">Responsable:SERVICE ACHAT </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2024-07-15T07:56:11Z</cp:lastPrinted>
  <dcterms:created xsi:type="dcterms:W3CDTF">1995-05-29T15:50:39Z</dcterms:created>
  <dcterms:modified xsi:type="dcterms:W3CDTF">2024-07-15T07:58:26Z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lpwstr/>
  </property>
</Properties>
</file>