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480" windowHeight="9735"/>
  </bookViews>
  <sheets>
    <sheet name="Feuil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1"/>
  <c r="F31"/>
  <c r="F32"/>
  <c r="F33"/>
  <c r="F34"/>
  <c r="F35"/>
  <c r="F36"/>
  <c r="F37"/>
  <c r="F38"/>
  <c r="F39"/>
  <c r="F40"/>
  <c r="F41"/>
  <c r="G42"/>
  <c r="J10"/>
  <c r="F13"/>
  <c r="F14"/>
  <c r="F15"/>
  <c r="F16"/>
  <c r="F17"/>
  <c r="F18"/>
  <c r="F19"/>
  <c r="F20"/>
  <c r="F21"/>
  <c r="F22"/>
  <c r="F23"/>
  <c r="F24"/>
  <c r="F25"/>
  <c r="F26"/>
  <c r="F27"/>
  <c r="F28"/>
  <c r="F29"/>
  <c r="E42"/>
  <c r="F42" l="1"/>
  <c r="F6" l="1"/>
  <c r="F7"/>
  <c r="F8"/>
  <c r="F9"/>
  <c r="F10"/>
  <c r="F11"/>
  <c r="F12"/>
  <c r="F5"/>
</calcChain>
</file>

<file path=xl/sharedStrings.xml><?xml version="1.0" encoding="utf-8"?>
<sst xmlns="http://schemas.openxmlformats.org/spreadsheetml/2006/main" count="88" uniqueCount="54">
  <si>
    <t>etat des factures   2016</t>
  </si>
  <si>
    <t>N°</t>
  </si>
  <si>
    <t xml:space="preserve">date </t>
  </si>
  <si>
    <t>societe</t>
  </si>
  <si>
    <t>designation</t>
  </si>
  <si>
    <t>mht</t>
  </si>
  <si>
    <t>tva</t>
  </si>
  <si>
    <t>ttc</t>
  </si>
  <si>
    <t>nxt</t>
  </si>
  <si>
    <t>total</t>
  </si>
  <si>
    <t>acrobates</t>
  </si>
  <si>
    <t>relais electrique</t>
  </si>
  <si>
    <t>harnais</t>
  </si>
  <si>
    <t>sotumas</t>
  </si>
  <si>
    <t>toucan</t>
  </si>
  <si>
    <t>odv+</t>
  </si>
  <si>
    <t>eurocast</t>
  </si>
  <si>
    <t>almes</t>
  </si>
  <si>
    <t>RETENU</t>
  </si>
  <si>
    <t>CERTIFICAT</t>
  </si>
  <si>
    <t>PAIEMENT</t>
  </si>
  <si>
    <t>p</t>
  </si>
  <si>
    <t>novaservices</t>
  </si>
  <si>
    <t>EPI</t>
  </si>
  <si>
    <t>CRIT TUNISIE</t>
  </si>
  <si>
    <t>CAISSE A OUTIL</t>
  </si>
  <si>
    <t>ADECCO</t>
  </si>
  <si>
    <t>DEMI MASQUE ,FILTRE</t>
  </si>
  <si>
    <t>tv elec</t>
  </si>
  <si>
    <t>sys antichute</t>
  </si>
  <si>
    <t>SOTETEL</t>
  </si>
  <si>
    <t>1299 P LE 10/3/2016</t>
  </si>
  <si>
    <t>STRIT</t>
  </si>
  <si>
    <t>R 684,060</t>
  </si>
  <si>
    <t>senelec</t>
  </si>
  <si>
    <t>SYS antichute</t>
  </si>
  <si>
    <t>717 P LE 17/03/2016</t>
  </si>
  <si>
    <t>NXT</t>
  </si>
  <si>
    <t>OMEGA</t>
  </si>
  <si>
    <t>P</t>
  </si>
  <si>
    <t>simg</t>
  </si>
  <si>
    <t>ligne de vie</t>
  </si>
  <si>
    <t>R 2452,860</t>
  </si>
  <si>
    <t>2500 P</t>
  </si>
  <si>
    <t xml:space="preserve">1600P LE 25/03/2016 </t>
  </si>
  <si>
    <t>R 2178 LE 25/06/2016</t>
  </si>
  <si>
    <t>700 P LE17/04/2016</t>
  </si>
  <si>
    <t>SMTT</t>
  </si>
  <si>
    <t>2384,820 LE30/04/2016</t>
  </si>
  <si>
    <t>MATERIEL</t>
  </si>
  <si>
    <t xml:space="preserve">P </t>
  </si>
  <si>
    <t xml:space="preserve"> </t>
  </si>
  <si>
    <t>TARGET</t>
  </si>
  <si>
    <t>POULIE</t>
  </si>
</sst>
</file>

<file path=xl/styles.xml><?xml version="1.0" encoding="utf-8"?>
<styleSheet xmlns="http://schemas.openxmlformats.org/spreadsheetml/2006/main">
  <numFmts count="1">
    <numFmt numFmtId="164" formatCode="#,##0.000"/>
  </numFmts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0" fontId="0" fillId="0" borderId="2" xfId="0" applyBorder="1"/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2" fillId="0" borderId="0" xfId="0" applyFont="1"/>
    <xf numFmtId="164" fontId="0" fillId="0" borderId="1" xfId="0" applyNumberFormat="1" applyBorder="1"/>
    <xf numFmtId="164" fontId="0" fillId="0" borderId="3" xfId="0" applyNumberFormat="1" applyBorder="1"/>
    <xf numFmtId="164" fontId="0" fillId="0" borderId="0" xfId="0" applyNumberFormat="1"/>
    <xf numFmtId="0" fontId="3" fillId="0" borderId="1" xfId="0" applyFont="1" applyBorder="1"/>
    <xf numFmtId="0" fontId="3" fillId="0" borderId="3" xfId="0" applyFont="1" applyBorder="1"/>
    <xf numFmtId="0" fontId="0" fillId="0" borderId="0" xfId="0" applyAlignment="1">
      <alignment horizontal="center"/>
    </xf>
    <xf numFmtId="164" fontId="0" fillId="0" borderId="0" xfId="0" applyNumberFormat="1" applyAlignment="1"/>
    <xf numFmtId="0" fontId="0" fillId="0" borderId="0" xfId="0" applyAlignme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4" fontId="1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0" fillId="0" borderId="8" xfId="0" applyBorder="1"/>
    <xf numFmtId="14" fontId="0" fillId="0" borderId="8" xfId="0" applyNumberFormat="1" applyBorder="1"/>
    <xf numFmtId="164" fontId="0" fillId="0" borderId="8" xfId="0" applyNumberFormat="1" applyBorder="1"/>
    <xf numFmtId="0" fontId="0" fillId="0" borderId="9" xfId="0" applyBorder="1"/>
    <xf numFmtId="0" fontId="1" fillId="0" borderId="6" xfId="0" applyFont="1" applyBorder="1" applyAlignment="1">
      <alignment horizontal="center"/>
    </xf>
    <xf numFmtId="0" fontId="0" fillId="0" borderId="10" xfId="0" applyBorder="1"/>
    <xf numFmtId="16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43"/>
  <sheetViews>
    <sheetView tabSelected="1" topLeftCell="A19" workbookViewId="0">
      <selection activeCell="E44" sqref="E44"/>
    </sheetView>
  </sheetViews>
  <sheetFormatPr baseColWidth="10" defaultRowHeight="15"/>
  <cols>
    <col min="1" max="1" width="5.28515625" customWidth="1"/>
    <col min="2" max="2" width="11.7109375" customWidth="1"/>
    <col min="3" max="3" width="20.28515625" customWidth="1"/>
    <col min="4" max="4" width="21.7109375" customWidth="1"/>
  </cols>
  <sheetData>
    <row r="2" spans="1:13" ht="15.75">
      <c r="B2" s="8" t="s">
        <v>10</v>
      </c>
      <c r="C2" s="8"/>
      <c r="D2" s="8" t="s">
        <v>0</v>
      </c>
      <c r="E2" s="8"/>
    </row>
    <row r="3" spans="1:13" ht="15.75" thickBot="1"/>
    <row r="4" spans="1:13" ht="16.5" thickTop="1" thickBot="1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3" t="s">
        <v>18</v>
      </c>
      <c r="I4" s="5" t="s">
        <v>20</v>
      </c>
    </row>
    <row r="5" spans="1:13" ht="16.5" thickTop="1" thickBot="1">
      <c r="A5" s="1">
        <v>1</v>
      </c>
      <c r="B5" s="2">
        <v>42377</v>
      </c>
      <c r="C5" s="1" t="s">
        <v>11</v>
      </c>
      <c r="D5" s="1" t="s">
        <v>12</v>
      </c>
      <c r="E5" s="9">
        <v>582</v>
      </c>
      <c r="F5" s="9">
        <f>G5-E5</f>
        <v>105</v>
      </c>
      <c r="G5" s="9">
        <v>687</v>
      </c>
      <c r="H5" s="10"/>
      <c r="I5" s="6" t="s">
        <v>21</v>
      </c>
    </row>
    <row r="6" spans="1:13" ht="16.5" thickTop="1" thickBot="1">
      <c r="A6" s="1">
        <v>2</v>
      </c>
      <c r="B6" s="2">
        <v>42388</v>
      </c>
      <c r="C6" s="1" t="s">
        <v>13</v>
      </c>
      <c r="D6" s="1" t="s">
        <v>14</v>
      </c>
      <c r="E6" s="9">
        <v>810</v>
      </c>
      <c r="F6" s="9">
        <f t="shared" ref="F6:F41" si="0">G6-E6</f>
        <v>97</v>
      </c>
      <c r="G6" s="9">
        <v>907</v>
      </c>
      <c r="H6" s="10"/>
      <c r="I6" s="6" t="s">
        <v>21</v>
      </c>
    </row>
    <row r="7" spans="1:13" ht="16.5" thickTop="1" thickBot="1">
      <c r="A7" s="1">
        <v>3</v>
      </c>
      <c r="B7" s="2">
        <v>42401</v>
      </c>
      <c r="C7" s="1" t="s">
        <v>15</v>
      </c>
      <c r="D7" s="1" t="s">
        <v>12</v>
      </c>
      <c r="E7" s="9">
        <v>1149</v>
      </c>
      <c r="F7" s="9">
        <f t="shared" si="0"/>
        <v>207</v>
      </c>
      <c r="G7" s="9">
        <v>1356</v>
      </c>
      <c r="H7" s="10">
        <v>20.344999999999999</v>
      </c>
      <c r="I7" s="6" t="s">
        <v>21</v>
      </c>
    </row>
    <row r="8" spans="1:13" ht="16.5" thickTop="1" thickBot="1">
      <c r="A8" s="1">
        <v>4</v>
      </c>
      <c r="B8" s="2">
        <v>42419</v>
      </c>
      <c r="C8" s="1" t="s">
        <v>16</v>
      </c>
      <c r="D8" s="1" t="s">
        <v>27</v>
      </c>
      <c r="E8" s="9">
        <v>1107</v>
      </c>
      <c r="F8" s="9">
        <f t="shared" si="0"/>
        <v>0</v>
      </c>
      <c r="G8" s="9">
        <v>1107</v>
      </c>
      <c r="H8" s="10" t="s">
        <v>19</v>
      </c>
      <c r="I8" s="6" t="s">
        <v>21</v>
      </c>
    </row>
    <row r="9" spans="1:13" ht="16.5" thickTop="1" thickBot="1">
      <c r="A9" s="1">
        <v>5</v>
      </c>
      <c r="B9" s="2">
        <v>42422</v>
      </c>
      <c r="C9" s="1" t="s">
        <v>17</v>
      </c>
      <c r="D9" s="1" t="s">
        <v>14</v>
      </c>
      <c r="E9" s="9">
        <v>195</v>
      </c>
      <c r="F9" s="9">
        <f t="shared" si="0"/>
        <v>35</v>
      </c>
      <c r="G9" s="9">
        <v>230</v>
      </c>
      <c r="H9" s="10"/>
      <c r="I9" s="6" t="s">
        <v>21</v>
      </c>
    </row>
    <row r="10" spans="1:13" ht="16.5" thickTop="1" thickBot="1">
      <c r="A10" s="1">
        <v>6</v>
      </c>
      <c r="B10" s="2">
        <v>42429</v>
      </c>
      <c r="C10" s="1" t="s">
        <v>8</v>
      </c>
      <c r="D10" s="1" t="s">
        <v>12</v>
      </c>
      <c r="E10" s="9">
        <v>5811</v>
      </c>
      <c r="F10" s="9">
        <f t="shared" si="0"/>
        <v>1046.4799999999996</v>
      </c>
      <c r="G10" s="9">
        <v>6857.48</v>
      </c>
      <c r="H10" s="10">
        <v>102.86199999999999</v>
      </c>
      <c r="I10" s="7" t="s">
        <v>39</v>
      </c>
      <c r="J10" s="11">
        <f>E10+E11</f>
        <v>8511</v>
      </c>
    </row>
    <row r="11" spans="1:13" ht="16.5" thickTop="1" thickBot="1">
      <c r="A11" s="1">
        <v>7</v>
      </c>
      <c r="B11" s="2">
        <v>42431</v>
      </c>
      <c r="C11" s="1" t="s">
        <v>22</v>
      </c>
      <c r="D11" s="1" t="s">
        <v>23</v>
      </c>
      <c r="E11" s="9">
        <v>2700</v>
      </c>
      <c r="F11" s="9">
        <f t="shared" si="0"/>
        <v>486.5</v>
      </c>
      <c r="G11" s="10">
        <v>3186.5</v>
      </c>
      <c r="H11" s="3">
        <v>47.79</v>
      </c>
      <c r="I11" s="7" t="s">
        <v>21</v>
      </c>
    </row>
    <row r="12" spans="1:13" ht="15.75" thickTop="1">
      <c r="A12" s="1">
        <v>8</v>
      </c>
      <c r="B12" s="2">
        <v>42436</v>
      </c>
      <c r="C12" s="1" t="s">
        <v>24</v>
      </c>
      <c r="D12" s="1" t="s">
        <v>25</v>
      </c>
      <c r="E12" s="9">
        <v>3325</v>
      </c>
      <c r="F12" s="9">
        <f t="shared" si="0"/>
        <v>599</v>
      </c>
      <c r="G12" s="9">
        <v>3924</v>
      </c>
      <c r="H12" s="17">
        <v>117.758</v>
      </c>
      <c r="I12" s="19" t="s">
        <v>39</v>
      </c>
    </row>
    <row r="13" spans="1:13" ht="15.75" thickBot="1">
      <c r="A13" s="1">
        <v>9</v>
      </c>
      <c r="B13" s="2">
        <v>42436</v>
      </c>
      <c r="C13" s="1" t="s">
        <v>24</v>
      </c>
      <c r="D13" s="1" t="s">
        <v>23</v>
      </c>
      <c r="E13" s="9">
        <v>3328</v>
      </c>
      <c r="F13" s="9">
        <f t="shared" si="0"/>
        <v>599</v>
      </c>
      <c r="G13" s="9">
        <v>3927</v>
      </c>
      <c r="H13" s="18"/>
      <c r="I13" s="20"/>
      <c r="L13" s="14"/>
    </row>
    <row r="14" spans="1:13" ht="15.75" thickTop="1">
      <c r="A14" s="1">
        <v>10</v>
      </c>
      <c r="B14" s="2">
        <v>42438</v>
      </c>
      <c r="C14" s="1" t="s">
        <v>26</v>
      </c>
      <c r="D14" s="1" t="s">
        <v>25</v>
      </c>
      <c r="E14" s="9">
        <v>2327.5</v>
      </c>
      <c r="F14" s="9">
        <f t="shared" si="0"/>
        <v>419.44999999999982</v>
      </c>
      <c r="G14" s="9">
        <v>2746.95</v>
      </c>
      <c r="H14" s="17">
        <v>218.578</v>
      </c>
      <c r="I14" s="19" t="s">
        <v>39</v>
      </c>
      <c r="K14" t="s">
        <v>51</v>
      </c>
    </row>
    <row r="15" spans="1:13" ht="15.75" thickBot="1">
      <c r="A15" s="1">
        <v>11</v>
      </c>
      <c r="B15" s="2">
        <v>42438</v>
      </c>
      <c r="C15" s="1" t="s">
        <v>26</v>
      </c>
      <c r="D15" s="1" t="s">
        <v>23</v>
      </c>
      <c r="E15" s="9">
        <v>10021.549999999999</v>
      </c>
      <c r="F15" s="9">
        <f t="shared" si="0"/>
        <v>1804.3790000000008</v>
      </c>
      <c r="G15" s="9">
        <v>11825.929</v>
      </c>
      <c r="H15" s="18"/>
      <c r="I15" s="21"/>
    </row>
    <row r="16" spans="1:13" ht="16.5" thickTop="1" thickBot="1">
      <c r="A16" s="1">
        <v>12</v>
      </c>
      <c r="B16" s="2">
        <v>42439</v>
      </c>
      <c r="C16" s="1" t="s">
        <v>28</v>
      </c>
      <c r="D16" s="1" t="s">
        <v>29</v>
      </c>
      <c r="E16" s="9">
        <v>3169</v>
      </c>
      <c r="F16" s="9">
        <f t="shared" si="0"/>
        <v>570.92000000000007</v>
      </c>
      <c r="G16" s="9">
        <v>3739.92</v>
      </c>
      <c r="H16" s="3"/>
      <c r="I16" s="6" t="s">
        <v>21</v>
      </c>
      <c r="J16" s="11" t="s">
        <v>31</v>
      </c>
      <c r="L16" s="15" t="s">
        <v>48</v>
      </c>
      <c r="M16" s="16"/>
    </row>
    <row r="17" spans="1:12" ht="16.5" thickTop="1" thickBot="1">
      <c r="A17" s="1">
        <v>13</v>
      </c>
      <c r="B17" s="2">
        <v>42443</v>
      </c>
      <c r="C17" s="1" t="s">
        <v>30</v>
      </c>
      <c r="D17" s="1" t="s">
        <v>23</v>
      </c>
      <c r="E17" s="9">
        <v>8526.24</v>
      </c>
      <c r="F17" s="9">
        <f t="shared" si="0"/>
        <v>1535.223</v>
      </c>
      <c r="G17" s="9">
        <v>10061.463</v>
      </c>
      <c r="H17" s="3"/>
      <c r="I17" s="7">
        <v>42504</v>
      </c>
    </row>
    <row r="18" spans="1:12" ht="16.5" thickTop="1" thickBot="1">
      <c r="A18" s="1">
        <v>14</v>
      </c>
      <c r="B18" s="2">
        <v>42446</v>
      </c>
      <c r="C18" s="1" t="s">
        <v>32</v>
      </c>
      <c r="D18" s="1" t="s">
        <v>23</v>
      </c>
      <c r="E18" s="9">
        <v>1142</v>
      </c>
      <c r="F18" s="9">
        <f t="shared" si="0"/>
        <v>206.05999999999995</v>
      </c>
      <c r="G18" s="9">
        <v>1348.06</v>
      </c>
      <c r="H18" s="3"/>
      <c r="I18" s="6"/>
      <c r="J18" t="s">
        <v>46</v>
      </c>
      <c r="L18" t="s">
        <v>33</v>
      </c>
    </row>
    <row r="19" spans="1:12" ht="16.5" thickTop="1" thickBot="1">
      <c r="A19" s="1">
        <v>15</v>
      </c>
      <c r="B19" s="2">
        <v>42453</v>
      </c>
      <c r="C19" s="1" t="s">
        <v>32</v>
      </c>
      <c r="D19" s="1" t="s">
        <v>29</v>
      </c>
      <c r="E19" s="9">
        <v>800</v>
      </c>
      <c r="F19" s="9">
        <f t="shared" si="0"/>
        <v>144.5</v>
      </c>
      <c r="G19" s="9">
        <v>944.5</v>
      </c>
      <c r="H19" s="3"/>
      <c r="I19" s="7"/>
      <c r="J19" t="s">
        <v>44</v>
      </c>
      <c r="L19" t="s">
        <v>45</v>
      </c>
    </row>
    <row r="20" spans="1:12" ht="16.5" thickTop="1" thickBot="1">
      <c r="A20" s="1">
        <v>16</v>
      </c>
      <c r="B20" s="2">
        <v>42460</v>
      </c>
      <c r="C20" s="1" t="s">
        <v>34</v>
      </c>
      <c r="D20" s="1" t="s">
        <v>35</v>
      </c>
      <c r="E20" s="9">
        <v>1215</v>
      </c>
      <c r="F20" s="9">
        <f t="shared" si="0"/>
        <v>219.20000000000005</v>
      </c>
      <c r="G20" s="9">
        <v>1434.2</v>
      </c>
      <c r="H20" s="3">
        <v>21.513000000000002</v>
      </c>
      <c r="I20" s="6" t="s">
        <v>21</v>
      </c>
      <c r="J20" t="s">
        <v>36</v>
      </c>
    </row>
    <row r="21" spans="1:12" ht="16.5" thickTop="1" thickBot="1">
      <c r="A21" s="1">
        <v>17</v>
      </c>
      <c r="B21" s="2">
        <v>42460</v>
      </c>
      <c r="C21" s="1" t="s">
        <v>37</v>
      </c>
      <c r="D21" s="1" t="s">
        <v>23</v>
      </c>
      <c r="E21" s="9">
        <v>5640</v>
      </c>
      <c r="F21" s="9">
        <f t="shared" si="0"/>
        <v>1015.6999999999998</v>
      </c>
      <c r="G21" s="9">
        <v>6655.7</v>
      </c>
      <c r="H21" s="3">
        <v>99.828000000000003</v>
      </c>
      <c r="I21" s="7" t="s">
        <v>50</v>
      </c>
    </row>
    <row r="22" spans="1:12" ht="16.5" thickTop="1" thickBot="1">
      <c r="A22" s="1">
        <v>18</v>
      </c>
      <c r="B22" s="2">
        <v>42461</v>
      </c>
      <c r="C22" s="1" t="s">
        <v>38</v>
      </c>
      <c r="D22" s="1" t="s">
        <v>23</v>
      </c>
      <c r="E22" s="9">
        <v>3589.1</v>
      </c>
      <c r="F22" s="9">
        <f t="shared" si="0"/>
        <v>583.00400000000036</v>
      </c>
      <c r="G22" s="9">
        <v>4172.1040000000003</v>
      </c>
      <c r="H22" s="3">
        <v>63.533999999999999</v>
      </c>
      <c r="I22" s="7" t="s">
        <v>39</v>
      </c>
    </row>
    <row r="23" spans="1:12" ht="16.5" thickTop="1" thickBot="1">
      <c r="A23" s="1">
        <v>19</v>
      </c>
      <c r="B23" s="2">
        <v>42466</v>
      </c>
      <c r="C23" s="1" t="s">
        <v>40</v>
      </c>
      <c r="D23" s="1" t="s">
        <v>41</v>
      </c>
      <c r="E23" s="9">
        <v>4197</v>
      </c>
      <c r="F23" s="9">
        <f t="shared" si="0"/>
        <v>755.85999999999967</v>
      </c>
      <c r="G23" s="9">
        <v>4952.8599999999997</v>
      </c>
      <c r="H23" s="3"/>
      <c r="I23" s="7">
        <v>42522</v>
      </c>
      <c r="J23" t="s">
        <v>43</v>
      </c>
      <c r="K23" t="s">
        <v>42</v>
      </c>
    </row>
    <row r="24" spans="1:12" ht="16.5" thickTop="1" thickBot="1">
      <c r="A24" s="1">
        <v>20</v>
      </c>
      <c r="B24" s="2">
        <v>42486</v>
      </c>
      <c r="C24" s="1" t="s">
        <v>47</v>
      </c>
      <c r="D24" s="1" t="s">
        <v>23</v>
      </c>
      <c r="E24" s="9">
        <v>2752</v>
      </c>
      <c r="F24" s="9">
        <f t="shared" si="0"/>
        <v>495.86000000000013</v>
      </c>
      <c r="G24" s="9">
        <v>3247.86</v>
      </c>
      <c r="H24" s="3">
        <v>48.7179</v>
      </c>
      <c r="I24" s="7" t="s">
        <v>21</v>
      </c>
    </row>
    <row r="25" spans="1:12" ht="16.5" thickTop="1" thickBot="1">
      <c r="A25" s="1">
        <v>21</v>
      </c>
      <c r="B25" s="2">
        <v>42499</v>
      </c>
      <c r="C25" s="1" t="s">
        <v>47</v>
      </c>
      <c r="D25" s="1" t="s">
        <v>49</v>
      </c>
      <c r="E25" s="9">
        <v>1211</v>
      </c>
      <c r="F25" s="9">
        <f t="shared" si="0"/>
        <v>217.98000000000002</v>
      </c>
      <c r="G25" s="9">
        <v>1428.98</v>
      </c>
      <c r="H25" s="3">
        <v>1407.5450000000001</v>
      </c>
      <c r="I25" s="7" t="s">
        <v>39</v>
      </c>
    </row>
    <row r="26" spans="1:12" ht="16.5" thickTop="1" thickBot="1">
      <c r="A26" s="1">
        <v>22</v>
      </c>
      <c r="B26" s="2">
        <v>42503</v>
      </c>
      <c r="C26" s="1" t="s">
        <v>37</v>
      </c>
      <c r="D26" s="1" t="s">
        <v>23</v>
      </c>
      <c r="E26" s="9">
        <v>1880</v>
      </c>
      <c r="F26" s="9">
        <f>G26-E26</f>
        <v>338.90000000000009</v>
      </c>
      <c r="G26" s="9">
        <v>2218.9</v>
      </c>
      <c r="H26" s="3">
        <v>33.276000000000003</v>
      </c>
      <c r="I26" s="7">
        <v>42552</v>
      </c>
    </row>
    <row r="27" spans="1:12" ht="16.5" thickTop="1" thickBot="1">
      <c r="A27" s="1">
        <v>23</v>
      </c>
      <c r="B27" s="2">
        <v>42516</v>
      </c>
      <c r="C27" s="1" t="s">
        <v>37</v>
      </c>
      <c r="D27" s="1" t="s">
        <v>23</v>
      </c>
      <c r="E27" s="9">
        <v>1880</v>
      </c>
      <c r="F27" s="9">
        <f>G27-E27</f>
        <v>338.90000000000009</v>
      </c>
      <c r="G27" s="9">
        <v>2218.9</v>
      </c>
      <c r="H27" s="3"/>
      <c r="I27" s="6"/>
    </row>
    <row r="28" spans="1:12" ht="16.5" thickTop="1" thickBot="1">
      <c r="A28" s="1">
        <v>24</v>
      </c>
      <c r="B28" s="2">
        <v>42521</v>
      </c>
      <c r="C28" s="1" t="s">
        <v>52</v>
      </c>
      <c r="D28" s="1" t="s">
        <v>53</v>
      </c>
      <c r="E28" s="9">
        <v>227.8</v>
      </c>
      <c r="F28" s="9">
        <f t="shared" si="0"/>
        <v>41.503999999999962</v>
      </c>
      <c r="G28" s="9">
        <v>269.30399999999997</v>
      </c>
      <c r="H28" s="3"/>
      <c r="I28" s="7">
        <v>42522</v>
      </c>
    </row>
    <row r="29" spans="1:12" ht="15.75" thickTop="1">
      <c r="A29" s="22">
        <v>25</v>
      </c>
      <c r="B29" s="23">
        <v>42521</v>
      </c>
      <c r="C29" s="22" t="s">
        <v>37</v>
      </c>
      <c r="D29" s="22" t="s">
        <v>23</v>
      </c>
      <c r="E29" s="24">
        <v>940</v>
      </c>
      <c r="F29" s="24">
        <f t="shared" si="0"/>
        <v>169.70000000000005</v>
      </c>
      <c r="G29" s="24">
        <v>1109.7</v>
      </c>
      <c r="H29" s="25"/>
      <c r="I29" s="26"/>
    </row>
    <row r="30" spans="1:12">
      <c r="A30" s="22">
        <v>26</v>
      </c>
      <c r="B30" s="1"/>
      <c r="C30" s="1"/>
      <c r="D30" s="1"/>
      <c r="E30" s="1"/>
      <c r="F30" s="24">
        <f t="shared" si="0"/>
        <v>0</v>
      </c>
      <c r="G30" s="1"/>
      <c r="H30" s="3"/>
      <c r="I30" s="30"/>
    </row>
    <row r="31" spans="1:12">
      <c r="A31" s="22">
        <v>27</v>
      </c>
      <c r="B31" s="1"/>
      <c r="C31" s="1"/>
      <c r="D31" s="1"/>
      <c r="E31" s="1"/>
      <c r="F31" s="24">
        <f t="shared" si="0"/>
        <v>0</v>
      </c>
      <c r="G31" s="1"/>
      <c r="H31" s="3"/>
      <c r="I31" s="30"/>
    </row>
    <row r="32" spans="1:12">
      <c r="A32" s="22">
        <v>28</v>
      </c>
      <c r="B32" s="1"/>
      <c r="C32" s="1"/>
      <c r="D32" s="1"/>
      <c r="E32" s="1"/>
      <c r="F32" s="24">
        <f t="shared" si="0"/>
        <v>0</v>
      </c>
      <c r="G32" s="1"/>
      <c r="H32" s="3"/>
      <c r="I32" s="30"/>
    </row>
    <row r="33" spans="1:9">
      <c r="A33" s="22">
        <v>29</v>
      </c>
      <c r="B33" s="1"/>
      <c r="C33" s="1"/>
      <c r="D33" s="1"/>
      <c r="E33" s="1"/>
      <c r="F33" s="24">
        <f t="shared" si="0"/>
        <v>0</v>
      </c>
      <c r="G33" s="1"/>
      <c r="H33" s="3"/>
      <c r="I33" s="30"/>
    </row>
    <row r="34" spans="1:9">
      <c r="A34" s="22">
        <v>30</v>
      </c>
      <c r="B34" s="1"/>
      <c r="C34" s="1"/>
      <c r="D34" s="1"/>
      <c r="E34" s="1"/>
      <c r="F34" s="24">
        <f t="shared" si="0"/>
        <v>0</v>
      </c>
      <c r="G34" s="1"/>
      <c r="H34" s="3"/>
      <c r="I34" s="30"/>
    </row>
    <row r="35" spans="1:9">
      <c r="A35" s="22">
        <v>31</v>
      </c>
      <c r="B35" s="1"/>
      <c r="C35" s="1"/>
      <c r="D35" s="1"/>
      <c r="E35" s="1"/>
      <c r="F35" s="24">
        <f t="shared" si="0"/>
        <v>0</v>
      </c>
      <c r="G35" s="1"/>
      <c r="H35" s="3"/>
      <c r="I35" s="30"/>
    </row>
    <row r="36" spans="1:9">
      <c r="A36" s="22">
        <v>32</v>
      </c>
      <c r="B36" s="1"/>
      <c r="C36" s="1"/>
      <c r="D36" s="1"/>
      <c r="E36" s="1"/>
      <c r="F36" s="24">
        <f t="shared" si="0"/>
        <v>0</v>
      </c>
      <c r="G36" s="1"/>
      <c r="H36" s="3"/>
      <c r="I36" s="30"/>
    </row>
    <row r="37" spans="1:9">
      <c r="A37" s="22">
        <v>33</v>
      </c>
      <c r="B37" s="1"/>
      <c r="C37" s="1"/>
      <c r="D37" s="1"/>
      <c r="E37" s="1"/>
      <c r="F37" s="24">
        <f t="shared" si="0"/>
        <v>0</v>
      </c>
      <c r="G37" s="1"/>
      <c r="H37" s="3"/>
      <c r="I37" s="30"/>
    </row>
    <row r="38" spans="1:9">
      <c r="A38" s="22">
        <v>34</v>
      </c>
      <c r="B38" s="1"/>
      <c r="C38" s="1"/>
      <c r="D38" s="1"/>
      <c r="E38" s="1"/>
      <c r="F38" s="24">
        <f t="shared" si="0"/>
        <v>0</v>
      </c>
      <c r="G38" s="1"/>
      <c r="H38" s="3"/>
      <c r="I38" s="30"/>
    </row>
    <row r="39" spans="1:9">
      <c r="A39" s="22">
        <v>35</v>
      </c>
      <c r="B39" s="1"/>
      <c r="C39" s="1"/>
      <c r="D39" s="1"/>
      <c r="E39" s="1"/>
      <c r="F39" s="24">
        <f t="shared" si="0"/>
        <v>0</v>
      </c>
      <c r="G39" s="1"/>
      <c r="H39" s="3"/>
      <c r="I39" s="30"/>
    </row>
    <row r="40" spans="1:9">
      <c r="A40" s="22">
        <v>36</v>
      </c>
      <c r="B40" s="1"/>
      <c r="C40" s="1"/>
      <c r="D40" s="1"/>
      <c r="E40" s="1"/>
      <c r="F40" s="24">
        <f t="shared" si="0"/>
        <v>0</v>
      </c>
      <c r="G40" s="1"/>
      <c r="H40" s="3"/>
      <c r="I40" s="30"/>
    </row>
    <row r="41" spans="1:9" ht="15.75" thickBot="1">
      <c r="A41" s="22">
        <v>37</v>
      </c>
      <c r="B41" s="1"/>
      <c r="C41" s="1"/>
      <c r="D41" s="1"/>
      <c r="E41" s="1"/>
      <c r="F41" s="24">
        <f t="shared" si="0"/>
        <v>0</v>
      </c>
      <c r="G41" s="1"/>
      <c r="H41" s="3"/>
      <c r="I41" s="31"/>
    </row>
    <row r="42" spans="1:9" ht="16.5" thickTop="1" thickBot="1">
      <c r="A42" s="1" t="s">
        <v>9</v>
      </c>
      <c r="B42" s="27"/>
      <c r="C42" s="27"/>
      <c r="D42" s="27"/>
      <c r="E42" s="28">
        <f>SUM(E5:E29)</f>
        <v>68525.19</v>
      </c>
      <c r="F42" s="9">
        <f>G42-E42</f>
        <v>12032.119999999966</v>
      </c>
      <c r="G42" s="28">
        <f>SUM(G5:G41)</f>
        <v>80557.309999999969</v>
      </c>
      <c r="H42" s="29"/>
      <c r="I42" s="4"/>
    </row>
    <row r="43" spans="1:9" ht="15.75" thickTop="1"/>
  </sheetData>
  <mergeCells count="5">
    <mergeCell ref="L16:M16"/>
    <mergeCell ref="H12:H13"/>
    <mergeCell ref="I12:I13"/>
    <mergeCell ref="H14:H15"/>
    <mergeCell ref="I14:I15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DELL</cp:lastModifiedBy>
  <dcterms:created xsi:type="dcterms:W3CDTF">2016-02-27T14:42:25Z</dcterms:created>
  <dcterms:modified xsi:type="dcterms:W3CDTF">2016-06-01T15:47:19Z</dcterms:modified>
</cp:coreProperties>
</file>