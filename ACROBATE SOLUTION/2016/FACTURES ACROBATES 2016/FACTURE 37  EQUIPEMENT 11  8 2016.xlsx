
<file path=[Content_Types].xml><?xml version="1.0" encoding="utf-8"?>
<Types xmlns="http://schemas.openxmlformats.org/package/2006/content-types">
  <Default Extension="bin" ContentType="application/vnd.openxmlformats-officedocument.spreadsheetml.printerSettings"/>
  <Default Extension="png" ContentType="image/png"/>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externalLinks/externalLink2.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6.xml" ContentType="application/vnd.ms-excel.controlproperties+xml"/>
  <Override PartName="/xl/ctrlProps/ctrlProp5.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Facture!$M$66</definedName>
    <definedName name="_Tax2">Facture!$M$67</definedName>
    <definedName name="_Tax3">Facture!$M$68</definedName>
    <definedName name="_tax4">Facture!$M$68</definedName>
    <definedName name="_xlnm.Auto_Open21">'AutoOpen Stub Data'!$A$1</definedName>
    <definedName name="boxes">Facture!$E$66:$E$67</definedName>
    <definedName name="CC">'Personnaliser votre facture'!$G$22:$G$25</definedName>
    <definedName name="CCT">Facture!$H$68</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Facture!$E$63</definedName>
    <definedName name="data6">Facture!$F$23</definedName>
    <definedName name="data60">Facture!$F$63</definedName>
    <definedName name="data61">Facture!$M$63</definedName>
    <definedName name="data62">Facture!$E$66</definedName>
    <definedName name="data63">Facture!$E$67</definedName>
    <definedName name="data64">Facture!$E$68</definedName>
    <definedName name="data65">Facture!$H$67</definedName>
    <definedName name="data66">Facture!$F$70</definedName>
    <definedName name="data67">Facture!$F$74</definedName>
    <definedName name="data68">Facture!$G$75</definedName>
    <definedName name="data69">Facture!$K$75</definedName>
    <definedName name="data7">Facture!$H$24</definedName>
    <definedName name="data70">Facture!$K$76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Facture!$F$63:$K$63</definedName>
    <definedName name="qzqzqz26">Facture!$F$70:$I$70</definedName>
    <definedName name="qzqzqz27">Facture!$D$73:$I$73</definedName>
    <definedName name="qzqzqz28">Facture!$F$74:$I$74</definedName>
    <definedName name="qzqzqz29">Facture!$K$74:$N$76</definedName>
    <definedName name="qzqzqz3">Facture!$E$23:$J$23</definedName>
    <definedName name="qzqzqz30">Facture!$G$75:$I$75</definedName>
    <definedName name="qzqzqz31">Facture!$G$75:$H$75</definedName>
    <definedName name="qzqzqz32">Facture!$K$73:$N$75</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Facture!$A$1:$O$97</definedName>
  </definedNames>
  <calcPr calcId="125725"/>
</workbook>
</file>

<file path=xl/calcChain.xml><?xml version="1.0" encoding="utf-8"?>
<calcChain xmlns="http://schemas.openxmlformats.org/spreadsheetml/2006/main">
  <c r="N60" i="3"/>
  <c r="N61"/>
  <c r="N62"/>
  <c r="N55" l="1"/>
  <c r="N56"/>
  <c r="N57"/>
  <c r="N58"/>
  <c r="N59"/>
  <c r="N52"/>
  <c r="N53"/>
  <c r="N54"/>
  <c r="N31" l="1"/>
  <c r="N32"/>
  <c r="N33"/>
  <c r="N34"/>
  <c r="N35"/>
  <c r="N36"/>
  <c r="N37"/>
  <c r="N48"/>
  <c r="N49"/>
  <c r="N50"/>
  <c r="N51"/>
  <c r="N30" l="1"/>
  <c r="N29" l="1"/>
  <c r="N28"/>
  <c r="N66"/>
  <c r="M67"/>
  <c r="M68"/>
  <c r="N68" s="1"/>
  <c r="F33" i="2"/>
  <c r="K8" i="8"/>
  <c r="I8"/>
  <c r="H8"/>
  <c r="G8"/>
  <c r="F8"/>
  <c r="E8"/>
  <c r="D8"/>
  <c r="C8"/>
  <c r="B8"/>
  <c r="N64" i="3" l="1"/>
  <c r="N70" s="1"/>
  <c r="N69"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<sst xmlns="http://schemas.openxmlformats.org/spreadsheetml/2006/main" count="96" uniqueCount="84">
  <si>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</si>
  <si>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</si>
  <si>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</si>
  <si>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</si>
  <si>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</si>
  <si>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</si>
  <si>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</si>
  <si>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</si>
  <si>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</si>
  <si>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</si>
  <si>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</si>
  <si>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</si>
  <si>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</si>
  <si>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</si>
  <si>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</si>
  <si>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</si>
  <si>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</si>
  <si>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</si>
  <si>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</si>
  <si>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</si>
  <si>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</si>
  <si>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</si>
  <si>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</si>
  <si>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</si>
  <si>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</si>
  <si>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</si>
  <si>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</si>
  <si>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</si>
  <si>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</si>
  <si>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</si>
  <si>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</si>
  <si>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</si>
  <si>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</si>
  <si>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</si>
  <si>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</si>
  <si>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</si>
  <si>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</si>
  <si>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</si>
  <si>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</si>
  <si>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</si>
  <si>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</si>
  <si>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</si>
  <si>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</si>
  <si>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</si>
  <si>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</si>
  <si>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</si>
  <si>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</si>
  <si>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</si>
  <si>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</si>
  <si>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</si>
  <si>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</si>
  <si>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</si>
  <si>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</si>
  <si>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</si>
  <si>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</si>
  <si>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</si>
  <si>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</si>
  <si>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</si>
  <si>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</si>
  <si>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</si>
  <si>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</si>
  <si>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</si>
  <si>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</si>
  <si>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</si>
  <si>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 xml:space="preserve">Réf.Commande:  </t>
  </si>
  <si>
    <t>TN</t>
  </si>
  <si>
    <t>RIB: 10 000 000 080746 3788 95</t>
  </si>
  <si>
    <t>STB THAMEUR</t>
  </si>
  <si>
    <t>RC:B161701999  MF:645 267 KMA 000</t>
  </si>
  <si>
    <t>KIT PYLONIER COMPOSE DE :</t>
  </si>
  <si>
    <r>
      <rPr>
        <b/>
        <sz val="20"/>
        <rFont val="Arial"/>
        <family val="2"/>
      </rPr>
      <t>1</t>
    </r>
    <r>
      <rPr>
        <sz val="20"/>
        <rFont val="Arial"/>
        <family val="2"/>
      </rPr>
      <t xml:space="preserve"> HARNAIS   ORBITAL</t>
    </r>
  </si>
  <si>
    <t xml:space="preserve">MODELES CONFORMES AUX </t>
  </si>
  <si>
    <t>NORMES CE</t>
  </si>
  <si>
    <t>http://www.camp.it/img/8B55A09B-4F13-423C-884B-1A450BE842E5.pdf</t>
  </si>
  <si>
    <t>http://www.camp.it/img/0652414E-5594-40AB-8843-F873AE0B53B6.pdf</t>
  </si>
  <si>
    <t>http://www.camp.it/img/1DAEB009-1DF0-4760-A152-86618F3A03BE.pdf</t>
  </si>
  <si>
    <r>
      <rPr>
        <b/>
        <sz val="20"/>
        <rFont val="Arial"/>
        <family val="2"/>
      </rPr>
      <t>1</t>
    </r>
    <r>
      <rPr>
        <sz val="20"/>
        <rFont val="Arial"/>
        <family val="2"/>
      </rPr>
      <t xml:space="preserve"> LONGE DE MAINTIEN MODELE</t>
    </r>
  </si>
  <si>
    <t>ROPE ADJUSTER</t>
  </si>
  <si>
    <r>
      <rPr>
        <b/>
        <sz val="20"/>
        <rFont val="Arial"/>
        <family val="2"/>
      </rPr>
      <t>1</t>
    </r>
    <r>
      <rPr>
        <sz val="20"/>
        <rFont val="Arial"/>
        <family val="2"/>
      </rPr>
      <t xml:space="preserve"> LONGE DOUBLE  CORDAGE</t>
    </r>
  </si>
  <si>
    <t>BETTAHER HAMZA</t>
  </si>
  <si>
    <t>FACTURE 2016037</t>
  </si>
  <si>
    <t>GABES</t>
  </si>
  <si>
    <t>RUE ABOUBAKER MOUADEB EL HAMMA</t>
  </si>
  <si>
    <t>ARRETE LA PRESENTE FACTURE A LA SOMME DE QUATRE CENT ET SCOIXANTE DIX DINARS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</si>
</sst>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7" fillId="2" borderId="0" applyNumberFormat="0" applyFill="0" applyBorder="0" applyAlignment="0" applyProtection="0"/>
  </cellStyleXfs>
  <cellXfs count="24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49" fontId="36" fillId="0" borderId="28" xfId="0" applyNumberFormat="1" applyFont="1" applyFill="1" applyBorder="1" applyAlignment="1"/>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47" fillId="0" borderId="28" xfId="5" applyNumberFormat="1" applyFill="1" applyBorder="1" applyAlignment="1"/>
    <xf numFmtId="0" fontId="42" fillId="0" borderId="0" xfId="0" applyFont="1" applyFill="1"/>
    <xf numFmtId="49" fontId="39" fillId="0" borderId="28" xfId="0" applyNumberFormat="1" applyFont="1" applyFill="1" applyBorder="1" applyAlignment="1"/>
    <xf numFmtId="49" fontId="47" fillId="0" borderId="28" xfId="5" applyNumberFormat="1" applyFill="1" applyBorder="1" applyAlignment="1"/>
    <xf numFmtId="49" fontId="47" fillId="0" borderId="28" xfId="5" applyNumberFormat="1" applyFill="1" applyBorder="1" applyAlignment="1"/>
    <xf numFmtId="0" fontId="47" fillId="0" borderId="0" xfId="5" applyFill="1"/>
    <xf numFmtId="0" fontId="39" fillId="0" borderId="0" xfId="0" applyFont="1" applyFill="1" applyAlignment="1"/>
    <xf numFmtId="168" fontId="41" fillId="0" borderId="30" xfId="0" applyNumberFormat="1" applyFont="1" applyFill="1" applyBorder="1" applyAlignment="1"/>
    <xf numFmtId="0" fontId="28" fillId="0" borderId="30" xfId="0" applyFont="1" applyFill="1" applyBorder="1" applyAlignment="1"/>
    <xf numFmtId="0" fontId="42" fillId="0" borderId="30" xfId="0" applyFont="1" applyFill="1" applyBorder="1" applyAlignment="1"/>
    <xf numFmtId="49" fontId="40" fillId="0" borderId="28" xfId="0" applyNumberFormat="1" applyFont="1" applyFill="1" applyBorder="1" applyAlignment="1"/>
    <xf numFmtId="0" fontId="1" fillId="0" borderId="0" xfId="0" applyFont="1" applyFill="1" applyBorder="1" applyAlignment="1"/>
    <xf numFmtId="0" fontId="22" fillId="0" borderId="0" xfId="0" applyFont="1" applyFill="1"/>
    <xf numFmtId="0" fontId="1" fillId="0" borderId="0" xfId="0" applyFont="1" applyFill="1" applyBorder="1"/>
    <xf numFmtId="0" fontId="1" fillId="0" borderId="0" xfId="0" applyFont="1" applyFill="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2" fillId="0" borderId="48" xfId="0" applyFont="1" applyFill="1" applyBorder="1" applyAlignment="1">
      <alignment horizontal="center"/>
    </xf>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49" fontId="47" fillId="0" borderId="28" xfId="5" applyNumberFormat="1" applyFill="1" applyBorder="1" applyAlignment="1"/>
    <xf numFmtId="49" fontId="35" fillId="0" borderId="28" xfId="0" applyNumberFormat="1" applyFont="1" applyFill="1" applyBorder="1" applyAlignment="1"/>
    <xf numFmtId="0" fontId="35" fillId="0" borderId="0" xfId="0" applyFont="1" applyFill="1" applyAlignment="1"/>
    <xf numFmtId="0" fontId="35" fillId="0" borderId="41" xfId="0" applyFont="1" applyFill="1" applyBorder="1" applyAlignment="1"/>
    <xf numFmtId="49" fontId="34" fillId="0" borderId="0" xfId="0" applyNumberFormat="1" applyFont="1" applyFill="1" applyBorder="1" applyAlignment="1"/>
    <xf numFmtId="49" fontId="34" fillId="0" borderId="41" xfId="0" applyNumberFormat="1" applyFont="1" applyFill="1" applyBorder="1" applyAlignment="1"/>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1" fillId="0" borderId="0"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0" fontId="0" fillId="0" borderId="0" xfId="0" applyFill="1" applyBorder="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9</xdr:col>
      <xdr:colOff>222250</xdr:colOff>
      <xdr:row>5</xdr:row>
      <xdr:rowOff>95250</xdr:rowOff>
    </xdr:from>
    <xdr:to>
      <xdr:col>12</xdr:col>
      <xdr:colOff>2349500</xdr:colOff>
      <xdr:row>13</xdr:row>
      <xdr:rowOff>118913</xdr:rowOff>
    </xdr:to>
    <xdr:pic>
      <xdr:nvPicPr>
        <xdr:cNvPr id="2" name="Imag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6842125" y="762000"/>
          <a:ext cx="6191250" cy="13571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www.camp.it/img/0652414E-5594-40AB-8843-F873AE0B53B6.pdf" TargetMode="External"/><Relationship Id="rId2" Type="http://schemas.openxmlformats.org/officeDocument/2006/relationships/hyperlink" Target="http://www.camp.it/img/1DAEB009-1DF0-4760-A152-86618F3A03BE.pdf" TargetMode="External"/><Relationship Id="rId1" Type="http://schemas.openxmlformats.org/officeDocument/2006/relationships/hyperlink" Target="http://www.camp.it/img/8B55A09B-4F13-423C-884B-1A450BE842E5.pdf" TargetMode="External"/><Relationship Id="rId6" Type="http://schemas.openxmlformats.org/officeDocument/2006/relationships/vmlDrawing" Target="../drawings/vmlDrawing2.vml"/><Relationship Id="rId11" Type="http://schemas.openxmlformats.org/officeDocument/2006/relationships/ctrlProp" Target="../ctrlProps/ctrlProp6.xml"/><Relationship Id="rId5" Type="http://schemas.openxmlformats.org/officeDocument/2006/relationships/drawing" Target="../drawings/drawing2.xml"/><Relationship Id="rId10" Type="http://schemas.openxmlformats.org/officeDocument/2006/relationships/ctrlProp" Target="../ctrlProps/ctrlProp5.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
  <sheetViews>
    <sheetView zoomScale="80"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83" t="s">
        <v>0</v>
      </c>
      <c r="E4" s="184"/>
      <c r="F4" s="184"/>
      <c r="G4" s="3"/>
      <c r="H4" s="3"/>
      <c r="I4" s="3"/>
      <c r="J4" s="9"/>
    </row>
    <row r="5" spans="2:10" ht="3" customHeight="1" thickTop="1">
      <c r="B5" s="2"/>
      <c r="C5" s="55"/>
      <c r="D5" s="55"/>
      <c r="E5" s="55"/>
      <c r="F5" s="55"/>
      <c r="G5" s="55"/>
      <c r="H5" s="55"/>
      <c r="I5" s="55"/>
      <c r="J5" s="1"/>
    </row>
    <row r="6" spans="2:10" ht="12.75" customHeight="1">
      <c r="B6" s="7"/>
      <c r="C6" s="3"/>
      <c r="D6" s="20"/>
      <c r="E6" s="3"/>
      <c r="F6" s="3"/>
      <c r="G6" s="3"/>
      <c r="H6" s="3"/>
      <c r="I6" s="3"/>
      <c r="J6" s="9"/>
    </row>
    <row r="7" spans="2:10">
      <c r="B7" s="7"/>
      <c r="C7" s="3"/>
      <c r="D7" s="3"/>
      <c r="E7" s="3"/>
      <c r="F7" s="3"/>
      <c r="G7" s="61" t="s">
        <v>48</v>
      </c>
      <c r="H7" s="3"/>
      <c r="I7" s="3"/>
      <c r="J7" s="9"/>
    </row>
    <row r="8" spans="2:10">
      <c r="B8" s="7"/>
      <c r="C8" s="3"/>
      <c r="D8" s="3"/>
      <c r="E8" s="3"/>
      <c r="F8" s="3"/>
      <c r="G8" s="61" t="s">
        <v>1</v>
      </c>
      <c r="H8" s="3"/>
      <c r="I8" s="3"/>
      <c r="J8" s="9"/>
    </row>
    <row r="9" spans="2:10">
      <c r="B9" s="7"/>
      <c r="C9" s="3"/>
      <c r="D9" s="21"/>
      <c r="E9" s="3"/>
      <c r="F9" s="3"/>
      <c r="G9" s="43"/>
      <c r="H9" s="3"/>
      <c r="I9" s="3"/>
      <c r="J9" s="9"/>
    </row>
    <row r="10" spans="2:10" ht="13.5" thickBot="1">
      <c r="B10" s="7"/>
      <c r="C10" s="3"/>
      <c r="D10" s="185" t="s">
        <v>2</v>
      </c>
      <c r="E10" s="186"/>
      <c r="F10" s="3"/>
      <c r="G10" s="3"/>
      <c r="H10" s="3"/>
      <c r="I10" s="3"/>
      <c r="J10" s="9"/>
    </row>
    <row r="11" spans="2:10" ht="5.25" customHeight="1" thickBot="1">
      <c r="B11" s="7"/>
      <c r="C11" s="3"/>
      <c r="D11" s="23"/>
      <c r="E11" s="24"/>
      <c r="F11" s="24"/>
      <c r="G11" s="24"/>
      <c r="H11" s="25"/>
      <c r="I11" s="3"/>
      <c r="J11" s="9"/>
    </row>
    <row r="12" spans="2:10">
      <c r="B12" s="7"/>
      <c r="C12" s="3"/>
      <c r="D12" s="33" t="s">
        <v>3</v>
      </c>
      <c r="E12" s="13" t="s">
        <v>52</v>
      </c>
      <c r="F12" s="62" t="s">
        <v>4</v>
      </c>
      <c r="G12" s="17"/>
      <c r="H12" s="26"/>
      <c r="I12" s="3"/>
      <c r="J12" s="9"/>
    </row>
    <row r="13" spans="2:10" ht="13.5" thickBot="1">
      <c r="B13" s="7"/>
      <c r="C13" s="3"/>
      <c r="D13" s="33" t="s">
        <v>5</v>
      </c>
      <c r="E13" s="14" t="s">
        <v>51</v>
      </c>
      <c r="F13" s="62" t="s">
        <v>6</v>
      </c>
      <c r="G13" s="18"/>
      <c r="H13" s="26"/>
      <c r="I13" s="3"/>
      <c r="J13" s="9"/>
    </row>
    <row r="14" spans="2:10">
      <c r="B14" s="7"/>
      <c r="C14" s="3"/>
      <c r="D14" s="33" t="s">
        <v>7</v>
      </c>
      <c r="E14" s="15" t="s">
        <v>53</v>
      </c>
      <c r="F14" s="27"/>
      <c r="G14" s="28"/>
      <c r="H14" s="26"/>
      <c r="I14" s="3"/>
      <c r="J14" s="9"/>
    </row>
    <row r="15" spans="2:10">
      <c r="B15" s="7"/>
      <c r="C15" s="3"/>
      <c r="D15" s="33" t="s">
        <v>8</v>
      </c>
      <c r="E15" s="14" t="s">
        <v>54</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7" t="s">
        <v>49</v>
      </c>
      <c r="E19" s="186"/>
      <c r="F19" s="3"/>
      <c r="G19" s="3"/>
      <c r="H19" s="3"/>
      <c r="I19" s="3"/>
      <c r="J19" s="9"/>
    </row>
    <row r="20" spans="2:10" ht="5.25" customHeight="1">
      <c r="B20" s="7"/>
      <c r="C20" s="3"/>
      <c r="D20" s="32"/>
      <c r="E20" s="24"/>
      <c r="F20" s="24"/>
      <c r="G20" s="24"/>
      <c r="H20" s="25"/>
      <c r="I20" s="3"/>
      <c r="J20" s="9"/>
    </row>
    <row r="21" spans="2:10" ht="13.5" thickBot="1">
      <c r="B21" s="7"/>
      <c r="C21" s="3"/>
      <c r="D21" s="41"/>
      <c r="E21" s="40" t="s">
        <v>35</v>
      </c>
      <c r="F21" s="34"/>
      <c r="G21" s="42" t="s">
        <v>10</v>
      </c>
      <c r="H21" s="26"/>
      <c r="I21" s="3"/>
      <c r="J21" s="9"/>
    </row>
    <row r="22" spans="2:10">
      <c r="B22" s="7"/>
      <c r="C22" s="3"/>
      <c r="D22" s="33">
        <v>1</v>
      </c>
      <c r="E22" s="69">
        <v>0.1</v>
      </c>
      <c r="F22" s="34"/>
      <c r="G22" s="37"/>
      <c r="H22" s="26"/>
      <c r="I22" s="3"/>
      <c r="J22" s="9"/>
    </row>
    <row r="23" spans="2:10">
      <c r="B23" s="7"/>
      <c r="C23" s="3"/>
      <c r="D23" s="35">
        <v>2</v>
      </c>
      <c r="E23" s="63">
        <v>0.18</v>
      </c>
      <c r="F23" s="34"/>
      <c r="G23" s="38"/>
      <c r="H23" s="26"/>
      <c r="I23" s="3"/>
      <c r="J23" s="9"/>
    </row>
    <row r="24" spans="2:10" ht="13.5" thickBot="1">
      <c r="B24" s="7"/>
      <c r="C24" s="3"/>
      <c r="D24" s="35">
        <v>3</v>
      </c>
      <c r="E24" s="59">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50</v>
      </c>
      <c r="G27" s="70">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8"/>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8" t="str">
        <f>LOWER(TemplateInformation!B3)</f>
        <v>c:\program files\microsoft office\office\macrolib\factbd.xls</v>
      </c>
      <c r="G33" s="189"/>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5" t="s">
        <v>16</v>
      </c>
      <c r="E36" s="186"/>
      <c r="F36" s="3"/>
      <c r="G36" s="3"/>
      <c r="H36" s="3"/>
      <c r="I36" s="3"/>
      <c r="J36" s="9"/>
    </row>
    <row r="37" spans="2:10" ht="14.25">
      <c r="B37" s="7"/>
      <c r="C37" s="3"/>
      <c r="D37" s="23"/>
      <c r="E37" s="24"/>
      <c r="F37" s="24"/>
      <c r="G37" s="24"/>
      <c r="H37" s="25"/>
      <c r="I37" s="3"/>
      <c r="J37" s="9"/>
    </row>
    <row r="38" spans="2:10" ht="15.75">
      <c r="B38" s="7"/>
      <c r="C38" s="3"/>
      <c r="D38" s="45"/>
      <c r="E38" s="46"/>
      <c r="F38" s="72"/>
      <c r="G38" s="46"/>
      <c r="H38" s="47"/>
      <c r="I38" s="57"/>
      <c r="J38" s="22"/>
    </row>
    <row r="39" spans="2:10" ht="14.25">
      <c r="B39" s="7"/>
      <c r="C39" s="3"/>
      <c r="D39" s="45"/>
      <c r="E39" s="46"/>
      <c r="F39" s="48"/>
      <c r="G39" s="46"/>
      <c r="H39" s="47"/>
      <c r="I39" s="57"/>
      <c r="J39" s="22"/>
    </row>
    <row r="40" spans="2:10" ht="14.25">
      <c r="B40" s="7"/>
      <c r="C40" s="3"/>
      <c r="D40" s="45"/>
      <c r="E40" s="46"/>
      <c r="F40" s="46"/>
      <c r="G40" s="46"/>
      <c r="H40" s="47"/>
      <c r="I40" s="57"/>
      <c r="J40" s="22"/>
    </row>
    <row r="41" spans="2:10" ht="14.25">
      <c r="B41" s="7"/>
      <c r="C41" s="3"/>
      <c r="D41" s="45"/>
      <c r="E41" s="46"/>
      <c r="F41" s="46"/>
      <c r="G41" s="46"/>
      <c r="H41" s="47"/>
      <c r="I41" s="57"/>
      <c r="J41" s="22"/>
    </row>
    <row r="42" spans="2:10" ht="20.100000000000001" customHeight="1">
      <c r="B42" s="7"/>
      <c r="C42" s="3"/>
      <c r="D42" s="45"/>
      <c r="E42" s="46"/>
      <c r="F42" s="46"/>
      <c r="G42" s="46"/>
      <c r="H42" s="47"/>
      <c r="I42" s="57"/>
      <c r="J42" s="22"/>
    </row>
    <row r="43" spans="2:10" ht="14.25">
      <c r="B43" s="7"/>
      <c r="C43" s="3"/>
      <c r="D43" s="45"/>
      <c r="E43" s="46"/>
      <c r="F43" s="46"/>
      <c r="G43" s="46"/>
      <c r="H43" s="47"/>
      <c r="I43" s="57"/>
      <c r="J43" s="22"/>
    </row>
    <row r="44" spans="2:10" ht="26.25" customHeight="1" thickBot="1">
      <c r="B44" s="7"/>
      <c r="C44" s="3"/>
      <c r="D44" s="49"/>
      <c r="E44" s="50"/>
      <c r="F44" s="50"/>
      <c r="G44" s="50"/>
      <c r="H44" s="51"/>
      <c r="I44" s="57"/>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0">
        <v>0</v>
      </c>
    </row>
    <row r="49" spans="5:5">
      <c r="E49" s="60" t="b">
        <v>0</v>
      </c>
    </row>
    <row r="50" spans="5:5">
      <c r="E50" s="60" t="b">
        <v>0</v>
      </c>
    </row>
    <row r="51" spans="5:5">
      <c r="E51" s="60" t="s">
        <v>17</v>
      </c>
    </row>
    <row r="52" spans="5:5">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A1:P100"/>
  <sheetViews>
    <sheetView showGridLines="0" showRowColHeaders="0" tabSelected="1" topLeftCell="C4" zoomScale="60" zoomScaleNormal="60" workbookViewId="0">
      <selection activeCell="D64" sqref="D64:L64"/>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c r="A1" s="74"/>
    </row>
    <row r="2" spans="1:16" ht="0.95" customHeight="1" thickTop="1">
      <c r="B2" s="4"/>
      <c r="C2" s="5"/>
      <c r="D2" s="5"/>
      <c r="E2" s="5"/>
      <c r="F2" s="5"/>
      <c r="G2" s="5"/>
      <c r="H2" s="5"/>
      <c r="I2" s="5"/>
      <c r="J2" s="5"/>
      <c r="K2" s="5"/>
      <c r="L2" s="5"/>
      <c r="M2" s="5"/>
      <c r="N2" s="5"/>
      <c r="O2" s="5"/>
      <c r="P2" s="6"/>
    </row>
    <row r="3" spans="1:16">
      <c r="B3" s="7"/>
      <c r="C3" s="3"/>
      <c r="D3" s="3"/>
      <c r="E3" s="3"/>
      <c r="F3" s="3"/>
      <c r="G3" s="3"/>
      <c r="H3" s="3"/>
      <c r="I3" s="3"/>
      <c r="J3" s="3"/>
      <c r="K3" s="3"/>
      <c r="L3" s="3"/>
      <c r="M3" s="3"/>
      <c r="N3" s="3"/>
      <c r="O3" s="3"/>
      <c r="P3" s="9"/>
    </row>
    <row r="4" spans="1:16" ht="20.25">
      <c r="B4" s="7"/>
      <c r="C4" s="3"/>
      <c r="D4" s="3"/>
      <c r="E4" s="3"/>
      <c r="F4" s="3"/>
      <c r="G4" s="3"/>
      <c r="H4" s="3"/>
      <c r="I4" s="3"/>
      <c r="J4" s="3"/>
      <c r="K4" s="8"/>
      <c r="L4" s="8"/>
      <c r="M4" s="71"/>
      <c r="N4" s="19" t="s">
        <v>18</v>
      </c>
      <c r="O4" s="19"/>
      <c r="P4" s="9"/>
    </row>
    <row r="5" spans="1:16">
      <c r="B5" s="7"/>
      <c r="C5" s="3"/>
      <c r="D5" s="3"/>
      <c r="E5" s="3"/>
      <c r="F5" s="3"/>
      <c r="G5" s="3"/>
      <c r="H5" s="3"/>
      <c r="I5" s="3"/>
      <c r="J5" s="3"/>
      <c r="K5" s="3"/>
      <c r="L5" s="3"/>
      <c r="M5" s="3"/>
      <c r="N5" s="3"/>
      <c r="O5" s="3"/>
      <c r="P5" s="9"/>
    </row>
    <row r="6" spans="1:16">
      <c r="B6" s="7"/>
      <c r="C6" s="3"/>
      <c r="D6" s="3"/>
      <c r="E6" s="3"/>
      <c r="F6" s="3"/>
      <c r="G6" s="3"/>
      <c r="H6" s="3"/>
      <c r="I6" s="3"/>
      <c r="J6" s="3"/>
      <c r="K6" s="3"/>
      <c r="L6" s="3"/>
      <c r="M6" s="3"/>
      <c r="N6" s="3"/>
      <c r="O6" s="3"/>
      <c r="P6" s="9"/>
    </row>
    <row r="7" spans="1:16">
      <c r="B7" s="7"/>
      <c r="C7" s="3"/>
      <c r="D7" s="3"/>
      <c r="E7" s="3"/>
      <c r="F7" s="3"/>
      <c r="G7" s="3"/>
      <c r="H7" s="3"/>
      <c r="I7" s="3"/>
      <c r="J7" s="3"/>
      <c r="K7" s="3"/>
      <c r="L7" s="3"/>
      <c r="M7" s="3"/>
      <c r="N7" s="3"/>
      <c r="O7" s="3"/>
      <c r="P7" s="9"/>
    </row>
    <row r="8" spans="1:16">
      <c r="B8" s="7"/>
      <c r="C8" s="3"/>
      <c r="D8" s="3"/>
      <c r="E8" s="3"/>
      <c r="F8" s="3"/>
      <c r="G8" s="3"/>
      <c r="H8" s="3"/>
      <c r="I8" s="3"/>
      <c r="J8" s="3"/>
      <c r="K8" s="3"/>
      <c r="L8" s="3"/>
      <c r="M8" s="3"/>
      <c r="N8" s="3"/>
      <c r="O8" s="3"/>
      <c r="P8" s="9"/>
    </row>
    <row r="9" spans="1:16" ht="18">
      <c r="B9" s="7"/>
      <c r="C9" s="3"/>
      <c r="D9" s="3"/>
      <c r="E9" s="3"/>
      <c r="F9" s="3"/>
      <c r="G9" s="3"/>
      <c r="H9" s="3"/>
      <c r="I9" s="3"/>
      <c r="J9" s="150"/>
      <c r="K9" s="150"/>
      <c r="L9" s="3"/>
      <c r="M9" s="3"/>
      <c r="N9" s="3"/>
      <c r="O9" s="3"/>
      <c r="P9" s="9"/>
    </row>
    <row r="10" spans="1:16">
      <c r="B10" s="7"/>
      <c r="C10" s="3"/>
      <c r="D10" s="3"/>
      <c r="E10" s="3"/>
      <c r="F10" s="3"/>
      <c r="G10" s="3"/>
      <c r="H10" s="3"/>
      <c r="I10" s="3"/>
      <c r="J10" s="3"/>
      <c r="K10" s="3"/>
      <c r="L10" s="3"/>
      <c r="M10" s="3"/>
      <c r="N10" s="3"/>
      <c r="O10" s="3"/>
      <c r="P10" s="9"/>
    </row>
    <row r="11" spans="1:16">
      <c r="B11" s="7"/>
      <c r="C11" s="3"/>
      <c r="D11" s="3"/>
      <c r="E11" s="3"/>
      <c r="F11" s="3"/>
      <c r="G11" s="3"/>
      <c r="H11" s="3"/>
      <c r="I11" s="3"/>
      <c r="J11" s="3"/>
      <c r="K11" s="3"/>
      <c r="L11" s="3"/>
      <c r="M11" s="3"/>
      <c r="N11" s="3"/>
      <c r="O11" s="3"/>
      <c r="P11" s="9"/>
    </row>
    <row r="12" spans="1:16">
      <c r="B12" s="7"/>
      <c r="C12" s="3"/>
      <c r="D12" s="3"/>
      <c r="E12" s="3"/>
      <c r="F12" s="3"/>
      <c r="G12" s="3"/>
      <c r="H12" s="3"/>
      <c r="I12" s="3"/>
      <c r="J12" s="3"/>
      <c r="K12" s="3"/>
      <c r="L12" s="3"/>
      <c r="M12" s="3"/>
      <c r="N12" s="3"/>
      <c r="O12" s="3"/>
      <c r="P12" s="9"/>
    </row>
    <row r="13" spans="1:16">
      <c r="B13" s="7"/>
      <c r="C13" s="3"/>
      <c r="D13" s="3"/>
      <c r="E13" s="3"/>
      <c r="F13" s="3"/>
      <c r="G13" s="3"/>
      <c r="H13" s="3"/>
      <c r="I13" s="3"/>
      <c r="J13" s="3"/>
      <c r="K13" s="3"/>
      <c r="L13" s="3"/>
      <c r="M13" s="3"/>
      <c r="N13" s="3"/>
      <c r="O13" s="3"/>
      <c r="P13" s="9"/>
    </row>
    <row r="14" spans="1:16">
      <c r="B14" s="7"/>
      <c r="C14" s="3"/>
      <c r="D14" s="3"/>
      <c r="E14" s="3"/>
      <c r="F14" s="3"/>
      <c r="G14" s="3"/>
      <c r="H14" s="3"/>
      <c r="I14" s="3"/>
      <c r="J14" s="3"/>
      <c r="K14" s="3"/>
      <c r="L14" s="3"/>
      <c r="M14" s="3"/>
      <c r="N14" s="3"/>
      <c r="O14" s="3"/>
      <c r="P14" s="9"/>
    </row>
    <row r="15" spans="1:16">
      <c r="B15" s="7"/>
      <c r="C15" s="3"/>
      <c r="D15" s="3"/>
      <c r="E15" s="3"/>
      <c r="F15" s="3"/>
      <c r="G15" s="3"/>
      <c r="H15" s="3"/>
      <c r="I15" s="3"/>
      <c r="J15" s="3"/>
      <c r="K15" s="3"/>
      <c r="L15" s="3"/>
      <c r="M15" s="3"/>
      <c r="N15" s="3"/>
      <c r="O15" s="3"/>
      <c r="P15" s="9"/>
    </row>
    <row r="16" spans="1:16">
      <c r="B16" s="7"/>
      <c r="C16" s="3"/>
      <c r="D16" s="3"/>
      <c r="E16" s="3"/>
      <c r="F16" s="3"/>
      <c r="G16" s="3"/>
      <c r="H16" s="3"/>
      <c r="I16" s="3"/>
      <c r="J16" s="3"/>
      <c r="K16" s="3"/>
      <c r="L16" s="3"/>
      <c r="M16" s="3"/>
      <c r="N16" s="3"/>
      <c r="O16" s="3"/>
      <c r="P16" s="9"/>
    </row>
    <row r="17" spans="2:16" ht="13.5" thickBot="1">
      <c r="B17" s="7"/>
      <c r="C17" s="3"/>
      <c r="D17" s="3"/>
      <c r="E17" s="3"/>
      <c r="F17" s="3"/>
      <c r="G17" s="3"/>
      <c r="H17" s="3"/>
      <c r="I17" s="3"/>
      <c r="J17" s="3"/>
      <c r="K17" s="3"/>
      <c r="L17" s="3"/>
      <c r="M17" s="3"/>
      <c r="N17" s="3"/>
      <c r="O17" s="3"/>
      <c r="P17" s="9"/>
    </row>
    <row r="18" spans="2:16" ht="27.75" thickTop="1" thickBot="1">
      <c r="B18" s="7"/>
      <c r="C18" s="3"/>
      <c r="D18" s="148" t="s">
        <v>68</v>
      </c>
      <c r="E18" s="77"/>
      <c r="F18" s="77"/>
      <c r="G18" s="77"/>
      <c r="H18" s="3"/>
      <c r="I18" s="3"/>
      <c r="J18" s="3"/>
      <c r="K18" s="3"/>
      <c r="L18" s="3"/>
      <c r="M18" s="229" t="s">
        <v>80</v>
      </c>
      <c r="N18" s="3"/>
      <c r="O18" s="3"/>
      <c r="P18" s="9"/>
    </row>
    <row r="19" spans="2:16" ht="21.95" customHeight="1" thickTop="1">
      <c r="B19" s="7"/>
      <c r="C19" s="3"/>
      <c r="D19" s="55"/>
      <c r="E19" s="55"/>
      <c r="F19" s="55"/>
      <c r="G19" s="55"/>
      <c r="H19" s="55"/>
      <c r="I19" s="55"/>
      <c r="J19" s="56"/>
      <c r="K19" s="56"/>
      <c r="L19" s="56"/>
      <c r="M19" s="230"/>
      <c r="N19" s="56"/>
      <c r="O19" s="20"/>
      <c r="P19" s="9"/>
    </row>
    <row r="20" spans="2:16" ht="21.95" customHeight="1" thickBot="1">
      <c r="B20" s="7"/>
      <c r="C20" s="3"/>
      <c r="D20" s="3"/>
      <c r="E20" s="3"/>
      <c r="F20" s="3"/>
      <c r="G20" s="3"/>
      <c r="H20" s="3"/>
      <c r="I20" s="3"/>
      <c r="J20" s="3"/>
      <c r="K20" s="3"/>
      <c r="L20" s="3"/>
      <c r="M20" s="231"/>
      <c r="N20" s="3"/>
      <c r="O20" s="3"/>
      <c r="P20" s="9"/>
    </row>
    <row r="21" spans="2:16" ht="13.5" thickTop="1">
      <c r="B21" s="7"/>
      <c r="C21" s="3"/>
      <c r="D21" s="3"/>
      <c r="E21" s="3"/>
      <c r="F21" s="3"/>
      <c r="G21" s="3"/>
      <c r="H21" s="3"/>
      <c r="I21" s="3"/>
      <c r="J21" s="3"/>
      <c r="K21" s="3"/>
      <c r="L21" s="3"/>
      <c r="M21" s="3"/>
      <c r="N21" s="3"/>
      <c r="O21" s="3"/>
      <c r="P21" s="9"/>
    </row>
    <row r="22" spans="2:16" ht="45">
      <c r="B22" s="7"/>
      <c r="C22" s="3"/>
      <c r="D22" s="122" t="s">
        <v>56</v>
      </c>
      <c r="E22" s="236" t="s">
        <v>79</v>
      </c>
      <c r="F22" s="237"/>
      <c r="G22" s="237"/>
      <c r="H22" s="237"/>
      <c r="I22" s="237"/>
      <c r="J22" s="237"/>
      <c r="K22" s="123"/>
      <c r="L22" s="124" t="s">
        <v>19</v>
      </c>
      <c r="M22" s="232">
        <v>42593</v>
      </c>
      <c r="N22" s="233"/>
      <c r="O22" s="52"/>
      <c r="P22" s="9"/>
    </row>
    <row r="23" spans="2:16" ht="33.75">
      <c r="B23" s="7"/>
      <c r="C23" s="3"/>
      <c r="D23" s="122" t="s">
        <v>57</v>
      </c>
      <c r="E23" s="206" t="s">
        <v>82</v>
      </c>
      <c r="F23" s="207"/>
      <c r="G23" s="207"/>
      <c r="H23" s="207"/>
      <c r="I23" s="207"/>
      <c r="J23" s="207"/>
      <c r="K23" s="208"/>
      <c r="L23" s="124" t="s">
        <v>64</v>
      </c>
      <c r="M23" s="125"/>
      <c r="N23" s="125"/>
      <c r="O23" s="53"/>
      <c r="P23" s="9"/>
    </row>
    <row r="24" spans="2:16" ht="33.75">
      <c r="B24" s="7"/>
      <c r="C24" s="3"/>
      <c r="D24" s="122" t="s">
        <v>58</v>
      </c>
      <c r="E24" s="156">
        <v>6020</v>
      </c>
      <c r="F24" s="126" t="s">
        <v>8</v>
      </c>
      <c r="G24" s="212" t="s">
        <v>81</v>
      </c>
      <c r="H24" s="212"/>
      <c r="I24" s="127" t="s">
        <v>9</v>
      </c>
      <c r="J24" s="128" t="s">
        <v>65</v>
      </c>
      <c r="K24" s="123"/>
      <c r="L24" s="124" t="s">
        <v>63</v>
      </c>
      <c r="M24" s="234"/>
      <c r="N24" s="234"/>
      <c r="O24" s="3"/>
      <c r="P24" s="9"/>
    </row>
    <row r="25" spans="2:16" ht="33.75">
      <c r="B25" s="7"/>
      <c r="C25" s="3"/>
      <c r="D25" s="122" t="s">
        <v>59</v>
      </c>
      <c r="E25" s="238">
        <v>92232807</v>
      </c>
      <c r="F25" s="239"/>
      <c r="G25" s="239"/>
      <c r="H25" s="239"/>
      <c r="I25" s="239"/>
      <c r="J25" s="239"/>
      <c r="K25" s="123"/>
      <c r="L25" s="124" t="s">
        <v>60</v>
      </c>
      <c r="M25" s="235"/>
      <c r="N25" s="235"/>
      <c r="O25" s="3"/>
      <c r="P25" s="9"/>
    </row>
    <row r="26" spans="2:16">
      <c r="B26" s="7"/>
      <c r="C26" s="3"/>
      <c r="D26" s="73"/>
      <c r="E26" s="73"/>
      <c r="F26" s="73"/>
      <c r="G26" s="73"/>
      <c r="H26" s="73"/>
      <c r="I26" s="73"/>
      <c r="J26" s="73"/>
      <c r="K26" s="73"/>
      <c r="L26" s="73"/>
      <c r="M26" s="73"/>
      <c r="N26" s="73"/>
      <c r="O26" s="3"/>
      <c r="P26" s="9"/>
    </row>
    <row r="27" spans="2:16" ht="18">
      <c r="B27" s="7"/>
      <c r="C27" s="3"/>
      <c r="D27" s="105" t="s">
        <v>36</v>
      </c>
      <c r="E27" s="105" t="s">
        <v>22</v>
      </c>
      <c r="F27" s="213" t="s">
        <v>23</v>
      </c>
      <c r="G27" s="214"/>
      <c r="H27" s="214"/>
      <c r="I27" s="214"/>
      <c r="J27" s="214"/>
      <c r="K27" s="215"/>
      <c r="L27" s="106" t="s">
        <v>37</v>
      </c>
      <c r="M27" s="105" t="s">
        <v>24</v>
      </c>
      <c r="N27" s="107" t="s">
        <v>25</v>
      </c>
      <c r="O27" s="108"/>
      <c r="P27" s="9"/>
    </row>
    <row r="28" spans="2:16" ht="23.25">
      <c r="B28" s="7"/>
      <c r="C28" s="3"/>
      <c r="D28" s="79"/>
      <c r="E28" s="82"/>
      <c r="F28" s="204"/>
      <c r="G28" s="205"/>
      <c r="H28" s="205"/>
      <c r="I28" s="205"/>
      <c r="J28" s="205"/>
      <c r="K28" s="205"/>
      <c r="L28" s="80"/>
      <c r="M28" s="81"/>
      <c r="N28" s="112" t="str">
        <f t="shared" ref="N28:N62" si="0">IF(E28&lt;&gt;"",E28*M28,"")</f>
        <v/>
      </c>
      <c r="O28" s="54"/>
      <c r="P28" s="9"/>
    </row>
    <row r="29" spans="2:16" ht="25.5">
      <c r="B29" s="7"/>
      <c r="C29" s="3"/>
      <c r="D29" s="79"/>
      <c r="E29" s="153"/>
      <c r="F29" s="154"/>
      <c r="G29" s="155"/>
      <c r="H29" s="155"/>
      <c r="I29" s="155"/>
      <c r="J29" s="155"/>
      <c r="K29" s="155"/>
      <c r="L29" s="151"/>
      <c r="M29" s="152"/>
      <c r="N29" s="112" t="str">
        <f t="shared" si="0"/>
        <v/>
      </c>
      <c r="O29" s="54"/>
      <c r="P29" s="9"/>
    </row>
    <row r="30" spans="2:16" ht="30">
      <c r="B30" s="7"/>
      <c r="C30" s="3"/>
      <c r="D30" s="79"/>
      <c r="E30" s="163">
        <v>1</v>
      </c>
      <c r="F30" s="217" t="s">
        <v>69</v>
      </c>
      <c r="G30" s="218"/>
      <c r="H30" s="218"/>
      <c r="I30" s="218"/>
      <c r="J30" s="218"/>
      <c r="K30" s="219"/>
      <c r="L30" s="151">
        <v>2</v>
      </c>
      <c r="M30" s="164">
        <v>470</v>
      </c>
      <c r="N30" s="157">
        <f t="shared" si="0"/>
        <v>470</v>
      </c>
      <c r="O30" s="54"/>
      <c r="P30" s="9"/>
    </row>
    <row r="31" spans="2:16" ht="26.25">
      <c r="B31" s="7"/>
      <c r="C31" s="3"/>
      <c r="D31" s="79"/>
      <c r="E31" s="153"/>
      <c r="F31" s="209" t="s">
        <v>70</v>
      </c>
      <c r="G31" s="210"/>
      <c r="H31" s="210"/>
      <c r="I31" s="210"/>
      <c r="J31" s="210"/>
      <c r="K31" s="211"/>
      <c r="L31" s="151"/>
      <c r="M31" s="152"/>
      <c r="N31" s="157" t="str">
        <f t="shared" si="0"/>
        <v/>
      </c>
      <c r="O31" s="111"/>
      <c r="P31" s="9"/>
    </row>
    <row r="32" spans="2:16" ht="26.25">
      <c r="B32" s="7"/>
      <c r="C32" s="3"/>
      <c r="D32" s="79"/>
      <c r="E32" s="153"/>
      <c r="F32" s="168" t="s">
        <v>75</v>
      </c>
      <c r="G32" s="166"/>
      <c r="H32" s="166"/>
      <c r="I32" s="166"/>
      <c r="J32" s="166"/>
      <c r="K32" s="167"/>
      <c r="L32" s="151"/>
      <c r="M32" s="152"/>
      <c r="N32" s="157" t="str">
        <f t="shared" si="0"/>
        <v/>
      </c>
      <c r="O32" s="111"/>
      <c r="P32" s="9"/>
    </row>
    <row r="33" spans="2:16" ht="26.25">
      <c r="B33" s="7"/>
      <c r="C33" s="3"/>
      <c r="D33" s="79"/>
      <c r="E33" s="153"/>
      <c r="F33" s="209" t="s">
        <v>76</v>
      </c>
      <c r="G33" s="210"/>
      <c r="H33" s="210"/>
      <c r="I33" s="210"/>
      <c r="J33" s="210"/>
      <c r="K33" s="211"/>
      <c r="L33" s="151"/>
      <c r="M33" s="152"/>
      <c r="N33" s="157" t="str">
        <f t="shared" si="0"/>
        <v/>
      </c>
      <c r="O33" s="111"/>
      <c r="P33" s="9"/>
    </row>
    <row r="34" spans="2:16" ht="26.25">
      <c r="B34" s="7"/>
      <c r="C34" s="3"/>
      <c r="D34" s="79"/>
      <c r="E34" s="153"/>
      <c r="F34" s="209" t="s">
        <v>77</v>
      </c>
      <c r="G34" s="210"/>
      <c r="H34" s="210"/>
      <c r="I34" s="210"/>
      <c r="J34" s="210"/>
      <c r="K34" s="211"/>
      <c r="L34" s="151"/>
      <c r="M34" s="152"/>
      <c r="N34" s="157" t="str">
        <f t="shared" si="0"/>
        <v/>
      </c>
      <c r="O34" s="54"/>
      <c r="P34" s="9"/>
    </row>
    <row r="35" spans="2:16" ht="26.25">
      <c r="B35" s="7"/>
      <c r="C35" s="3"/>
      <c r="D35" s="79"/>
      <c r="E35" s="153"/>
      <c r="F35" s="168" t="s">
        <v>73</v>
      </c>
      <c r="G35" s="166"/>
      <c r="H35" s="166"/>
      <c r="I35" s="166"/>
      <c r="J35" s="166"/>
      <c r="K35" s="167"/>
      <c r="L35" s="151"/>
      <c r="M35" s="152"/>
      <c r="N35" s="157" t="str">
        <f t="shared" si="0"/>
        <v/>
      </c>
      <c r="O35" s="54"/>
      <c r="P35" s="9"/>
    </row>
    <row r="36" spans="2:16" ht="30">
      <c r="B36" s="7"/>
      <c r="C36" s="3"/>
      <c r="D36" s="79"/>
      <c r="E36" s="139"/>
      <c r="F36" s="209" t="s">
        <v>78</v>
      </c>
      <c r="G36" s="210"/>
      <c r="H36" s="210"/>
      <c r="I36" s="210"/>
      <c r="J36" s="210"/>
      <c r="K36" s="211"/>
      <c r="L36" s="144"/>
      <c r="M36" s="147"/>
      <c r="N36" s="157" t="str">
        <f t="shared" si="0"/>
        <v/>
      </c>
      <c r="O36" s="54"/>
      <c r="P36" s="9"/>
    </row>
    <row r="37" spans="2:16" ht="30">
      <c r="B37" s="7"/>
      <c r="C37" s="3"/>
      <c r="D37" s="79"/>
      <c r="E37" s="139"/>
      <c r="F37" s="209"/>
      <c r="G37" s="210"/>
      <c r="H37" s="210"/>
      <c r="I37" s="210"/>
      <c r="J37" s="210"/>
      <c r="K37" s="211"/>
      <c r="L37" s="151"/>
      <c r="M37" s="145"/>
      <c r="N37" s="157" t="str">
        <f t="shared" si="0"/>
        <v/>
      </c>
      <c r="O37" s="54"/>
      <c r="P37" s="9"/>
    </row>
    <row r="38" spans="2:16" ht="30">
      <c r="B38" s="7"/>
      <c r="C38" s="3"/>
      <c r="D38" s="79"/>
      <c r="E38" s="139"/>
      <c r="F38" s="168" t="s">
        <v>74</v>
      </c>
      <c r="G38" s="166"/>
      <c r="H38" s="166"/>
      <c r="I38" s="166"/>
      <c r="J38" s="166"/>
      <c r="K38" s="167"/>
      <c r="L38" s="151"/>
      <c r="M38" s="145"/>
      <c r="N38" s="157"/>
      <c r="O38" s="54"/>
      <c r="P38" s="9"/>
    </row>
    <row r="39" spans="2:16" ht="30">
      <c r="B39" s="7"/>
      <c r="C39" s="3"/>
      <c r="D39" s="79"/>
      <c r="E39" s="139"/>
      <c r="F39" s="165"/>
      <c r="G39" s="166"/>
      <c r="H39" s="166"/>
      <c r="I39" s="166"/>
      <c r="J39" s="166"/>
      <c r="K39" s="167"/>
      <c r="L39" s="151"/>
      <c r="M39" s="145"/>
      <c r="N39" s="157"/>
      <c r="O39" s="54"/>
      <c r="P39" s="9"/>
    </row>
    <row r="40" spans="2:16" ht="30">
      <c r="B40" s="7"/>
      <c r="C40" s="3"/>
      <c r="D40" s="79"/>
      <c r="E40" s="139"/>
      <c r="F40" s="165"/>
      <c r="G40" s="166"/>
      <c r="H40" s="166"/>
      <c r="I40" s="166"/>
      <c r="J40" s="166"/>
      <c r="K40" s="167"/>
      <c r="L40" s="151"/>
      <c r="M40" s="145"/>
      <c r="N40" s="157"/>
      <c r="O40" s="54"/>
      <c r="P40" s="9"/>
    </row>
    <row r="41" spans="2:16" ht="30">
      <c r="B41" s="7"/>
      <c r="C41" s="3"/>
      <c r="D41" s="79"/>
      <c r="E41" s="139"/>
      <c r="F41" s="194"/>
      <c r="G41" s="192"/>
      <c r="H41" s="192"/>
      <c r="I41" s="192"/>
      <c r="J41" s="192"/>
      <c r="K41" s="193"/>
      <c r="L41" s="146"/>
      <c r="M41" s="147"/>
      <c r="N41" s="157"/>
      <c r="O41" s="54"/>
      <c r="P41" s="9"/>
    </row>
    <row r="42" spans="2:16" ht="30">
      <c r="B42" s="7"/>
      <c r="C42" s="3"/>
      <c r="D42" s="79"/>
      <c r="E42" s="139"/>
      <c r="F42" s="121"/>
      <c r="G42" s="121"/>
      <c r="H42" s="121"/>
      <c r="I42" s="121"/>
      <c r="J42" s="121"/>
      <c r="K42" s="121"/>
      <c r="L42" s="144"/>
      <c r="M42" s="147"/>
      <c r="N42" s="157"/>
      <c r="O42" s="54"/>
      <c r="P42" s="9"/>
    </row>
    <row r="43" spans="2:16" ht="30">
      <c r="B43" s="7"/>
      <c r="C43" s="3"/>
      <c r="D43" s="79"/>
      <c r="E43" s="139"/>
      <c r="F43" s="169"/>
      <c r="G43" s="121"/>
      <c r="H43" s="121"/>
      <c r="I43" s="121"/>
      <c r="J43" s="121"/>
      <c r="K43" s="121"/>
      <c r="L43" s="144"/>
      <c r="M43" s="147"/>
      <c r="N43" s="157"/>
      <c r="O43" s="54"/>
      <c r="P43" s="9"/>
    </row>
    <row r="44" spans="2:16" ht="30">
      <c r="B44" s="7"/>
      <c r="C44" s="3"/>
      <c r="D44" s="79"/>
      <c r="E44" s="140"/>
      <c r="F44" s="173"/>
      <c r="G44" s="121"/>
      <c r="H44" s="121"/>
      <c r="I44" s="121"/>
      <c r="J44" s="121"/>
      <c r="K44" s="121"/>
      <c r="L44" s="144"/>
      <c r="M44" s="147"/>
      <c r="N44" s="157"/>
      <c r="O44" s="54"/>
      <c r="P44" s="9"/>
    </row>
    <row r="45" spans="2:16" ht="30">
      <c r="B45" s="7"/>
      <c r="C45" s="3"/>
      <c r="D45" s="79"/>
      <c r="E45" s="140"/>
      <c r="F45" s="195"/>
      <c r="G45" s="196"/>
      <c r="H45" s="196"/>
      <c r="I45" s="196"/>
      <c r="J45" s="196"/>
      <c r="K45" s="197"/>
      <c r="L45" s="144"/>
      <c r="M45" s="147"/>
      <c r="N45" s="157"/>
      <c r="O45" s="54"/>
      <c r="P45" s="9"/>
    </row>
    <row r="46" spans="2:16" ht="30">
      <c r="B46" s="7"/>
      <c r="C46" s="3"/>
      <c r="D46" s="79"/>
      <c r="E46" s="140"/>
      <c r="F46" s="194"/>
      <c r="G46" s="198"/>
      <c r="H46" s="198"/>
      <c r="I46" s="198"/>
      <c r="J46" s="198"/>
      <c r="K46" s="199"/>
      <c r="L46" s="144"/>
      <c r="M46" s="147"/>
      <c r="N46" s="157"/>
      <c r="O46" s="54"/>
      <c r="P46" s="9"/>
    </row>
    <row r="47" spans="2:16" ht="30">
      <c r="B47" s="7"/>
      <c r="C47" s="3"/>
      <c r="D47" s="79"/>
      <c r="E47" s="140"/>
      <c r="F47" s="191"/>
      <c r="G47" s="192"/>
      <c r="H47" s="192"/>
      <c r="I47" s="192"/>
      <c r="J47" s="192"/>
      <c r="K47" s="193"/>
      <c r="L47" s="144"/>
      <c r="M47" s="147"/>
      <c r="N47" s="157"/>
      <c r="O47" s="54"/>
      <c r="P47" s="9"/>
    </row>
    <row r="48" spans="2:16" ht="30">
      <c r="B48" s="7"/>
      <c r="C48" s="3"/>
      <c r="D48" s="79"/>
      <c r="E48" s="140"/>
      <c r="F48" s="191"/>
      <c r="G48" s="192"/>
      <c r="H48" s="192"/>
      <c r="I48" s="192"/>
      <c r="J48" s="192"/>
      <c r="K48" s="193"/>
      <c r="L48" s="144"/>
      <c r="M48" s="147"/>
      <c r="N48" s="157" t="str">
        <f t="shared" si="0"/>
        <v/>
      </c>
      <c r="O48" s="54"/>
      <c r="P48" s="9"/>
    </row>
    <row r="49" spans="2:16" ht="30">
      <c r="B49" s="7"/>
      <c r="C49" s="3"/>
      <c r="D49" s="79"/>
      <c r="E49" s="140"/>
      <c r="F49" s="194"/>
      <c r="G49" s="192"/>
      <c r="H49" s="192"/>
      <c r="I49" s="192"/>
      <c r="J49" s="192"/>
      <c r="K49" s="193"/>
      <c r="L49" s="144"/>
      <c r="M49" s="147"/>
      <c r="N49" s="157" t="str">
        <f t="shared" si="0"/>
        <v/>
      </c>
      <c r="O49" s="54"/>
      <c r="P49" s="9"/>
    </row>
    <row r="50" spans="2:16" ht="30">
      <c r="B50" s="7"/>
      <c r="C50" s="3"/>
      <c r="D50" s="79"/>
      <c r="E50" s="140"/>
      <c r="F50" s="141"/>
      <c r="G50" s="142"/>
      <c r="H50" s="142"/>
      <c r="I50" s="142"/>
      <c r="J50" s="142"/>
      <c r="K50" s="143"/>
      <c r="L50" s="144"/>
      <c r="M50" s="147"/>
      <c r="N50" s="157" t="str">
        <f t="shared" si="0"/>
        <v/>
      </c>
      <c r="O50" s="54"/>
      <c r="P50" s="9"/>
    </row>
    <row r="51" spans="2:16" ht="30">
      <c r="B51" s="7"/>
      <c r="C51" s="3"/>
      <c r="D51" s="79"/>
      <c r="E51" s="140"/>
      <c r="F51" s="170"/>
      <c r="G51" s="142"/>
      <c r="H51" s="142"/>
      <c r="I51" s="142"/>
      <c r="J51" s="142"/>
      <c r="K51" s="143"/>
      <c r="L51" s="144"/>
      <c r="M51" s="147"/>
      <c r="N51" s="157" t="str">
        <f t="shared" si="0"/>
        <v/>
      </c>
      <c r="O51" s="54"/>
      <c r="P51" s="9"/>
    </row>
    <row r="52" spans="2:16" ht="26.25">
      <c r="B52" s="7"/>
      <c r="C52" s="3"/>
      <c r="D52" s="121"/>
      <c r="E52" s="82"/>
      <c r="F52" s="168"/>
      <c r="G52" s="76"/>
      <c r="H52" s="76"/>
      <c r="I52" s="76"/>
      <c r="J52" s="76"/>
      <c r="K52" s="78"/>
      <c r="L52" s="83"/>
      <c r="M52" s="81"/>
      <c r="N52" s="157" t="str">
        <f t="shared" si="0"/>
        <v/>
      </c>
      <c r="O52" s="54"/>
      <c r="P52" s="9"/>
    </row>
    <row r="53" spans="2:16" ht="26.25">
      <c r="B53" s="7"/>
      <c r="C53" s="3"/>
      <c r="D53" s="79"/>
      <c r="E53" s="82"/>
      <c r="F53" s="75"/>
      <c r="G53" s="76"/>
      <c r="H53" s="76"/>
      <c r="I53" s="76"/>
      <c r="J53" s="76"/>
      <c r="K53" s="78"/>
      <c r="L53" s="83"/>
      <c r="M53" s="81"/>
      <c r="N53" s="157" t="str">
        <f t="shared" si="0"/>
        <v/>
      </c>
      <c r="O53" s="54"/>
      <c r="P53" s="9"/>
    </row>
    <row r="54" spans="2:16" ht="30">
      <c r="B54" s="7"/>
      <c r="C54" s="3"/>
      <c r="D54" s="79"/>
      <c r="E54" s="163"/>
      <c r="F54" s="170"/>
      <c r="G54" s="76"/>
      <c r="H54" s="76"/>
      <c r="I54" s="76"/>
      <c r="J54" s="76"/>
      <c r="K54" s="78"/>
      <c r="L54" s="144"/>
      <c r="M54" s="147"/>
      <c r="N54" s="157" t="str">
        <f t="shared" si="0"/>
        <v/>
      </c>
      <c r="O54" s="54"/>
      <c r="P54" s="9"/>
    </row>
    <row r="55" spans="2:16" ht="26.25">
      <c r="B55" s="7"/>
      <c r="C55" s="3"/>
      <c r="D55" s="79"/>
      <c r="E55" s="82"/>
      <c r="F55" s="172"/>
      <c r="G55" s="76"/>
      <c r="H55" s="76"/>
      <c r="I55" s="76"/>
      <c r="J55" s="76"/>
      <c r="K55" s="78"/>
      <c r="L55" s="83"/>
      <c r="M55" s="81"/>
      <c r="N55" s="157" t="str">
        <f t="shared" si="0"/>
        <v/>
      </c>
      <c r="O55" s="54"/>
      <c r="P55" s="9"/>
    </row>
    <row r="56" spans="2:16" ht="26.25">
      <c r="B56" s="7"/>
      <c r="C56" s="3"/>
      <c r="D56" s="79"/>
      <c r="E56" s="82"/>
      <c r="F56" s="171"/>
      <c r="G56" s="76"/>
      <c r="H56" s="76"/>
      <c r="I56" s="76"/>
      <c r="J56" s="76"/>
      <c r="K56" s="78"/>
      <c r="L56" s="83"/>
      <c r="M56" s="81"/>
      <c r="N56" s="157" t="str">
        <f t="shared" si="0"/>
        <v/>
      </c>
      <c r="O56" s="54"/>
      <c r="P56" s="9"/>
    </row>
    <row r="57" spans="2:16" ht="26.25">
      <c r="B57" s="7"/>
      <c r="C57" s="3"/>
      <c r="D57" s="79"/>
      <c r="E57" s="82"/>
      <c r="F57" s="75"/>
      <c r="G57" s="76"/>
      <c r="H57" s="76"/>
      <c r="I57" s="76"/>
      <c r="J57" s="76"/>
      <c r="K57" s="78"/>
      <c r="L57" s="83"/>
      <c r="M57" s="81"/>
      <c r="N57" s="157" t="str">
        <f t="shared" si="0"/>
        <v/>
      </c>
      <c r="O57" s="54"/>
      <c r="P57" s="9"/>
    </row>
    <row r="58" spans="2:16" ht="30">
      <c r="B58" s="7"/>
      <c r="C58" s="3"/>
      <c r="D58" s="79"/>
      <c r="E58" s="163"/>
      <c r="F58" s="170"/>
      <c r="G58" s="174"/>
      <c r="H58" s="174"/>
      <c r="I58" s="76"/>
      <c r="J58" s="76"/>
      <c r="K58" s="78"/>
      <c r="L58" s="177"/>
      <c r="M58" s="147"/>
      <c r="N58" s="157" t="str">
        <f t="shared" si="0"/>
        <v/>
      </c>
      <c r="O58" s="54"/>
      <c r="P58" s="9"/>
    </row>
    <row r="59" spans="2:16" ht="27.75">
      <c r="B59" s="7"/>
      <c r="C59" s="3"/>
      <c r="D59" s="79"/>
      <c r="E59" s="163"/>
      <c r="F59" s="178"/>
      <c r="G59" s="76"/>
      <c r="H59" s="76"/>
      <c r="I59" s="76"/>
      <c r="J59" s="76"/>
      <c r="K59" s="78"/>
      <c r="L59" s="176"/>
      <c r="M59" s="175"/>
      <c r="N59" s="157" t="str">
        <f t="shared" si="0"/>
        <v/>
      </c>
      <c r="O59" s="54"/>
      <c r="P59" s="9"/>
    </row>
    <row r="60" spans="2:16" ht="30">
      <c r="B60" s="7"/>
      <c r="C60" s="3"/>
      <c r="D60" s="79"/>
      <c r="E60" s="82"/>
      <c r="F60" s="191" t="s">
        <v>71</v>
      </c>
      <c r="G60" s="192"/>
      <c r="H60" s="192"/>
      <c r="I60" s="192"/>
      <c r="J60" s="192"/>
      <c r="K60" s="193"/>
      <c r="L60" s="83"/>
      <c r="M60" s="81"/>
      <c r="N60" s="157" t="str">
        <f t="shared" si="0"/>
        <v/>
      </c>
      <c r="O60" s="54"/>
      <c r="P60" s="9"/>
    </row>
    <row r="61" spans="2:16" ht="30">
      <c r="B61" s="7"/>
      <c r="C61" s="3"/>
      <c r="D61" s="79"/>
      <c r="E61" s="82"/>
      <c r="F61" s="191" t="s">
        <v>72</v>
      </c>
      <c r="G61" s="192"/>
      <c r="H61" s="192"/>
      <c r="I61" s="192"/>
      <c r="J61" s="192"/>
      <c r="K61" s="193"/>
      <c r="L61" s="83"/>
      <c r="M61" s="81"/>
      <c r="N61" s="157" t="str">
        <f t="shared" si="0"/>
        <v/>
      </c>
      <c r="O61" s="54"/>
      <c r="P61" s="9"/>
    </row>
    <row r="62" spans="2:16" ht="30">
      <c r="B62" s="7"/>
      <c r="C62" s="3"/>
      <c r="D62" s="79"/>
      <c r="E62" s="82"/>
      <c r="F62" s="191"/>
      <c r="G62" s="192"/>
      <c r="H62" s="192"/>
      <c r="I62" s="192"/>
      <c r="J62" s="192"/>
      <c r="K62" s="193"/>
      <c r="L62" s="83"/>
      <c r="M62" s="81"/>
      <c r="N62" s="157" t="str">
        <f t="shared" si="0"/>
        <v/>
      </c>
      <c r="O62" s="54"/>
      <c r="P62" s="9"/>
    </row>
    <row r="63" spans="2:16" ht="26.25">
      <c r="B63" s="7"/>
      <c r="C63" s="3"/>
      <c r="D63" s="84"/>
      <c r="E63" s="85"/>
      <c r="F63" s="200"/>
      <c r="G63" s="201"/>
      <c r="H63" s="201"/>
      <c r="I63" s="201"/>
      <c r="J63" s="201"/>
      <c r="K63" s="201"/>
      <c r="L63" s="86"/>
      <c r="M63" s="87"/>
      <c r="N63" s="157"/>
      <c r="O63" s="54"/>
      <c r="P63" s="9"/>
    </row>
    <row r="64" spans="2:16" ht="35.25">
      <c r="B64" s="7"/>
      <c r="C64" s="3"/>
      <c r="D64" s="190" t="s">
        <v>83</v>
      </c>
      <c r="E64" s="190"/>
      <c r="F64" s="190"/>
      <c r="G64" s="190"/>
      <c r="H64" s="190"/>
      <c r="I64" s="190"/>
      <c r="J64" s="190"/>
      <c r="K64" s="190"/>
      <c r="L64" s="190"/>
      <c r="M64" s="130" t="s">
        <v>26</v>
      </c>
      <c r="N64" s="131">
        <f>SUM(N28:N63)</f>
        <v>470</v>
      </c>
      <c r="O64" s="108"/>
      <c r="P64" s="9"/>
    </row>
    <row r="65" spans="2:16" ht="35.25">
      <c r="B65" s="7"/>
      <c r="C65" s="3"/>
      <c r="D65" s="88"/>
      <c r="E65" s="89"/>
      <c r="F65" s="89"/>
      <c r="G65" s="89"/>
      <c r="H65" s="89"/>
      <c r="I65" s="89"/>
      <c r="J65" s="90"/>
      <c r="K65" s="109"/>
      <c r="L65" s="129"/>
      <c r="M65" s="132" t="s">
        <v>50</v>
      </c>
      <c r="N65" s="131"/>
      <c r="O65" s="108"/>
      <c r="P65" s="9"/>
    </row>
    <row r="66" spans="2:16" ht="35.25">
      <c r="B66" s="7"/>
      <c r="C66" s="3"/>
      <c r="D66" s="98"/>
      <c r="E66" s="113"/>
      <c r="F66" s="114"/>
      <c r="G66" s="89"/>
      <c r="H66" s="89"/>
      <c r="I66" s="89"/>
      <c r="J66" s="92"/>
      <c r="K66" s="110"/>
      <c r="L66" s="130" t="s">
        <v>27</v>
      </c>
      <c r="M66" s="133">
        <v>0.12</v>
      </c>
      <c r="N66" s="134">
        <f>M66*SUMIF(L28:L63,1,N28:N63)</f>
        <v>0</v>
      </c>
      <c r="O66" s="108"/>
      <c r="P66" s="9"/>
    </row>
    <row r="67" spans="2:16" ht="35.25">
      <c r="B67" s="7"/>
      <c r="C67" s="3"/>
      <c r="D67" s="120"/>
      <c r="E67" s="115" t="s">
        <v>61</v>
      </c>
      <c r="F67" s="116"/>
      <c r="G67" s="94"/>
      <c r="H67" s="93"/>
      <c r="I67" s="89"/>
      <c r="J67" s="95"/>
      <c r="K67" s="109"/>
      <c r="L67" s="129"/>
      <c r="M67" s="135">
        <f>IF(dflt2&lt;&gt;"",dflt2,"")</f>
        <v>0.18</v>
      </c>
      <c r="N67" s="131"/>
      <c r="O67" s="108"/>
      <c r="P67" s="9"/>
    </row>
    <row r="68" spans="2:16" ht="35.25">
      <c r="B68" s="7"/>
      <c r="C68" s="3"/>
      <c r="D68" s="117"/>
      <c r="E68" s="115" t="s">
        <v>62</v>
      </c>
      <c r="F68" s="118"/>
      <c r="G68" s="89"/>
      <c r="H68" s="96"/>
      <c r="I68" s="89"/>
      <c r="J68" s="97" t="s">
        <v>28</v>
      </c>
      <c r="K68" s="109"/>
      <c r="L68" s="129"/>
      <c r="M68" s="135">
        <f>IF(dflt3&lt;&gt;"",dflt3,"")</f>
        <v>0.28999999999999998</v>
      </c>
      <c r="N68" s="136">
        <f>M68*SUMIF(L28:L63,3,N28:N63)</f>
        <v>0</v>
      </c>
      <c r="O68" s="108"/>
      <c r="P68" s="9"/>
    </row>
    <row r="69" spans="2:16" ht="35.25">
      <c r="B69" s="7"/>
      <c r="C69" s="3"/>
      <c r="D69" s="98"/>
      <c r="E69" s="119"/>
      <c r="F69" s="180"/>
      <c r="G69" s="181"/>
      <c r="H69" s="182"/>
      <c r="I69" s="181"/>
      <c r="J69" s="97" t="s">
        <v>28</v>
      </c>
      <c r="K69" s="90"/>
      <c r="L69" s="137"/>
      <c r="M69" s="132" t="s">
        <v>29</v>
      </c>
      <c r="N69" s="131">
        <f>N64+N65+N67</f>
        <v>470</v>
      </c>
      <c r="O69" s="108"/>
      <c r="P69" s="9"/>
    </row>
    <row r="70" spans="2:16" ht="35.25">
      <c r="B70" s="7"/>
      <c r="C70" s="3"/>
      <c r="D70" s="88"/>
      <c r="E70" s="99"/>
      <c r="F70" s="216"/>
      <c r="G70" s="216"/>
      <c r="H70" s="216"/>
      <c r="I70" s="216"/>
      <c r="J70" s="100"/>
      <c r="K70" s="100"/>
      <c r="L70" s="137"/>
      <c r="M70" s="132" t="s">
        <v>38</v>
      </c>
      <c r="N70" s="134">
        <f>SUM(N66,N67,N68)</f>
        <v>0</v>
      </c>
      <c r="O70" s="108"/>
      <c r="P70" s="9"/>
    </row>
    <row r="71" spans="2:16" ht="35.25">
      <c r="B71" s="7"/>
      <c r="C71" s="3"/>
      <c r="D71" s="88"/>
      <c r="E71" s="99"/>
      <c r="F71" s="179"/>
      <c r="G71" s="179"/>
      <c r="H71" s="179"/>
      <c r="I71" s="179"/>
      <c r="J71" s="100"/>
      <c r="K71" s="100"/>
      <c r="L71" s="137"/>
      <c r="M71" s="132"/>
      <c r="N71" s="138"/>
      <c r="O71" s="108"/>
      <c r="P71" s="9"/>
    </row>
    <row r="72" spans="2:16" ht="18">
      <c r="B72" s="7"/>
      <c r="C72" s="3"/>
      <c r="D72" s="220"/>
      <c r="E72" s="220"/>
      <c r="F72" s="220"/>
      <c r="G72" s="220"/>
      <c r="H72" s="220"/>
      <c r="I72" s="220"/>
      <c r="J72" s="220"/>
      <c r="K72" s="220"/>
      <c r="L72" s="220"/>
      <c r="M72" s="220"/>
      <c r="N72" s="220"/>
      <c r="O72" s="108"/>
      <c r="P72" s="9"/>
    </row>
    <row r="73" spans="2:16" ht="26.25">
      <c r="B73" s="7"/>
      <c r="C73" s="3"/>
      <c r="D73" s="228"/>
      <c r="E73" s="228"/>
      <c r="F73" s="228"/>
      <c r="G73" s="228"/>
      <c r="H73" s="228"/>
      <c r="I73" s="228"/>
      <c r="J73" s="228"/>
      <c r="K73" s="228"/>
      <c r="L73" s="228"/>
      <c r="M73" s="228"/>
      <c r="N73" s="228"/>
      <c r="O73" s="54"/>
      <c r="P73" s="9"/>
    </row>
    <row r="74" spans="2:16" ht="20.100000000000001" customHeight="1">
      <c r="B74" s="7"/>
      <c r="C74" s="3"/>
      <c r="D74" s="88"/>
      <c r="E74" s="101"/>
      <c r="F74" s="224"/>
      <c r="G74" s="225"/>
      <c r="H74" s="225"/>
      <c r="I74" s="225"/>
      <c r="J74" s="92"/>
      <c r="K74" s="227"/>
      <c r="L74" s="227"/>
      <c r="M74" s="227"/>
      <c r="N74" s="227"/>
      <c r="O74" s="54"/>
      <c r="P74" s="9"/>
    </row>
    <row r="75" spans="2:16" ht="20.100000000000001" customHeight="1">
      <c r="B75" s="7"/>
      <c r="C75" s="3"/>
      <c r="D75" s="88"/>
      <c r="E75" s="101"/>
      <c r="F75" s="91"/>
      <c r="G75" s="226"/>
      <c r="H75" s="226"/>
      <c r="I75" s="226"/>
      <c r="J75" s="92"/>
      <c r="K75" s="227"/>
      <c r="L75" s="227"/>
      <c r="M75" s="227"/>
      <c r="N75" s="227"/>
      <c r="O75" s="54"/>
      <c r="P75" s="9"/>
    </row>
    <row r="76" spans="2:16" ht="20.100000000000001" customHeight="1">
      <c r="B76" s="7"/>
      <c r="C76" s="3"/>
      <c r="D76" s="88"/>
      <c r="E76" s="88"/>
      <c r="F76" s="90"/>
      <c r="G76" s="90"/>
      <c r="H76" s="90"/>
      <c r="I76" s="90"/>
      <c r="J76" s="92"/>
      <c r="K76" s="227"/>
      <c r="L76" s="227"/>
      <c r="M76" s="227"/>
      <c r="N76" s="227"/>
      <c r="O76" s="54"/>
      <c r="P76" s="9"/>
    </row>
    <row r="77" spans="2:16" ht="15">
      <c r="B77" s="7"/>
      <c r="C77" s="3"/>
      <c r="D77" s="88"/>
      <c r="E77" s="88"/>
      <c r="F77" s="90"/>
      <c r="G77" s="90"/>
      <c r="H77" s="90"/>
      <c r="I77" s="90"/>
      <c r="J77" s="92"/>
      <c r="K77" s="149"/>
      <c r="L77" s="149"/>
      <c r="M77" s="149"/>
      <c r="N77" s="149"/>
      <c r="O77" s="54"/>
      <c r="P77" s="9"/>
    </row>
    <row r="78" spans="2:16" ht="15">
      <c r="B78" s="7"/>
      <c r="C78" s="3"/>
      <c r="D78" s="88"/>
      <c r="E78" s="88"/>
      <c r="F78" s="90"/>
      <c r="G78" s="90"/>
      <c r="H78" s="90"/>
      <c r="I78" s="90"/>
      <c r="J78" s="92"/>
      <c r="K78" s="149"/>
      <c r="L78" s="149"/>
      <c r="M78" s="149"/>
      <c r="N78" s="149"/>
      <c r="O78" s="54"/>
      <c r="P78" s="9"/>
    </row>
    <row r="79" spans="2:16" ht="15">
      <c r="B79" s="7"/>
      <c r="C79" s="3"/>
      <c r="D79" s="88"/>
      <c r="E79" s="88"/>
      <c r="F79" s="90"/>
      <c r="G79" s="90"/>
      <c r="H79" s="90"/>
      <c r="I79" s="90"/>
      <c r="J79" s="92"/>
      <c r="K79" s="149"/>
      <c r="L79" s="149"/>
      <c r="M79" s="149"/>
      <c r="N79" s="149"/>
      <c r="O79" s="54"/>
      <c r="P79" s="9"/>
    </row>
    <row r="80" spans="2:16" ht="15">
      <c r="B80" s="7"/>
      <c r="C80" s="3"/>
      <c r="D80" s="88"/>
      <c r="E80" s="88"/>
      <c r="F80" s="90"/>
      <c r="G80" s="90"/>
      <c r="H80" s="90"/>
      <c r="I80" s="90"/>
      <c r="J80" s="92"/>
      <c r="K80" s="149"/>
      <c r="L80" s="149"/>
      <c r="M80" s="149"/>
      <c r="N80" s="149"/>
      <c r="O80" s="54"/>
      <c r="P80" s="9"/>
    </row>
    <row r="81" spans="2:16" ht="15">
      <c r="B81" s="7"/>
      <c r="C81" s="3"/>
      <c r="D81" s="88"/>
      <c r="E81" s="88"/>
      <c r="F81" s="90"/>
      <c r="G81" s="90"/>
      <c r="H81" s="90"/>
      <c r="I81" s="90"/>
      <c r="J81" s="92"/>
      <c r="K81" s="149"/>
      <c r="L81" s="149"/>
      <c r="M81" s="149"/>
      <c r="N81" s="149"/>
      <c r="O81" s="54"/>
      <c r="P81" s="9"/>
    </row>
    <row r="82" spans="2:16" ht="15">
      <c r="B82" s="7"/>
      <c r="C82" s="3"/>
      <c r="D82" s="88"/>
      <c r="E82" s="88"/>
      <c r="F82" s="90"/>
      <c r="G82" s="90"/>
      <c r="H82" s="90"/>
      <c r="I82" s="90"/>
      <c r="J82" s="92"/>
      <c r="K82" s="102"/>
      <c r="L82" s="102"/>
      <c r="M82" s="102"/>
      <c r="N82" s="102"/>
      <c r="O82" s="54"/>
      <c r="P82" s="9"/>
    </row>
    <row r="83" spans="2:16" ht="15">
      <c r="B83" s="7"/>
      <c r="C83" s="3"/>
      <c r="D83" s="88"/>
      <c r="E83" s="88"/>
      <c r="F83" s="90"/>
      <c r="G83" s="90"/>
      <c r="H83" s="90"/>
      <c r="I83" s="90"/>
      <c r="J83" s="92"/>
      <c r="K83" s="102"/>
      <c r="L83" s="102"/>
      <c r="M83" s="102"/>
      <c r="N83" s="102"/>
      <c r="O83" s="54"/>
      <c r="P83" s="9"/>
    </row>
    <row r="84" spans="2:16" ht="15">
      <c r="B84" s="7"/>
      <c r="C84" s="3"/>
      <c r="D84" s="88"/>
      <c r="E84" s="88"/>
      <c r="F84" s="90"/>
      <c r="G84" s="90"/>
      <c r="H84" s="90"/>
      <c r="I84" s="90"/>
      <c r="J84" s="92"/>
      <c r="K84" s="102"/>
      <c r="L84" s="102"/>
      <c r="M84" s="102"/>
      <c r="N84" s="102"/>
      <c r="O84" s="54"/>
      <c r="P84" s="9"/>
    </row>
    <row r="85" spans="2:16" ht="15">
      <c r="B85" s="7"/>
      <c r="C85" s="3"/>
      <c r="D85" s="88"/>
      <c r="E85" s="88"/>
      <c r="F85" s="90"/>
      <c r="G85" s="90"/>
      <c r="H85" s="90"/>
      <c r="I85" s="90"/>
      <c r="J85" s="92"/>
      <c r="K85" s="102"/>
      <c r="L85" s="102"/>
      <c r="M85" s="102"/>
      <c r="N85" s="102"/>
      <c r="O85" s="54"/>
      <c r="P85" s="9"/>
    </row>
    <row r="86" spans="2:16" ht="20.25">
      <c r="B86" s="7"/>
      <c r="C86" s="3"/>
      <c r="D86" s="158" t="s">
        <v>66</v>
      </c>
      <c r="E86" s="159"/>
      <c r="F86" s="160"/>
      <c r="G86" s="90"/>
      <c r="H86" s="90"/>
      <c r="I86" s="90"/>
      <c r="J86" s="92"/>
      <c r="K86" s="102"/>
      <c r="L86" s="102"/>
      <c r="M86" s="102"/>
      <c r="N86" s="102"/>
      <c r="O86" s="54"/>
      <c r="P86" s="9"/>
    </row>
    <row r="87" spans="2:16" ht="20.25">
      <c r="B87" s="7"/>
      <c r="C87" s="3"/>
      <c r="D87" s="161" t="s">
        <v>67</v>
      </c>
      <c r="E87" s="161"/>
      <c r="F87" s="162"/>
      <c r="G87" s="90"/>
      <c r="H87" s="90"/>
      <c r="I87" s="90"/>
      <c r="J87" s="92"/>
      <c r="K87" s="102"/>
      <c r="L87" s="102"/>
      <c r="M87" s="102"/>
      <c r="N87" s="102"/>
      <c r="O87" s="54"/>
      <c r="P87" s="9"/>
    </row>
    <row r="88" spans="2:16" ht="15">
      <c r="B88" s="7"/>
      <c r="C88" s="3"/>
      <c r="D88" s="88"/>
      <c r="E88" s="88"/>
      <c r="F88" s="90"/>
      <c r="G88" s="90"/>
      <c r="H88" s="90"/>
      <c r="I88" s="90"/>
      <c r="J88" s="92"/>
      <c r="K88" s="102"/>
      <c r="L88" s="102"/>
      <c r="M88" s="102"/>
      <c r="N88" s="102"/>
      <c r="O88" s="54"/>
      <c r="P88" s="9"/>
    </row>
    <row r="89" spans="2:16" ht="15">
      <c r="B89" s="7"/>
      <c r="C89" s="3"/>
      <c r="D89" s="88"/>
      <c r="E89" s="88"/>
      <c r="F89" s="90"/>
      <c r="G89" s="90"/>
      <c r="H89" s="90"/>
      <c r="I89" s="90"/>
      <c r="J89" s="92"/>
      <c r="K89" s="102"/>
      <c r="L89" s="102"/>
      <c r="M89" s="102"/>
      <c r="N89" s="102"/>
      <c r="O89" s="54"/>
      <c r="P89" s="9"/>
    </row>
    <row r="90" spans="2:16" ht="15">
      <c r="B90" s="7"/>
      <c r="C90" s="3"/>
      <c r="D90" s="103"/>
      <c r="E90" s="103"/>
      <c r="F90" s="202" t="s">
        <v>55</v>
      </c>
      <c r="G90" s="203"/>
      <c r="H90" s="203"/>
      <c r="I90" s="203"/>
      <c r="J90" s="203"/>
      <c r="K90" s="203"/>
      <c r="L90" s="203"/>
      <c r="M90" s="203"/>
      <c r="N90" s="104"/>
      <c r="O90" s="54"/>
      <c r="P90" s="9"/>
    </row>
    <row r="91" spans="2:16" ht="15">
      <c r="B91" s="7"/>
      <c r="C91" s="3"/>
      <c r="D91" s="103"/>
      <c r="E91" s="103"/>
      <c r="F91" s="203"/>
      <c r="G91" s="203"/>
      <c r="H91" s="203"/>
      <c r="I91" s="203"/>
      <c r="J91" s="203"/>
      <c r="K91" s="203"/>
      <c r="L91" s="203"/>
      <c r="M91" s="203"/>
      <c r="N91" s="104"/>
      <c r="O91" s="54"/>
      <c r="P91" s="9"/>
    </row>
    <row r="92" spans="2:16" ht="15">
      <c r="B92" s="7"/>
      <c r="C92" s="3"/>
      <c r="D92" s="103"/>
      <c r="E92" s="103"/>
      <c r="F92" s="203"/>
      <c r="G92" s="203"/>
      <c r="H92" s="203"/>
      <c r="I92" s="203"/>
      <c r="J92" s="203"/>
      <c r="K92" s="203"/>
      <c r="L92" s="203"/>
      <c r="M92" s="203"/>
      <c r="N92" s="104"/>
      <c r="O92" s="54"/>
      <c r="P92" s="9"/>
    </row>
    <row r="93" spans="2:16" ht="15">
      <c r="B93" s="7"/>
      <c r="C93" s="3"/>
      <c r="D93" s="103"/>
      <c r="E93" s="103"/>
      <c r="F93" s="203"/>
      <c r="G93" s="203"/>
      <c r="H93" s="203"/>
      <c r="I93" s="203"/>
      <c r="J93" s="203"/>
      <c r="K93" s="203"/>
      <c r="L93" s="203"/>
      <c r="M93" s="203"/>
      <c r="N93" s="104"/>
      <c r="O93" s="54"/>
      <c r="P93" s="9"/>
    </row>
    <row r="94" spans="2:16" ht="3" customHeight="1" thickBot="1">
      <c r="B94" s="7"/>
      <c r="C94" s="3"/>
      <c r="D94" s="3"/>
      <c r="E94" s="3"/>
      <c r="F94" s="3"/>
      <c r="G94" s="3"/>
      <c r="H94" s="3"/>
      <c r="I94" s="3"/>
      <c r="J94" s="3"/>
      <c r="K94" s="3"/>
      <c r="L94" s="3"/>
      <c r="M94" s="3"/>
      <c r="N94" s="3"/>
      <c r="O94" s="54"/>
      <c r="P94" s="9"/>
    </row>
    <row r="95" spans="2:16" ht="13.5" thickTop="1">
      <c r="B95" s="7"/>
      <c r="C95" s="3"/>
      <c r="D95" s="3"/>
      <c r="E95" s="55"/>
      <c r="F95" s="55"/>
      <c r="G95" s="55"/>
      <c r="H95" s="55"/>
      <c r="I95" s="55"/>
      <c r="J95" s="55"/>
      <c r="K95" s="55"/>
      <c r="L95" s="55"/>
      <c r="M95" s="55"/>
      <c r="N95" s="55"/>
      <c r="O95" s="54"/>
      <c r="P95" s="9"/>
    </row>
    <row r="96" spans="2:16">
      <c r="B96" s="7"/>
      <c r="C96" s="3"/>
      <c r="D96" s="3"/>
      <c r="E96" s="3"/>
      <c r="F96" s="221"/>
      <c r="G96" s="222"/>
      <c r="H96" s="222"/>
      <c r="I96" s="222"/>
      <c r="J96" s="222"/>
      <c r="K96" s="222"/>
      <c r="L96" s="222"/>
      <c r="M96" s="222"/>
      <c r="N96" s="3"/>
      <c r="O96" s="54"/>
      <c r="P96" s="9"/>
    </row>
    <row r="97" spans="2:16">
      <c r="B97" s="7"/>
      <c r="C97" s="3"/>
      <c r="D97" s="3"/>
      <c r="E97" s="3"/>
      <c r="F97" s="223"/>
      <c r="G97" s="223"/>
      <c r="H97" s="223"/>
      <c r="I97" s="223"/>
      <c r="J97" s="223"/>
      <c r="K97" s="223"/>
      <c r="L97" s="223"/>
      <c r="M97" s="223"/>
      <c r="N97" s="3"/>
      <c r="O97" s="54"/>
      <c r="P97" s="9"/>
    </row>
    <row r="98" spans="2:16" ht="0.95" customHeight="1" thickBot="1">
      <c r="B98" s="10"/>
      <c r="C98" s="11"/>
      <c r="D98" s="3"/>
      <c r="E98" s="3"/>
      <c r="F98" s="223"/>
      <c r="G98" s="223"/>
      <c r="H98" s="223"/>
      <c r="I98" s="223"/>
      <c r="J98" s="223"/>
      <c r="K98" s="223"/>
      <c r="L98" s="223"/>
      <c r="M98" s="223"/>
      <c r="N98" s="3"/>
      <c r="O98" s="11"/>
      <c r="P98" s="12"/>
    </row>
    <row r="99" spans="2:16" ht="6" customHeight="1" thickTop="1" thickBot="1">
      <c r="D99" s="11"/>
      <c r="E99" s="11"/>
      <c r="F99" s="11"/>
      <c r="G99" s="11"/>
      <c r="H99" s="11"/>
      <c r="I99" s="11"/>
      <c r="J99" s="11"/>
      <c r="K99" s="11"/>
      <c r="L99" s="11"/>
      <c r="M99" s="11"/>
      <c r="N99" s="11"/>
    </row>
    <row r="100" spans="2:16" ht="13.5" thickTop="1"/>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5">
    <mergeCell ref="M18:M20"/>
    <mergeCell ref="M22:N22"/>
    <mergeCell ref="M24:N24"/>
    <mergeCell ref="M25:N25"/>
    <mergeCell ref="E22:J22"/>
    <mergeCell ref="E25:J25"/>
    <mergeCell ref="F96:M98"/>
    <mergeCell ref="F74:I74"/>
    <mergeCell ref="G75:I75"/>
    <mergeCell ref="K74:N76"/>
    <mergeCell ref="D73:N73"/>
    <mergeCell ref="F90:M93"/>
    <mergeCell ref="F28:K28"/>
    <mergeCell ref="E23:K23"/>
    <mergeCell ref="F31:K31"/>
    <mergeCell ref="G24:H24"/>
    <mergeCell ref="F27:K27"/>
    <mergeCell ref="F34:K34"/>
    <mergeCell ref="F70:I70"/>
    <mergeCell ref="F36:K36"/>
    <mergeCell ref="F30:K30"/>
    <mergeCell ref="F33:K33"/>
    <mergeCell ref="F37:K37"/>
    <mergeCell ref="F41:K41"/>
    <mergeCell ref="F60:K60"/>
    <mergeCell ref="D72:N72"/>
    <mergeCell ref="D64:L64"/>
    <mergeCell ref="F62:K62"/>
    <mergeCell ref="F49:K49"/>
    <mergeCell ref="F61:K61"/>
    <mergeCell ref="F45:K45"/>
    <mergeCell ref="F46:K46"/>
    <mergeCell ref="F47:K47"/>
    <mergeCell ref="F48:K48"/>
    <mergeCell ref="F63:K63"/>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7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90 F8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74:K7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6:M98"/>
    <dataValidation type="textLength" errorStyle="warning" allowBlank="1" showErrorMessage="1" errorTitle="T.V.A." error="Les cellules ombrées contiennent des formules et sont calculées automatiquement par Excel. N'y tapez aucune information." promptTitle="T.V.A." sqref="M66:M6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6:N6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9:N71">
      <formula1>0</formula1>
      <formula2>0</formula2>
    </dataValidation>
    <dataValidation allowBlank="1" showErrorMessage="1" sqref="G24:H24"/>
    <dataValidation type="decimal" allowBlank="1" showErrorMessage="1" errorTitle="Prix unitaire" error="Tapez un nombre dans cette cellule." promptTitle="Prix unitaire" sqref="M28:M63">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6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63">
      <formula1>0</formula1>
      <formula2>0</formula2>
    </dataValidation>
    <dataValidation type="whole" errorStyle="warning" allowBlank="1" showErrorMessage="1" errorTitle="Quantité" error="Tapez un nombre dans cette cellule." promptTitle="Quantité" sqref="E28:E63">
      <formula1>0</formula1>
      <formula2>1000000000</formula2>
    </dataValidation>
    <dataValidation type="list" allowBlank="1" showInputMessage="1" showErrorMessage="1" errorTitle="Code TVA" error="Tapez 1, 2, ou 3." sqref="L28:L63">
      <formula1>"1,2,3"</formula1>
    </dataValidation>
  </dataValidations>
  <hyperlinks>
    <hyperlink ref="F35" r:id="rId1"/>
    <hyperlink ref="F32" r:id="rId2"/>
    <hyperlink ref="F38" r:id="rId3"/>
  </hyperlinks>
  <printOptions horizontalCentered="1"/>
  <pageMargins left="0.47244094488188981" right="0.51181102362204722" top="0.6692913385826772" bottom="0.82677165354330717" header="0.78740157480314965" footer="0.31496062992125984"/>
  <pageSetup paperSize="9" scale="34"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80" workbookViewId="0">
      <selection activeCell="E22" sqref="E22"/>
    </sheetView>
  </sheetViews>
  <sheetFormatPr baseColWidth="10" defaultColWidth="9.140625" defaultRowHeight="12.75"/>
  <cols>
    <col min="1" max="16384" width="9.140625" style="64"/>
  </cols>
  <sheetData>
    <row r="1" spans="1:11">
      <c r="A1" s="64" t="s">
        <v>30</v>
      </c>
    </row>
    <row r="2" spans="1:11">
      <c r="A2" s="64" t="s">
        <v>39</v>
      </c>
      <c r="B2" s="64" t="s">
        <v>31</v>
      </c>
    </row>
    <row r="3" spans="1:11">
      <c r="A3" s="64" t="s">
        <v>40</v>
      </c>
      <c r="B3" s="64" t="s">
        <v>47</v>
      </c>
    </row>
    <row r="4" spans="1:11">
      <c r="A4" s="64" t="s">
        <v>32</v>
      </c>
    </row>
    <row r="5" spans="1:11">
      <c r="A5" s="64" t="s">
        <v>41</v>
      </c>
      <c r="B5" s="64">
        <v>1</v>
      </c>
    </row>
    <row r="6" spans="1:11">
      <c r="A6" s="64">
        <v>1</v>
      </c>
      <c r="B6" s="64" t="s">
        <v>42</v>
      </c>
      <c r="C6" s="64" t="s">
        <v>46</v>
      </c>
      <c r="D6" s="64" t="s">
        <v>43</v>
      </c>
      <c r="E6" s="64">
        <v>10</v>
      </c>
      <c r="G6" s="64">
        <v>1197261567</v>
      </c>
    </row>
    <row r="7" spans="1:11">
      <c r="A7" s="64" t="s">
        <v>44</v>
      </c>
      <c r="B7" s="64" t="s">
        <v>33</v>
      </c>
      <c r="C7" s="64" t="s">
        <v>19</v>
      </c>
      <c r="D7" s="64" t="s">
        <v>3</v>
      </c>
      <c r="E7" s="64" t="s">
        <v>5</v>
      </c>
      <c r="F7" s="64" t="s">
        <v>7</v>
      </c>
      <c r="G7" s="64" t="s">
        <v>8</v>
      </c>
      <c r="H7" s="64" t="s">
        <v>9</v>
      </c>
      <c r="I7" s="64" t="s">
        <v>21</v>
      </c>
      <c r="J7" s="64" t="s">
        <v>34</v>
      </c>
      <c r="K7" s="64" t="s">
        <v>20</v>
      </c>
    </row>
    <row r="8" spans="1:11">
      <c r="A8" s="64" t="s">
        <v>45</v>
      </c>
      <c r="B8" s="65" t="str">
        <f>Facture!$N$4</f>
        <v/>
      </c>
      <c r="C8" s="66">
        <f>Facture!$M$22</f>
        <v>42593</v>
      </c>
      <c r="D8" s="67" t="str">
        <f>Facture!$E$22</f>
        <v>BETTAHER HAMZA</v>
      </c>
      <c r="E8" s="64" t="str">
        <f>Facture!$E$23</f>
        <v>RUE ABOUBAKER MOUADEB EL HAMMA</v>
      </c>
      <c r="F8" s="64">
        <f>Facture!$E$24</f>
        <v>6020</v>
      </c>
      <c r="G8" s="67" t="str">
        <f>Facture!$G$24</f>
        <v>GABES</v>
      </c>
      <c r="H8" s="67" t="str">
        <f>Facture!$J$24</f>
        <v>TN</v>
      </c>
      <c r="I8" s="64">
        <f>Facture!$E$25</f>
        <v>92232807</v>
      </c>
      <c r="J8" s="68">
        <f>Facture!$N$69</f>
        <v>470</v>
      </c>
      <c r="K8" s="64">
        <f>Facture!$M$24</f>
        <v>0</v>
      </c>
    </row>
    <row r="9" spans="1:11">
      <c r="A9" s="64" t="s">
        <v>32</v>
      </c>
    </row>
    <row r="10" spans="1:11">
      <c r="G10" s="64">
        <v>733575679</v>
      </c>
    </row>
    <row r="14" spans="1:11">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2016-08-11T10:05:06Z</cp:lastPrinted>
  <dcterms:created xsi:type="dcterms:W3CDTF">1995-05-29T15:50:39Z</dcterms:created>
  <dcterms:modified xsi:type="dcterms:W3CDTF">2016-08-11T10:07:16Z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BETTAHER HAMZA</vt:lpwstr>
  </property>
  <property fmtid="{D5CDD505-2E9C-101B-9397-08002B2CF9AE}" pid="11" name="Montant de la facture" linkTarget="TOT">
    <vt:r8>470</vt:r8>
  </property>
</Properties>
</file>