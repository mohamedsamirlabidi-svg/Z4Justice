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1" s="1"/>
  <c r="O40"/>
  <c r="N44"/>
  <c r="N45"/>
  <c r="F33" i="2"/>
  <c r="B8" i="8"/>
  <c r="C8"/>
  <c r="D8"/>
  <c r="E8"/>
  <c r="F8"/>
  <c r="G8"/>
  <c r="H8"/>
  <c r="I8"/>
  <c r="K8"/>
  <c r="O44" i="3"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<sst xmlns="http://schemas.openxmlformats.org/spreadsheetml/2006/main" count="90" uniqueCount="73">
  <si>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</si>
  <si>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</si>
  <si>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</si>
  <si>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</si>
  <si>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</si>
  <si>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</si>
  <si>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</si>
  <si>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</si>
  <si>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</si>
  <si>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</si>
  <si>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</si>
  <si>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</si>
  <si>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</si>
  <si>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</si>
  <si>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</si>
  <si>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</si>
  <si>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</si>
  <si>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</si>
  <si>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</si>
  <si>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</si>
  <si>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</si>
  <si>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</si>
  <si>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</si>
  <si>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</si>
  <si>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</si>
  <si>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</si>
  <si>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</si>
  <si>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</si>
  <si>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</si>
  <si>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</si>
  <si>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</si>
  <si>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</si>
  <si>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</si>
  <si>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</si>
  <si>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</si>
  <si>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</si>
  <si>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</si>
  <si>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</si>
  <si>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</si>
  <si>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</si>
  <si>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</si>
  <si>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</si>
  <si>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</si>
  <si>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</si>
  <si>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</si>
  <si>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</si>
  <si>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</si>
  <si>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</si>
  <si>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</si>
  <si>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</si>
  <si>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</si>
  <si>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</si>
  <si>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</si>
  <si>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</si>
  <si>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</si>
  <si>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</si>
  <si>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</si>
  <si>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</si>
  <si>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</si>
  <si>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</si>
  <si>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</si>
  <si>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</si>
  <si>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</si>
  <si>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</si>
  <si>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NAJOUA CHAABANI</t>
  </si>
  <si>
    <t>71 88 28 32            Fax: 71 87 29 03</t>
  </si>
  <si>
    <t xml:space="preserve">HARNAIS ORBITAL </t>
  </si>
  <si>
    <t>LONGE DE MAINTIEN MODELE ROPE ADJUSTER</t>
  </si>
  <si>
    <t>LONGE DOUBLE AVEC ABSORBEUR D'ENERGIE</t>
  </si>
  <si>
    <t xml:space="preserve">MODELE 2015 ELASTIQUE </t>
  </si>
  <si>
    <t>FACTURE2016017</t>
  </si>
  <si>
    <t>FR 2016626</t>
  </si>
  <si>
    <t>ARRETE LA PRESENTE FACTURE A LA SOMME DE SIX  MILLES SIX CENT CINQUANTE CINQ DINARS 700MILLIMES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</si>
</sst>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0" t="s">
        <v>0</v>
      </c>
      <c r="E4" s="151"/>
      <c r="F4" s="151"/>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2" t="s">
        <v>2</v>
      </c>
      <c r="E10" s="153"/>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4" t="s">
        <v>49</v>
      </c>
      <c r="E19" s="153"/>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5" t="str">
        <f>LOWER(TemplateInformation!B3)</f>
        <v>c:\program files\microsoft office\office\macrolib\factbd.xls</v>
      </c>
      <c r="G33" s="156"/>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2" t="s">
        <v>16</v>
      </c>
      <c r="E36" s="153"/>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10" zoomScale="95" workbookViewId="0">
      <selection activeCell="H52" sqref="H5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5"/>
      <c r="O9" s="186"/>
      <c r="P9" s="3"/>
      <c r="Q9" s="9"/>
    </row>
    <row r="10" spans="2:17">
      <c r="B10" s="7"/>
      <c r="C10" s="3"/>
      <c r="D10" s="3"/>
      <c r="E10" s="3"/>
      <c r="F10" s="3"/>
      <c r="G10" s="3"/>
      <c r="H10" s="3"/>
      <c r="I10" s="3"/>
      <c r="J10" s="3"/>
      <c r="K10" s="3"/>
      <c r="L10" s="3"/>
      <c r="M10" s="3"/>
      <c r="N10" s="198"/>
      <c r="O10" s="199"/>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70</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4" t="s">
        <v>62</v>
      </c>
      <c r="F19" s="195"/>
      <c r="G19" s="195"/>
      <c r="H19" s="195"/>
      <c r="I19" s="195"/>
      <c r="J19" s="195"/>
      <c r="K19" s="97"/>
      <c r="L19" s="97"/>
      <c r="M19" s="100" t="s">
        <v>18</v>
      </c>
      <c r="N19" s="187">
        <v>42460</v>
      </c>
      <c r="O19" s="188"/>
      <c r="P19" s="58"/>
      <c r="Q19" s="9"/>
    </row>
    <row r="20" spans="2:17">
      <c r="B20" s="7"/>
      <c r="C20" s="3"/>
      <c r="D20" s="97" t="s">
        <v>5</v>
      </c>
      <c r="E20" s="192" t="s">
        <v>63</v>
      </c>
      <c r="F20" s="193"/>
      <c r="G20" s="193"/>
      <c r="H20" s="193"/>
      <c r="I20" s="193"/>
      <c r="J20" s="193"/>
      <c r="K20" s="97"/>
      <c r="L20" s="97"/>
      <c r="M20" s="100"/>
      <c r="N20" s="149" t="s">
        <v>71</v>
      </c>
      <c r="O20" s="105"/>
      <c r="P20" s="59"/>
      <c r="Q20" s="9"/>
    </row>
    <row r="21" spans="2:17">
      <c r="B21" s="7"/>
      <c r="C21" s="3"/>
      <c r="D21" s="97" t="s">
        <v>7</v>
      </c>
      <c r="E21" s="106">
        <v>2092</v>
      </c>
      <c r="F21" s="107" t="s">
        <v>8</v>
      </c>
      <c r="G21" s="191"/>
      <c r="H21" s="191"/>
      <c r="I21" s="108" t="s">
        <v>9</v>
      </c>
      <c r="J21" s="105" t="s">
        <v>55</v>
      </c>
      <c r="K21" s="97"/>
      <c r="L21" s="97"/>
      <c r="M21" s="100" t="s">
        <v>19</v>
      </c>
      <c r="N21" s="189" t="s">
        <v>64</v>
      </c>
      <c r="O21" s="190"/>
      <c r="P21" s="3"/>
      <c r="Q21" s="9"/>
    </row>
    <row r="22" spans="2:17">
      <c r="B22" s="7"/>
      <c r="C22" s="3"/>
      <c r="D22" s="126" t="s">
        <v>20</v>
      </c>
      <c r="E22" s="196" t="s">
        <v>65</v>
      </c>
      <c r="F22" s="197"/>
      <c r="G22" s="197"/>
      <c r="H22" s="197"/>
      <c r="I22" s="197"/>
      <c r="J22" s="197"/>
      <c r="K22" s="97"/>
      <c r="L22" s="97"/>
      <c r="M22" s="100" t="s">
        <v>51</v>
      </c>
      <c r="N22" s="190"/>
      <c r="O22" s="190"/>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7" t="s">
        <v>22</v>
      </c>
      <c r="G24" s="168"/>
      <c r="H24" s="168"/>
      <c r="I24" s="168"/>
      <c r="J24" s="168"/>
      <c r="K24" s="168"/>
      <c r="L24" s="148"/>
      <c r="M24" s="142" t="s">
        <v>37</v>
      </c>
      <c r="N24" s="53" t="s">
        <v>23</v>
      </c>
      <c r="O24" s="54" t="s">
        <v>24</v>
      </c>
      <c r="P24" s="60"/>
      <c r="Q24" s="9"/>
    </row>
    <row r="25" spans="2:17">
      <c r="B25" s="7"/>
      <c r="C25" s="3"/>
      <c r="D25" s="70"/>
      <c r="E25" s="55"/>
      <c r="F25" s="169"/>
      <c r="G25" s="170"/>
      <c r="H25" s="170"/>
      <c r="I25" s="170"/>
      <c r="J25" s="170"/>
      <c r="K25" s="170"/>
      <c r="L25" s="143"/>
      <c r="M25" s="73"/>
      <c r="N25" s="80"/>
      <c r="O25" s="117" t="str">
        <f t="shared" ref="O25:O36" si="0">IF(E25&lt;&gt;"",E25*N25,"")</f>
        <v/>
      </c>
      <c r="P25" s="60"/>
      <c r="Q25" s="9"/>
    </row>
    <row r="26" spans="2:17" ht="15">
      <c r="B26" s="7"/>
      <c r="C26" s="3"/>
      <c r="D26" s="137"/>
      <c r="E26" s="83">
        <v>12</v>
      </c>
      <c r="F26" s="171" t="s">
        <v>66</v>
      </c>
      <c r="G26" s="172"/>
      <c r="H26" s="172"/>
      <c r="I26" s="172"/>
      <c r="J26" s="172"/>
      <c r="K26" s="173"/>
      <c r="L26" s="143"/>
      <c r="M26" s="84">
        <v>2</v>
      </c>
      <c r="N26" s="85">
        <v>470</v>
      </c>
      <c r="O26" s="118">
        <f t="shared" si="0"/>
        <v>5640</v>
      </c>
      <c r="P26" s="60"/>
      <c r="Q26" s="9"/>
    </row>
    <row r="27" spans="2:17" ht="15">
      <c r="B27" s="7"/>
      <c r="C27" s="3"/>
      <c r="D27" s="137"/>
      <c r="E27" s="83"/>
      <c r="F27" s="171" t="s">
        <v>67</v>
      </c>
      <c r="G27" s="172"/>
      <c r="H27" s="172"/>
      <c r="I27" s="172"/>
      <c r="J27" s="172"/>
      <c r="K27" s="173"/>
      <c r="L27" s="144"/>
      <c r="M27" s="84">
        <v>2</v>
      </c>
      <c r="N27" s="85"/>
      <c r="O27" s="118" t="str">
        <f t="shared" si="0"/>
        <v/>
      </c>
      <c r="P27" s="60"/>
      <c r="Q27" s="9"/>
    </row>
    <row r="28" spans="2:17" ht="15">
      <c r="B28" s="7"/>
      <c r="C28" s="3"/>
      <c r="D28" s="137"/>
      <c r="E28" s="83"/>
      <c r="F28" s="171" t="s">
        <v>68</v>
      </c>
      <c r="G28" s="172"/>
      <c r="H28" s="172"/>
      <c r="I28" s="172"/>
      <c r="J28" s="172"/>
      <c r="K28" s="173"/>
      <c r="L28" s="143"/>
      <c r="M28" s="84"/>
      <c r="N28" s="85"/>
      <c r="O28" s="118" t="str">
        <f t="shared" si="0"/>
        <v/>
      </c>
      <c r="P28" s="60"/>
      <c r="Q28" s="9"/>
    </row>
    <row r="29" spans="2:17" ht="15">
      <c r="B29" s="7"/>
      <c r="C29" s="3"/>
      <c r="D29" s="137"/>
      <c r="E29" s="83"/>
      <c r="F29" s="171" t="s">
        <v>69</v>
      </c>
      <c r="G29" s="172"/>
      <c r="H29" s="172"/>
      <c r="I29" s="172"/>
      <c r="J29" s="172"/>
      <c r="K29" s="173"/>
      <c r="L29" s="143"/>
      <c r="M29" s="84"/>
      <c r="N29" s="85"/>
      <c r="O29" s="118" t="str">
        <f t="shared" si="0"/>
        <v/>
      </c>
      <c r="P29" s="60"/>
      <c r="Q29" s="9"/>
    </row>
    <row r="30" spans="2:17" ht="15">
      <c r="B30" s="7"/>
      <c r="C30" s="3"/>
      <c r="D30" s="137"/>
      <c r="E30" s="83"/>
      <c r="F30" s="162"/>
      <c r="G30" s="163"/>
      <c r="H30" s="163"/>
      <c r="I30" s="163"/>
      <c r="J30" s="163"/>
      <c r="K30" s="164"/>
      <c r="L30" s="143"/>
      <c r="M30" s="84"/>
      <c r="N30" s="85"/>
      <c r="O30" s="118" t="str">
        <f t="shared" si="0"/>
        <v/>
      </c>
      <c r="P30" s="60"/>
      <c r="Q30" s="9"/>
    </row>
    <row r="31" spans="2:17" ht="15">
      <c r="B31" s="7"/>
      <c r="C31" s="3"/>
      <c r="D31" s="137"/>
      <c r="E31" s="83"/>
      <c r="F31" s="162"/>
      <c r="G31" s="163"/>
      <c r="H31" s="163"/>
      <c r="I31" s="163"/>
      <c r="J31" s="163"/>
      <c r="K31" s="164"/>
      <c r="L31" s="143"/>
      <c r="M31" s="84"/>
      <c r="N31" s="85"/>
      <c r="O31" s="118" t="str">
        <f t="shared" si="0"/>
        <v/>
      </c>
      <c r="P31" s="60"/>
      <c r="Q31" s="9"/>
    </row>
    <row r="32" spans="2:17" ht="15">
      <c r="B32" s="7"/>
      <c r="C32" s="3"/>
      <c r="D32" s="137"/>
      <c r="E32" s="83"/>
      <c r="F32" s="162"/>
      <c r="G32" s="163"/>
      <c r="H32" s="163"/>
      <c r="I32" s="163"/>
      <c r="J32" s="163"/>
      <c r="K32" s="164"/>
      <c r="L32" s="143"/>
      <c r="M32" s="84"/>
      <c r="N32" s="85"/>
      <c r="O32" s="118"/>
      <c r="P32" s="60"/>
      <c r="Q32" s="9"/>
    </row>
    <row r="33" spans="2:17" ht="15">
      <c r="B33" s="7"/>
      <c r="C33" s="3"/>
      <c r="D33" s="137"/>
      <c r="E33" s="83"/>
      <c r="F33" s="162" t="s">
        <v>60</v>
      </c>
      <c r="G33" s="163"/>
      <c r="H33" s="163"/>
      <c r="I33" s="163"/>
      <c r="J33" s="163"/>
      <c r="K33" s="164"/>
      <c r="L33" s="143"/>
      <c r="M33" s="84"/>
      <c r="N33" s="85"/>
      <c r="O33" s="118"/>
      <c r="P33" s="60"/>
      <c r="Q33" s="9"/>
    </row>
    <row r="34" spans="2:17" ht="15">
      <c r="B34" s="7"/>
      <c r="C34" s="3"/>
      <c r="D34" s="137"/>
      <c r="E34" s="83"/>
      <c r="F34" s="159" t="s">
        <v>61</v>
      </c>
      <c r="G34" s="160"/>
      <c r="H34" s="160"/>
      <c r="I34" s="160"/>
      <c r="J34" s="160"/>
      <c r="K34" s="161"/>
      <c r="L34" s="143"/>
      <c r="M34" s="84"/>
      <c r="N34" s="85"/>
      <c r="O34" s="125"/>
      <c r="P34" s="60"/>
      <c r="Q34" s="9"/>
    </row>
    <row r="35" spans="2:17" ht="15">
      <c r="B35" s="7"/>
      <c r="C35" s="3"/>
      <c r="D35" s="137"/>
      <c r="E35" s="83"/>
      <c r="F35" s="176"/>
      <c r="G35" s="177"/>
      <c r="H35" s="177"/>
      <c r="I35" s="177"/>
      <c r="J35" s="177"/>
      <c r="K35" s="178"/>
      <c r="L35" s="143"/>
      <c r="M35" s="84"/>
      <c r="N35" s="85"/>
      <c r="O35" s="118"/>
      <c r="P35" s="60"/>
      <c r="Q35" s="9"/>
    </row>
    <row r="36" spans="2:17" ht="15">
      <c r="B36" s="7"/>
      <c r="C36" s="3"/>
      <c r="D36" s="137"/>
      <c r="E36" s="83"/>
      <c r="F36" s="176"/>
      <c r="G36" s="177"/>
      <c r="H36" s="177"/>
      <c r="I36" s="177"/>
      <c r="J36" s="177"/>
      <c r="K36" s="178"/>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83"/>
      <c r="G38" s="184"/>
      <c r="H38" s="184"/>
      <c r="I38" s="184"/>
      <c r="J38" s="184"/>
      <c r="K38" s="184"/>
      <c r="L38" s="146"/>
      <c r="M38" s="84"/>
      <c r="N38" s="85"/>
      <c r="O38" s="118"/>
      <c r="P38" s="60"/>
      <c r="Q38" s="9"/>
    </row>
    <row r="39" spans="2:17" ht="15">
      <c r="B39" s="7"/>
      <c r="C39" s="3"/>
      <c r="D39" s="70"/>
      <c r="E39" s="56"/>
      <c r="F39" s="183"/>
      <c r="G39" s="184"/>
      <c r="H39" s="184"/>
      <c r="I39" s="184"/>
      <c r="J39" s="184"/>
      <c r="K39" s="184"/>
      <c r="L39" s="146"/>
      <c r="M39" s="84"/>
      <c r="N39" s="85"/>
      <c r="O39" s="118"/>
      <c r="P39" s="60"/>
      <c r="Q39" s="9"/>
    </row>
    <row r="40" spans="2:17" ht="15">
      <c r="B40" s="7"/>
      <c r="C40" s="3"/>
      <c r="D40" s="71"/>
      <c r="E40" s="57"/>
      <c r="F40" s="181"/>
      <c r="G40" s="182"/>
      <c r="H40" s="182"/>
      <c r="I40" s="182"/>
      <c r="J40" s="182"/>
      <c r="K40" s="182"/>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5640</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1015.1999999999999</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6655.7</v>
      </c>
      <c r="P46" s="60"/>
      <c r="Q46" s="9"/>
    </row>
    <row r="47" spans="2:17" ht="17.100000000000001" customHeight="1">
      <c r="B47" s="7"/>
      <c r="C47" s="3"/>
      <c r="D47" s="179" t="s">
        <v>72</v>
      </c>
      <c r="E47" s="180"/>
      <c r="F47" s="180"/>
      <c r="G47" s="180"/>
      <c r="H47" s="180"/>
      <c r="I47" s="180"/>
      <c r="J47" s="180"/>
      <c r="K47" s="180"/>
      <c r="L47" s="180"/>
      <c r="M47" s="180"/>
      <c r="N47" s="94" t="s">
        <v>38</v>
      </c>
      <c r="O47" s="123">
        <f>O44</f>
        <v>1015.1999999999999</v>
      </c>
      <c r="P47" s="60"/>
      <c r="Q47" s="9"/>
    </row>
    <row r="48" spans="2:17" ht="15">
      <c r="B48" s="7"/>
      <c r="C48" s="3"/>
      <c r="D48" s="3"/>
      <c r="E48" s="103"/>
      <c r="F48" s="174"/>
      <c r="G48" s="175"/>
      <c r="H48" s="175"/>
      <c r="I48" s="175"/>
      <c r="J48" s="91"/>
      <c r="K48" s="88"/>
      <c r="L48" s="88"/>
      <c r="M48" s="88"/>
      <c r="N48" s="88"/>
      <c r="O48" s="88"/>
      <c r="P48" s="60"/>
      <c r="Q48" s="9"/>
    </row>
    <row r="49" spans="2:17" ht="15" customHeight="1">
      <c r="B49" s="7"/>
      <c r="C49" s="3"/>
      <c r="D49" s="3"/>
      <c r="E49" s="20"/>
      <c r="F49" s="165"/>
      <c r="G49" s="166"/>
      <c r="H49" s="166"/>
      <c r="I49" s="166"/>
      <c r="J49" s="91"/>
      <c r="K49" s="127" t="s">
        <v>58</v>
      </c>
      <c r="L49" s="139"/>
      <c r="M49" s="128"/>
      <c r="N49" s="128"/>
      <c r="O49" s="129"/>
      <c r="P49" s="60"/>
      <c r="Q49" s="9"/>
    </row>
    <row r="50" spans="2:17" ht="15">
      <c r="B50" s="7"/>
      <c r="C50" s="3"/>
      <c r="D50" s="3"/>
      <c r="E50" s="20"/>
      <c r="F50" s="89"/>
      <c r="G50" s="157"/>
      <c r="H50" s="158"/>
      <c r="I50" s="158"/>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42460</v>
      </c>
      <c r="D8" s="77" t="str">
        <f>Facture!$E$19</f>
        <v>NXT</v>
      </c>
      <c r="E8" s="74" t="str">
        <f>Facture!$E$20</f>
        <v>AV,MOSBAH JARBOU ELMANAR II</v>
      </c>
      <c r="F8" s="74">
        <f>Facture!$E$21</f>
        <v>2092</v>
      </c>
      <c r="G8" s="77">
        <f>Facture!$G$21</f>
        <v>0</v>
      </c>
      <c r="H8" s="77" t="str">
        <f>Facture!$J$21</f>
        <v>TN</v>
      </c>
      <c r="I8" s="74" t="str">
        <f>Facture!$E$22</f>
        <v>71 88 28 32            Fax: 71 87 29 03</v>
      </c>
      <c r="J8" s="78">
        <f>Facture!$O$46</f>
        <v>6655.7</v>
      </c>
      <c r="K8" s="74" t="str">
        <f>Facture!$N$21</f>
        <v>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2016-04-19T06:41:26Z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6655.7</vt:r8>
  </property>
</Properties>
</file>