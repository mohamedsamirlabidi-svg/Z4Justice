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<sst xmlns="http://schemas.openxmlformats.org/spreadsheetml/2006/main" count="91" uniqueCount="74">
  <si>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</si>
  <si>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</si>
  <si>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</si>
  <si>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</si>
  <si>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</si>
  <si>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</si>
  <si>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</si>
  <si>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</si>
  <si>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</si>
  <si>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</si>
  <si>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</si>
  <si>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</si>
  <si>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</si>
  <si>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</si>
  <si>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</si>
  <si>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</si>
  <si>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</si>
  <si>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</si>
  <si>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</si>
  <si>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</si>
  <si>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</si>
  <si>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</si>
  <si>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</si>
  <si>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</si>
  <si>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</si>
  <si>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</si>
  <si>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</si>
  <si>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</si>
  <si>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</si>
  <si>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</si>
  <si>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</si>
  <si>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</si>
  <si>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</si>
  <si>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</si>
  <si>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</si>
  <si>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</si>
  <si>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</si>
  <si>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</si>
  <si>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</si>
  <si>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</si>
  <si>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</si>
  <si>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</si>
  <si>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</si>
  <si>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</si>
  <si>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</si>
  <si>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</si>
  <si>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</si>
  <si>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</si>
  <si>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</si>
  <si>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</si>
  <si>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</si>
  <si>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</si>
  <si>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</si>
  <si>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</si>
  <si>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</si>
  <si>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</si>
  <si>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</si>
  <si>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</si>
  <si>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</si>
  <si>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</si>
  <si>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</si>
  <si>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</si>
  <si>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</si>
  <si>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KIT PYLONIER COMPOSE DE :</t>
  </si>
  <si>
    <t>1 HARNAIS   ORBITAL</t>
  </si>
  <si>
    <t xml:space="preserve">1 LONGE DE MAINTIEN </t>
  </si>
  <si>
    <t>1 LONGE DOUBLE  (Y)CORDAGE</t>
  </si>
  <si>
    <t xml:space="preserve">MODELES CONFORMES AUX </t>
  </si>
  <si>
    <t>NORMES CE MARQUE CAMP SAFETY</t>
  </si>
  <si>
    <t>TEL:94617477/ 58568629 FAX :71694906</t>
  </si>
  <si>
    <t>4</t>
  </si>
  <si>
    <t>3ETEL</t>
  </si>
  <si>
    <t>ARRETE LA PRESENTE FACTURE A LA SOMME DE  DEUX MILLES DEUX CENT DIX HUITE DINARS ET 900 MILIMES</t>
  </si>
  <si>
    <t>FACTURE2016036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</si>
</sst>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26" fillId="0" borderId="32" xfId="0" applyNumberFormat="1" applyFont="1" applyFill="1" applyBorder="1" applyAlignment="1"/>
    <xf numFmtId="0" fontId="29" fillId="2" borderId="0" xfId="0" applyFont="1"/>
    <xf numFmtId="0" fontId="29" fillId="2" borderId="34" xfId="0" applyFont="1" applyBorder="1"/>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topLeftCell="A4" zoomScale="95" workbookViewId="0">
      <selection activeCell="M15" sqref="M1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34" t="s">
        <v>59</v>
      </c>
      <c r="N9" s="135"/>
      <c r="O9" s="3"/>
      <c r="P9" s="9"/>
    </row>
    <row r="10" spans="2:16">
      <c r="B10" s="7"/>
      <c r="C10" s="3"/>
      <c r="D10" s="3"/>
      <c r="E10" s="3"/>
      <c r="F10" s="3"/>
      <c r="G10" s="3"/>
      <c r="H10" s="3"/>
      <c r="I10" s="3"/>
      <c r="J10" s="3"/>
      <c r="K10" s="3"/>
      <c r="L10" s="3"/>
      <c r="M10" s="132" t="s">
        <v>60</v>
      </c>
      <c r="N10" s="133"/>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73</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61" t="s">
        <v>71</v>
      </c>
      <c r="F19" s="162"/>
      <c r="G19" s="162"/>
      <c r="H19" s="162"/>
      <c r="I19" s="162"/>
      <c r="J19" s="162"/>
      <c r="K19" s="91"/>
      <c r="L19" s="94" t="s">
        <v>18</v>
      </c>
      <c r="M19" s="157">
        <v>42577</v>
      </c>
      <c r="N19" s="158"/>
      <c r="O19" s="57"/>
      <c r="P19" s="9"/>
    </row>
    <row r="20" spans="2:16">
      <c r="B20" s="7"/>
      <c r="C20" s="3"/>
      <c r="D20" s="91" t="s">
        <v>5</v>
      </c>
      <c r="E20" s="159"/>
      <c r="F20" s="160"/>
      <c r="G20" s="160"/>
      <c r="H20" s="160"/>
      <c r="I20" s="160"/>
      <c r="J20" s="160"/>
      <c r="K20" s="91"/>
      <c r="L20" s="94"/>
      <c r="M20" s="99"/>
      <c r="N20" s="99"/>
      <c r="O20" s="58"/>
      <c r="P20" s="9"/>
    </row>
    <row r="21" spans="2:16">
      <c r="B21" s="7"/>
      <c r="C21" s="3"/>
      <c r="D21" s="91" t="s">
        <v>7</v>
      </c>
      <c r="E21" s="100"/>
      <c r="F21" s="101" t="s">
        <v>8</v>
      </c>
      <c r="G21" s="171" t="s">
        <v>61</v>
      </c>
      <c r="H21" s="172"/>
      <c r="I21" s="102" t="s">
        <v>9</v>
      </c>
      <c r="J21" s="99" t="s">
        <v>54</v>
      </c>
      <c r="K21" s="91"/>
      <c r="L21" s="94" t="s">
        <v>19</v>
      </c>
      <c r="M21" s="169" t="s">
        <v>62</v>
      </c>
      <c r="N21" s="170"/>
      <c r="O21" s="3"/>
      <c r="P21" s="9"/>
    </row>
    <row r="22" spans="2:16">
      <c r="B22" s="7"/>
      <c r="C22" s="3"/>
      <c r="D22" s="91" t="s">
        <v>20</v>
      </c>
      <c r="E22" s="173" t="s">
        <v>69</v>
      </c>
      <c r="F22" s="174"/>
      <c r="G22" s="174"/>
      <c r="H22" s="174"/>
      <c r="I22" s="174"/>
      <c r="J22" s="174"/>
      <c r="K22" s="91"/>
      <c r="L22" s="94" t="s">
        <v>50</v>
      </c>
      <c r="M22" s="170"/>
      <c r="N22" s="170"/>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75" t="s">
        <v>22</v>
      </c>
      <c r="G24" s="176"/>
      <c r="H24" s="176"/>
      <c r="I24" s="176"/>
      <c r="J24" s="176"/>
      <c r="K24" s="177"/>
      <c r="L24" s="70" t="s">
        <v>37</v>
      </c>
      <c r="M24" s="53" t="s">
        <v>58</v>
      </c>
      <c r="N24" s="54" t="s">
        <v>23</v>
      </c>
      <c r="O24" s="59"/>
      <c r="P24" s="9"/>
    </row>
    <row r="25" spans="2:16" ht="15.75">
      <c r="B25" s="7"/>
      <c r="C25" s="3"/>
      <c r="D25" s="110"/>
      <c r="E25" s="79"/>
      <c r="F25" s="178"/>
      <c r="G25" s="179"/>
      <c r="H25" s="179"/>
      <c r="I25" s="179"/>
      <c r="J25" s="179"/>
      <c r="K25" s="180"/>
      <c r="L25" s="80"/>
      <c r="M25" s="117"/>
      <c r="N25" s="115" t="str">
        <f t="shared" ref="N25:N37" si="0">IF(E25&lt;&gt;"",E25*M25,"")</f>
        <v/>
      </c>
      <c r="O25" s="59"/>
      <c r="P25" s="9"/>
    </row>
    <row r="26" spans="2:16" ht="15">
      <c r="B26" s="7"/>
      <c r="C26" s="3"/>
      <c r="D26" s="110"/>
      <c r="E26" s="123" t="s">
        <v>70</v>
      </c>
      <c r="F26" s="153" t="s">
        <v>63</v>
      </c>
      <c r="G26" s="148"/>
      <c r="H26" s="148"/>
      <c r="I26" s="148"/>
      <c r="J26" s="148"/>
      <c r="K26" s="149"/>
      <c r="L26" s="80">
        <v>2</v>
      </c>
      <c r="M26" s="115">
        <v>470</v>
      </c>
      <c r="N26" s="115">
        <f t="shared" si="0"/>
        <v>1880</v>
      </c>
      <c r="O26" s="59"/>
      <c r="P26" s="9"/>
    </row>
    <row r="27" spans="2:16" ht="15">
      <c r="B27" s="7"/>
      <c r="C27" s="3"/>
      <c r="D27" s="110"/>
      <c r="E27" s="123"/>
      <c r="F27" s="147" t="s">
        <v>64</v>
      </c>
      <c r="G27" s="148"/>
      <c r="H27" s="148"/>
      <c r="I27" s="148"/>
      <c r="J27" s="148"/>
      <c r="K27" s="149"/>
      <c r="L27" s="80"/>
      <c r="M27" s="115"/>
      <c r="N27" s="115" t="str">
        <f t="shared" si="0"/>
        <v/>
      </c>
      <c r="O27" s="59"/>
      <c r="P27" s="9"/>
    </row>
    <row r="28" spans="2:16" ht="15">
      <c r="B28" s="7"/>
      <c r="C28" s="3"/>
      <c r="D28" s="110"/>
      <c r="E28" s="123"/>
      <c r="F28" s="147" t="s">
        <v>65</v>
      </c>
      <c r="G28" s="148"/>
      <c r="H28" s="148"/>
      <c r="I28" s="148"/>
      <c r="J28" s="148"/>
      <c r="K28" s="149"/>
      <c r="L28" s="80"/>
      <c r="M28" s="115"/>
      <c r="N28" s="115" t="str">
        <f t="shared" si="0"/>
        <v/>
      </c>
      <c r="O28" s="59"/>
      <c r="P28" s="9"/>
    </row>
    <row r="29" spans="2:16" ht="15">
      <c r="B29" s="7"/>
      <c r="C29" s="3"/>
      <c r="D29" s="110"/>
      <c r="E29" s="123"/>
      <c r="F29" s="147" t="s">
        <v>66</v>
      </c>
      <c r="G29" s="148"/>
      <c r="H29" s="148"/>
      <c r="I29" s="148"/>
      <c r="J29" s="148"/>
      <c r="K29" s="149"/>
      <c r="L29" s="80"/>
      <c r="M29" s="115"/>
      <c r="N29" s="115" t="str">
        <f t="shared" si="0"/>
        <v/>
      </c>
      <c r="O29" s="59"/>
      <c r="P29" s="9"/>
    </row>
    <row r="30" spans="2:16" ht="15">
      <c r="B30" s="7"/>
      <c r="C30" s="3"/>
      <c r="D30" s="110"/>
      <c r="E30" s="123"/>
      <c r="F30" s="147"/>
      <c r="G30" s="148"/>
      <c r="H30" s="148"/>
      <c r="I30" s="148"/>
      <c r="J30" s="148"/>
      <c r="K30" s="149"/>
      <c r="L30" s="80"/>
      <c r="M30" s="115"/>
      <c r="N30" s="115" t="str">
        <f t="shared" si="0"/>
        <v/>
      </c>
      <c r="O30" s="59"/>
      <c r="P30" s="9"/>
    </row>
    <row r="31" spans="2:16" ht="15">
      <c r="B31" s="7"/>
      <c r="C31" s="3"/>
      <c r="D31" s="110"/>
      <c r="E31" s="123"/>
      <c r="F31" s="147"/>
      <c r="G31" s="148"/>
      <c r="H31" s="148"/>
      <c r="I31" s="148"/>
      <c r="J31" s="148"/>
      <c r="K31" s="149"/>
      <c r="L31" s="80"/>
      <c r="M31" s="115"/>
      <c r="N31" s="115" t="str">
        <f t="shared" si="0"/>
        <v/>
      </c>
      <c r="O31" s="59"/>
      <c r="P31" s="9"/>
    </row>
    <row r="32" spans="2:16" ht="15">
      <c r="B32" s="7"/>
      <c r="C32" s="3"/>
      <c r="D32" s="110"/>
      <c r="E32" s="123"/>
      <c r="F32" s="147"/>
      <c r="G32" s="148"/>
      <c r="H32" s="148"/>
      <c r="I32" s="148"/>
      <c r="J32" s="148"/>
      <c r="K32" s="149"/>
      <c r="L32" s="80"/>
      <c r="M32" s="115"/>
      <c r="N32" s="115" t="str">
        <f t="shared" si="0"/>
        <v/>
      </c>
      <c r="O32" s="59"/>
      <c r="P32" s="9"/>
    </row>
    <row r="33" spans="2:16" ht="15">
      <c r="B33" s="7"/>
      <c r="C33" s="3"/>
      <c r="D33" s="110"/>
      <c r="E33" s="123"/>
      <c r="F33" s="152" t="s">
        <v>67</v>
      </c>
      <c r="G33" s="148"/>
      <c r="H33" s="148"/>
      <c r="I33" s="148"/>
      <c r="J33" s="148"/>
      <c r="K33" s="149"/>
      <c r="L33" s="80"/>
      <c r="M33" s="124"/>
      <c r="N33" s="115" t="str">
        <f t="shared" si="0"/>
        <v/>
      </c>
      <c r="O33" s="59"/>
      <c r="P33" s="9"/>
    </row>
    <row r="34" spans="2:16" ht="15">
      <c r="B34" s="7"/>
      <c r="C34" s="3"/>
      <c r="D34" s="110"/>
      <c r="E34" s="122"/>
      <c r="F34" s="152" t="s">
        <v>68</v>
      </c>
      <c r="G34" s="148"/>
      <c r="H34" s="148"/>
      <c r="I34" s="148"/>
      <c r="J34" s="148"/>
      <c r="K34" s="149"/>
      <c r="L34" s="80"/>
      <c r="M34" s="117"/>
      <c r="N34" s="115" t="str">
        <f t="shared" si="0"/>
        <v/>
      </c>
      <c r="O34" s="59"/>
      <c r="P34" s="9"/>
    </row>
    <row r="35" spans="2:16" ht="15">
      <c r="B35" s="7"/>
      <c r="C35" s="3"/>
      <c r="D35" s="110"/>
      <c r="E35" s="55"/>
      <c r="F35" s="165"/>
      <c r="G35" s="166"/>
      <c r="H35" s="166"/>
      <c r="I35" s="166"/>
      <c r="J35" s="166"/>
      <c r="K35" s="167"/>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54"/>
      <c r="G37" s="155"/>
      <c r="H37" s="155"/>
      <c r="I37" s="155"/>
      <c r="J37" s="155"/>
      <c r="K37" s="156"/>
      <c r="L37" s="81"/>
      <c r="M37" s="118"/>
      <c r="N37" s="116" t="str">
        <f t="shared" si="0"/>
        <v/>
      </c>
      <c r="O37" s="59"/>
      <c r="P37" s="9"/>
    </row>
    <row r="38" spans="2:16" ht="15.75">
      <c r="B38" s="7"/>
      <c r="C38" s="3"/>
      <c r="D38" s="3"/>
      <c r="E38" s="91"/>
      <c r="F38" s="91"/>
      <c r="G38" s="91"/>
      <c r="H38" s="91"/>
      <c r="I38" s="91"/>
      <c r="J38" s="82"/>
      <c r="K38" s="82"/>
      <c r="L38" s="82"/>
      <c r="M38" s="83" t="s">
        <v>24</v>
      </c>
      <c r="N38" s="119">
        <f>SUM(N25:N37)</f>
        <v>1880</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338.4</v>
      </c>
      <c r="O41" s="59"/>
      <c r="P41" s="9"/>
    </row>
    <row r="42" spans="2:16" ht="15">
      <c r="B42" s="7"/>
      <c r="C42" s="3"/>
      <c r="D42" s="3"/>
      <c r="E42" s="95">
        <v>2</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2218.9</v>
      </c>
      <c r="O43" s="59"/>
      <c r="P43" s="9"/>
    </row>
    <row r="44" spans="2:16" ht="17.100000000000001" customHeight="1">
      <c r="B44" s="7"/>
      <c r="C44" s="3"/>
      <c r="D44" s="168" t="s">
        <v>72</v>
      </c>
      <c r="E44" s="168"/>
      <c r="F44" s="168"/>
      <c r="G44" s="168"/>
      <c r="H44" s="168"/>
      <c r="I44" s="168"/>
      <c r="J44" s="168"/>
      <c r="K44" s="168"/>
      <c r="L44" s="168"/>
      <c r="M44" s="168"/>
      <c r="N44" s="168"/>
      <c r="O44" s="59"/>
      <c r="P44" s="9"/>
    </row>
    <row r="45" spans="2:16" ht="15">
      <c r="B45" s="7"/>
      <c r="C45" s="3"/>
      <c r="D45" s="3"/>
      <c r="E45" s="97"/>
      <c r="F45" s="181"/>
      <c r="G45" s="182"/>
      <c r="H45" s="182"/>
      <c r="I45" s="182"/>
      <c r="J45" s="85"/>
      <c r="K45" s="82"/>
      <c r="L45" s="82"/>
      <c r="M45" s="82"/>
      <c r="N45" s="82"/>
      <c r="O45" s="59"/>
      <c r="P45" s="9"/>
    </row>
    <row r="46" spans="2:16" ht="15" customHeight="1">
      <c r="B46" s="7"/>
      <c r="C46" s="3"/>
      <c r="D46" s="3"/>
      <c r="E46" s="20"/>
      <c r="F46" s="150"/>
      <c r="G46" s="151"/>
      <c r="H46" s="151"/>
      <c r="I46" s="151"/>
      <c r="J46" s="85"/>
      <c r="K46" s="138" t="s">
        <v>57</v>
      </c>
      <c r="L46" s="139"/>
      <c r="M46" s="139"/>
      <c r="N46" s="140"/>
      <c r="O46" s="59"/>
      <c r="P46" s="9"/>
    </row>
    <row r="47" spans="2:16" ht="15" customHeight="1">
      <c r="B47" s="7"/>
      <c r="C47" s="3"/>
      <c r="D47" s="3"/>
      <c r="E47" s="20"/>
      <c r="F47" s="83"/>
      <c r="G47" s="136"/>
      <c r="H47" s="137"/>
      <c r="I47" s="137"/>
      <c r="J47" s="85"/>
      <c r="K47" s="141"/>
      <c r="L47" s="142"/>
      <c r="M47" s="142"/>
      <c r="N47" s="143"/>
      <c r="O47" s="59"/>
      <c r="P47" s="9"/>
    </row>
    <row r="48" spans="2:16" ht="15" customHeight="1">
      <c r="B48" s="7"/>
      <c r="C48" s="3"/>
      <c r="D48" s="3"/>
      <c r="E48" s="3"/>
      <c r="F48" s="82"/>
      <c r="G48" s="82"/>
      <c r="H48" s="82"/>
      <c r="I48" s="82"/>
      <c r="J48" s="85"/>
      <c r="K48" s="144"/>
      <c r="L48" s="145"/>
      <c r="M48" s="145"/>
      <c r="N48" s="146"/>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63"/>
      <c r="G56" s="163"/>
      <c r="H56" s="163"/>
      <c r="I56" s="163"/>
      <c r="J56" s="163"/>
      <c r="K56" s="163"/>
      <c r="L56" s="163"/>
      <c r="M56" s="163"/>
      <c r="N56" s="3"/>
      <c r="O56" s="59"/>
      <c r="P56" s="9"/>
    </row>
    <row r="57" spans="2:16">
      <c r="B57" s="7"/>
      <c r="C57" s="3"/>
      <c r="D57" s="3"/>
      <c r="E57" s="3"/>
      <c r="F57" s="164"/>
      <c r="G57" s="164"/>
      <c r="H57" s="164"/>
      <c r="I57" s="164"/>
      <c r="J57" s="164"/>
      <c r="K57" s="164"/>
      <c r="L57" s="164"/>
      <c r="M57" s="164"/>
      <c r="N57" s="3"/>
      <c r="O57" s="59"/>
      <c r="P57" s="9"/>
    </row>
    <row r="58" spans="2:16">
      <c r="B58" s="7"/>
      <c r="C58" s="3"/>
      <c r="D58" s="3"/>
      <c r="E58" s="3"/>
      <c r="F58" s="164"/>
      <c r="G58" s="164"/>
      <c r="H58" s="164"/>
      <c r="I58" s="164"/>
      <c r="J58" s="164"/>
      <c r="K58" s="164"/>
      <c r="L58" s="164"/>
      <c r="M58" s="164"/>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6:M58"/>
    <mergeCell ref="F35:K35"/>
    <mergeCell ref="F32:K32"/>
    <mergeCell ref="D44:N44"/>
    <mergeCell ref="M21:N21"/>
    <mergeCell ref="M22:N22"/>
    <mergeCell ref="G21:H21"/>
    <mergeCell ref="E22:J22"/>
    <mergeCell ref="F24:K24"/>
    <mergeCell ref="F25:K25"/>
    <mergeCell ref="F45:I45"/>
    <mergeCell ref="F27:K27"/>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42577</v>
      </c>
      <c r="D8" s="74" t="str">
        <f>Facture!$E$19</f>
        <v>3ETEL</v>
      </c>
      <c r="E8" s="71">
        <f>Facture!$E$20</f>
        <v>0</v>
      </c>
      <c r="F8" s="71">
        <f>Facture!$E$21</f>
        <v>0</v>
      </c>
      <c r="G8" s="74" t="str">
        <f>Facture!$G$21</f>
        <v xml:space="preserve"> Tunis</v>
      </c>
      <c r="H8" s="74" t="str">
        <f>Facture!$J$21</f>
        <v>TN</v>
      </c>
      <c r="I8" s="71" t="str">
        <f>Facture!$E$22</f>
        <v>TEL:94617477/ 58568629 FAX :71694906</v>
      </c>
      <c r="J8" s="75">
        <f>Facture!$N$43</f>
        <v>2218.9</v>
      </c>
      <c r="K8" s="71" t="str">
        <f>Facture!$M$21</f>
        <v>SERVICE ACHAT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2016-07-26T11:51:02Z</cp:lastPrinted>
  <dcterms:created xsi:type="dcterms:W3CDTF">1995-05-29T15:50:39Z</dcterms:created>
  <dcterms:modified xsi:type="dcterms:W3CDTF">2016-08-01T08:11:53Z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3ETEL</vt:lpwstr>
  </property>
  <property fmtid="{D5CDD505-2E9C-101B-9397-08002B2CF9AE}" pid="11" name="Montant de la facture" linkTarget="TOT">
    <vt:r8>2218.9</vt:r8>
  </property>
</Properties>
</file>