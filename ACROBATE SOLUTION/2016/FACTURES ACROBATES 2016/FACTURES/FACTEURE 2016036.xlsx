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Facture!$M$46</definedName>
    <definedName name="_Tax2">Facture!$M$47</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Facture!$F$32</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Facture!$F$32:$K$32</definedName>
    <definedName name="qzqzqz21">Facture!$F$27:$K$27</definedName>
    <definedName name="qzqzqz22">Facture!#REF!</definedName>
    <definedName name="qzqzqz23">Facture!$F$28:$K$28</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Facture!$K$52:$N$54</definedName>
    <definedName name="qzqzqz3">Facture!$E$20:$J$20</definedName>
    <definedName name="qzqzqz30">Facture!$G$53:$I$53</definedName>
    <definedName name="qzqzqz31">Facture!$G$53:$H$53</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25725"/>
</workbook>
</file>

<file path=xl/calcChain.xml><?xml version="1.0" encoding="utf-8"?>
<calcChain xmlns="http://schemas.openxmlformats.org/spreadsheetml/2006/main">
  <c r="N37" i="3"/>
  <c r="N25"/>
  <c r="N42"/>
  <c r="N41"/>
  <c r="N40"/>
  <c r="N39"/>
  <c r="N38"/>
  <c r="N26"/>
  <c r="N35"/>
  <c r="N34"/>
  <c r="N32"/>
  <c r="N31"/>
  <c r="N30"/>
  <c r="N29" l="1"/>
  <c r="N27"/>
  <c r="N28"/>
  <c r="N43"/>
  <c r="M47"/>
  <c r="M48"/>
  <c r="F33" i="2"/>
  <c r="B8" i="8"/>
  <c r="C8"/>
  <c r="D8"/>
  <c r="E8"/>
  <c r="F8"/>
  <c r="G8"/>
  <c r="H8"/>
  <c r="I8"/>
  <c r="K8"/>
  <c r="N33" i="3" l="1"/>
  <c r="N36"/>
  <c r="N44" l="1"/>
  <c r="N47" s="1"/>
  <c r="N50" s="1"/>
  <c r="N49"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M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text>
        <r>
          <rPr>
            <sz val="8"/>
            <color indexed="81"/>
            <rFont val="Tahoma"/>
            <family val="2"/>
          </rPr>
          <t>Cliquez sur ce bouton pour retourner à la feuille Personnaliser vos frais et modifier vos informations personnelles.</t>
        </r>
      </text>
    </comment>
    <comment ref="M15" authorId="1">
      <text>
        <r>
          <rPr>
            <b/>
            <sz val="8"/>
            <color indexed="81"/>
            <rFont val="Tahoma"/>
            <family val="2"/>
          </rPr>
          <t>GAMESYSTEM:</t>
        </r>
        <r>
          <rPr>
            <sz val="8"/>
            <color indexed="81"/>
            <rFont val="Tahoma"/>
            <family val="2"/>
          </rPr>
          <t xml:space="preserve">
</t>
        </r>
      </text>
    </comment>
    <comment ref="L22" author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<sst xmlns="http://schemas.openxmlformats.org/spreadsheetml/2006/main" count="92" uniqueCount="75">
  <si>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</si>
  <si>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</si>
  <si>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</si>
  <si>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</si>
  <si>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</si>
  <si>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</si>
  <si>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</si>
  <si>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</si>
  <si>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</si>
  <si>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</si>
  <si>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</si>
  <si>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</si>
  <si>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</si>
  <si>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</si>
  <si>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</si>
  <si>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</si>
  <si>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</si>
  <si>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</si>
  <si>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</si>
  <si>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</si>
  <si>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</si>
  <si>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</si>
  <si>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</si>
  <si>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</si>
  <si>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</si>
  <si>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</si>
  <si>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</si>
  <si>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</si>
  <si>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</si>
  <si>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</si>
  <si>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</si>
  <si>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</si>
  <si>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</si>
  <si>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</si>
  <si>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</si>
  <si>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</si>
  <si>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</si>
  <si>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</si>
  <si>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</si>
  <si>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</si>
  <si>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</si>
  <si>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</si>
  <si>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</si>
  <si>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</si>
  <si>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</si>
  <si>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</si>
  <si>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</si>
  <si>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</si>
  <si>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</si>
  <si>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</si>
  <si>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</si>
  <si>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</si>
  <si>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</si>
  <si>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</si>
  <si>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</si>
  <si>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</si>
  <si>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</si>
  <si>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</si>
  <si>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</si>
  <si>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</si>
  <si>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</si>
  <si>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</si>
  <si>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KIT PYLONIER COMPOSE DE :</t>
  </si>
  <si>
    <t xml:space="preserve">                         fax:</t>
  </si>
  <si>
    <t xml:space="preserve"> Rue Immeuble de palmier,Centre bebel,appt 9,1 er Etage,</t>
  </si>
  <si>
    <t>Mobiserve Tunisia</t>
  </si>
  <si>
    <t>MME MYRIAM BENJANNET</t>
  </si>
  <si>
    <t>FACTEURS 2016038</t>
  </si>
  <si>
    <r>
      <rPr>
        <b/>
        <sz val="11"/>
        <rFont val="Arial"/>
        <family val="2"/>
      </rPr>
      <t>1</t>
    </r>
    <r>
      <rPr>
        <sz val="11"/>
        <rFont val="Arial"/>
        <family val="2"/>
      </rPr>
      <t xml:space="preserve"> HARNAIS   ORBITAL</t>
    </r>
  </si>
  <si>
    <r>
      <rPr>
        <b/>
        <sz val="11"/>
        <rFont val="Arial"/>
        <family val="2"/>
      </rPr>
      <t>1</t>
    </r>
    <r>
      <rPr>
        <sz val="11"/>
        <rFont val="Arial"/>
        <family val="2"/>
      </rPr>
      <t xml:space="preserve"> LONGE DE MAINTIEN </t>
    </r>
  </si>
  <si>
    <r>
      <rPr>
        <b/>
        <sz val="11"/>
        <rFont val="Arial"/>
        <family val="2"/>
      </rPr>
      <t>1</t>
    </r>
    <r>
      <rPr>
        <sz val="11"/>
        <rFont val="Arial"/>
        <family val="2"/>
      </rPr>
      <t xml:space="preserve"> LONGE DOUBLE  (Y)CORDAGE</t>
    </r>
  </si>
  <si>
    <t>CORDE</t>
  </si>
  <si>
    <t>DESCENDEUR</t>
  </si>
  <si>
    <t>ARRETE LA PRESENTE DEVIS A LA SOMME DE  QUATRE MILLES CINQUANTE NEUF DINARS ET  700 MILLIMES</t>
  </si>
  <si>
    <t xml:space="preserve">SELETTE </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</si>
</sst>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7"/>
      <name val="Times New Roman"/>
      <family val="1"/>
    </font>
    <font>
      <b/>
      <u/>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18" fillId="3" borderId="27"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49" fontId="8" fillId="0" borderId="32" xfId="0" applyNumberFormat="1" applyFont="1" applyFill="1" applyBorder="1" applyAlignment="1">
      <alignment horizontal="left"/>
    </xf>
    <xf numFmtId="49" fontId="8" fillId="0" borderId="0" xfId="0" applyNumberFormat="1" applyFont="1" applyFill="1" applyBorder="1" applyAlignment="1">
      <alignment horizontal="left"/>
    </xf>
    <xf numFmtId="49" fontId="8" fillId="0" borderId="34" xfId="0" applyNumberFormat="1" applyFont="1" applyFill="1" applyBorder="1" applyAlignment="1">
      <alignment horizontal="left"/>
    </xf>
    <xf numFmtId="0" fontId="1" fillId="3" borderId="25" xfId="0" applyFont="1" applyFill="1" applyBorder="1" applyAlignment="1"/>
    <xf numFmtId="0" fontId="0" fillId="2" borderId="35" xfId="0" applyBorder="1" applyAlignment="1"/>
    <xf numFmtId="0" fontId="0" fillId="2" borderId="49" xfId="0" applyBorder="1" applyAlignment="1"/>
    <xf numFmtId="49" fontId="36" fillId="0" borderId="45" xfId="0" applyNumberFormat="1" applyFont="1" applyFill="1" applyBorder="1" applyAlignment="1"/>
    <xf numFmtId="49" fontId="36" fillId="0" borderId="46" xfId="0" applyNumberFormat="1" applyFont="1" applyFill="1" applyBorder="1" applyAlignment="1"/>
    <xf numFmtId="49" fontId="36" fillId="0" borderId="47" xfId="0" applyNumberFormat="1" applyFont="1" applyFill="1" applyBorder="1" applyAlignment="1"/>
    <xf numFmtId="0" fontId="4" fillId="3" borderId="35" xfId="0" applyFont="1" applyFill="1" applyBorder="1" applyAlignment="1"/>
    <xf numFmtId="0" fontId="4" fillId="2" borderId="35" xfId="0" applyFont="1" applyBorder="1" applyAlignment="1"/>
    <xf numFmtId="49" fontId="33" fillId="3" borderId="32"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4" fillId="3" borderId="32"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4" xfId="0" applyNumberFormat="1" applyFont="1" applyFill="1" applyBorder="1" applyAlignment="1">
      <alignment horizontal="left"/>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8" fillId="0" borderId="32" xfId="0" applyNumberFormat="1" applyFont="1" applyFill="1" applyBorder="1" applyAlignment="1"/>
    <xf numFmtId="49" fontId="8" fillId="0" borderId="0" xfId="0" applyNumberFormat="1" applyFont="1" applyFill="1" applyBorder="1" applyAlignment="1"/>
    <xf numFmtId="49" fontId="8" fillId="0" borderId="34"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5" fillId="3" borderId="32" xfId="0" applyNumberFormat="1" applyFont="1" applyFill="1" applyBorder="1" applyAlignment="1">
      <alignment horizontal="left" shrinkToFit="1"/>
    </xf>
    <xf numFmtId="49" fontId="30" fillId="3" borderId="0" xfId="0" applyNumberFormat="1" applyFont="1" applyFill="1" applyBorder="1" applyAlignment="1">
      <alignment horizontal="left" shrinkToFit="1"/>
    </xf>
    <xf numFmtId="49" fontId="30" fillId="3" borderId="34" xfId="0" applyNumberFormat="1" applyFont="1" applyFill="1" applyBorder="1" applyAlignment="1">
      <alignment horizontal="left" shrinkToFit="1"/>
    </xf>
    <xf numFmtId="0" fontId="32"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drawing" Target="../drawings/drawing2.xml"/><Relationship Id="rId7" Type="http://schemas.openxmlformats.org/officeDocument/2006/relationships/ctrlProp" Target="../ctrlProps/ctrlProp8.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7.xml"/><Relationship Id="rId5" Type="http://schemas.openxmlformats.org/officeDocument/2006/relationships/comments" Target="../comments2.xml"/><Relationship Id="rId4" Type="http://schemas.openxmlformats.org/officeDocument/2006/relationships/vmlDrawing" Target="../drawings/vmlDrawing2.v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24" t="s">
        <v>0</v>
      </c>
      <c r="E4" s="125"/>
      <c r="F4" s="125"/>
      <c r="G4" s="3"/>
      <c r="H4" s="3"/>
      <c r="I4" s="3"/>
      <c r="J4" s="9"/>
    </row>
    <row r="5" spans="2:10" ht="3" customHeight="1" thickTop="1">
      <c r="B5" s="2"/>
      <c r="C5" s="60"/>
      <c r="D5" s="60"/>
      <c r="E5" s="60"/>
      <c r="F5" s="60"/>
      <c r="G5" s="60"/>
      <c r="H5" s="60"/>
      <c r="I5" s="60"/>
      <c r="J5" s="1"/>
    </row>
    <row r="6" spans="2:10" ht="12.75" customHeight="1">
      <c r="B6" s="7"/>
      <c r="C6" s="3"/>
      <c r="D6" s="21"/>
      <c r="E6" s="3"/>
      <c r="F6" s="3"/>
      <c r="G6" s="3"/>
      <c r="H6" s="3"/>
      <c r="I6" s="3"/>
      <c r="J6" s="9"/>
    </row>
    <row r="7" spans="2:10">
      <c r="B7" s="7"/>
      <c r="C7" s="3"/>
      <c r="D7" s="3"/>
      <c r="E7" s="3"/>
      <c r="F7" s="3"/>
      <c r="G7" s="66" t="s">
        <v>48</v>
      </c>
      <c r="H7" s="3"/>
      <c r="I7" s="3"/>
      <c r="J7" s="9"/>
    </row>
    <row r="8" spans="2:10">
      <c r="B8" s="7"/>
      <c r="C8" s="3"/>
      <c r="D8" s="3"/>
      <c r="E8" s="3"/>
      <c r="F8" s="3"/>
      <c r="G8" s="66" t="s">
        <v>1</v>
      </c>
      <c r="H8" s="3"/>
      <c r="I8" s="3"/>
      <c r="J8" s="9"/>
    </row>
    <row r="9" spans="2:10">
      <c r="B9" s="7"/>
      <c r="C9" s="3"/>
      <c r="D9" s="22"/>
      <c r="E9" s="3"/>
      <c r="F9" s="3"/>
      <c r="G9" s="44"/>
      <c r="H9" s="3"/>
      <c r="I9" s="3"/>
      <c r="J9" s="9"/>
    </row>
    <row r="10" spans="2:10" ht="13.5" thickBot="1">
      <c r="B10" s="7"/>
      <c r="C10" s="3"/>
      <c r="D10" s="126" t="s">
        <v>2</v>
      </c>
      <c r="E10" s="127"/>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7" t="s">
        <v>4</v>
      </c>
      <c r="G12" s="17"/>
      <c r="H12" s="27"/>
      <c r="I12" s="3"/>
      <c r="J12" s="9"/>
    </row>
    <row r="13" spans="2:10" ht="13.5" thickBot="1">
      <c r="B13" s="7"/>
      <c r="C13" s="3"/>
      <c r="D13" s="34" t="s">
        <v>5</v>
      </c>
      <c r="E13" s="14" t="s">
        <v>52</v>
      </c>
      <c r="F13" s="67"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28" t="s">
        <v>49</v>
      </c>
      <c r="E19" s="127"/>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6">
        <v>0.1</v>
      </c>
      <c r="F22" s="35"/>
      <c r="G22" s="38"/>
      <c r="H22" s="27"/>
      <c r="I22" s="3"/>
      <c r="J22" s="9"/>
    </row>
    <row r="23" spans="2:10">
      <c r="B23" s="7"/>
      <c r="C23" s="3"/>
      <c r="D23" s="36">
        <v>2</v>
      </c>
      <c r="E23" s="68">
        <v>0.18</v>
      </c>
      <c r="F23" s="35"/>
      <c r="G23" s="39"/>
      <c r="H23" s="27"/>
      <c r="I23" s="3"/>
      <c r="J23" s="9"/>
    </row>
    <row r="24" spans="2:10" ht="13.5" thickBot="1">
      <c r="B24" s="7"/>
      <c r="C24" s="3"/>
      <c r="D24" s="36">
        <v>3</v>
      </c>
      <c r="E24" s="64">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77">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3"/>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29" t="str">
        <f>LOWER(TemplateInformation!B3)</f>
        <v>c:\program files\microsoft office\office\macrolib\factbd.xls</v>
      </c>
      <c r="G33" s="130"/>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26" t="s">
        <v>16</v>
      </c>
      <c r="E36" s="127"/>
      <c r="F36" s="3"/>
      <c r="G36" s="3"/>
      <c r="H36" s="3"/>
      <c r="I36" s="3"/>
      <c r="J36" s="9"/>
    </row>
    <row r="37" spans="2:10" ht="14.25">
      <c r="B37" s="7"/>
      <c r="C37" s="3"/>
      <c r="D37" s="24"/>
      <c r="E37" s="25"/>
      <c r="F37" s="25"/>
      <c r="G37" s="25"/>
      <c r="H37" s="26"/>
      <c r="I37" s="3"/>
      <c r="J37" s="9"/>
    </row>
    <row r="38" spans="2:10" ht="14.25">
      <c r="B38" s="7"/>
      <c r="C38" s="3"/>
      <c r="D38" s="46"/>
      <c r="E38" s="47"/>
      <c r="F38" s="103"/>
      <c r="G38" s="47"/>
      <c r="H38" s="48"/>
      <c r="I38" s="62"/>
      <c r="J38" s="23"/>
    </row>
    <row r="39" spans="2:10" ht="14.25">
      <c r="B39" s="7"/>
      <c r="C39" s="3"/>
      <c r="D39" s="46"/>
      <c r="E39" s="47"/>
      <c r="F39" s="49"/>
      <c r="G39" s="47"/>
      <c r="H39" s="48"/>
      <c r="I39" s="62"/>
      <c r="J39" s="23"/>
    </row>
    <row r="40" spans="2:10" ht="14.25">
      <c r="B40" s="7"/>
      <c r="C40" s="3"/>
      <c r="D40" s="46"/>
      <c r="E40" s="47"/>
      <c r="F40" s="47"/>
      <c r="G40" s="47"/>
      <c r="H40" s="48"/>
      <c r="I40" s="62"/>
      <c r="J40" s="23"/>
    </row>
    <row r="41" spans="2:10" ht="14.25">
      <c r="B41" s="7"/>
      <c r="C41" s="3"/>
      <c r="D41" s="46"/>
      <c r="E41" s="47"/>
      <c r="F41" s="47"/>
      <c r="G41" s="47"/>
      <c r="H41" s="48"/>
      <c r="I41" s="62"/>
      <c r="J41" s="23"/>
    </row>
    <row r="42" spans="2:10" ht="20.100000000000001" customHeight="1">
      <c r="B42" s="7"/>
      <c r="C42" s="3"/>
      <c r="D42" s="46"/>
      <c r="E42" s="47"/>
      <c r="F42" s="47"/>
      <c r="G42" s="47"/>
      <c r="H42" s="48"/>
      <c r="I42" s="62"/>
      <c r="J42" s="23"/>
    </row>
    <row r="43" spans="2:10" ht="14.25">
      <c r="B43" s="7"/>
      <c r="C43" s="3"/>
      <c r="D43" s="46"/>
      <c r="E43" s="47"/>
      <c r="F43" s="47"/>
      <c r="G43" s="47"/>
      <c r="H43" s="48"/>
      <c r="I43" s="62"/>
      <c r="J43" s="23"/>
    </row>
    <row r="44" spans="2:10" ht="26.25" customHeight="1" thickBot="1">
      <c r="B44" s="7"/>
      <c r="C44" s="3"/>
      <c r="D44" s="50"/>
      <c r="E44" s="51"/>
      <c r="F44" s="51"/>
      <c r="G44" s="51"/>
      <c r="H44" s="52"/>
      <c r="I44" s="62"/>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5">
        <v>0</v>
      </c>
    </row>
    <row r="49" spans="5:5">
      <c r="E49" s="65" t="b">
        <v>0</v>
      </c>
    </row>
    <row r="50" spans="5:5">
      <c r="E50" s="65" t="b">
        <v>0</v>
      </c>
    </row>
    <row r="51" spans="5:5">
      <c r="E51" s="65" t="s">
        <v>17</v>
      </c>
    </row>
    <row r="52" spans="5:5">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P66"/>
  <sheetViews>
    <sheetView showGridLines="0" showRowColHeaders="0" tabSelected="1" topLeftCell="A28" zoomScale="95" workbookViewId="0">
      <selection activeCell="F30" sqref="F30:K30"/>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9"/>
    </row>
    <row r="4" spans="2:16">
      <c r="B4" s="7"/>
      <c r="C4" s="3"/>
      <c r="D4" s="3"/>
      <c r="E4" s="3"/>
      <c r="F4" s="3"/>
      <c r="G4" s="3"/>
      <c r="H4" s="3"/>
      <c r="I4" s="3"/>
      <c r="J4" s="3"/>
      <c r="K4" s="3"/>
      <c r="L4" s="3"/>
      <c r="M4" s="3"/>
      <c r="N4" s="3"/>
      <c r="O4" s="3"/>
      <c r="P4" s="9"/>
    </row>
    <row r="5" spans="2:16">
      <c r="B5" s="7"/>
      <c r="C5" s="3"/>
      <c r="D5" s="3"/>
      <c r="E5" s="3"/>
      <c r="F5" s="3"/>
      <c r="G5" s="3"/>
      <c r="H5" s="3"/>
      <c r="I5" s="3"/>
      <c r="J5" s="3"/>
      <c r="K5" s="3"/>
      <c r="L5" s="3"/>
      <c r="M5" s="3"/>
      <c r="N5" s="3"/>
      <c r="O5" s="3"/>
      <c r="P5" s="9"/>
    </row>
    <row r="6" spans="2:16">
      <c r="B6" s="7"/>
      <c r="C6" s="3"/>
      <c r="D6" s="3"/>
      <c r="E6" s="3"/>
      <c r="F6" s="3"/>
      <c r="G6" s="3"/>
      <c r="H6" s="3"/>
      <c r="I6" s="3"/>
      <c r="J6" s="3"/>
      <c r="K6" s="3"/>
      <c r="L6" s="3"/>
      <c r="M6" s="3"/>
      <c r="N6" s="3"/>
      <c r="O6" s="3"/>
      <c r="P6" s="9"/>
    </row>
    <row r="7" spans="2:16">
      <c r="B7" s="7"/>
      <c r="C7" s="3"/>
      <c r="D7" s="3"/>
      <c r="E7" s="3"/>
      <c r="F7" s="3"/>
      <c r="G7" s="3"/>
      <c r="H7" s="3"/>
      <c r="I7" s="3"/>
      <c r="J7" s="3"/>
      <c r="K7" s="3"/>
      <c r="L7" s="3"/>
      <c r="M7" s="3"/>
      <c r="N7" s="3"/>
      <c r="O7" s="3"/>
      <c r="P7" s="9"/>
    </row>
    <row r="8" spans="2:16">
      <c r="B8" s="7"/>
      <c r="C8" s="3"/>
      <c r="D8" s="3"/>
      <c r="E8" s="3"/>
      <c r="F8" s="3"/>
      <c r="G8" s="3"/>
      <c r="H8" s="3"/>
      <c r="I8" s="3"/>
      <c r="J8" s="3"/>
      <c r="K8" s="3"/>
      <c r="L8" s="3"/>
      <c r="M8" s="3"/>
      <c r="N8" s="3"/>
      <c r="O8" s="3"/>
      <c r="P8" s="9"/>
    </row>
    <row r="9" spans="2:16">
      <c r="B9" s="7"/>
      <c r="C9" s="3"/>
      <c r="D9" s="3"/>
      <c r="E9" s="3"/>
      <c r="F9" s="3"/>
      <c r="G9" s="3"/>
      <c r="H9" s="3"/>
      <c r="I9" s="3"/>
      <c r="J9" s="3"/>
      <c r="K9" s="3"/>
      <c r="L9" s="3"/>
      <c r="M9" s="167" t="s">
        <v>60</v>
      </c>
      <c r="N9" s="168"/>
      <c r="O9" s="3"/>
      <c r="P9" s="9"/>
    </row>
    <row r="10" spans="2:16">
      <c r="B10" s="7"/>
      <c r="C10" s="3"/>
      <c r="D10" s="3"/>
      <c r="E10" s="3"/>
      <c r="F10" s="3"/>
      <c r="G10" s="3"/>
      <c r="H10" s="3"/>
      <c r="I10" s="3"/>
      <c r="J10" s="3"/>
      <c r="K10" s="3"/>
      <c r="L10" s="3"/>
      <c r="M10" s="199" t="s">
        <v>61</v>
      </c>
      <c r="N10" s="200"/>
      <c r="O10" s="3"/>
      <c r="P10" s="9"/>
    </row>
    <row r="11" spans="2:16" ht="20.25">
      <c r="B11" s="7"/>
      <c r="C11" s="3"/>
      <c r="D11" s="3"/>
      <c r="E11" s="3"/>
      <c r="F11" s="3"/>
      <c r="G11" s="3"/>
      <c r="H11" s="3"/>
      <c r="I11" s="3"/>
      <c r="J11" s="3"/>
      <c r="K11" s="8"/>
      <c r="L11" s="8"/>
      <c r="M11" s="78"/>
      <c r="N11" s="78" t="s">
        <v>57</v>
      </c>
      <c r="O11" s="19"/>
      <c r="P11" s="9"/>
    </row>
    <row r="12" spans="2:16">
      <c r="B12" s="7"/>
      <c r="C12" s="3"/>
      <c r="D12" s="3"/>
      <c r="E12" s="3"/>
      <c r="F12" s="3"/>
      <c r="G12" s="3"/>
      <c r="H12" s="3"/>
      <c r="I12" s="3"/>
      <c r="J12" s="3"/>
      <c r="K12" s="3"/>
      <c r="L12" s="3"/>
      <c r="M12" s="3"/>
      <c r="N12" s="3"/>
      <c r="O12" s="3"/>
      <c r="P12" s="9"/>
    </row>
    <row r="13" spans="2:16">
      <c r="B13" s="7"/>
      <c r="C13" s="3"/>
      <c r="D13" s="3"/>
      <c r="E13" s="3"/>
      <c r="F13" s="3"/>
      <c r="G13" s="3"/>
      <c r="H13" s="3"/>
      <c r="I13" s="3"/>
      <c r="J13" s="3"/>
      <c r="K13" s="3"/>
      <c r="L13" s="3"/>
      <c r="M13" s="3"/>
      <c r="N13" s="3"/>
      <c r="O13" s="3"/>
      <c r="P13" s="9"/>
    </row>
    <row r="14" spans="2:16">
      <c r="B14" s="7"/>
      <c r="C14" s="3"/>
      <c r="D14" s="3"/>
      <c r="E14" s="3"/>
      <c r="F14" s="3"/>
      <c r="G14" s="3"/>
      <c r="H14" s="3"/>
      <c r="I14" s="3"/>
      <c r="J14" s="3"/>
      <c r="K14" s="3"/>
      <c r="L14" s="3"/>
      <c r="M14" s="3"/>
      <c r="N14" s="3"/>
      <c r="O14" s="3"/>
      <c r="P14" s="9"/>
    </row>
    <row r="15" spans="2:16" ht="20.100000000000001" customHeight="1" thickBot="1">
      <c r="B15" s="7"/>
      <c r="C15" s="3"/>
      <c r="D15" s="3"/>
      <c r="E15" s="3"/>
      <c r="F15" s="3"/>
      <c r="G15" s="3"/>
      <c r="H15" s="3"/>
      <c r="I15" s="3"/>
      <c r="J15" s="3"/>
      <c r="K15" s="3"/>
      <c r="L15" s="3"/>
      <c r="M15" s="105" t="s">
        <v>67</v>
      </c>
      <c r="N15" s="96"/>
      <c r="O15" s="3"/>
      <c r="P15" s="9"/>
    </row>
    <row r="16" spans="2:16" ht="3" customHeight="1" thickTop="1">
      <c r="B16" s="7"/>
      <c r="C16" s="3"/>
      <c r="D16" s="60"/>
      <c r="E16" s="60"/>
      <c r="F16" s="60"/>
      <c r="G16" s="60"/>
      <c r="H16" s="60"/>
      <c r="I16" s="60"/>
      <c r="J16" s="61"/>
      <c r="K16" s="61"/>
      <c r="L16" s="61"/>
      <c r="M16" s="60"/>
      <c r="N16" s="61"/>
      <c r="O16" s="21"/>
      <c r="P16" s="9"/>
    </row>
    <row r="17" spans="2:16" ht="14.1" customHeight="1">
      <c r="B17" s="7"/>
      <c r="C17" s="3"/>
      <c r="D17" s="3"/>
      <c r="E17" s="3"/>
      <c r="F17" s="3"/>
      <c r="G17" s="3"/>
      <c r="H17" s="3"/>
      <c r="I17" s="3"/>
      <c r="J17" s="3"/>
      <c r="K17" s="3"/>
      <c r="L17" s="3"/>
      <c r="M17" s="3"/>
      <c r="N17" s="3"/>
      <c r="O17" s="3"/>
      <c r="P17" s="9"/>
    </row>
    <row r="18" spans="2:16">
      <c r="B18" s="7"/>
      <c r="C18" s="3"/>
      <c r="D18" s="3"/>
      <c r="E18" s="3"/>
      <c r="F18" s="3"/>
      <c r="G18" s="3"/>
      <c r="H18" s="3"/>
      <c r="I18" s="3"/>
      <c r="J18" s="3"/>
      <c r="K18" s="3"/>
      <c r="L18" s="3"/>
      <c r="M18" s="3"/>
      <c r="N18" s="3"/>
      <c r="O18" s="3"/>
      <c r="P18" s="9"/>
    </row>
    <row r="19" spans="2:16" ht="18">
      <c r="B19" s="7"/>
      <c r="C19" s="3"/>
      <c r="D19" s="91" t="s">
        <v>3</v>
      </c>
      <c r="E19" s="147" t="s">
        <v>65</v>
      </c>
      <c r="F19" s="148"/>
      <c r="G19" s="148"/>
      <c r="H19" s="148"/>
      <c r="I19" s="148"/>
      <c r="J19" s="148"/>
      <c r="K19" s="91"/>
      <c r="L19" s="94" t="s">
        <v>18</v>
      </c>
      <c r="M19" s="139">
        <v>42587</v>
      </c>
      <c r="N19" s="140"/>
      <c r="O19" s="57"/>
      <c r="P19" s="9"/>
    </row>
    <row r="20" spans="2:16">
      <c r="B20" s="7"/>
      <c r="C20" s="3"/>
      <c r="D20" s="91" t="s">
        <v>5</v>
      </c>
      <c r="E20" s="145" t="s">
        <v>64</v>
      </c>
      <c r="F20" s="146"/>
      <c r="G20" s="146"/>
      <c r="H20" s="146"/>
      <c r="I20" s="146"/>
      <c r="J20" s="146"/>
      <c r="K20" s="91"/>
      <c r="L20" s="94"/>
      <c r="M20" s="99"/>
      <c r="N20" s="99"/>
      <c r="O20" s="58"/>
      <c r="P20" s="9"/>
    </row>
    <row r="21" spans="2:16">
      <c r="B21" s="7"/>
      <c r="C21" s="3"/>
      <c r="D21" s="91" t="s">
        <v>7</v>
      </c>
      <c r="E21" s="100"/>
      <c r="F21" s="101" t="s">
        <v>8</v>
      </c>
      <c r="G21" s="144"/>
      <c r="H21" s="144"/>
      <c r="I21" s="102" t="s">
        <v>9</v>
      </c>
      <c r="J21" s="99" t="s">
        <v>55</v>
      </c>
      <c r="K21" s="91"/>
      <c r="L21" s="94" t="s">
        <v>19</v>
      </c>
      <c r="M21" s="141" t="s">
        <v>66</v>
      </c>
      <c r="N21" s="142"/>
      <c r="O21" s="3"/>
      <c r="P21" s="9"/>
    </row>
    <row r="22" spans="2:16">
      <c r="B22" s="7"/>
      <c r="C22" s="3"/>
      <c r="D22" s="91" t="s">
        <v>20</v>
      </c>
      <c r="E22" s="149" t="s">
        <v>63</v>
      </c>
      <c r="F22" s="150"/>
      <c r="G22" s="150"/>
      <c r="H22" s="150"/>
      <c r="I22" s="150"/>
      <c r="J22" s="150"/>
      <c r="K22" s="91"/>
      <c r="L22" s="94" t="s">
        <v>51</v>
      </c>
      <c r="M22" s="143"/>
      <c r="N22" s="143"/>
      <c r="O22" s="3"/>
      <c r="P22" s="9"/>
    </row>
    <row r="23" spans="2:16">
      <c r="B23" s="7"/>
      <c r="C23" s="3"/>
      <c r="D23" s="91"/>
      <c r="E23" s="91"/>
      <c r="F23" s="91"/>
      <c r="G23" s="91"/>
      <c r="H23" s="91"/>
      <c r="I23" s="91"/>
      <c r="J23" s="91"/>
      <c r="K23" s="91"/>
      <c r="L23" s="91"/>
      <c r="M23" s="91"/>
      <c r="N23" s="91"/>
      <c r="O23" s="3"/>
      <c r="P23" s="9"/>
    </row>
    <row r="24" spans="2:16">
      <c r="B24" s="7"/>
      <c r="C24" s="3"/>
      <c r="D24" s="69" t="s">
        <v>36</v>
      </c>
      <c r="E24" s="53" t="s">
        <v>21</v>
      </c>
      <c r="F24" s="154" t="s">
        <v>22</v>
      </c>
      <c r="G24" s="155"/>
      <c r="H24" s="155"/>
      <c r="I24" s="155"/>
      <c r="J24" s="155"/>
      <c r="K24" s="156"/>
      <c r="L24" s="70" t="s">
        <v>37</v>
      </c>
      <c r="M24" s="53" t="s">
        <v>59</v>
      </c>
      <c r="N24" s="54" t="s">
        <v>23</v>
      </c>
      <c r="O24" s="59"/>
      <c r="P24" s="9"/>
    </row>
    <row r="25" spans="2:16" ht="15.75">
      <c r="B25" s="7"/>
      <c r="C25" s="3"/>
      <c r="D25" s="110"/>
      <c r="E25" s="79">
        <v>2</v>
      </c>
      <c r="F25" s="157" t="s">
        <v>62</v>
      </c>
      <c r="G25" s="158"/>
      <c r="H25" s="158"/>
      <c r="I25" s="158"/>
      <c r="J25" s="158"/>
      <c r="K25" s="159"/>
      <c r="L25" s="80">
        <v>2</v>
      </c>
      <c r="M25" s="117">
        <v>470</v>
      </c>
      <c r="N25" s="115">
        <f t="shared" ref="N25:N43" si="0">IF(E25&lt;&gt;"",E25*M25,"")</f>
        <v>940</v>
      </c>
      <c r="O25" s="59"/>
      <c r="P25" s="9"/>
    </row>
    <row r="26" spans="2:16" ht="15.75">
      <c r="B26" s="7"/>
      <c r="C26" s="3"/>
      <c r="D26" s="110"/>
      <c r="E26" s="79"/>
      <c r="F26" s="188" t="s">
        <v>68</v>
      </c>
      <c r="G26" s="189"/>
      <c r="H26" s="189"/>
      <c r="I26" s="189"/>
      <c r="J26" s="189"/>
      <c r="K26" s="190"/>
      <c r="L26" s="80"/>
      <c r="M26" s="117"/>
      <c r="N26" s="115" t="str">
        <f t="shared" si="0"/>
        <v/>
      </c>
      <c r="O26" s="59"/>
      <c r="P26" s="9"/>
    </row>
    <row r="27" spans="2:16" ht="15.75">
      <c r="B27" s="7"/>
      <c r="C27" s="3"/>
      <c r="D27" s="110"/>
      <c r="E27" s="79"/>
      <c r="F27" s="188" t="s">
        <v>69</v>
      </c>
      <c r="G27" s="189"/>
      <c r="H27" s="189"/>
      <c r="I27" s="189"/>
      <c r="J27" s="189"/>
      <c r="K27" s="190"/>
      <c r="L27" s="80"/>
      <c r="M27" s="117"/>
      <c r="N27" s="115" t="str">
        <f t="shared" si="0"/>
        <v/>
      </c>
      <c r="O27" s="59"/>
      <c r="P27" s="9"/>
    </row>
    <row r="28" spans="2:16" ht="15.75">
      <c r="B28" s="7"/>
      <c r="C28" s="3"/>
      <c r="D28" s="110"/>
      <c r="E28" s="79"/>
      <c r="F28" s="188" t="s">
        <v>70</v>
      </c>
      <c r="G28" s="189"/>
      <c r="H28" s="189"/>
      <c r="I28" s="189"/>
      <c r="J28" s="189"/>
      <c r="K28" s="190"/>
      <c r="L28" s="80"/>
      <c r="M28" s="117"/>
      <c r="N28" s="115" t="str">
        <f t="shared" si="0"/>
        <v/>
      </c>
      <c r="O28" s="59"/>
      <c r="P28" s="9"/>
    </row>
    <row r="29" spans="2:16" ht="15">
      <c r="B29" s="7"/>
      <c r="C29" s="3"/>
      <c r="D29" s="110"/>
      <c r="E29" s="55"/>
      <c r="F29" s="180"/>
      <c r="G29" s="181"/>
      <c r="H29" s="181"/>
      <c r="I29" s="181"/>
      <c r="J29" s="181"/>
      <c r="K29" s="182"/>
      <c r="L29" s="80"/>
      <c r="M29" s="117"/>
      <c r="N29" s="115" t="str">
        <f t="shared" si="0"/>
        <v/>
      </c>
      <c r="O29" s="59"/>
      <c r="P29" s="9"/>
    </row>
    <row r="30" spans="2:16" ht="15">
      <c r="B30" s="7"/>
      <c r="C30" s="3"/>
      <c r="D30" s="110"/>
      <c r="E30" s="55">
        <v>2</v>
      </c>
      <c r="F30" s="151" t="s">
        <v>74</v>
      </c>
      <c r="G30" s="152"/>
      <c r="H30" s="152"/>
      <c r="I30" s="152"/>
      <c r="J30" s="152"/>
      <c r="K30" s="153"/>
      <c r="L30" s="123"/>
      <c r="M30" s="117">
        <v>80</v>
      </c>
      <c r="N30" s="115">
        <f t="shared" si="0"/>
        <v>160</v>
      </c>
      <c r="O30" s="59"/>
      <c r="P30" s="9"/>
    </row>
    <row r="31" spans="2:16" ht="15">
      <c r="B31" s="7"/>
      <c r="C31" s="3"/>
      <c r="D31" s="110"/>
      <c r="E31" s="55">
        <v>200</v>
      </c>
      <c r="F31" s="151" t="s">
        <v>71</v>
      </c>
      <c r="G31" s="152"/>
      <c r="H31" s="152"/>
      <c r="I31" s="152"/>
      <c r="J31" s="152"/>
      <c r="K31" s="153"/>
      <c r="L31" s="80"/>
      <c r="M31" s="117">
        <v>5.2</v>
      </c>
      <c r="N31" s="115">
        <f t="shared" si="0"/>
        <v>1040</v>
      </c>
      <c r="O31" s="59"/>
      <c r="P31" s="9"/>
    </row>
    <row r="32" spans="2:16" ht="15">
      <c r="B32" s="7"/>
      <c r="C32" s="3"/>
      <c r="D32" s="110"/>
      <c r="E32" s="55">
        <v>2</v>
      </c>
      <c r="F32" s="151" t="s">
        <v>72</v>
      </c>
      <c r="G32" s="152"/>
      <c r="H32" s="152"/>
      <c r="I32" s="152"/>
      <c r="J32" s="152"/>
      <c r="K32" s="153"/>
      <c r="L32" s="80"/>
      <c r="M32" s="117">
        <v>650</v>
      </c>
      <c r="N32" s="115">
        <f t="shared" si="0"/>
        <v>1300</v>
      </c>
      <c r="O32" s="59"/>
      <c r="P32" s="9"/>
    </row>
    <row r="33" spans="2:16" ht="15">
      <c r="B33" s="7"/>
      <c r="C33" s="3"/>
      <c r="D33" s="110"/>
      <c r="E33" s="55"/>
      <c r="F33" s="162"/>
      <c r="G33" s="163"/>
      <c r="H33" s="163"/>
      <c r="I33" s="163"/>
      <c r="J33" s="163"/>
      <c r="K33" s="164"/>
      <c r="L33" s="80"/>
      <c r="M33" s="117"/>
      <c r="N33" s="115" t="str">
        <f t="shared" si="0"/>
        <v/>
      </c>
      <c r="O33" s="59"/>
      <c r="P33" s="9"/>
    </row>
    <row r="34" spans="2:16" ht="15.75">
      <c r="B34" s="7"/>
      <c r="C34" s="3"/>
      <c r="D34" s="110"/>
      <c r="E34" s="55"/>
      <c r="F34" s="196"/>
      <c r="G34" s="197"/>
      <c r="H34" s="197"/>
      <c r="I34" s="197"/>
      <c r="J34" s="197"/>
      <c r="K34" s="198"/>
      <c r="L34" s="80"/>
      <c r="M34" s="117"/>
      <c r="N34" s="115" t="str">
        <f t="shared" si="0"/>
        <v/>
      </c>
      <c r="O34" s="59"/>
      <c r="P34" s="9"/>
    </row>
    <row r="35" spans="2:16" ht="15">
      <c r="B35" s="7"/>
      <c r="C35" s="3"/>
      <c r="D35" s="110"/>
      <c r="E35" s="55"/>
      <c r="F35" s="185"/>
      <c r="G35" s="186"/>
      <c r="H35" s="186"/>
      <c r="I35" s="186"/>
      <c r="J35" s="186"/>
      <c r="K35" s="187"/>
      <c r="L35" s="80"/>
      <c r="M35" s="117"/>
      <c r="N35" s="115" t="str">
        <f t="shared" si="0"/>
        <v/>
      </c>
      <c r="O35" s="59"/>
      <c r="P35" s="9"/>
    </row>
    <row r="36" spans="2:16" ht="15">
      <c r="B36" s="7"/>
      <c r="C36" s="3"/>
      <c r="D36" s="110"/>
      <c r="E36" s="55"/>
      <c r="F36" s="136"/>
      <c r="G36" s="194"/>
      <c r="H36" s="194"/>
      <c r="I36" s="194"/>
      <c r="J36" s="194"/>
      <c r="K36" s="195"/>
      <c r="L36" s="80"/>
      <c r="M36" s="117"/>
      <c r="N36" s="115" t="str">
        <f t="shared" si="0"/>
        <v/>
      </c>
      <c r="O36" s="59"/>
      <c r="P36" s="9"/>
    </row>
    <row r="37" spans="2:16" ht="15">
      <c r="B37" s="7"/>
      <c r="C37" s="3"/>
      <c r="D37" s="110"/>
      <c r="E37" s="55"/>
      <c r="F37" s="136"/>
      <c r="G37" s="137"/>
      <c r="H37" s="137"/>
      <c r="I37" s="137"/>
      <c r="J37" s="137"/>
      <c r="K37" s="138"/>
      <c r="L37" s="80"/>
      <c r="M37" s="117"/>
      <c r="N37" s="115" t="str">
        <f t="shared" si="0"/>
        <v/>
      </c>
      <c r="O37" s="59"/>
      <c r="P37" s="9"/>
    </row>
    <row r="38" spans="2:16" ht="15">
      <c r="B38" s="7"/>
      <c r="C38" s="3"/>
      <c r="D38" s="110"/>
      <c r="E38" s="55"/>
      <c r="F38" s="136"/>
      <c r="G38" s="137"/>
      <c r="H38" s="137"/>
      <c r="I38" s="137"/>
      <c r="J38" s="137"/>
      <c r="K38" s="138"/>
      <c r="L38" s="80"/>
      <c r="M38" s="117"/>
      <c r="N38" s="115" t="str">
        <f t="shared" si="0"/>
        <v/>
      </c>
      <c r="O38" s="59"/>
      <c r="P38" s="9"/>
    </row>
    <row r="39" spans="2:16" ht="15">
      <c r="B39" s="7"/>
      <c r="C39" s="3"/>
      <c r="D39" s="110"/>
      <c r="E39" s="55"/>
      <c r="F39" s="136"/>
      <c r="G39" s="137"/>
      <c r="H39" s="137"/>
      <c r="I39" s="137"/>
      <c r="J39" s="137"/>
      <c r="K39" s="138"/>
      <c r="L39" s="80"/>
      <c r="M39" s="117"/>
      <c r="N39" s="115" t="str">
        <f t="shared" si="0"/>
        <v/>
      </c>
      <c r="O39" s="59"/>
      <c r="P39" s="9"/>
    </row>
    <row r="40" spans="2:16" ht="15">
      <c r="B40" s="7"/>
      <c r="C40" s="3"/>
      <c r="D40" s="110"/>
      <c r="E40" s="55"/>
      <c r="F40" s="136"/>
      <c r="G40" s="137"/>
      <c r="H40" s="137"/>
      <c r="I40" s="137"/>
      <c r="J40" s="137"/>
      <c r="K40" s="138"/>
      <c r="L40" s="80"/>
      <c r="M40" s="117"/>
      <c r="N40" s="115" t="str">
        <f t="shared" si="0"/>
        <v/>
      </c>
      <c r="O40" s="59"/>
      <c r="P40" s="9"/>
    </row>
    <row r="41" spans="2:16" ht="15.75">
      <c r="B41" s="7"/>
      <c r="C41" s="3"/>
      <c r="D41" s="110"/>
      <c r="E41" s="55"/>
      <c r="F41" s="133"/>
      <c r="G41" s="134"/>
      <c r="H41" s="134"/>
      <c r="I41" s="134"/>
      <c r="J41" s="134"/>
      <c r="K41" s="135"/>
      <c r="L41" s="80"/>
      <c r="M41" s="117"/>
      <c r="N41" s="115" t="str">
        <f t="shared" si="0"/>
        <v/>
      </c>
      <c r="O41" s="59"/>
      <c r="P41" s="9"/>
    </row>
    <row r="42" spans="2:16" ht="15.75">
      <c r="B42" s="7"/>
      <c r="C42" s="3"/>
      <c r="D42" s="110"/>
      <c r="E42" s="55"/>
      <c r="F42" s="112"/>
      <c r="G42" s="113"/>
      <c r="H42" s="113"/>
      <c r="I42" s="113"/>
      <c r="J42" s="113"/>
      <c r="K42" s="114"/>
      <c r="L42" s="80"/>
      <c r="M42" s="117"/>
      <c r="N42" s="115" t="str">
        <f t="shared" si="0"/>
        <v/>
      </c>
      <c r="O42" s="59"/>
      <c r="P42" s="9"/>
    </row>
    <row r="43" spans="2:16" ht="15">
      <c r="B43" s="7"/>
      <c r="C43" s="3"/>
      <c r="D43" s="111"/>
      <c r="E43" s="56"/>
      <c r="F43" s="191"/>
      <c r="G43" s="192"/>
      <c r="H43" s="192"/>
      <c r="I43" s="192"/>
      <c r="J43" s="192"/>
      <c r="K43" s="193"/>
      <c r="L43" s="81"/>
      <c r="M43" s="118"/>
      <c r="N43" s="116" t="str">
        <f t="shared" si="0"/>
        <v/>
      </c>
      <c r="O43" s="59"/>
      <c r="P43" s="9"/>
    </row>
    <row r="44" spans="2:16" ht="15.75">
      <c r="B44" s="7"/>
      <c r="C44" s="3"/>
      <c r="D44" s="3"/>
      <c r="E44" s="91"/>
      <c r="F44" s="91"/>
      <c r="G44" s="91"/>
      <c r="H44" s="91"/>
      <c r="I44" s="91"/>
      <c r="J44" s="82"/>
      <c r="K44" s="82"/>
      <c r="L44" s="82"/>
      <c r="M44" s="83" t="s">
        <v>24</v>
      </c>
      <c r="N44" s="119">
        <f>SUM(N25:N43)</f>
        <v>3440</v>
      </c>
      <c r="O44" s="59"/>
      <c r="P44" s="9"/>
    </row>
    <row r="45" spans="2:16" ht="15">
      <c r="B45" s="7"/>
      <c r="C45" s="3"/>
      <c r="D45" s="3"/>
      <c r="E45" s="91"/>
      <c r="F45" s="91"/>
      <c r="G45" s="91"/>
      <c r="H45" s="91"/>
      <c r="I45" s="91"/>
      <c r="J45" s="82"/>
      <c r="K45" s="82"/>
      <c r="L45" s="82"/>
      <c r="M45" s="84" t="s">
        <v>50</v>
      </c>
      <c r="N45" s="120">
        <v>0.5</v>
      </c>
      <c r="O45" s="59"/>
      <c r="P45" s="9"/>
    </row>
    <row r="46" spans="2:16" ht="15.75">
      <c r="B46" s="7"/>
      <c r="C46" s="3"/>
      <c r="D46" s="3"/>
      <c r="E46" s="93"/>
      <c r="F46" s="94" t="s">
        <v>25</v>
      </c>
      <c r="G46" s="91"/>
      <c r="H46" s="91"/>
      <c r="I46" s="91"/>
      <c r="J46" s="85"/>
      <c r="K46" s="85"/>
      <c r="L46" s="83" t="s">
        <v>26</v>
      </c>
      <c r="M46" s="109">
        <v>0.12</v>
      </c>
      <c r="N46" s="119"/>
      <c r="O46" s="59"/>
      <c r="P46" s="9"/>
    </row>
    <row r="47" spans="2:16" ht="15.75">
      <c r="B47" s="7"/>
      <c r="C47" s="3"/>
      <c r="D47" s="3"/>
      <c r="E47" s="95"/>
      <c r="F47" s="94" t="s">
        <v>27</v>
      </c>
      <c r="G47" s="98"/>
      <c r="H47" s="95"/>
      <c r="I47" s="91"/>
      <c r="J47" s="86"/>
      <c r="K47" s="82"/>
      <c r="L47" s="82"/>
      <c r="M47" s="109">
        <f>IF(dflt2&lt;&gt;"",dflt2,"")</f>
        <v>0.18</v>
      </c>
      <c r="N47" s="120">
        <f>N44*0.18</f>
        <v>619.19999999999993</v>
      </c>
      <c r="O47" s="59"/>
      <c r="P47" s="9"/>
    </row>
    <row r="48" spans="2:16" ht="15">
      <c r="B48" s="7"/>
      <c r="C48" s="3"/>
      <c r="D48" s="3"/>
      <c r="E48" s="95">
        <v>2</v>
      </c>
      <c r="F48" s="94"/>
      <c r="G48" s="91"/>
      <c r="H48" s="96"/>
      <c r="I48" s="91"/>
      <c r="J48" s="87" t="s">
        <v>28</v>
      </c>
      <c r="K48" s="82"/>
      <c r="L48" s="82"/>
      <c r="M48" s="109">
        <f>IF(dflt3&lt;&gt;"",dflt3,"")</f>
        <v>0.28999999999999998</v>
      </c>
      <c r="N48" s="120"/>
      <c r="O48" s="59"/>
      <c r="P48" s="9"/>
    </row>
    <row r="49" spans="2:16" ht="17.100000000000001" customHeight="1">
      <c r="B49" s="7"/>
      <c r="C49" s="3"/>
      <c r="D49" s="3"/>
      <c r="E49" s="92"/>
      <c r="F49" s="92"/>
      <c r="G49" s="91"/>
      <c r="H49" s="92"/>
      <c r="I49" s="91"/>
      <c r="J49" s="87" t="s">
        <v>28</v>
      </c>
      <c r="K49" s="82"/>
      <c r="L49" s="82"/>
      <c r="M49" s="88" t="s">
        <v>29</v>
      </c>
      <c r="N49" s="121">
        <f>N44+N45+N46+N47</f>
        <v>4059.7</v>
      </c>
      <c r="O49" s="59"/>
      <c r="P49" s="9"/>
    </row>
    <row r="50" spans="2:16" ht="17.100000000000001" customHeight="1">
      <c r="B50" s="7"/>
      <c r="C50" s="3"/>
      <c r="D50" s="165" t="s">
        <v>73</v>
      </c>
      <c r="E50" s="166"/>
      <c r="F50" s="166"/>
      <c r="G50" s="166"/>
      <c r="H50" s="166"/>
      <c r="I50" s="166"/>
      <c r="J50" s="166"/>
      <c r="K50" s="166"/>
      <c r="L50" s="166"/>
      <c r="M50" s="88" t="s">
        <v>38</v>
      </c>
      <c r="N50" s="122">
        <f>N47</f>
        <v>619.19999999999993</v>
      </c>
      <c r="O50" s="59"/>
      <c r="P50" s="9"/>
    </row>
    <row r="51" spans="2:16" ht="15">
      <c r="B51" s="7"/>
      <c r="C51" s="3"/>
      <c r="D51" s="3"/>
      <c r="E51" s="97"/>
      <c r="F51" s="160"/>
      <c r="G51" s="161"/>
      <c r="H51" s="161"/>
      <c r="I51" s="161"/>
      <c r="J51" s="85"/>
      <c r="K51" s="82"/>
      <c r="L51" s="82"/>
      <c r="M51" s="82"/>
      <c r="N51" s="82"/>
      <c r="O51" s="59"/>
      <c r="P51" s="9"/>
    </row>
    <row r="52" spans="2:16" ht="15" customHeight="1">
      <c r="B52" s="7"/>
      <c r="C52" s="3"/>
      <c r="D52" s="3"/>
      <c r="E52" s="20"/>
      <c r="F52" s="183"/>
      <c r="G52" s="184"/>
      <c r="H52" s="184"/>
      <c r="I52" s="184"/>
      <c r="J52" s="85"/>
      <c r="K52" s="171" t="s">
        <v>58</v>
      </c>
      <c r="L52" s="172"/>
      <c r="M52" s="172"/>
      <c r="N52" s="173"/>
      <c r="O52" s="59"/>
      <c r="P52" s="9"/>
    </row>
    <row r="53" spans="2:16" ht="15" customHeight="1">
      <c r="B53" s="7"/>
      <c r="C53" s="3"/>
      <c r="D53" s="3"/>
      <c r="E53" s="20"/>
      <c r="F53" s="83"/>
      <c r="G53" s="169"/>
      <c r="H53" s="170"/>
      <c r="I53" s="170"/>
      <c r="J53" s="85"/>
      <c r="K53" s="174"/>
      <c r="L53" s="175"/>
      <c r="M53" s="175"/>
      <c r="N53" s="176"/>
      <c r="O53" s="59"/>
      <c r="P53" s="9"/>
    </row>
    <row r="54" spans="2:16" ht="15" customHeight="1">
      <c r="B54" s="7"/>
      <c r="C54" s="3"/>
      <c r="D54" s="3"/>
      <c r="E54" s="3"/>
      <c r="F54" s="82"/>
      <c r="G54" s="82"/>
      <c r="H54" s="82"/>
      <c r="I54" s="82"/>
      <c r="J54" s="85"/>
      <c r="K54" s="177"/>
      <c r="L54" s="178"/>
      <c r="M54" s="178"/>
      <c r="N54" s="179"/>
      <c r="O54" s="59"/>
      <c r="P54" s="9"/>
    </row>
    <row r="55" spans="2:16" ht="15">
      <c r="B55" s="7"/>
      <c r="C55" s="3"/>
      <c r="D55" s="104"/>
      <c r="E55" s="108"/>
      <c r="F55" s="82"/>
      <c r="G55" s="82"/>
      <c r="H55" s="82"/>
      <c r="I55" s="82"/>
      <c r="J55" s="85"/>
      <c r="K55" s="90"/>
      <c r="L55" s="90"/>
      <c r="M55" s="90"/>
      <c r="N55" s="90"/>
      <c r="O55" s="59"/>
      <c r="P55" s="9"/>
    </row>
    <row r="56" spans="2:16" ht="15">
      <c r="B56" s="7"/>
      <c r="C56" s="3"/>
      <c r="D56" s="3"/>
      <c r="E56" s="3"/>
      <c r="F56" s="106"/>
      <c r="G56" s="107"/>
      <c r="H56" s="107"/>
      <c r="I56" s="107"/>
      <c r="J56" s="107"/>
      <c r="K56" s="107"/>
      <c r="L56" s="107"/>
      <c r="M56" s="107"/>
      <c r="N56" s="82"/>
      <c r="O56" s="59"/>
      <c r="P56" s="9"/>
    </row>
    <row r="57" spans="2:16" ht="15">
      <c r="B57" s="7"/>
      <c r="C57" s="3"/>
      <c r="D57" s="3"/>
      <c r="E57" s="3"/>
      <c r="F57" s="107"/>
      <c r="G57" s="107"/>
      <c r="H57" s="107"/>
      <c r="I57" s="107"/>
      <c r="J57" s="107"/>
      <c r="K57" s="107"/>
      <c r="L57" s="107"/>
      <c r="M57" s="107"/>
      <c r="N57" s="82"/>
      <c r="O57" s="59"/>
      <c r="P57" s="9"/>
    </row>
    <row r="58" spans="2:16" ht="15">
      <c r="B58" s="7"/>
      <c r="C58" s="3"/>
      <c r="D58" s="3"/>
      <c r="E58" s="91"/>
      <c r="F58" s="107"/>
      <c r="G58" s="107"/>
      <c r="H58" s="107"/>
      <c r="I58" s="107"/>
      <c r="J58" s="107"/>
      <c r="K58" s="107"/>
      <c r="L58" s="107"/>
      <c r="M58" s="107"/>
      <c r="N58" s="89"/>
      <c r="O58" s="59"/>
      <c r="P58" s="9"/>
    </row>
    <row r="59" spans="2:16" ht="15">
      <c r="B59" s="7"/>
      <c r="C59" s="3"/>
      <c r="D59" s="3"/>
      <c r="E59" s="3"/>
      <c r="F59" s="107"/>
      <c r="G59" s="107"/>
      <c r="H59" s="107"/>
      <c r="I59" s="107"/>
      <c r="J59" s="107"/>
      <c r="K59" s="107"/>
      <c r="L59" s="107"/>
      <c r="M59" s="107"/>
      <c r="N59" s="82"/>
      <c r="O59" s="59"/>
      <c r="P59" s="9"/>
    </row>
    <row r="60" spans="2:16" ht="13.5" thickBot="1">
      <c r="B60" s="7"/>
      <c r="C60" s="3"/>
      <c r="D60" s="3"/>
      <c r="E60" s="3"/>
      <c r="F60" s="3"/>
      <c r="G60" s="3"/>
      <c r="H60" s="3"/>
      <c r="I60" s="3"/>
      <c r="J60" s="3"/>
      <c r="K60" s="3"/>
      <c r="L60" s="3"/>
      <c r="M60" s="3"/>
      <c r="N60" s="3"/>
      <c r="O60" s="59"/>
      <c r="P60" s="9"/>
    </row>
    <row r="61" spans="2:16" ht="3" customHeight="1" thickTop="1">
      <c r="B61" s="7"/>
      <c r="C61" s="3"/>
      <c r="D61" s="3"/>
      <c r="E61" s="60"/>
      <c r="F61" s="60"/>
      <c r="G61" s="60"/>
      <c r="H61" s="60"/>
      <c r="I61" s="60"/>
      <c r="J61" s="60"/>
      <c r="K61" s="60"/>
      <c r="L61" s="60"/>
      <c r="M61" s="60"/>
      <c r="N61" s="60"/>
      <c r="O61" s="59"/>
      <c r="P61" s="9"/>
    </row>
    <row r="62" spans="2:16">
      <c r="B62" s="7"/>
      <c r="C62" s="3"/>
      <c r="D62" s="3"/>
      <c r="E62" s="3"/>
      <c r="F62" s="131"/>
      <c r="G62" s="131"/>
      <c r="H62" s="131"/>
      <c r="I62" s="131"/>
      <c r="J62" s="131"/>
      <c r="K62" s="131"/>
      <c r="L62" s="131"/>
      <c r="M62" s="131"/>
      <c r="N62" s="3"/>
      <c r="O62" s="59"/>
      <c r="P62" s="9"/>
    </row>
    <row r="63" spans="2:16">
      <c r="B63" s="7"/>
      <c r="C63" s="3"/>
      <c r="D63" s="3"/>
      <c r="E63" s="3"/>
      <c r="F63" s="132"/>
      <c r="G63" s="132"/>
      <c r="H63" s="132"/>
      <c r="I63" s="132"/>
      <c r="J63" s="132"/>
      <c r="K63" s="132"/>
      <c r="L63" s="132"/>
      <c r="M63" s="132"/>
      <c r="N63" s="3"/>
      <c r="O63" s="59"/>
      <c r="P63" s="9"/>
    </row>
    <row r="64" spans="2:16">
      <c r="B64" s="7"/>
      <c r="C64" s="3"/>
      <c r="D64" s="3"/>
      <c r="E64" s="3"/>
      <c r="F64" s="132"/>
      <c r="G64" s="132"/>
      <c r="H64" s="132"/>
      <c r="I64" s="132"/>
      <c r="J64" s="132"/>
      <c r="K64" s="132"/>
      <c r="L64" s="132"/>
      <c r="M64" s="132"/>
      <c r="N64" s="3"/>
      <c r="O64" s="59"/>
      <c r="P64" s="9"/>
    </row>
    <row r="65" spans="2:16" ht="0.95" customHeight="1" thickBot="1">
      <c r="B65" s="10"/>
      <c r="C65" s="11"/>
      <c r="D65" s="11"/>
      <c r="E65" s="11"/>
      <c r="F65" s="11"/>
      <c r="G65" s="11"/>
      <c r="H65" s="11"/>
      <c r="I65" s="11"/>
      <c r="J65" s="11"/>
      <c r="K65" s="11"/>
      <c r="L65" s="11"/>
      <c r="M65" s="11"/>
      <c r="N65" s="11"/>
      <c r="O65" s="11"/>
      <c r="P65" s="12"/>
    </row>
    <row r="66" spans="2:16"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4">
    <mergeCell ref="F38:K38"/>
    <mergeCell ref="M10:N10"/>
    <mergeCell ref="M9:N9"/>
    <mergeCell ref="G53:I53"/>
    <mergeCell ref="K52:N54"/>
    <mergeCell ref="F32:K32"/>
    <mergeCell ref="F29:K29"/>
    <mergeCell ref="F52:I52"/>
    <mergeCell ref="F35:K35"/>
    <mergeCell ref="F39:K39"/>
    <mergeCell ref="F40:K40"/>
    <mergeCell ref="F28:K28"/>
    <mergeCell ref="F26:K26"/>
    <mergeCell ref="F43:K43"/>
    <mergeCell ref="F36:K36"/>
    <mergeCell ref="F31:K31"/>
    <mergeCell ref="F34:K34"/>
    <mergeCell ref="F27:K27"/>
    <mergeCell ref="F62:M64"/>
    <mergeCell ref="F41:K41"/>
    <mergeCell ref="F37:K37"/>
    <mergeCell ref="M19:N19"/>
    <mergeCell ref="M21:N21"/>
    <mergeCell ref="M22:N22"/>
    <mergeCell ref="G21:H21"/>
    <mergeCell ref="E20:J20"/>
    <mergeCell ref="E19:J19"/>
    <mergeCell ref="E22:J22"/>
    <mergeCell ref="F30:K30"/>
    <mergeCell ref="F24:K24"/>
    <mergeCell ref="F25:K25"/>
    <mergeCell ref="F51:I51"/>
    <mergeCell ref="F33:K33"/>
    <mergeCell ref="D50:L50"/>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N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M48">
      <formula1>0</formula1>
      <formula2>0</formula2>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N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M64"/>
    <dataValidation type="textLength" allowBlank="1" showErrorMessage="1" errorTitle="Cellules ombrées" error="Les cellules ombrées contiennent des formules et sont calculées automatiquement par Excel. N'y tapez aucune information." promptTitle="Cellules ombrées" sqref="N25:N43">
      <formula1>0</formula1>
      <formula2>0</formula2>
    </dataValidation>
    <dataValidation type="decimal" allowBlank="1" showErrorMessage="1" errorTitle="Prix unitaire" error="Tapez un nombre dans cette cellule." promptTitle="Prix unitaire" sqref="M25:M43">
      <formula1>0</formula1>
      <formula2>1000000000</formula2>
    </dataValidation>
    <dataValidation type="whole" errorStyle="warning" allowBlank="1" showErrorMessage="1" errorTitle="Quantité" error="Tapez un nombre dans cette cellule." promptTitle="Quantité" sqref="E25:E43">
      <formula1>0</formula1>
      <formula2>1000000000</formula2>
    </dataValidation>
    <dataValidation allowBlank="1" showErrorMessage="1" sqref="G21:H21"/>
    <dataValidation type="list" allowBlank="1" showInputMessage="1" showErrorMessage="1" errorTitle="Code TVA" error="Tapez 1, 2, ou 3." sqref="L25:L43">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1"/>
  </cols>
  <sheetData>
    <row r="1" spans="1:11">
      <c r="A1" s="71" t="s">
        <v>30</v>
      </c>
    </row>
    <row r="2" spans="1:11">
      <c r="A2" s="71" t="s">
        <v>39</v>
      </c>
      <c r="B2" s="71" t="s">
        <v>31</v>
      </c>
    </row>
    <row r="3" spans="1:11">
      <c r="A3" s="71" t="s">
        <v>40</v>
      </c>
      <c r="B3" s="71" t="s">
        <v>47</v>
      </c>
    </row>
    <row r="4" spans="1:11">
      <c r="A4" s="71" t="s">
        <v>32</v>
      </c>
    </row>
    <row r="5" spans="1:11">
      <c r="A5" s="71" t="s">
        <v>41</v>
      </c>
      <c r="B5" s="71">
        <v>1</v>
      </c>
    </row>
    <row r="6" spans="1:11">
      <c r="A6" s="71">
        <v>1</v>
      </c>
      <c r="B6" s="71" t="s">
        <v>42</v>
      </c>
      <c r="C6" s="71" t="s">
        <v>46</v>
      </c>
      <c r="D6" s="71" t="s">
        <v>43</v>
      </c>
      <c r="E6" s="71">
        <v>10</v>
      </c>
      <c r="G6" s="71">
        <v>-1383939328</v>
      </c>
    </row>
    <row r="7" spans="1:11">
      <c r="A7" s="71" t="s">
        <v>44</v>
      </c>
      <c r="B7" s="71" t="s">
        <v>33</v>
      </c>
      <c r="C7" s="71" t="s">
        <v>18</v>
      </c>
      <c r="D7" s="71" t="s">
        <v>3</v>
      </c>
      <c r="E7" s="71" t="s">
        <v>5</v>
      </c>
      <c r="F7" s="71" t="s">
        <v>7</v>
      </c>
      <c r="G7" s="71" t="s">
        <v>8</v>
      </c>
      <c r="H7" s="71" t="s">
        <v>9</v>
      </c>
      <c r="I7" s="71" t="s">
        <v>20</v>
      </c>
      <c r="J7" s="71" t="s">
        <v>34</v>
      </c>
      <c r="K7" s="71" t="s">
        <v>19</v>
      </c>
    </row>
    <row r="8" spans="1:11">
      <c r="A8" s="71" t="s">
        <v>45</v>
      </c>
      <c r="B8" s="72" t="str">
        <f>Facture!$N$11</f>
        <v/>
      </c>
      <c r="C8" s="73">
        <f>Facture!$M$19</f>
        <v>42587</v>
      </c>
      <c r="D8" s="74" t="str">
        <f>Facture!$E$19</f>
        <v>Mobiserve Tunisia</v>
      </c>
      <c r="E8" s="71" t="str">
        <f>Facture!$E$20</f>
        <v xml:space="preserve"> Rue Immeuble de palmier,Centre bebel,appt 9,1 er Etage,</v>
      </c>
      <c r="F8" s="71">
        <f>Facture!$E$21</f>
        <v>0</v>
      </c>
      <c r="G8" s="74">
        <f>Facture!$G$21</f>
        <v>0</v>
      </c>
      <c r="H8" s="74" t="str">
        <f>Facture!$J$21</f>
        <v>TN</v>
      </c>
      <c r="I8" s="71" t="str">
        <f>Facture!$E$22</f>
        <v xml:space="preserve">                         fax:</v>
      </c>
      <c r="J8" s="75">
        <f>Facture!$N$49</f>
        <v>4059.7</v>
      </c>
      <c r="K8" s="71" t="str">
        <f>Facture!$M$21</f>
        <v>MME MYRIAM BENJANNET</v>
      </c>
    </row>
    <row r="9" spans="1:11">
      <c r="A9" s="71" t="s">
        <v>32</v>
      </c>
    </row>
    <row r="10" spans="1:11">
      <c r="G10" s="71">
        <v>-1261995520</v>
      </c>
    </row>
    <row r="14" spans="1:11">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2016-08-16T07:33:51Z</cp:lastPrinted>
  <dcterms:created xsi:type="dcterms:W3CDTF">1995-05-29T15:50:39Z</dcterms:created>
  <dcterms:modified xsi:type="dcterms:W3CDTF">2016-08-16T07:35:37Z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Tunisia</vt:lpwstr>
  </property>
  <property fmtid="{D5CDD505-2E9C-101B-9397-08002B2CF9AE}" pid="11" name="Montant de la facture" linkTarget="TOT">
    <vt:r8>4059.7</vt:r8>
  </property>
</Properties>
</file>