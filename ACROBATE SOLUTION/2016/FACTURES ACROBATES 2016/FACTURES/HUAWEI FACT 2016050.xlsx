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S ACROBATES 2016\FACTURE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Facture!$H$43</definedName>
    <definedName name="CDB">'Personnaliser votre facture'!$E$50</definedName>
    <definedName name="Country">33</definedName>
    <definedName name="CS">'Personnaliser votre facture'!$E$51</definedName>
    <definedName name="data1">Facture!$K$19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Facture!#REF!</definedName>
    <definedName name="data63">Facture!$E$42</definedName>
    <definedName name="data64">Facture!$E$43</definedName>
    <definedName name="data65">Facture!$H$42</definedName>
    <definedName name="data66">Facture!$F$45</definedName>
    <definedName name="data67">Facture!$F$47</definedName>
    <definedName name="data68">Facture!$G$48</definedName>
    <definedName name="data69">Facture!$K$48</definedName>
    <definedName name="data7">Facture!$H$21</definedName>
    <definedName name="data70">Facture!$K$49</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Facture!$F$45:$I$45</definedName>
    <definedName name="qzqzqz27">Facture!$F$46:$I$46</definedName>
    <definedName name="qzqzqz28">Facture!$F$47:$I$47</definedName>
    <definedName name="qzqzqz29">Facture!$K$47:$M$49</definedName>
    <definedName name="qzqzqz3">Facture!$E$20:$J$20</definedName>
    <definedName name="qzqzqz30">Facture!$G$48:$I$48</definedName>
    <definedName name="qzqzqz31">Facture!$G$48:$H$48</definedName>
    <definedName name="qzqzqz32">Facture!$K$46:$M$48</definedName>
    <definedName name="qzqzqz4">Facture!$G$21:$H$21</definedName>
    <definedName name="qzqzqz5">Facture!$K$21:$L$21</definedName>
    <definedName name="qzqzqz6">Facture!$E$22:$J$22</definedName>
    <definedName name="qzqzqz7">Facture!$K$22:$M$22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Facture!$C$3:$N$59</definedName>
  </definedNames>
  <calcPr calcId="152511"/>
</workbook>
</file>

<file path=xl/calcChain.xml><?xml version="1.0" encoding="utf-8"?>
<calcChain xmlns="http://schemas.openxmlformats.org/spreadsheetml/2006/main">
  <c r="M40" i="3" l="1"/>
  <c r="L42" i="3" l="1"/>
  <c r="M36" i="3" l="1"/>
  <c r="M27" i="3"/>
  <c r="M28" i="3"/>
  <c r="M29" i="3"/>
  <c r="M30" i="3"/>
  <c r="M31" i="3"/>
  <c r="M25" i="3" l="1"/>
  <c r="M26" i="3"/>
  <c r="F33" i="2"/>
  <c r="B8" i="8"/>
  <c r="C8" i="8"/>
  <c r="D8" i="8"/>
  <c r="E8" i="8"/>
  <c r="F8" i="8"/>
  <c r="G8" i="8"/>
  <c r="H8" i="8"/>
  <c r="I8" i="8"/>
  <c r="K8" i="8"/>
  <c r="M41" i="3" l="1"/>
  <c r="M42" i="3" l="1"/>
  <c r="M45"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<sst xmlns="http://schemas.openxmlformats.org/spreadsheetml/2006/main" count="83" uniqueCount="68">
  <si>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</si>
  <si>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</si>
  <si>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</si>
  <si>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</si>
  <si>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</si>
  <si>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</si>
  <si>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</si>
  <si>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</si>
  <si>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</si>
  <si>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</si>
  <si>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</si>
  <si>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</si>
  <si>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</si>
  <si>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</si>
  <si>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</si>
  <si>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</si>
  <si>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</si>
  <si>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</si>
  <si>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</si>
  <si>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</si>
  <si>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</si>
  <si>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</si>
  <si>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</si>
  <si>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</si>
  <si>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</si>
  <si>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</si>
  <si>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</si>
  <si>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</si>
  <si>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</si>
  <si>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</si>
  <si>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</si>
  <si>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</si>
  <si>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</si>
  <si>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</si>
  <si>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</si>
  <si>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</si>
  <si>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</si>
  <si>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</si>
  <si>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</si>
  <si>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</si>
  <si>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</si>
  <si>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</si>
  <si>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</si>
  <si>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</si>
  <si>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</si>
  <si>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</si>
  <si>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</si>
  <si>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</si>
  <si>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</si>
  <si>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</si>
  <si>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</si>
  <si>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</si>
  <si>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</si>
  <si>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</si>
  <si>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</si>
  <si>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</si>
  <si>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</si>
  <si>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FACTURE2016050</t>
  </si>
  <si>
    <t>GILET FLUO</t>
  </si>
  <si>
    <t>ARRETE LA PRESENTE  FACTURE A LA SOMME DE DEUX MILLES  CINQ CENT DEUX   DINARS ET 100 MILLIMES</t>
  </si>
  <si>
    <t>CAMP SAFETY HELMET :armour ref 190.EN 12492</t>
  </si>
  <si>
    <t>HUAWEI tech Investment Co Ltd</t>
  </si>
  <si>
    <t xml:space="preserve">Immeuble Neifar-Bloc B -Rue de la Bourse-LAC </t>
  </si>
  <si>
    <t>TUNIS</t>
  </si>
  <si>
    <t>Date                  29/12/2016</t>
  </si>
  <si>
    <t>COMMANDE : N</t>
  </si>
  <si>
    <t>responsable: Mr Mohammed Hammami</t>
  </si>
  <si>
    <t>M.F  :830436V</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</si>
</sst>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2" fillId="6" borderId="0" xfId="0" applyFont="1"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2" fillId="3" borderId="0" xfId="0" applyFont="1" applyFill="1" applyBorder="1" applyAlignment="1">
      <alignment horizontal="left"/>
    </xf>
    <xf numFmtId="14" fontId="18" fillId="3" borderId="0" xfId="0" applyNumberFormat="1" applyFont="1" applyFill="1" applyBorder="1" applyAlignment="1">
      <alignment horizontal="left"/>
    </xf>
    <xf numFmtId="49" fontId="2" fillId="3" borderId="0" xfId="0" applyNumberFormat="1" applyFont="1" applyFill="1" applyBorder="1" applyAlignment="1">
      <alignment horizontal="left"/>
    </xf>
    <xf numFmtId="0" fontId="2" fillId="3" borderId="0" xfId="0" applyFont="1" applyFill="1" applyBorder="1" applyAlignment="1">
      <alignment horizontal="lef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110290</xdr:rowOff>
    </xdr:from>
    <xdr:to>
      <xdr:col>9</xdr:col>
      <xdr:colOff>270709</xdr:colOff>
      <xdr:row>22</xdr:row>
      <xdr:rowOff>57150</xdr:rowOff>
    </xdr:to>
    <xdr:sp macro="" textlink="">
      <xdr:nvSpPr>
        <xdr:cNvPr id="2114" name="INVB1"/>
        <xdr:cNvSpPr>
          <a:spLocks noChangeArrowheads="1"/>
        </xdr:cNvSpPr>
      </xdr:nvSpPr>
      <xdr:spPr bwMode="auto">
        <a:xfrm>
          <a:off x="282241" y="2687053"/>
          <a:ext cx="4269705" cy="819150"/>
        </a:xfrm>
        <a:prstGeom prst="roundRect">
          <a:avLst>
            <a:gd name="adj" fmla="val 16667"/>
          </a:avLst>
        </a:prstGeom>
        <a:noFill/>
        <a:ln w="9525">
          <a:solidFill>
            <a:srgbClr val="000080"/>
          </a:solidFill>
          <a:round/>
          <a:headEnd/>
          <a:tailEnd/>
        </a:ln>
      </xdr:spPr>
    </xdr:sp>
    <xdr:clientData/>
  </xdr:twoCellAnchor>
  <xdr:twoCellAnchor>
    <xdr:from>
      <xdr:col>9</xdr:col>
      <xdr:colOff>340895</xdr:colOff>
      <xdr:row>17</xdr:row>
      <xdr:rowOff>120316</xdr:rowOff>
    </xdr:from>
    <xdr:to>
      <xdr:col>13</xdr:col>
      <xdr:colOff>114300</xdr:colOff>
      <xdr:row>22</xdr:row>
      <xdr:rowOff>57150</xdr:rowOff>
    </xdr:to>
    <xdr:sp macro="" textlink="">
      <xdr:nvSpPr>
        <xdr:cNvPr id="2115" name="INVB2"/>
        <xdr:cNvSpPr>
          <a:spLocks noChangeArrowheads="1"/>
        </xdr:cNvSpPr>
      </xdr:nvSpPr>
      <xdr:spPr bwMode="auto">
        <a:xfrm>
          <a:off x="4622132" y="2697079"/>
          <a:ext cx="2510589" cy="809124"/>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7</xdr:col>
      <xdr:colOff>401053</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3108159" cy="1222744"/>
        </a:xfrm>
        <a:prstGeom prst="rect">
          <a:avLst/>
        </a:prstGeom>
        <a:noFill/>
        <a:ln w="9525">
          <a:noFill/>
          <a:miter lim="800000"/>
          <a:headEnd/>
          <a:tailEnd/>
        </a:ln>
      </xdr:spPr>
    </xdr:pic>
    <xdr:clientData/>
  </xdr:twoCellAnchor>
  <xdr:twoCellAnchor editAs="oneCell">
    <xdr:from>
      <xdr:col>7</xdr:col>
      <xdr:colOff>691816</xdr:colOff>
      <xdr:row>4</xdr:row>
      <xdr:rowOff>50133</xdr:rowOff>
    </xdr:from>
    <xdr:to>
      <xdr:col>13</xdr:col>
      <xdr:colOff>160421</xdr:colOff>
      <xdr:row>9</xdr:row>
      <xdr:rowOff>80212</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79658" y="461212"/>
          <a:ext cx="3499184" cy="832184"/>
        </a:xfrm>
        <a:prstGeom prst="rect">
          <a:avLst/>
        </a:prstGeom>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695325</xdr:colOff>
          <xdr:row>42</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0</xdr:rowOff>
        </xdr:from>
        <xdr:to>
          <xdr:col>4</xdr:col>
          <xdr:colOff>704850</xdr:colOff>
          <xdr:row>42</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42</xdr:row>
          <xdr:rowOff>28575</xdr:rowOff>
        </xdr:from>
        <xdr:to>
          <xdr:col>4</xdr:col>
          <xdr:colOff>714375</xdr:colOff>
          <xdr:row>43</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7" t="s">
        <v>0</v>
      </c>
      <c r="E4" s="138"/>
      <c r="F4" s="13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9" t="s">
        <v>2</v>
      </c>
      <c r="E10" s="14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8" t="s">
        <v>4</v>
      </c>
      <c r="G12" s="17"/>
      <c r="H12" s="27"/>
      <c r="I12" s="3"/>
      <c r="J12" s="9"/>
    </row>
    <row r="13" spans="2:10" ht="13.5" thickBot="1" x14ac:dyDescent="0.25">
      <c r="B13" s="7"/>
      <c r="C13" s="3"/>
      <c r="D13" s="34" t="s">
        <v>5</v>
      </c>
      <c r="E13" s="14" t="s">
        <v>50</v>
      </c>
      <c r="F13" s="68"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1" t="s">
        <v>48</v>
      </c>
      <c r="E19" s="14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2" t="str">
        <f>LOWER(TemplateInformation!B3)</f>
        <v>c:\program files\microsoft office\office\macrolib\factbd.xls</v>
      </c>
      <c r="G33" s="14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9" t="s">
        <v>16</v>
      </c>
      <c r="E36" s="14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O61"/>
  <sheetViews>
    <sheetView showGridLines="0" showRowColHeaders="0" tabSelected="1" topLeftCell="A4" zoomScale="95" workbookViewId="0">
      <selection activeCell="F28" sqref="F28:K2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172"/>
      <c r="M9" s="173"/>
      <c r="N9" s="3"/>
      <c r="O9" s="9"/>
    </row>
    <row r="10" spans="2:15" x14ac:dyDescent="0.2">
      <c r="B10" s="7"/>
      <c r="C10" s="3"/>
      <c r="D10" s="3"/>
      <c r="E10" s="3"/>
      <c r="F10" s="3"/>
      <c r="G10" s="3"/>
      <c r="H10" s="3"/>
      <c r="I10" s="3"/>
      <c r="J10" s="3"/>
      <c r="K10" s="3"/>
      <c r="L10" s="182"/>
      <c r="M10" s="183"/>
      <c r="N10" s="3"/>
      <c r="O10" s="9"/>
    </row>
    <row r="11" spans="2:15" ht="20.25" x14ac:dyDescent="0.3">
      <c r="B11" s="7"/>
      <c r="C11" s="3"/>
      <c r="D11" s="3"/>
      <c r="E11" s="3"/>
      <c r="F11" s="3"/>
      <c r="G11" s="3"/>
      <c r="H11" s="3"/>
      <c r="I11" s="3"/>
      <c r="J11" s="3"/>
      <c r="K11" s="8"/>
      <c r="L11" s="81"/>
      <c r="M11" s="81" t="s">
        <v>55</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57</v>
      </c>
      <c r="M15" s="98"/>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4" t="s">
        <v>3</v>
      </c>
      <c r="E19" s="178" t="s">
        <v>61</v>
      </c>
      <c r="F19" s="179"/>
      <c r="G19" s="179"/>
      <c r="H19" s="179"/>
      <c r="I19" s="179"/>
      <c r="J19" s="179"/>
      <c r="K19" s="185" t="s">
        <v>64</v>
      </c>
      <c r="L19" s="185"/>
      <c r="M19" s="185"/>
      <c r="N19" s="58"/>
      <c r="O19" s="9"/>
    </row>
    <row r="20" spans="2:15" x14ac:dyDescent="0.2">
      <c r="B20" s="7"/>
      <c r="C20" s="3"/>
      <c r="D20" s="94" t="s">
        <v>5</v>
      </c>
      <c r="E20" s="176" t="s">
        <v>62</v>
      </c>
      <c r="F20" s="177"/>
      <c r="G20" s="177"/>
      <c r="H20" s="177"/>
      <c r="I20" s="177"/>
      <c r="J20" s="177"/>
      <c r="K20" s="186" t="s">
        <v>65</v>
      </c>
      <c r="L20" s="186"/>
      <c r="M20" s="186"/>
      <c r="N20" s="59"/>
      <c r="O20" s="9"/>
    </row>
    <row r="21" spans="2:15" x14ac:dyDescent="0.2">
      <c r="B21" s="7"/>
      <c r="C21" s="3"/>
      <c r="D21" s="94" t="s">
        <v>7</v>
      </c>
      <c r="E21" s="102">
        <v>1053</v>
      </c>
      <c r="F21" s="103" t="s">
        <v>8</v>
      </c>
      <c r="G21" s="174" t="s">
        <v>63</v>
      </c>
      <c r="H21" s="175"/>
      <c r="I21" s="104" t="s">
        <v>9</v>
      </c>
      <c r="J21" s="101" t="s">
        <v>53</v>
      </c>
      <c r="K21" s="187" t="s">
        <v>66</v>
      </c>
      <c r="L21" s="187"/>
      <c r="M21" s="187"/>
      <c r="N21" s="9"/>
    </row>
    <row r="22" spans="2:15" x14ac:dyDescent="0.2">
      <c r="B22" s="7"/>
      <c r="C22" s="3"/>
      <c r="D22" s="122" t="s">
        <v>20</v>
      </c>
      <c r="E22" s="180"/>
      <c r="F22" s="181"/>
      <c r="G22" s="181"/>
      <c r="H22" s="181"/>
      <c r="I22" s="181"/>
      <c r="J22" s="181"/>
      <c r="K22" s="184" t="s">
        <v>67</v>
      </c>
      <c r="L22" s="184"/>
      <c r="M22" s="184"/>
      <c r="N22" s="3"/>
      <c r="O22" s="9"/>
    </row>
    <row r="23" spans="2:15" x14ac:dyDescent="0.2">
      <c r="B23" s="7"/>
      <c r="C23" s="3"/>
      <c r="D23" s="94"/>
      <c r="E23" s="94"/>
      <c r="F23" s="94"/>
      <c r="G23" s="94"/>
      <c r="H23" s="94"/>
      <c r="I23" s="94"/>
      <c r="J23" s="94"/>
      <c r="K23" s="94"/>
      <c r="L23" s="94"/>
      <c r="M23" s="94"/>
      <c r="N23" s="3"/>
      <c r="O23" s="9"/>
    </row>
    <row r="24" spans="2:15" x14ac:dyDescent="0.2">
      <c r="B24" s="7"/>
      <c r="C24" s="3"/>
      <c r="D24" s="72" t="s">
        <v>36</v>
      </c>
      <c r="E24" s="53" t="s">
        <v>21</v>
      </c>
      <c r="F24" s="154" t="s">
        <v>22</v>
      </c>
      <c r="G24" s="155"/>
      <c r="H24" s="155"/>
      <c r="I24" s="155"/>
      <c r="J24" s="155"/>
      <c r="K24" s="155"/>
      <c r="L24" s="53" t="s">
        <v>23</v>
      </c>
      <c r="M24" s="54" t="s">
        <v>24</v>
      </c>
      <c r="N24" s="60"/>
      <c r="O24" s="9"/>
    </row>
    <row r="25" spans="2:15" x14ac:dyDescent="0.2">
      <c r="B25" s="7"/>
      <c r="C25" s="3"/>
      <c r="D25" s="70"/>
      <c r="E25" s="55"/>
      <c r="F25" s="156"/>
      <c r="G25" s="157"/>
      <c r="H25" s="157"/>
      <c r="I25" s="157"/>
      <c r="J25" s="157"/>
      <c r="K25" s="157"/>
      <c r="L25" s="79"/>
      <c r="M25" s="113" t="str">
        <f>IF(E25&lt;&gt;"",E25*L25,"")</f>
        <v/>
      </c>
      <c r="N25" s="60"/>
      <c r="O25" s="9"/>
    </row>
    <row r="26" spans="2:15" ht="15" x14ac:dyDescent="0.2">
      <c r="B26" s="7"/>
      <c r="C26" s="3"/>
      <c r="D26" s="133"/>
      <c r="E26" s="82"/>
      <c r="F26" s="158"/>
      <c r="G26" s="159"/>
      <c r="H26" s="159"/>
      <c r="I26" s="159"/>
      <c r="J26" s="159"/>
      <c r="K26" s="160"/>
      <c r="L26" s="83"/>
      <c r="M26" s="114" t="str">
        <f>IF(E26&lt;&gt;"",E26*L26,"")</f>
        <v/>
      </c>
      <c r="N26" s="60"/>
      <c r="O26" s="9"/>
    </row>
    <row r="27" spans="2:15" ht="15" x14ac:dyDescent="0.2">
      <c r="B27" s="7"/>
      <c r="C27" s="3"/>
      <c r="D27" s="133"/>
      <c r="E27" s="82"/>
      <c r="F27" s="158"/>
      <c r="G27" s="159"/>
      <c r="H27" s="159"/>
      <c r="I27" s="159"/>
      <c r="J27" s="159"/>
      <c r="K27" s="160"/>
      <c r="L27" s="83"/>
      <c r="M27" s="114" t="str">
        <f>IF(E27&lt;&gt;"",E27*L27,"")</f>
        <v/>
      </c>
      <c r="N27" s="60"/>
      <c r="O27" s="9"/>
    </row>
    <row r="28" spans="2:15" ht="15" x14ac:dyDescent="0.2">
      <c r="B28" s="7"/>
      <c r="C28" s="3"/>
      <c r="D28" s="133"/>
      <c r="E28" s="82">
        <v>20</v>
      </c>
      <c r="F28" s="158" t="s">
        <v>60</v>
      </c>
      <c r="G28" s="159"/>
      <c r="H28" s="159"/>
      <c r="I28" s="159"/>
      <c r="J28" s="159"/>
      <c r="K28" s="160"/>
      <c r="L28" s="83">
        <v>85</v>
      </c>
      <c r="M28" s="114">
        <f>IF(E28&lt;&gt;"",E28*L28,"")</f>
        <v>1700</v>
      </c>
      <c r="N28" s="60"/>
      <c r="O28" s="9"/>
    </row>
    <row r="29" spans="2:15" ht="15" x14ac:dyDescent="0.2">
      <c r="B29" s="7"/>
      <c r="C29" s="3"/>
      <c r="D29" s="133"/>
      <c r="E29" s="82"/>
      <c r="F29" s="158"/>
      <c r="G29" s="159"/>
      <c r="H29" s="159"/>
      <c r="I29" s="159"/>
      <c r="J29" s="159"/>
      <c r="K29" s="160"/>
      <c r="L29" s="83"/>
      <c r="M29" s="114" t="str">
        <f>IF(E29&lt;&gt;"",E29*L29,"")</f>
        <v/>
      </c>
      <c r="N29" s="60"/>
      <c r="O29" s="9"/>
    </row>
    <row r="30" spans="2:15" ht="15" x14ac:dyDescent="0.2">
      <c r="B30" s="7"/>
      <c r="C30" s="3"/>
      <c r="D30" s="133"/>
      <c r="E30" s="82">
        <v>35</v>
      </c>
      <c r="F30" s="149" t="s">
        <v>58</v>
      </c>
      <c r="G30" s="150"/>
      <c r="H30" s="150"/>
      <c r="I30" s="150"/>
      <c r="J30" s="150"/>
      <c r="K30" s="151"/>
      <c r="L30" s="83">
        <v>12</v>
      </c>
      <c r="M30" s="114">
        <f>IF(E30&lt;&gt;"",E30*L30,"")</f>
        <v>420</v>
      </c>
      <c r="N30" s="60"/>
      <c r="O30" s="9"/>
    </row>
    <row r="31" spans="2:15" ht="15" x14ac:dyDescent="0.2">
      <c r="B31" s="7"/>
      <c r="C31" s="3"/>
      <c r="D31" s="133"/>
      <c r="E31" s="82"/>
      <c r="F31" s="149"/>
      <c r="G31" s="150"/>
      <c r="H31" s="150"/>
      <c r="I31" s="150"/>
      <c r="J31" s="150"/>
      <c r="K31" s="151"/>
      <c r="L31" s="83"/>
      <c r="M31" s="114" t="str">
        <f>IF(E31&lt;&gt;"",E31*L31,"")</f>
        <v/>
      </c>
      <c r="N31" s="60"/>
      <c r="O31" s="9"/>
    </row>
    <row r="32" spans="2:15" ht="15" x14ac:dyDescent="0.2">
      <c r="B32" s="7"/>
      <c r="C32" s="3"/>
      <c r="D32" s="133"/>
      <c r="E32" s="82"/>
      <c r="F32" s="149"/>
      <c r="G32" s="150"/>
      <c r="H32" s="150"/>
      <c r="I32" s="150"/>
      <c r="J32" s="150"/>
      <c r="K32" s="151"/>
      <c r="L32" s="83"/>
      <c r="M32" s="114"/>
      <c r="N32" s="60"/>
      <c r="O32" s="9"/>
    </row>
    <row r="33" spans="2:15" ht="15" x14ac:dyDescent="0.2">
      <c r="B33" s="7"/>
      <c r="C33" s="3"/>
      <c r="D33" s="133"/>
      <c r="E33" s="82"/>
      <c r="F33" s="149"/>
      <c r="G33" s="150"/>
      <c r="H33" s="150"/>
      <c r="I33" s="150"/>
      <c r="J33" s="150"/>
      <c r="K33" s="151"/>
      <c r="L33" s="83"/>
      <c r="M33" s="114"/>
      <c r="N33" s="60"/>
      <c r="O33" s="9"/>
    </row>
    <row r="34" spans="2:15" ht="15" x14ac:dyDescent="0.2">
      <c r="B34" s="7"/>
      <c r="C34" s="3"/>
      <c r="D34" s="133"/>
      <c r="E34" s="82"/>
      <c r="F34" s="146"/>
      <c r="G34" s="147"/>
      <c r="H34" s="147"/>
      <c r="I34" s="147"/>
      <c r="J34" s="147"/>
      <c r="K34" s="148"/>
      <c r="L34" s="83"/>
      <c r="M34" s="121"/>
      <c r="N34" s="60"/>
      <c r="O34" s="9"/>
    </row>
    <row r="35" spans="2:15" ht="15" x14ac:dyDescent="0.2">
      <c r="B35" s="7"/>
      <c r="C35" s="3"/>
      <c r="D35" s="133"/>
      <c r="E35" s="82"/>
      <c r="F35" s="163"/>
      <c r="G35" s="164"/>
      <c r="H35" s="164"/>
      <c r="I35" s="164"/>
      <c r="J35" s="164"/>
      <c r="K35" s="165"/>
      <c r="L35" s="83"/>
      <c r="M35" s="114"/>
      <c r="N35" s="60"/>
      <c r="O35" s="9"/>
    </row>
    <row r="36" spans="2:15" ht="15" x14ac:dyDescent="0.2">
      <c r="B36" s="7"/>
      <c r="C36" s="3"/>
      <c r="D36" s="133"/>
      <c r="E36" s="82"/>
      <c r="F36" s="163"/>
      <c r="G36" s="164"/>
      <c r="H36" s="164"/>
      <c r="I36" s="164"/>
      <c r="J36" s="164"/>
      <c r="K36" s="165"/>
      <c r="L36" s="83"/>
      <c r="M36" s="114" t="str">
        <f>IF(E36&lt;&gt;"",E36*L36,"")</f>
        <v/>
      </c>
      <c r="N36" s="60"/>
      <c r="O36" s="9"/>
    </row>
    <row r="37" spans="2:15" ht="15.75" x14ac:dyDescent="0.25">
      <c r="B37" s="7"/>
      <c r="C37" s="3"/>
      <c r="D37" s="70"/>
      <c r="E37" s="56"/>
      <c r="F37" s="108"/>
      <c r="G37" s="107"/>
      <c r="H37" s="107"/>
      <c r="I37" s="107"/>
      <c r="J37" s="107"/>
      <c r="K37" s="107"/>
      <c r="L37" s="83"/>
      <c r="M37" s="114"/>
      <c r="N37" s="60"/>
      <c r="O37" s="9"/>
    </row>
    <row r="38" spans="2:15" ht="15" x14ac:dyDescent="0.2">
      <c r="B38" s="7"/>
      <c r="C38" s="3"/>
      <c r="D38" s="70"/>
      <c r="E38" s="56"/>
      <c r="F38" s="170"/>
      <c r="G38" s="171"/>
      <c r="H38" s="171"/>
      <c r="I38" s="171"/>
      <c r="J38" s="171"/>
      <c r="K38" s="171"/>
      <c r="L38" s="83"/>
      <c r="M38" s="114"/>
      <c r="N38" s="60"/>
      <c r="O38" s="9"/>
    </row>
    <row r="39" spans="2:15" ht="15" x14ac:dyDescent="0.2">
      <c r="B39" s="7"/>
      <c r="C39" s="3"/>
      <c r="D39" s="70"/>
      <c r="E39" s="56"/>
      <c r="F39" s="170"/>
      <c r="G39" s="171"/>
      <c r="H39" s="171"/>
      <c r="I39" s="171"/>
      <c r="J39" s="171"/>
      <c r="K39" s="171"/>
      <c r="L39" s="83"/>
      <c r="M39" s="114"/>
      <c r="N39" s="60"/>
      <c r="O39" s="9"/>
    </row>
    <row r="40" spans="2:15" ht="15" x14ac:dyDescent="0.2">
      <c r="B40" s="7"/>
      <c r="C40" s="3"/>
      <c r="D40" s="71"/>
      <c r="E40" s="57"/>
      <c r="F40" s="168"/>
      <c r="G40" s="169"/>
      <c r="H40" s="169"/>
      <c r="I40" s="169"/>
      <c r="J40" s="169"/>
      <c r="K40" s="169"/>
      <c r="L40" s="84"/>
      <c r="M40" s="115" t="str">
        <f>IF(E40&lt;&gt;"",E40*L40,"")</f>
        <v/>
      </c>
      <c r="N40" s="60"/>
      <c r="O40" s="9"/>
    </row>
    <row r="41" spans="2:15" ht="15.75" x14ac:dyDescent="0.25">
      <c r="B41" s="7"/>
      <c r="C41" s="3"/>
      <c r="D41" s="3"/>
      <c r="E41" s="94"/>
      <c r="F41" s="94"/>
      <c r="G41" s="94"/>
      <c r="H41" s="94"/>
      <c r="I41" s="94"/>
      <c r="J41" s="85"/>
      <c r="K41" s="85"/>
      <c r="L41" s="86" t="s">
        <v>25</v>
      </c>
      <c r="M41" s="117">
        <f>SUM(M25:M40)</f>
        <v>2120</v>
      </c>
      <c r="N41" s="60"/>
      <c r="O41" s="9"/>
    </row>
    <row r="42" spans="2:15" ht="15.75" x14ac:dyDescent="0.25">
      <c r="B42" s="7"/>
      <c r="C42" s="3"/>
      <c r="D42" s="3"/>
      <c r="E42" s="97"/>
      <c r="F42" s="136" t="s">
        <v>26</v>
      </c>
      <c r="G42" s="100"/>
      <c r="H42" s="97"/>
      <c r="I42" s="94"/>
      <c r="J42" s="89"/>
      <c r="K42" s="85"/>
      <c r="L42" s="120">
        <f>IF(dflt2&lt;&gt;"",dflt2,"")</f>
        <v>0.18</v>
      </c>
      <c r="M42" s="116">
        <f>M41*0.18</f>
        <v>381.59999999999997</v>
      </c>
      <c r="N42" s="60"/>
      <c r="O42" s="9"/>
    </row>
    <row r="43" spans="2:15" ht="15" x14ac:dyDescent="0.2">
      <c r="B43" s="7"/>
      <c r="C43" s="3"/>
      <c r="D43" s="3"/>
      <c r="E43" s="97">
        <v>3</v>
      </c>
      <c r="F43" s="96" t="s">
        <v>27</v>
      </c>
      <c r="G43" s="94"/>
      <c r="H43" s="98"/>
      <c r="I43" s="94"/>
      <c r="J43" s="90" t="s">
        <v>28</v>
      </c>
      <c r="K43" s="85"/>
      <c r="L43" s="87" t="s">
        <v>49</v>
      </c>
      <c r="M43" s="116">
        <v>0.5</v>
      </c>
      <c r="N43" s="60"/>
      <c r="O43" s="9"/>
    </row>
    <row r="44" spans="2:15" ht="17.100000000000001" customHeight="1" x14ac:dyDescent="0.25">
      <c r="B44" s="7"/>
      <c r="C44" s="3"/>
      <c r="D44" s="3"/>
      <c r="E44" s="95"/>
      <c r="F44" s="95"/>
      <c r="G44" s="94"/>
      <c r="H44" s="95"/>
      <c r="I44" s="94"/>
      <c r="J44" s="90" t="s">
        <v>28</v>
      </c>
      <c r="K44" s="85"/>
      <c r="L44" s="91" t="s">
        <v>29</v>
      </c>
      <c r="M44" s="118">
        <f>+M41+M42+M43</f>
        <v>2502.1</v>
      </c>
      <c r="N44" s="60"/>
      <c r="O44" s="9"/>
    </row>
    <row r="45" spans="2:15" ht="17.100000000000001" customHeight="1" x14ac:dyDescent="0.25">
      <c r="B45" s="7"/>
      <c r="C45" s="3"/>
      <c r="D45" s="166" t="s">
        <v>59</v>
      </c>
      <c r="E45" s="167"/>
      <c r="F45" s="167"/>
      <c r="G45" s="167"/>
      <c r="H45" s="167"/>
      <c r="I45" s="167"/>
      <c r="J45" s="167"/>
      <c r="K45" s="167"/>
      <c r="L45" s="91" t="s">
        <v>37</v>
      </c>
      <c r="M45" s="119">
        <f>M42</f>
        <v>381.59999999999997</v>
      </c>
      <c r="N45" s="60"/>
      <c r="O45" s="9"/>
    </row>
    <row r="46" spans="2:15" ht="15" x14ac:dyDescent="0.2">
      <c r="B46" s="7"/>
      <c r="C46" s="3"/>
      <c r="D46" s="3"/>
      <c r="E46" s="99"/>
      <c r="F46" s="161"/>
      <c r="G46" s="162"/>
      <c r="H46" s="162"/>
      <c r="I46" s="162"/>
      <c r="J46" s="88"/>
      <c r="K46" s="85"/>
      <c r="L46" s="85"/>
      <c r="M46" s="85"/>
      <c r="N46" s="60"/>
      <c r="O46" s="9"/>
    </row>
    <row r="47" spans="2:15" ht="15" customHeight="1" x14ac:dyDescent="0.2">
      <c r="B47" s="7"/>
      <c r="C47" s="3"/>
      <c r="D47" s="3"/>
      <c r="E47" s="20"/>
      <c r="F47" s="152"/>
      <c r="G47" s="153"/>
      <c r="H47" s="153"/>
      <c r="I47" s="153"/>
      <c r="J47" s="88"/>
      <c r="K47" s="123" t="s">
        <v>56</v>
      </c>
      <c r="L47" s="124"/>
      <c r="M47" s="125"/>
      <c r="N47" s="60"/>
      <c r="O47" s="9"/>
    </row>
    <row r="48" spans="2:15" ht="15" x14ac:dyDescent="0.2">
      <c r="B48" s="7"/>
      <c r="C48" s="3"/>
      <c r="D48" s="3"/>
      <c r="E48" s="20"/>
      <c r="F48" s="86"/>
      <c r="G48" s="144"/>
      <c r="H48" s="145"/>
      <c r="I48" s="145"/>
      <c r="J48" s="88"/>
      <c r="K48" s="126"/>
      <c r="L48" s="127"/>
      <c r="M48" s="128"/>
      <c r="N48" s="60"/>
      <c r="O48" s="9"/>
    </row>
    <row r="49" spans="2:15" ht="15" x14ac:dyDescent="0.2">
      <c r="B49" s="7"/>
      <c r="C49" s="3"/>
      <c r="D49" s="3"/>
      <c r="E49" s="3"/>
      <c r="F49" s="85"/>
      <c r="G49" s="85"/>
      <c r="H49" s="85"/>
      <c r="I49" s="85"/>
      <c r="J49" s="88"/>
      <c r="K49" s="129"/>
      <c r="L49" s="130"/>
      <c r="M49" s="131"/>
      <c r="N49" s="60"/>
      <c r="O49" s="9"/>
    </row>
    <row r="50" spans="2:15" ht="15" x14ac:dyDescent="0.2">
      <c r="B50" s="7"/>
      <c r="C50" s="3"/>
      <c r="D50" s="106"/>
      <c r="E50" s="112"/>
      <c r="F50" s="85"/>
      <c r="G50" s="85"/>
      <c r="H50" s="85"/>
      <c r="I50" s="85"/>
      <c r="J50" s="88"/>
      <c r="K50" s="93"/>
      <c r="L50" s="93"/>
      <c r="M50" s="93"/>
      <c r="N50" s="60"/>
      <c r="O50" s="9"/>
    </row>
    <row r="51" spans="2:15" ht="15" x14ac:dyDescent="0.2">
      <c r="B51" s="7"/>
      <c r="C51" s="3"/>
      <c r="D51" s="3"/>
      <c r="E51" s="3"/>
      <c r="F51" s="110"/>
      <c r="G51" s="111"/>
      <c r="H51" s="111"/>
      <c r="I51" s="111"/>
      <c r="J51" s="111"/>
      <c r="K51" s="111"/>
      <c r="L51" s="111"/>
      <c r="M51" s="85"/>
      <c r="N51" s="60"/>
      <c r="O51" s="9"/>
    </row>
    <row r="52" spans="2:15" ht="15" x14ac:dyDescent="0.2">
      <c r="B52" s="7"/>
      <c r="C52" s="3"/>
      <c r="D52" s="3"/>
      <c r="E52" s="3"/>
      <c r="F52" s="111"/>
      <c r="G52" s="111"/>
      <c r="H52" s="111"/>
      <c r="I52" s="111"/>
      <c r="J52" s="111"/>
      <c r="K52" s="111"/>
      <c r="L52" s="111"/>
      <c r="M52" s="85"/>
      <c r="N52" s="60"/>
      <c r="O52" s="9"/>
    </row>
    <row r="53" spans="2:15" ht="15" x14ac:dyDescent="0.2">
      <c r="B53" s="7"/>
      <c r="C53" s="3"/>
      <c r="D53" s="3"/>
      <c r="E53" s="94"/>
      <c r="F53" s="111"/>
      <c r="G53" s="111"/>
      <c r="H53" s="111"/>
      <c r="I53" s="111"/>
      <c r="J53" s="111"/>
      <c r="K53" s="111"/>
      <c r="L53" s="111"/>
      <c r="M53" s="92"/>
      <c r="N53" s="60"/>
      <c r="O53" s="9"/>
    </row>
    <row r="54" spans="2:15" ht="15" x14ac:dyDescent="0.2">
      <c r="B54" s="7"/>
      <c r="C54" s="3"/>
      <c r="D54" s="3"/>
      <c r="E54" s="3"/>
      <c r="F54" s="111"/>
      <c r="G54" s="111"/>
      <c r="H54" s="111"/>
      <c r="I54" s="111"/>
      <c r="J54" s="111"/>
      <c r="K54" s="111"/>
      <c r="L54" s="111"/>
      <c r="M54" s="85"/>
      <c r="N54" s="60"/>
      <c r="O54" s="9"/>
    </row>
    <row r="55" spans="2:15" ht="13.5" thickBot="1" x14ac:dyDescent="0.25">
      <c r="B55" s="7"/>
      <c r="C55" s="3"/>
      <c r="D55" s="3"/>
      <c r="E55" s="3"/>
      <c r="F55" s="3"/>
      <c r="G55" s="3"/>
      <c r="H55" s="3"/>
      <c r="I55" s="3"/>
      <c r="J55" s="3"/>
      <c r="K55" s="3"/>
      <c r="L55" s="3"/>
      <c r="M55" s="3"/>
      <c r="N55" s="60"/>
      <c r="O55" s="9"/>
    </row>
    <row r="56" spans="2:15" ht="3" customHeight="1" thickTop="1" x14ac:dyDescent="0.2">
      <c r="B56" s="7"/>
      <c r="C56" s="3"/>
      <c r="D56" s="3"/>
      <c r="E56" s="61"/>
      <c r="F56" s="61"/>
      <c r="G56" s="61"/>
      <c r="H56" s="61"/>
      <c r="I56" s="61"/>
      <c r="J56" s="61"/>
      <c r="K56" s="61"/>
      <c r="L56" s="61"/>
      <c r="M56" s="61"/>
      <c r="N56" s="60"/>
      <c r="O56" s="9"/>
    </row>
    <row r="57" spans="2:15" x14ac:dyDescent="0.2">
      <c r="B57" s="7"/>
      <c r="C57" s="3"/>
      <c r="D57" s="3"/>
      <c r="E57" s="3"/>
      <c r="F57" s="132"/>
      <c r="G57" s="134"/>
      <c r="H57" s="134"/>
      <c r="I57" s="134"/>
      <c r="J57" s="134"/>
      <c r="K57" s="134"/>
      <c r="L57" s="134"/>
      <c r="M57" s="3"/>
      <c r="N57" s="60"/>
      <c r="O57" s="9"/>
    </row>
    <row r="58" spans="2:15" x14ac:dyDescent="0.2">
      <c r="B58" s="7"/>
      <c r="C58" s="3"/>
      <c r="D58" s="3"/>
      <c r="E58" s="3"/>
      <c r="F58" s="135"/>
      <c r="G58" s="135"/>
      <c r="H58" s="135"/>
      <c r="I58" s="135"/>
      <c r="J58" s="135"/>
      <c r="K58" s="135"/>
      <c r="L58" s="135"/>
      <c r="M58" s="3"/>
      <c r="N58" s="60"/>
      <c r="O58" s="9"/>
    </row>
    <row r="59" spans="2:15" x14ac:dyDescent="0.2">
      <c r="B59" s="7"/>
      <c r="C59" s="3"/>
      <c r="D59" s="3"/>
      <c r="E59" s="3"/>
      <c r="F59" s="135"/>
      <c r="G59" s="135"/>
      <c r="H59" s="135"/>
      <c r="I59" s="135"/>
      <c r="J59" s="135"/>
      <c r="K59" s="135"/>
      <c r="L59" s="135"/>
      <c r="M59" s="3"/>
      <c r="N59" s="60"/>
      <c r="O59" s="9"/>
    </row>
    <row r="60" spans="2:15" ht="0.95" customHeight="1" thickBot="1" x14ac:dyDescent="0.25">
      <c r="B60" s="10"/>
      <c r="C60" s="11"/>
      <c r="D60" s="11"/>
      <c r="E60" s="11"/>
      <c r="F60" s="11"/>
      <c r="G60" s="11"/>
      <c r="H60" s="11"/>
      <c r="I60" s="11"/>
      <c r="J60" s="11"/>
      <c r="K60" s="11"/>
      <c r="L60" s="11"/>
      <c r="M60" s="11"/>
      <c r="N60" s="11"/>
      <c r="O60" s="12"/>
    </row>
    <row r="61" spans="2: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K19" val="35343" numFmtId="14"/>
      <inputCells r="K20" val="452"/>
      <inputCells r="K21" val="T. Farot"/>
      <inputCells r="K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M26" undone="1" val="2"/>
      <inputCells r="M25" undone="1" val="2"/>
    </scenario>
  </scenarios>
  <mergeCells count="30">
    <mergeCell ref="K21:M21"/>
    <mergeCell ref="K22:M22"/>
    <mergeCell ref="L9:M9"/>
    <mergeCell ref="F39:K39"/>
    <mergeCell ref="F33:K33"/>
    <mergeCell ref="F36:K36"/>
    <mergeCell ref="F32:K32"/>
    <mergeCell ref="G21:H21"/>
    <mergeCell ref="E20:J20"/>
    <mergeCell ref="E19:J19"/>
    <mergeCell ref="E22:J22"/>
    <mergeCell ref="L10:M10"/>
    <mergeCell ref="K19:M19"/>
    <mergeCell ref="K20:M20"/>
    <mergeCell ref="G48:I48"/>
    <mergeCell ref="F34:K34"/>
    <mergeCell ref="F31:K31"/>
    <mergeCell ref="F47:I47"/>
    <mergeCell ref="F24:K24"/>
    <mergeCell ref="F25:K25"/>
    <mergeCell ref="F26:K26"/>
    <mergeCell ref="F46:I46"/>
    <mergeCell ref="F35:K35"/>
    <mergeCell ref="F30:K30"/>
    <mergeCell ref="D45:K45"/>
    <mergeCell ref="F28:K28"/>
    <mergeCell ref="F29:K29"/>
    <mergeCell ref="F27:K27"/>
    <mergeCell ref="F40:K40"/>
    <mergeCell ref="F38:K38"/>
  </mergeCells>
  <phoneticPr fontId="0" type="noConversion"/>
  <dataValidations xWindow="574" yWindow="401" count="1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K48 L46:M46"/>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1"/>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M45">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7:L59"/>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0</xdr:rowOff>
                  </from>
                  <to>
                    <xdr:col>4</xdr:col>
                    <xdr:colOff>695325</xdr:colOff>
                    <xdr:row>42</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41</xdr:row>
                    <xdr:rowOff>0</xdr:rowOff>
                  </from>
                  <to>
                    <xdr:col>4</xdr:col>
                    <xdr:colOff>704850</xdr:colOff>
                    <xdr:row>42</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42</xdr:row>
                    <xdr:rowOff>28575</xdr:rowOff>
                  </from>
                  <to>
                    <xdr:col>4</xdr:col>
                    <xdr:colOff>714375</xdr:colOff>
                    <xdr:row>43</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38</v>
      </c>
      <c r="B2" s="73" t="s">
        <v>31</v>
      </c>
    </row>
    <row r="3" spans="1:11" x14ac:dyDescent="0.2">
      <c r="A3" s="73" t="s">
        <v>39</v>
      </c>
      <c r="B3" s="73" t="s">
        <v>46</v>
      </c>
    </row>
    <row r="4" spans="1:11" x14ac:dyDescent="0.2">
      <c r="A4" s="73" t="s">
        <v>32</v>
      </c>
    </row>
    <row r="5" spans="1:11" x14ac:dyDescent="0.2">
      <c r="A5" s="73" t="s">
        <v>40</v>
      </c>
      <c r="B5" s="73">
        <v>1</v>
      </c>
    </row>
    <row r="6" spans="1:11" x14ac:dyDescent="0.2">
      <c r="A6" s="73">
        <v>1</v>
      </c>
      <c r="B6" s="73" t="s">
        <v>41</v>
      </c>
      <c r="C6" s="73" t="s">
        <v>45</v>
      </c>
      <c r="D6" s="73" t="s">
        <v>42</v>
      </c>
      <c r="E6" s="73">
        <v>10</v>
      </c>
      <c r="G6" s="73">
        <v>-1383939328</v>
      </c>
    </row>
    <row r="7" spans="1:11" x14ac:dyDescent="0.2">
      <c r="A7" s="73" t="s">
        <v>43</v>
      </c>
      <c r="B7" s="73" t="s">
        <v>33</v>
      </c>
      <c r="C7" s="73" t="s">
        <v>18</v>
      </c>
      <c r="D7" s="73" t="s">
        <v>3</v>
      </c>
      <c r="E7" s="73" t="s">
        <v>5</v>
      </c>
      <c r="F7" s="73" t="s">
        <v>7</v>
      </c>
      <c r="G7" s="73" t="s">
        <v>8</v>
      </c>
      <c r="H7" s="73" t="s">
        <v>9</v>
      </c>
      <c r="I7" s="73" t="s">
        <v>20</v>
      </c>
      <c r="J7" s="73" t="s">
        <v>34</v>
      </c>
      <c r="K7" s="73" t="s">
        <v>19</v>
      </c>
    </row>
    <row r="8" spans="1:11" x14ac:dyDescent="0.2">
      <c r="A8" s="73" t="s">
        <v>44</v>
      </c>
      <c r="B8" s="74" t="str">
        <f>Facture!$M$11</f>
        <v/>
      </c>
      <c r="C8" s="75" t="str">
        <f>Facture!$K$19</f>
        <v>Date                  29/12/2016</v>
      </c>
      <c r="D8" s="76" t="str">
        <f>Facture!$E$19</f>
        <v>HUAWEI tech Investment Co Ltd</v>
      </c>
      <c r="E8" s="73" t="str">
        <f>Facture!$E$20</f>
        <v xml:space="preserve">Immeuble Neifar-Bloc B -Rue de la Bourse-LAC </v>
      </c>
      <c r="F8" s="73">
        <f>Facture!$E$21</f>
        <v>1053</v>
      </c>
      <c r="G8" s="76" t="str">
        <f>Facture!$G$21</f>
        <v>TUNIS</v>
      </c>
      <c r="H8" s="76" t="str">
        <f>Facture!$J$21</f>
        <v>TN</v>
      </c>
      <c r="I8" s="73">
        <f>Facture!$E$22</f>
        <v>0</v>
      </c>
      <c r="J8" s="77">
        <f>Facture!$M$44</f>
        <v>2502.1</v>
      </c>
      <c r="K8" s="73" t="str">
        <f>Facture!$K$21</f>
        <v>responsable: Mr Mohammed Hammami</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2017-04-05T09:14:50Z</cp:lastPrinted>
  <dcterms:created xsi:type="dcterms:W3CDTF">1995-05-29T15:50:39Z</dcterms:created>
  <dcterms:modified xsi:type="dcterms:W3CDTF">2017-04-05T09:15:18Z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HUAWEI tech Investment Co Ltd</vt:lpwstr>
  </property>
  <property fmtid="{D5CDD505-2E9C-101B-9397-08002B2CF9AE}" pid="11" name="Montant de la facture" linkTarget="TOT">
    <vt:r8>2502.1</vt:r8>
  </property>
</Properties>
</file>