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7" i="3" l="1"/>
  <c r="M40" i="3" l="1"/>
  <c r="M42" i="3" s="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<sst xmlns="http://schemas.openxmlformats.org/spreadsheetml/2006/main" count="85" uniqueCount="75">
  <si>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</si>
  <si>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</si>
  <si>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</si>
  <si>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</si>
  <si>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</si>
  <si>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</si>
  <si>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</si>
  <si>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</si>
  <si>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</si>
  <si>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</si>
  <si>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</si>
  <si>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</si>
  <si>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</si>
  <si>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</si>
  <si>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</si>
  <si>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</si>
  <si>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</si>
  <si>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</si>
  <si>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</si>
  <si>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</si>
  <si>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</si>
  <si>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</si>
  <si>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</si>
  <si>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</si>
  <si>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</si>
  <si>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</si>
  <si>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</si>
  <si>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</si>
  <si>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</si>
  <si>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</si>
  <si>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</si>
  <si>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</si>
  <si>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</si>
  <si>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</si>
  <si>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</si>
  <si>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</si>
  <si>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</si>
  <si>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</si>
  <si>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</si>
  <si>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</si>
  <si>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</si>
  <si>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</si>
  <si>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</si>
  <si>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</si>
  <si>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</si>
  <si>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</si>
  <si>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</si>
  <si>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</si>
  <si>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</si>
  <si>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</si>
  <si>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</si>
  <si>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</si>
  <si>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</si>
  <si>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</si>
  <si>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</si>
  <si>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</si>
  <si>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</si>
  <si>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</si>
  <si>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</si>
  <si>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</si>
  <si>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</si>
  <si>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</si>
  <si>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</si>
  <si>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</si>
  <si>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</si>
  <si>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</si>
  <si>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</si>
  <si>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</si>
  <si>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</si>
  <si>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</si>
  <si>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</si>
  <si>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MASQUE DE SOUDURE</t>
  </si>
  <si>
    <t xml:space="preserve"> EN379:2003+A1:2009 / EN175:1997 1B</t>
  </si>
  <si>
    <t>Date : 09/12/2025</t>
  </si>
  <si>
    <t>Devis   N°2025-597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</si>
</sst>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21" fillId="3" borderId="28" xfId="0" applyFont="1" applyFill="1" applyBorder="1" applyAlignment="1">
      <alignment horizontal="center" vertical="top"/>
    </xf>
    <xf numFmtId="1" fontId="32" fillId="0" borderId="29" xfId="0" applyNumberFormat="1" applyFont="1" applyFill="1" applyBorder="1" applyAlignment="1">
      <alignment horizontal="center" vertical="top"/>
    </xf>
    <xf numFmtId="170"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8" xfId="0" applyNumberFormat="1" applyFont="1" applyFill="1" applyBorder="1" applyAlignment="1">
      <alignment horizontal="left" vertical="top"/>
    </xf>
    <xf numFmtId="0" fontId="33" fillId="0" borderId="0" xfId="0" applyFont="1" applyFill="1" applyAlignment="1"/>
    <xf numFmtId="49" fontId="31" fillId="3" borderId="33" xfId="0" applyNumberFormat="1" applyFont="1" applyFill="1" applyBorder="1" applyAlignment="1"/>
    <xf numFmtId="0" fontId="31" fillId="2" borderId="33"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2"/>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3"/>
        <a:stretch>
          <a:fillRect/>
        </a:stretch>
      </xdr:blipFill>
      <xdr:spPr>
        <a:xfrm>
          <a:off x="9731375" y="876993"/>
          <a:ext cx="2000250" cy="1000125"/>
        </a:xfrm>
        <a:prstGeom prst="rect">
          <a:avLst/>
        </a:prstGeom>
      </xdr:spPr>
    </xdr:pic>
    <xdr:clientData/>
  </xdr:twoCellAnchor>
  <xdr:twoCellAnchor editAs="oneCell">
    <xdr:from>
      <xdr:col>8</xdr:col>
      <xdr:colOff>31750</xdr:colOff>
      <xdr:row>31</xdr:row>
      <xdr:rowOff>95251</xdr:rowOff>
    </xdr:from>
    <xdr:to>
      <xdr:col>10</xdr:col>
      <xdr:colOff>762000</xdr:colOff>
      <xdr:row>38</xdr:row>
      <xdr:rowOff>289784</xdr:rowOff>
    </xdr:to>
    <xdr:pic>
      <xdr:nvPicPr>
        <xdr:cNvPr id="10" name="Image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83250" y="7143751"/>
          <a:ext cx="2333625" cy="28615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46</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5"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3" t="s">
        <v>74</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208" t="s">
        <v>64</v>
      </c>
      <c r="F22" s="209"/>
      <c r="G22" s="209"/>
      <c r="H22" s="209"/>
      <c r="I22" s="209"/>
      <c r="J22" s="209"/>
      <c r="K22" s="102"/>
      <c r="L22" s="186" t="s">
        <v>73</v>
      </c>
      <c r="M22" s="186"/>
      <c r="N22" s="52"/>
      <c r="O22" s="9"/>
    </row>
    <row r="23" spans="2:15" ht="33.75" x14ac:dyDescent="0.5">
      <c r="B23" s="7"/>
      <c r="C23" s="3"/>
      <c r="D23" s="101" t="s">
        <v>54</v>
      </c>
      <c r="E23" s="196" t="s">
        <v>66</v>
      </c>
      <c r="F23" s="197"/>
      <c r="G23" s="197"/>
      <c r="H23" s="197"/>
      <c r="I23" s="197"/>
      <c r="J23" s="197"/>
      <c r="K23" s="197"/>
      <c r="L23" s="103" t="s">
        <v>70</v>
      </c>
      <c r="M23" s="172"/>
      <c r="N23" s="53"/>
      <c r="O23" s="9"/>
    </row>
    <row r="24" spans="2:15" ht="33.75" x14ac:dyDescent="0.5">
      <c r="B24" s="7"/>
      <c r="C24" s="3"/>
      <c r="D24" s="101" t="s">
        <v>55</v>
      </c>
      <c r="E24" s="149">
        <v>8090</v>
      </c>
      <c r="F24" s="104" t="s">
        <v>8</v>
      </c>
      <c r="G24" s="198" t="s">
        <v>67</v>
      </c>
      <c r="H24" s="198"/>
      <c r="I24" s="105" t="s">
        <v>9</v>
      </c>
      <c r="J24" s="147" t="s">
        <v>57</v>
      </c>
      <c r="K24" s="102"/>
      <c r="L24" s="187" t="s">
        <v>69</v>
      </c>
      <c r="M24" s="188"/>
      <c r="N24" s="3"/>
      <c r="O24" s="9"/>
    </row>
    <row r="25" spans="2:15" ht="33.75" x14ac:dyDescent="0.5">
      <c r="B25" s="7"/>
      <c r="C25" s="3"/>
      <c r="D25" s="101" t="s">
        <v>56</v>
      </c>
      <c r="E25" s="190" t="s">
        <v>68</v>
      </c>
      <c r="F25" s="190"/>
      <c r="G25" s="190"/>
      <c r="H25" s="190"/>
      <c r="I25" s="190"/>
      <c r="J25" s="190"/>
      <c r="K25" s="102"/>
      <c r="L25" s="189" t="s">
        <v>65</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9" t="s">
        <v>23</v>
      </c>
      <c r="G27" s="200"/>
      <c r="H27" s="200"/>
      <c r="I27" s="200"/>
      <c r="J27" s="200"/>
      <c r="K27" s="201"/>
      <c r="L27" s="90" t="s">
        <v>24</v>
      </c>
      <c r="M27" s="91" t="s">
        <v>25</v>
      </c>
      <c r="N27" s="92"/>
      <c r="O27" s="9"/>
    </row>
    <row r="28" spans="2:15" ht="18" x14ac:dyDescent="0.25">
      <c r="B28" s="7"/>
      <c r="C28" s="3"/>
      <c r="D28" s="153"/>
      <c r="E28" s="153"/>
      <c r="F28" s="154"/>
      <c r="G28" s="155"/>
      <c r="H28" s="155"/>
      <c r="I28" s="155"/>
      <c r="J28" s="155"/>
      <c r="K28" s="156"/>
      <c r="L28" s="153"/>
      <c r="M28" s="157"/>
      <c r="N28" s="92"/>
      <c r="O28" s="9"/>
    </row>
    <row r="29" spans="2:15" ht="18" x14ac:dyDescent="0.25">
      <c r="B29" s="7"/>
      <c r="C29" s="3"/>
      <c r="D29" s="153"/>
      <c r="E29" s="153"/>
      <c r="F29" s="158"/>
      <c r="G29" s="159"/>
      <c r="H29" s="159"/>
      <c r="I29" s="159"/>
      <c r="J29" s="159"/>
      <c r="K29" s="160"/>
      <c r="L29" s="153"/>
      <c r="M29" s="157"/>
      <c r="N29" s="92"/>
      <c r="O29" s="9"/>
    </row>
    <row r="30" spans="2:15" ht="33" x14ac:dyDescent="0.45">
      <c r="B30" s="7"/>
      <c r="C30" s="3"/>
      <c r="D30" s="148"/>
      <c r="E30" s="163">
        <v>1</v>
      </c>
      <c r="F30" s="207" t="s">
        <v>71</v>
      </c>
      <c r="G30" s="161"/>
      <c r="H30" s="161"/>
      <c r="I30" s="161"/>
      <c r="J30" s="161"/>
      <c r="K30" s="162"/>
      <c r="L30" s="109">
        <v>180</v>
      </c>
      <c r="M30" s="109">
        <v>180</v>
      </c>
      <c r="N30" s="54"/>
      <c r="O30" s="9"/>
    </row>
    <row r="31" spans="2:15" ht="30" customHeight="1" x14ac:dyDescent="0.2">
      <c r="B31" s="7"/>
      <c r="C31" s="3"/>
      <c r="D31" s="173"/>
      <c r="E31" s="174"/>
      <c r="F31" s="204" t="s">
        <v>72</v>
      </c>
      <c r="G31" s="205"/>
      <c r="H31" s="205"/>
      <c r="I31" s="205"/>
      <c r="J31" s="205"/>
      <c r="K31" s="206"/>
      <c r="L31" s="175"/>
      <c r="M31" s="175"/>
      <c r="N31" s="54"/>
      <c r="O31" s="9"/>
    </row>
    <row r="32" spans="2:15" ht="30" customHeight="1" x14ac:dyDescent="0.4">
      <c r="B32" s="7"/>
      <c r="C32" s="3"/>
      <c r="D32" s="148"/>
      <c r="E32" s="107"/>
      <c r="F32" s="169"/>
      <c r="G32" s="118"/>
      <c r="H32" s="118"/>
      <c r="I32" s="118"/>
      <c r="J32" s="118"/>
      <c r="K32" s="119"/>
      <c r="L32" s="110"/>
      <c r="M32" s="110"/>
      <c r="N32" s="54"/>
      <c r="O32" s="9"/>
    </row>
    <row r="33" spans="2:15" ht="30" x14ac:dyDescent="0.4">
      <c r="B33" s="7"/>
      <c r="C33" s="3"/>
      <c r="D33" s="148"/>
      <c r="E33" s="107"/>
      <c r="F33" s="168"/>
      <c r="G33" s="118"/>
      <c r="H33" s="118"/>
      <c r="I33" s="118"/>
      <c r="J33" s="118"/>
      <c r="K33" s="119"/>
      <c r="L33" s="110"/>
      <c r="M33" s="110"/>
      <c r="N33" s="54"/>
      <c r="O33" s="9"/>
    </row>
    <row r="34" spans="2:15" ht="30" x14ac:dyDescent="0.4">
      <c r="B34" s="7"/>
      <c r="C34" s="3"/>
      <c r="D34" s="148"/>
      <c r="E34" s="107"/>
      <c r="F34" s="167"/>
      <c r="G34" s="118"/>
      <c r="H34" s="118"/>
      <c r="I34" s="118"/>
      <c r="J34" s="118"/>
      <c r="K34" s="119"/>
      <c r="L34" s="110"/>
      <c r="M34" s="110"/>
      <c r="N34" s="54"/>
      <c r="O34" s="9"/>
    </row>
    <row r="35" spans="2:15" ht="30" x14ac:dyDescent="0.4">
      <c r="B35" s="7"/>
      <c r="C35" s="3"/>
      <c r="D35" s="148"/>
      <c r="E35" s="107"/>
      <c r="F35" s="171"/>
      <c r="G35" s="118"/>
      <c r="H35" s="118"/>
      <c r="I35" s="118"/>
      <c r="J35" s="118"/>
      <c r="K35" s="119"/>
      <c r="L35" s="110"/>
      <c r="M35" s="110"/>
      <c r="N35" s="54"/>
      <c r="O35" s="9"/>
    </row>
    <row r="36" spans="2:15" ht="30" x14ac:dyDescent="0.4">
      <c r="B36" s="7"/>
      <c r="C36" s="3"/>
      <c r="D36" s="148"/>
      <c r="E36" s="108"/>
      <c r="F36" s="123"/>
      <c r="G36" s="118"/>
      <c r="H36" s="118"/>
      <c r="I36" s="118"/>
      <c r="J36" s="118"/>
      <c r="K36" s="119"/>
      <c r="L36" s="110"/>
      <c r="M36" s="114"/>
      <c r="N36" s="54"/>
      <c r="O36" s="9"/>
    </row>
    <row r="37" spans="2:15" ht="30" x14ac:dyDescent="0.4">
      <c r="B37" s="7"/>
      <c r="C37" s="3"/>
      <c r="D37" s="122"/>
      <c r="E37" s="108"/>
      <c r="F37" s="123"/>
      <c r="G37" s="118"/>
      <c r="H37" s="118"/>
      <c r="I37" s="118"/>
      <c r="J37" s="118"/>
      <c r="K37" s="119"/>
      <c r="L37" s="110"/>
      <c r="M37" s="114" t="str">
        <f t="shared" ref="M36:M37" si="0">IF(E37&lt;&gt;"",E37*L37,"")</f>
        <v/>
      </c>
      <c r="N37" s="54"/>
      <c r="O37" s="9"/>
    </row>
    <row r="38" spans="2:15" ht="30" x14ac:dyDescent="0.4">
      <c r="B38" s="7"/>
      <c r="C38" s="3"/>
      <c r="D38" s="122"/>
      <c r="E38" s="108"/>
      <c r="F38" s="192"/>
      <c r="G38" s="193"/>
      <c r="H38" s="193"/>
      <c r="I38" s="193"/>
      <c r="J38" s="193"/>
      <c r="K38" s="194"/>
      <c r="L38" s="110"/>
      <c r="M38" s="114"/>
      <c r="N38" s="54"/>
      <c r="O38" s="9"/>
    </row>
    <row r="39" spans="2:15" ht="26.25" x14ac:dyDescent="0.25">
      <c r="B39" s="7"/>
      <c r="C39" s="3"/>
      <c r="D39" s="135"/>
      <c r="E39" s="128"/>
      <c r="F39" s="150"/>
      <c r="G39" s="151"/>
      <c r="H39" s="151"/>
      <c r="I39" s="151"/>
      <c r="J39" s="151"/>
      <c r="K39" s="152"/>
      <c r="L39" s="136"/>
      <c r="M39" s="127"/>
      <c r="N39" s="54"/>
      <c r="O39" s="9"/>
    </row>
    <row r="40" spans="2:15" ht="35.25" x14ac:dyDescent="0.5">
      <c r="B40" s="7"/>
      <c r="C40" s="3"/>
      <c r="D40" s="143"/>
      <c r="E40" s="144"/>
      <c r="F40" s="145"/>
      <c r="G40" s="145"/>
      <c r="H40" s="145"/>
      <c r="I40" s="145"/>
      <c r="J40" s="145"/>
      <c r="K40" s="145"/>
      <c r="L40" s="138" t="s">
        <v>26</v>
      </c>
      <c r="M40" s="139">
        <f>SUM(M30:M39)</f>
        <v>180</v>
      </c>
      <c r="N40" s="54"/>
      <c r="O40" s="9"/>
    </row>
    <row r="41" spans="2:15" ht="30" customHeight="1" x14ac:dyDescent="0.5">
      <c r="B41" s="7"/>
      <c r="C41" s="3"/>
      <c r="D41" s="100"/>
      <c r="E41" s="96" t="s">
        <v>63</v>
      </c>
      <c r="F41" s="77"/>
      <c r="G41" s="77"/>
      <c r="H41" s="77"/>
      <c r="I41" s="77"/>
      <c r="J41" s="78"/>
      <c r="K41" s="93"/>
      <c r="L41" s="140" t="s">
        <v>47</v>
      </c>
      <c r="M41" s="139">
        <v>1</v>
      </c>
      <c r="N41" s="54"/>
      <c r="O41" s="9"/>
    </row>
    <row r="42" spans="2:15" ht="30" customHeight="1" x14ac:dyDescent="0.5">
      <c r="B42" s="7"/>
      <c r="C42" s="3"/>
      <c r="D42" s="97"/>
      <c r="E42" s="170" t="s">
        <v>62</v>
      </c>
      <c r="F42" s="77"/>
      <c r="G42" s="77"/>
      <c r="H42" s="77"/>
      <c r="I42" s="77"/>
      <c r="J42" s="80"/>
      <c r="K42" s="94"/>
      <c r="L42" s="141">
        <v>0.19</v>
      </c>
      <c r="M42" s="142">
        <f>+M40*19%</f>
        <v>34.200000000000003</v>
      </c>
      <c r="N42" s="54"/>
      <c r="O42" s="9"/>
    </row>
    <row r="43" spans="2:15" ht="35.25" x14ac:dyDescent="0.5">
      <c r="B43" s="7"/>
      <c r="C43" s="3"/>
      <c r="D43" s="85"/>
      <c r="E43" s="99"/>
      <c r="F43" s="95"/>
      <c r="G43" s="82"/>
      <c r="H43" s="81"/>
      <c r="I43" s="77"/>
      <c r="J43" s="83"/>
      <c r="K43" s="93"/>
      <c r="L43" s="140" t="s">
        <v>28</v>
      </c>
      <c r="M43" s="139">
        <f>+M40+M41+M42</f>
        <v>215.2</v>
      </c>
      <c r="N43" s="54"/>
      <c r="O43" s="9"/>
    </row>
    <row r="44" spans="2:15" ht="18" x14ac:dyDescent="0.2">
      <c r="B44" s="7"/>
      <c r="C44" s="3"/>
      <c r="D44" s="76"/>
      <c r="E44" s="86"/>
      <c r="F44" s="98"/>
      <c r="G44" s="77"/>
      <c r="H44" s="64"/>
      <c r="I44" s="77"/>
      <c r="J44" s="84" t="s">
        <v>27</v>
      </c>
      <c r="K44" s="78"/>
      <c r="L44" s="125"/>
      <c r="M44" s="125"/>
      <c r="N44" s="54"/>
      <c r="O44" s="9"/>
    </row>
    <row r="45" spans="2:15" ht="35.25" x14ac:dyDescent="0.5">
      <c r="B45" s="7"/>
      <c r="C45" s="3"/>
      <c r="D45" s="121"/>
      <c r="E45" s="121"/>
      <c r="F45" s="99"/>
      <c r="G45" s="120"/>
      <c r="H45" s="120"/>
      <c r="I45" s="120"/>
      <c r="J45" s="87"/>
      <c r="K45" s="87"/>
      <c r="L45" s="106"/>
      <c r="M45" s="137"/>
      <c r="N45" s="54"/>
      <c r="O45" s="9"/>
    </row>
    <row r="46" spans="2:15" ht="18" x14ac:dyDescent="0.25">
      <c r="B46" s="7"/>
      <c r="C46" s="3"/>
      <c r="D46" s="202"/>
      <c r="E46" s="202"/>
      <c r="F46" s="202"/>
      <c r="G46" s="202"/>
      <c r="H46" s="202"/>
      <c r="I46" s="202"/>
      <c r="J46" s="202"/>
      <c r="K46" s="202"/>
      <c r="L46" s="202"/>
      <c r="M46" s="121"/>
      <c r="N46" s="54"/>
      <c r="O46" s="9"/>
    </row>
    <row r="47" spans="2:15" ht="26.25" x14ac:dyDescent="0.4">
      <c r="B47" s="7"/>
      <c r="C47" s="3"/>
      <c r="D47" s="203"/>
      <c r="E47" s="203"/>
      <c r="F47" s="203"/>
      <c r="G47" s="203"/>
      <c r="H47" s="203"/>
      <c r="I47" s="203"/>
      <c r="J47" s="203"/>
      <c r="K47" s="203"/>
      <c r="L47" s="203"/>
      <c r="M47" s="126"/>
      <c r="N47" s="125"/>
      <c r="O47" s="9"/>
    </row>
    <row r="48" spans="2:15" ht="26.25" x14ac:dyDescent="0.4">
      <c r="B48" s="7"/>
      <c r="C48" s="3"/>
      <c r="D48" s="121"/>
      <c r="E48" s="121"/>
      <c r="F48" s="126"/>
      <c r="G48" s="133"/>
      <c r="H48" s="133"/>
      <c r="I48" s="133"/>
      <c r="J48" s="78"/>
      <c r="K48" s="117"/>
      <c r="L48" s="164" t="s">
        <v>61</v>
      </c>
      <c r="M48" s="164"/>
      <c r="N48" s="112"/>
      <c r="O48" s="9"/>
    </row>
    <row r="49" spans="1:16" ht="23.25" x14ac:dyDescent="0.25">
      <c r="B49" s="7"/>
      <c r="C49" s="3"/>
      <c r="D49" s="121"/>
      <c r="E49" s="121"/>
      <c r="F49" s="134"/>
      <c r="G49" s="195"/>
      <c r="H49" s="195"/>
      <c r="I49" s="195"/>
      <c r="J49" s="78"/>
      <c r="K49" s="117"/>
      <c r="L49" s="112"/>
      <c r="M49" s="112"/>
      <c r="N49" s="112"/>
      <c r="O49" s="9"/>
    </row>
    <row r="50" spans="1:16" ht="23.25" x14ac:dyDescent="0.2">
      <c r="B50" s="7"/>
      <c r="C50" s="3"/>
      <c r="D50" s="121"/>
      <c r="E50" s="121"/>
      <c r="F50" s="79"/>
      <c r="G50" s="78"/>
      <c r="H50" s="78"/>
      <c r="I50" s="78"/>
      <c r="J50" s="78"/>
      <c r="K50" s="117"/>
      <c r="L50" s="112"/>
      <c r="M50" s="112"/>
      <c r="N50" s="112"/>
      <c r="O50" s="9"/>
    </row>
    <row r="51" spans="1:16" ht="15" x14ac:dyDescent="0.2">
      <c r="B51" s="7"/>
      <c r="C51" s="3"/>
      <c r="D51" s="121"/>
      <c r="E51" s="121"/>
      <c r="F51" s="78"/>
      <c r="G51" s="78"/>
      <c r="H51" s="78"/>
      <c r="I51" s="78"/>
      <c r="J51" s="78"/>
      <c r="K51" s="112"/>
      <c r="L51" s="112"/>
      <c r="M51" s="112"/>
      <c r="N51" s="54"/>
      <c r="O51" s="129"/>
      <c r="P51" s="130"/>
    </row>
    <row r="52" spans="1:16" ht="20.25" x14ac:dyDescent="0.3">
      <c r="B52" s="7"/>
      <c r="C52" s="3"/>
      <c r="D52" s="115" t="s">
        <v>58</v>
      </c>
      <c r="E52" s="165"/>
      <c r="F52" s="78"/>
      <c r="G52" s="78"/>
      <c r="H52" s="78"/>
      <c r="I52" s="78"/>
      <c r="J52" s="78"/>
      <c r="K52" s="88"/>
      <c r="L52" s="88"/>
      <c r="M52" s="89"/>
      <c r="N52" s="92"/>
      <c r="O52" s="131"/>
      <c r="P52" s="132"/>
    </row>
    <row r="53" spans="1:16" ht="20.25" x14ac:dyDescent="0.3">
      <c r="B53" s="7"/>
      <c r="C53" s="3"/>
      <c r="D53" s="116" t="s">
        <v>59</v>
      </c>
      <c r="E53" s="116"/>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91" t="s">
        <v>52</v>
      </c>
      <c r="E55" s="191"/>
      <c r="F55" s="191"/>
      <c r="G55" s="191"/>
      <c r="H55" s="191"/>
      <c r="I55" s="191"/>
      <c r="J55" s="191"/>
      <c r="K55" s="191"/>
      <c r="L55" s="191"/>
      <c r="M55" s="88"/>
      <c r="N55" s="54"/>
      <c r="O55" s="9"/>
    </row>
    <row r="56" spans="1:16" ht="18" customHeight="1" x14ac:dyDescent="0.2">
      <c r="B56" s="7"/>
      <c r="C56" s="3"/>
      <c r="D56" s="191"/>
      <c r="E56" s="191"/>
      <c r="F56" s="191"/>
      <c r="G56" s="191"/>
      <c r="H56" s="191"/>
      <c r="I56" s="191"/>
      <c r="J56" s="191"/>
      <c r="K56" s="191"/>
      <c r="L56" s="191"/>
      <c r="M56" s="89"/>
      <c r="N56" s="54"/>
      <c r="O56" s="9"/>
    </row>
    <row r="57" spans="1:16" ht="15" customHeight="1" x14ac:dyDescent="0.2">
      <c r="B57" s="7"/>
      <c r="C57" s="3"/>
      <c r="D57" s="191"/>
      <c r="E57" s="191"/>
      <c r="F57" s="191"/>
      <c r="G57" s="191"/>
      <c r="H57" s="191"/>
      <c r="I57" s="191"/>
      <c r="J57" s="191"/>
      <c r="K57" s="191"/>
      <c r="L57" s="191"/>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46"/>
      <c r="B60" s="166"/>
      <c r="C60" s="124"/>
      <c r="D60" s="124"/>
      <c r="E60" s="124"/>
      <c r="F60" s="124"/>
      <c r="G60" s="124"/>
      <c r="H60" s="124"/>
      <c r="I60" s="124"/>
      <c r="J60" s="124"/>
      <c r="K60" s="124"/>
      <c r="L60" s="124"/>
      <c r="M60" s="125"/>
      <c r="N60" s="146"/>
    </row>
    <row r="61" spans="1:16" x14ac:dyDescent="0.2">
      <c r="A61" s="124"/>
      <c r="B61" s="124"/>
      <c r="C61" s="146"/>
      <c r="D61" s="146"/>
      <c r="E61" s="146"/>
      <c r="F61" s="146"/>
      <c r="G61" s="146"/>
      <c r="H61" s="146"/>
      <c r="I61" s="146"/>
      <c r="J61" s="146"/>
      <c r="K61" s="146"/>
      <c r="L61" s="146"/>
      <c r="M61" s="146"/>
      <c r="N61" s="146"/>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F38:K38"/>
    <mergeCell ref="G49:I49"/>
    <mergeCell ref="E23:K23"/>
    <mergeCell ref="G24:H24"/>
    <mergeCell ref="F27:K27"/>
    <mergeCell ref="D46:L46"/>
    <mergeCell ref="D47:L47"/>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M30:M35 L30: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09/12/2025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Facture!$M$43</f>
        <v>215.2</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2025-12-09T10:07:03Z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215.2</vt:r8>
  </property>
</Properties>
</file>