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6" i="3" l="1"/>
  <c r="M32" i="3" l="1"/>
  <c r="M34" i="3"/>
  <c r="M29" i="3" l="1"/>
  <c r="M28" i="3" l="1"/>
  <c r="M38" i="3"/>
  <c r="M37" i="3" l="1"/>
  <c r="M40" i="3" s="1"/>
  <c r="M42" i="3" s="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<sst xmlns="http://schemas.openxmlformats.org/spreadsheetml/2006/main" count="90" uniqueCount="80">
  <si>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</si>
  <si>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</si>
  <si>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</si>
  <si>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</si>
  <si>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</si>
  <si>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</si>
  <si>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</si>
  <si>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</si>
  <si>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</si>
  <si>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</si>
  <si>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</si>
  <si>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</si>
  <si>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</si>
  <si>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</si>
  <si>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</si>
  <si>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</si>
  <si>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</si>
  <si>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</si>
  <si>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</si>
  <si>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</si>
  <si>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</si>
  <si>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</si>
  <si>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</si>
  <si>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</si>
  <si>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</si>
  <si>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</si>
  <si>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</si>
  <si>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</si>
  <si>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</si>
  <si>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</si>
  <si>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</si>
  <si>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</si>
  <si>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</si>
  <si>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</si>
  <si>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</si>
  <si>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</si>
  <si>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</si>
  <si>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</si>
  <si>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</si>
  <si>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</si>
  <si>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</si>
  <si>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</si>
  <si>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</si>
  <si>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</si>
  <si>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</si>
  <si>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</si>
  <si>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</si>
  <si>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</si>
  <si>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</si>
  <si>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</si>
  <si>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</si>
  <si>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</si>
  <si>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</si>
  <si>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</si>
  <si>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</si>
  <si>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</si>
  <si>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</si>
  <si>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</si>
  <si>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</si>
  <si>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</si>
  <si>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</si>
  <si>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</si>
  <si>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</si>
  <si>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</si>
  <si>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</si>
  <si>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</si>
  <si>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</si>
  <si>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</si>
  <si>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</si>
  <si>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virement </t>
  </si>
  <si>
    <t xml:space="preserve">STB THAMEUR </t>
  </si>
  <si>
    <t>Réf commande:</t>
  </si>
  <si>
    <t xml:space="preserve"> CONFORME 3 NORMES EN 361 - EN358 - EN813</t>
  </si>
  <si>
    <t>Enrouleur stop chute 6M  EN 360</t>
  </si>
  <si>
    <t>Enrouleur stop chute 10M  EN 360</t>
  </si>
  <si>
    <t xml:space="preserve"> CONFORME EN 355</t>
  </si>
  <si>
    <t xml:space="preserve"> HARNAIS MIGUEL MIRANDA </t>
  </si>
  <si>
    <t xml:space="preserve"> LONGE DOUBLE ELASTIQUE  MIGUEL MIRANDA </t>
  </si>
  <si>
    <t>Date :17/10/2025</t>
  </si>
  <si>
    <t>devis N° 2025-987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</si>
</sst>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quot; &quot;##0.000&quot; DT&quot;;[Red]&quot;-&quot;#&quot; &quot;##0.00&quot;2 DT&quot;"/>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sz val="18"/>
      <name val="Times New Roman"/>
      <family val="1"/>
    </font>
    <font>
      <b/>
      <sz val="16"/>
      <name val="Arial"/>
      <family val="2"/>
    </font>
    <font>
      <sz val="14"/>
      <color theme="1"/>
      <name val="Arial"/>
      <family val="2"/>
    </font>
    <font>
      <sz val="12"/>
      <color rgb="FF000000"/>
      <name val="Arial"/>
      <family val="2"/>
    </font>
    <font>
      <sz val="11"/>
      <color rgb="FF000000"/>
      <name val="Arial"/>
      <family val="2"/>
    </font>
    <font>
      <b/>
      <sz val="11"/>
      <name val="Arial"/>
      <family val="2"/>
    </font>
    <font>
      <sz val="18"/>
      <name val="Arial"/>
      <family val="2"/>
    </font>
    <font>
      <b/>
      <sz val="18"/>
      <color rgb="FF000000"/>
      <name val="Arial"/>
      <family val="2"/>
    </font>
    <font>
      <sz val="16"/>
      <color theme="1"/>
      <name val="Arial"/>
      <family val="2"/>
    </font>
    <font>
      <u/>
      <sz val="16"/>
      <color theme="10"/>
      <name val="Arial"/>
      <family val="2"/>
    </font>
    <font>
      <sz val="18"/>
      <color rgb="FF000000"/>
      <name val="Arial"/>
      <family val="2"/>
    </font>
    <font>
      <b/>
      <sz val="16"/>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0" fontId="31" fillId="0" borderId="0" xfId="0" applyFont="1" applyFill="1" applyBorder="1"/>
    <xf numFmtId="0" fontId="46" fillId="0" borderId="0" xfId="0" applyFont="1" applyFill="1"/>
    <xf numFmtId="0" fontId="34" fillId="0" borderId="38" xfId="0" applyFont="1" applyFill="1" applyBorder="1" applyAlignment="1">
      <alignment wrapTex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5" fillId="3" borderId="40" xfId="0" applyFont="1" applyFill="1" applyBorder="1" applyAlignment="1">
      <alignment horizontal="center" vertical="center" wrapText="1"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wrapText="1"/>
    </xf>
    <xf numFmtId="49" fontId="47" fillId="0" borderId="0" xfId="5" applyNumberFormat="1" applyFont="1" applyFill="1" applyBorder="1" applyAlignment="1">
      <alignment horizontal="left" vertical="center" wrapText="1"/>
    </xf>
    <xf numFmtId="49" fontId="47" fillId="0" borderId="38" xfId="5" applyNumberFormat="1" applyFont="1" applyFill="1" applyBorder="1" applyAlignment="1">
      <alignment horizontal="left" vertical="center" wrapText="1"/>
    </xf>
    <xf numFmtId="0" fontId="18" fillId="7" borderId="0" xfId="0" applyFont="1" applyFill="1" applyBorder="1"/>
    <xf numFmtId="0" fontId="48" fillId="7" borderId="0" xfId="0" applyFont="1" applyFill="1" applyBorder="1" applyAlignment="1"/>
    <xf numFmtId="0" fontId="8" fillId="7" borderId="0" xfId="0" applyFont="1" applyFill="1" applyBorder="1"/>
    <xf numFmtId="0" fontId="49" fillId="7" borderId="0" xfId="0" applyFont="1" applyFill="1" applyBorder="1" applyAlignment="1"/>
    <xf numFmtId="170" fontId="49" fillId="0" borderId="52" xfId="0" applyNumberFormat="1" applyFont="1" applyFill="1" applyBorder="1"/>
    <xf numFmtId="49" fontId="41" fillId="0" borderId="0" xfId="5" applyNumberFormat="1" applyFont="1" applyFill="1" applyBorder="1" applyAlignment="1" applyProtection="1"/>
    <xf numFmtId="0" fontId="19" fillId="3" borderId="0" xfId="0" applyFont="1" applyFill="1" applyBorder="1" applyAlignment="1"/>
    <xf numFmtId="0" fontId="50" fillId="3" borderId="0" xfId="0" applyFont="1" applyFill="1" applyBorder="1" applyAlignment="1"/>
    <xf numFmtId="0" fontId="8" fillId="3" borderId="0" xfId="0" applyFont="1" applyFill="1" applyBorder="1" applyAlignment="1"/>
    <xf numFmtId="49" fontId="34" fillId="0" borderId="28" xfId="0" applyNumberFormat="1" applyFont="1" applyFill="1" applyBorder="1" applyAlignment="1"/>
    <xf numFmtId="0" fontId="52" fillId="7" borderId="51" xfId="0" applyFont="1" applyFill="1" applyBorder="1"/>
    <xf numFmtId="49" fontId="51" fillId="0" borderId="51" xfId="0" applyNumberFormat="1" applyFont="1" applyFill="1" applyBorder="1" applyAlignment="1">
      <alignment vertical="top"/>
    </xf>
    <xf numFmtId="0" fontId="2" fillId="6" borderId="38" xfId="0" applyFont="1" applyFill="1" applyBorder="1"/>
    <xf numFmtId="49" fontId="53" fillId="0" borderId="28" xfId="0" applyNumberFormat="1" applyFont="1" applyFill="1" applyBorder="1" applyAlignment="1">
      <alignment horizontal="left" vertical="top"/>
    </xf>
    <xf numFmtId="49" fontId="54" fillId="0" borderId="0" xfId="5" applyNumberFormat="1" applyFont="1" applyFill="1" applyBorder="1" applyAlignment="1" applyProtection="1">
      <alignment horizontal="left" vertical="top"/>
    </xf>
    <xf numFmtId="0" fontId="36" fillId="3" borderId="0" xfId="0" applyFont="1" applyFill="1" applyBorder="1" applyAlignment="1">
      <alignment horizontal="left" vertical="top"/>
    </xf>
    <xf numFmtId="170" fontId="55" fillId="0" borderId="52" xfId="0" applyNumberFormat="1" applyFont="1" applyFill="1" applyBorder="1"/>
    <xf numFmtId="0" fontId="51" fillId="7" borderId="0" xfId="0" applyFont="1" applyFill="1" applyBorder="1"/>
    <xf numFmtId="168" fontId="51" fillId="0" borderId="29" xfId="0" applyNumberFormat="1" applyFont="1" applyFill="1" applyBorder="1" applyAlignment="1"/>
    <xf numFmtId="168" fontId="31" fillId="0" borderId="29" xfId="0" applyNumberFormat="1" applyFont="1" applyFill="1" applyBorder="1" applyAlignment="1">
      <alignment horizontal="center" vertical="center" shrinkToFit="1"/>
    </xf>
    <xf numFmtId="0" fontId="2" fillId="6" borderId="0" xfId="0" applyFont="1" applyFill="1"/>
    <xf numFmtId="49" fontId="56" fillId="3" borderId="28" xfId="0" applyNumberFormat="1" applyFont="1" applyFill="1" applyBorder="1" applyAlignment="1">
      <alignment horizontal="left" vertical="top" shrinkToFit="1"/>
    </xf>
    <xf numFmtId="49" fontId="56" fillId="3" borderId="0" xfId="0" applyNumberFormat="1" applyFont="1" applyFill="1" applyBorder="1" applyAlignment="1">
      <alignment horizontal="left" vertical="top" shrinkToFit="1"/>
    </xf>
    <xf numFmtId="49" fontId="56" fillId="3" borderId="38"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2" t="s">
        <v>79</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7" t="s">
        <v>63</v>
      </c>
      <c r="F22" s="168"/>
      <c r="G22" s="168"/>
      <c r="H22" s="168"/>
      <c r="I22" s="168"/>
      <c r="J22" s="168"/>
      <c r="K22" s="101"/>
      <c r="L22" s="165" t="s">
        <v>78</v>
      </c>
      <c r="M22" s="165"/>
      <c r="N22" s="52"/>
      <c r="O22" s="9"/>
    </row>
    <row r="23" spans="2:15" ht="33.75" x14ac:dyDescent="0.5">
      <c r="B23" s="7"/>
      <c r="C23" s="3"/>
      <c r="D23" s="100" t="s">
        <v>54</v>
      </c>
      <c r="E23" s="160" t="s">
        <v>64</v>
      </c>
      <c r="F23" s="161"/>
      <c r="G23" s="161"/>
      <c r="H23" s="161"/>
      <c r="I23" s="161"/>
      <c r="J23" s="161"/>
      <c r="K23" s="142"/>
      <c r="L23" s="145" t="s">
        <v>71</v>
      </c>
      <c r="M23" s="145"/>
      <c r="N23" s="53"/>
      <c r="O23" s="9"/>
    </row>
    <row r="24" spans="2:15" ht="33.75" x14ac:dyDescent="0.5">
      <c r="B24" s="7"/>
      <c r="C24" s="3"/>
      <c r="D24" s="100" t="s">
        <v>55</v>
      </c>
      <c r="E24" s="147">
        <v>2035</v>
      </c>
      <c r="F24" s="144" t="s">
        <v>8</v>
      </c>
      <c r="G24" s="173" t="s">
        <v>65</v>
      </c>
      <c r="H24" s="173"/>
      <c r="I24" s="144" t="s">
        <v>9</v>
      </c>
      <c r="J24" s="135" t="s">
        <v>59</v>
      </c>
      <c r="K24" s="101"/>
      <c r="L24" s="166" t="s">
        <v>67</v>
      </c>
      <c r="M24" s="166"/>
      <c r="N24" s="3"/>
      <c r="O24" s="9"/>
    </row>
    <row r="25" spans="2:15" ht="33.75" x14ac:dyDescent="0.5">
      <c r="B25" s="7"/>
      <c r="C25" s="3"/>
      <c r="D25" s="100" t="s">
        <v>56</v>
      </c>
      <c r="E25" s="169" t="s">
        <v>66</v>
      </c>
      <c r="F25" s="170"/>
      <c r="G25" s="170"/>
      <c r="H25" s="170"/>
      <c r="I25" s="170"/>
      <c r="J25" s="170"/>
      <c r="K25" s="101"/>
      <c r="L25" s="166" t="s">
        <v>68</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4" t="s">
        <v>23</v>
      </c>
      <c r="G27" s="175"/>
      <c r="H27" s="175"/>
      <c r="I27" s="175"/>
      <c r="J27" s="175"/>
      <c r="K27" s="176"/>
      <c r="L27" s="89" t="s">
        <v>24</v>
      </c>
      <c r="M27" s="90" t="s">
        <v>25</v>
      </c>
      <c r="N27" s="91"/>
      <c r="O27" s="9"/>
    </row>
    <row r="28" spans="2:15" ht="30" x14ac:dyDescent="0.4">
      <c r="B28" s="7"/>
      <c r="C28" s="3"/>
      <c r="D28" s="136"/>
      <c r="E28" s="103"/>
      <c r="F28" s="146"/>
      <c r="G28" s="111"/>
      <c r="H28" s="111"/>
      <c r="I28" s="111"/>
      <c r="J28" s="111"/>
      <c r="K28" s="112"/>
      <c r="L28" s="104"/>
      <c r="M28" s="108" t="str">
        <f t="shared" ref="M28:M38" si="0">IF(E28&lt;&gt;"",E28*L28,"")</f>
        <v/>
      </c>
      <c r="N28" s="54"/>
      <c r="O28" s="9"/>
    </row>
    <row r="29" spans="2:15" ht="30" x14ac:dyDescent="0.4">
      <c r="B29" s="7"/>
      <c r="C29" s="3"/>
      <c r="D29" s="136"/>
      <c r="E29" s="103">
        <v>2</v>
      </c>
      <c r="F29" s="192" t="s">
        <v>76</v>
      </c>
      <c r="G29" s="182"/>
      <c r="H29" s="183"/>
      <c r="I29" s="184"/>
      <c r="J29" s="184"/>
      <c r="K29" s="185"/>
      <c r="L29" s="198">
        <v>600</v>
      </c>
      <c r="M29" s="198">
        <f>L29*E29</f>
        <v>1200</v>
      </c>
      <c r="N29" s="186"/>
      <c r="O29" s="9"/>
    </row>
    <row r="30" spans="2:15" ht="30" x14ac:dyDescent="0.4">
      <c r="B30" s="7"/>
      <c r="C30" s="3"/>
      <c r="D30" s="136"/>
      <c r="E30" s="148"/>
      <c r="F30" s="193" t="s">
        <v>72</v>
      </c>
      <c r="G30" s="187"/>
      <c r="H30" s="188"/>
      <c r="I30" s="189"/>
      <c r="J30" s="189"/>
      <c r="K30" s="190"/>
      <c r="L30" s="199"/>
      <c r="M30" s="198"/>
      <c r="N30" s="186"/>
      <c r="O30" s="9"/>
    </row>
    <row r="31" spans="2:15" ht="30" x14ac:dyDescent="0.4">
      <c r="B31" s="7"/>
      <c r="C31" s="3"/>
      <c r="D31" s="136"/>
      <c r="E31" s="103"/>
      <c r="F31" s="179"/>
      <c r="G31" s="180"/>
      <c r="H31" s="180"/>
      <c r="I31" s="180"/>
      <c r="J31" s="180"/>
      <c r="K31" s="181"/>
      <c r="L31" s="200"/>
      <c r="M31" s="201"/>
      <c r="N31" s="54"/>
      <c r="O31" s="9"/>
    </row>
    <row r="32" spans="2:15" ht="30" customHeight="1" x14ac:dyDescent="0.4">
      <c r="B32" s="7"/>
      <c r="C32" s="3"/>
      <c r="D32" s="136"/>
      <c r="E32" s="103">
        <v>1</v>
      </c>
      <c r="F32" s="191" t="s">
        <v>73</v>
      </c>
      <c r="G32" s="111"/>
      <c r="H32" s="202"/>
      <c r="I32" s="111"/>
      <c r="J32" s="111"/>
      <c r="K32" s="112"/>
      <c r="L32" s="200">
        <v>980</v>
      </c>
      <c r="M32" s="200">
        <f>L32*E32</f>
        <v>980</v>
      </c>
      <c r="N32" s="54"/>
      <c r="O32" s="9"/>
    </row>
    <row r="33" spans="2:15" ht="30" x14ac:dyDescent="0.4">
      <c r="B33" s="7"/>
      <c r="C33" s="3"/>
      <c r="D33" s="136"/>
      <c r="E33" s="103"/>
      <c r="F33" s="115"/>
      <c r="G33" s="111"/>
      <c r="H33" s="202"/>
      <c r="I33" s="111"/>
      <c r="J33" s="111"/>
      <c r="K33" s="152"/>
      <c r="L33" s="200"/>
      <c r="M33" s="201"/>
      <c r="N33" s="54"/>
      <c r="O33" s="9"/>
    </row>
    <row r="34" spans="2:15" ht="30" x14ac:dyDescent="0.4">
      <c r="B34" s="7"/>
      <c r="C34" s="3"/>
      <c r="D34" s="136"/>
      <c r="E34" s="103">
        <v>1</v>
      </c>
      <c r="F34" s="115" t="s">
        <v>74</v>
      </c>
      <c r="G34" s="111"/>
      <c r="H34" s="202"/>
      <c r="I34" s="111"/>
      <c r="J34" s="111"/>
      <c r="K34" s="112"/>
      <c r="L34" s="200">
        <v>1250</v>
      </c>
      <c r="M34" s="200">
        <f>L34*E34</f>
        <v>1250</v>
      </c>
      <c r="N34" s="54"/>
      <c r="O34" s="9"/>
    </row>
    <row r="35" spans="2:15" ht="30" x14ac:dyDescent="0.4">
      <c r="B35" s="7"/>
      <c r="C35" s="3"/>
      <c r="D35" s="136"/>
      <c r="E35" s="103"/>
      <c r="F35" s="115"/>
      <c r="G35" s="111"/>
      <c r="H35" s="202"/>
      <c r="I35" s="111"/>
      <c r="J35" s="111"/>
      <c r="K35" s="112"/>
      <c r="L35" s="200"/>
      <c r="M35" s="200"/>
      <c r="N35" s="54"/>
      <c r="O35" s="9"/>
    </row>
    <row r="36" spans="2:15" ht="30" x14ac:dyDescent="0.4">
      <c r="B36" s="7"/>
      <c r="C36" s="3"/>
      <c r="D36" s="136"/>
      <c r="E36" s="103">
        <v>3</v>
      </c>
      <c r="F36" s="203" t="s">
        <v>77</v>
      </c>
      <c r="G36" s="204"/>
      <c r="H36" s="204"/>
      <c r="I36" s="204"/>
      <c r="J36" s="204"/>
      <c r="K36" s="205"/>
      <c r="L36" s="200">
        <v>300</v>
      </c>
      <c r="M36" s="200">
        <f>L36*E36</f>
        <v>900</v>
      </c>
      <c r="N36" s="54"/>
      <c r="O36" s="9"/>
    </row>
    <row r="37" spans="2:15" ht="30" customHeight="1" x14ac:dyDescent="0.4">
      <c r="B37" s="7"/>
      <c r="C37" s="3"/>
      <c r="D37" s="136"/>
      <c r="E37" s="103"/>
      <c r="F37" s="195" t="s">
        <v>75</v>
      </c>
      <c r="G37" s="196"/>
      <c r="H37" s="196"/>
      <c r="I37" s="197"/>
      <c r="J37" s="197"/>
      <c r="K37" s="197"/>
      <c r="L37" s="194"/>
      <c r="M37" s="108" t="str">
        <f t="shared" si="0"/>
        <v/>
      </c>
      <c r="N37" s="54"/>
      <c r="O37" s="9"/>
    </row>
    <row r="38" spans="2:15" ht="30" customHeight="1" x14ac:dyDescent="0.4">
      <c r="B38" s="7"/>
      <c r="C38" s="3"/>
      <c r="D38" s="136"/>
      <c r="E38" s="103"/>
      <c r="F38" s="115"/>
      <c r="G38" s="143"/>
      <c r="H38" s="143"/>
      <c r="I38" s="143"/>
      <c r="J38" s="143"/>
      <c r="K38" s="143"/>
      <c r="L38" s="104"/>
      <c r="M38" s="108" t="str">
        <f t="shared" si="0"/>
        <v/>
      </c>
      <c r="N38" s="54"/>
      <c r="O38" s="9"/>
    </row>
    <row r="39" spans="2:15" ht="26.25" x14ac:dyDescent="0.25">
      <c r="B39" s="7"/>
      <c r="C39" s="3"/>
      <c r="D39" s="124"/>
      <c r="E39" s="119"/>
      <c r="F39" s="137"/>
      <c r="G39" s="138"/>
      <c r="H39" s="138"/>
      <c r="I39" s="138"/>
      <c r="J39" s="138"/>
      <c r="K39" s="139"/>
      <c r="L39" s="125"/>
      <c r="M39" s="108"/>
      <c r="N39" s="54"/>
      <c r="O39" s="9"/>
    </row>
    <row r="40" spans="2:15" ht="35.25" x14ac:dyDescent="0.5">
      <c r="B40" s="7"/>
      <c r="C40" s="3"/>
      <c r="D40" s="132"/>
      <c r="E40" s="133"/>
      <c r="F40" s="134"/>
      <c r="G40" s="134"/>
      <c r="H40" s="134"/>
      <c r="I40" s="134"/>
      <c r="J40" s="134"/>
      <c r="K40" s="134"/>
      <c r="L40" s="127" t="s">
        <v>26</v>
      </c>
      <c r="M40" s="128">
        <f>SUM(M30:M39)</f>
        <v>3130</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95" t="s">
        <v>58</v>
      </c>
      <c r="F42" s="77"/>
      <c r="G42" s="77"/>
      <c r="H42" s="77"/>
      <c r="I42" s="77"/>
      <c r="J42" s="80"/>
      <c r="K42" s="93"/>
      <c r="L42" s="130">
        <v>0.19</v>
      </c>
      <c r="M42" s="131">
        <f>+M40*19%</f>
        <v>594.70000000000005</v>
      </c>
      <c r="N42" s="54"/>
      <c r="O42" s="9"/>
    </row>
    <row r="43" spans="2:15" ht="35.25" x14ac:dyDescent="0.5">
      <c r="B43" s="7"/>
      <c r="C43" s="3"/>
      <c r="D43" s="140"/>
      <c r="E43" s="151" t="s">
        <v>69</v>
      </c>
      <c r="F43" s="94"/>
      <c r="G43" s="82"/>
      <c r="H43" s="81"/>
      <c r="I43" s="77"/>
      <c r="J43" s="83"/>
      <c r="K43" s="92"/>
      <c r="L43" s="129" t="s">
        <v>28</v>
      </c>
      <c r="M43" s="128">
        <f>+M40+M41+M42</f>
        <v>3725.7</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77"/>
      <c r="E46" s="177"/>
      <c r="F46" s="177"/>
      <c r="G46" s="177"/>
      <c r="H46" s="177"/>
      <c r="I46" s="177"/>
      <c r="J46" s="177"/>
      <c r="K46" s="177"/>
      <c r="L46" s="177"/>
      <c r="M46" s="114"/>
      <c r="N46" s="54"/>
      <c r="O46" s="9"/>
    </row>
    <row r="47" spans="2:15" ht="26.25" x14ac:dyDescent="0.4">
      <c r="B47" s="7"/>
      <c r="C47" s="3"/>
      <c r="D47" s="178"/>
      <c r="E47" s="178"/>
      <c r="F47" s="178"/>
      <c r="G47" s="178"/>
      <c r="H47" s="178"/>
      <c r="I47" s="178"/>
      <c r="J47" s="178"/>
      <c r="K47" s="178"/>
      <c r="L47" s="178"/>
      <c r="M47" s="118"/>
      <c r="N47" s="54"/>
      <c r="O47" s="9"/>
    </row>
    <row r="48" spans="2:15" ht="26.25" x14ac:dyDescent="0.4">
      <c r="B48" s="7"/>
      <c r="C48" s="3"/>
      <c r="D48" s="114"/>
      <c r="E48" s="114"/>
      <c r="F48" s="118"/>
      <c r="G48" s="122"/>
      <c r="H48" s="122"/>
      <c r="I48" s="122"/>
      <c r="J48" s="78"/>
      <c r="K48" s="110"/>
      <c r="L48" s="141" t="s">
        <v>62</v>
      </c>
      <c r="M48" s="141"/>
      <c r="N48" s="54"/>
      <c r="O48" s="9"/>
    </row>
    <row r="49" spans="1:16" ht="23.25" x14ac:dyDescent="0.25">
      <c r="B49" s="7"/>
      <c r="C49" s="3"/>
      <c r="D49" s="114"/>
      <c r="E49" s="114"/>
      <c r="F49" s="123"/>
      <c r="G49" s="172"/>
      <c r="H49" s="172"/>
      <c r="I49" s="172"/>
      <c r="J49" s="78"/>
      <c r="K49" s="110"/>
      <c r="L49" s="106"/>
      <c r="M49" s="106"/>
      <c r="N49" s="117"/>
      <c r="O49" s="3"/>
      <c r="P49" s="74"/>
    </row>
    <row r="50" spans="1:16" ht="23.25" x14ac:dyDescent="0.35">
      <c r="B50" s="7"/>
      <c r="C50" s="3"/>
      <c r="D50" s="150"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49" t="s">
        <v>70</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71" t="s">
        <v>52</v>
      </c>
      <c r="E55" s="171"/>
      <c r="F55" s="171"/>
      <c r="G55" s="171"/>
      <c r="H55" s="171"/>
      <c r="I55" s="171"/>
      <c r="J55" s="171"/>
      <c r="K55" s="171"/>
      <c r="L55" s="171"/>
      <c r="M55" s="87"/>
      <c r="N55" s="91"/>
      <c r="O55" s="9"/>
    </row>
    <row r="56" spans="1:16" ht="18" x14ac:dyDescent="0.25">
      <c r="B56" s="7"/>
      <c r="C56" s="3"/>
      <c r="D56" s="171"/>
      <c r="E56" s="171"/>
      <c r="F56" s="171"/>
      <c r="G56" s="171"/>
      <c r="H56" s="171"/>
      <c r="I56" s="171"/>
      <c r="J56" s="171"/>
      <c r="K56" s="171"/>
      <c r="L56" s="171"/>
      <c r="M56" s="88"/>
      <c r="N56" s="91"/>
      <c r="O56" s="9"/>
    </row>
    <row r="57" spans="1:16" ht="15" x14ac:dyDescent="0.2">
      <c r="A57" s="116"/>
      <c r="B57" s="116"/>
      <c r="C57" s="3"/>
      <c r="D57" s="171"/>
      <c r="E57" s="171"/>
      <c r="F57" s="171"/>
      <c r="G57" s="171"/>
      <c r="H57" s="171"/>
      <c r="I57" s="171"/>
      <c r="J57" s="171"/>
      <c r="K57" s="171"/>
      <c r="L57" s="171"/>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G49:I49"/>
    <mergeCell ref="G24:H24"/>
    <mergeCell ref="F27:K27"/>
    <mergeCell ref="D46:L46"/>
    <mergeCell ref="D47:L47"/>
    <mergeCell ref="F31:K31"/>
    <mergeCell ref="F36:K36"/>
    <mergeCell ref="E23:J23"/>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29 M32 M29:N30 M34:M36 L31:L36 L3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3 M31 M37: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 type="list" allowBlank="1" showInputMessage="1" showErrorMessage="1" errorTitle="Code TVA" error="Tapez 1, 2, ou 3." sqref="L30 L37">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:17/10/2025</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3725.7</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2025-09-29T08:21:14Z</cp:lastPrinted>
  <dcterms:created xsi:type="dcterms:W3CDTF">1995-05-29T15:50:39Z</dcterms:created>
  <dcterms:modified xsi:type="dcterms:W3CDTF">2025-10-17T08:46:32Z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3725.7</vt:r8>
  </property>
</Properties>
</file>