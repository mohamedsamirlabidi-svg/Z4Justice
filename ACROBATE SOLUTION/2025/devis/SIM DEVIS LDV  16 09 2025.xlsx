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6" i="3" l="1"/>
  <c r="M38" i="3"/>
  <c r="M40" i="3"/>
  <c r="M42" i="3"/>
  <c r="M34" i="3"/>
  <c r="M44" i="3" l="1"/>
  <c r="M46" i="3" s="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<sst xmlns="http://schemas.openxmlformats.org/spreadsheetml/2006/main" count="93" uniqueCount="83">
  <si>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</si>
  <si>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</si>
  <si>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</si>
  <si>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</si>
  <si>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</si>
  <si>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</si>
  <si>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</si>
  <si>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</si>
  <si>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</si>
  <si>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</si>
  <si>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</si>
  <si>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</si>
  <si>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</si>
  <si>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</si>
  <si>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</si>
  <si>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</si>
  <si>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</si>
  <si>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</si>
  <si>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</si>
  <si>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</si>
  <si>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</si>
  <si>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</si>
  <si>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</si>
  <si>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</si>
  <si>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</si>
  <si>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</si>
  <si>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</si>
  <si>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</si>
  <si>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</si>
  <si>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</si>
  <si>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</si>
  <si>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</si>
  <si>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</si>
  <si>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</si>
  <si>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</si>
  <si>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</si>
  <si>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</si>
  <si>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</si>
  <si>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</si>
  <si>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</si>
  <si>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</si>
  <si>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</si>
  <si>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</si>
  <si>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</si>
  <si>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</si>
  <si>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</si>
  <si>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</si>
  <si>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</si>
  <si>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</si>
  <si>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</si>
  <si>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</si>
  <si>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</si>
  <si>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</si>
  <si>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</si>
  <si>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</si>
  <si>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</si>
  <si>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</si>
  <si>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</si>
  <si>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</si>
  <si>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</si>
  <si>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</si>
  <si>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</si>
  <si>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</si>
  <si>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</si>
  <si>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</si>
  <si>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</si>
  <si>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</si>
  <si>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</si>
  <si>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</si>
  <si>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</si>
  <si>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 xml:space="preserve">Réf commande: </t>
  </si>
  <si>
    <t>LIGNE DE VIE   conforme aux:</t>
  </si>
  <si>
    <t>* Norme Européenne EN353-1 :2014+A1:2017</t>
  </si>
  <si>
    <t>* la réglementation nationale américaine,</t>
  </si>
  <si>
    <t>OSHA 1910</t>
  </si>
  <si>
    <t>ANSI A14 -3</t>
  </si>
  <si>
    <t>LONGEUR 50M</t>
  </si>
  <si>
    <t>LONGEUR 15M</t>
  </si>
  <si>
    <t>LONGEUR 18M</t>
  </si>
  <si>
    <t>LONGEUR 12M</t>
  </si>
  <si>
    <t>LONGEUR 9M</t>
  </si>
  <si>
    <t>Date : 16/09/2025</t>
  </si>
  <si>
    <t>Devis   N°2025-1879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</si>
</sst>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
      <u/>
      <sz val="16"/>
      <color theme="10"/>
      <name val="Arial"/>
      <family val="2"/>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1"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2" xfId="0" quotePrefix="1" applyFont="1" applyFill="1" applyBorder="1" applyAlignment="1">
      <alignment horizontal="right"/>
    </xf>
    <xf numFmtId="168" fontId="28" fillId="0" borderId="52" xfId="0" applyNumberFormat="1" applyFont="1" applyFill="1" applyBorder="1" applyAlignment="1">
      <alignment shrinkToFit="1"/>
    </xf>
    <xf numFmtId="0" fontId="27" fillId="0" borderId="52" xfId="0" applyFont="1" applyFill="1" applyBorder="1" applyAlignment="1">
      <alignment horizontal="right"/>
    </xf>
    <xf numFmtId="10" fontId="27" fillId="0" borderId="52" xfId="0" quotePrefix="1" applyNumberFormat="1" applyFont="1" applyFill="1" applyBorder="1" applyAlignment="1">
      <alignment horizontal="center"/>
    </xf>
    <xf numFmtId="168" fontId="29" fillId="0" borderId="52"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1" xfId="0" applyNumberFormat="1" applyFill="1" applyBorder="1"/>
    <xf numFmtId="2" fontId="0" fillId="6" borderId="46" xfId="0" applyNumberFormat="1" applyFill="1" applyBorder="1"/>
    <xf numFmtId="2" fontId="0" fillId="6" borderId="47" xfId="0" applyNumberFormat="1" applyFill="1" applyBorder="1"/>
    <xf numFmtId="0" fontId="21" fillId="3" borderId="28" xfId="0" applyFont="1" applyFill="1" applyBorder="1" applyAlignment="1">
      <alignment horizontal="center"/>
    </xf>
    <xf numFmtId="0" fontId="21" fillId="3" borderId="29" xfId="0" applyFont="1" applyFill="1" applyBorder="1" applyAlignment="1">
      <alignment horizontal="center"/>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49" fontId="44" fillId="3" borderId="33" xfId="0" applyNumberFormat="1" applyFont="1" applyFill="1" applyBorder="1" applyAlignment="1">
      <alignment horizontal="left"/>
    </xf>
    <xf numFmtId="0" fontId="34" fillId="0" borderId="0" xfId="0" applyFont="1" applyFill="1" applyAlignment="1"/>
    <xf numFmtId="0" fontId="33"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49" fontId="34" fillId="0" borderId="48" xfId="0" applyNumberFormat="1" applyFont="1" applyFill="1" applyBorder="1" applyAlignment="1"/>
    <xf numFmtId="49" fontId="34" fillId="0" borderId="49" xfId="0" applyNumberFormat="1" applyFont="1" applyFill="1" applyBorder="1" applyAlignment="1"/>
    <xf numFmtId="49" fontId="46" fillId="6" borderId="49" xfId="5" applyNumberFormat="1" applyFont="1" applyFill="1" applyBorder="1" applyAlignment="1" applyProtection="1"/>
    <xf numFmtId="49" fontId="34" fillId="0" borderId="28" xfId="0" applyNumberFormat="1" applyFont="1" applyFill="1" applyBorder="1" applyAlignment="1">
      <alignment vertical="top"/>
    </xf>
    <xf numFmtId="49" fontId="34" fillId="0" borderId="0" xfId="0" applyNumberFormat="1" applyFont="1" applyFill="1" applyBorder="1" applyAlignment="1"/>
    <xf numFmtId="49" fontId="46" fillId="6" borderId="0" xfId="5" applyNumberFormat="1" applyFont="1" applyFill="1" applyBorder="1" applyAlignment="1" applyProtection="1"/>
    <xf numFmtId="49" fontId="34" fillId="0" borderId="28" xfId="0" applyNumberFormat="1" applyFont="1" applyFill="1" applyBorder="1" applyAlignment="1">
      <alignment horizontal="left" vertical="top" wrapText="1"/>
    </xf>
    <xf numFmtId="49" fontId="34" fillId="0" borderId="0" xfId="0" applyNumberFormat="1" applyFont="1" applyFill="1" applyBorder="1" applyAlignment="1">
      <alignment horizontal="left" vertical="top"/>
    </xf>
    <xf numFmtId="49" fontId="34" fillId="0" borderId="28" xfId="0" applyNumberFormat="1" applyFont="1" applyFill="1" applyBorder="1" applyAlignment="1">
      <alignment horizontal="left"/>
    </xf>
    <xf numFmtId="49" fontId="34" fillId="0" borderId="0" xfId="0" applyNumberFormat="1" applyFont="1" applyFill="1" applyBorder="1" applyAlignment="1">
      <alignment horizontal="left"/>
    </xf>
    <xf numFmtId="49" fontId="38" fillId="0" borderId="28" xfId="0" applyNumberFormat="1" applyFont="1" applyFill="1" applyBorder="1" applyAlignment="1"/>
    <xf numFmtId="0" fontId="38" fillId="6" borderId="0" xfId="0" applyFont="1" applyFill="1" applyBorder="1"/>
    <xf numFmtId="0" fontId="38" fillId="3" borderId="0" xfId="0" applyFont="1" applyFill="1" applyBorder="1" applyAlignment="1"/>
    <xf numFmtId="49" fontId="34" fillId="0" borderId="28" xfId="0" applyNumberFormat="1" applyFont="1" applyFill="1" applyBorder="1" applyAlignment="1"/>
    <xf numFmtId="2" fontId="47" fillId="0" borderId="28" xfId="5" applyNumberFormat="1" applyFont="1" applyFill="1" applyBorder="1" applyAlignment="1">
      <alignment horizontal="left" vertical="top"/>
    </xf>
    <xf numFmtId="2" fontId="47" fillId="0" borderId="0" xfId="5" applyNumberFormat="1" applyFont="1" applyFill="1" applyBorder="1" applyAlignment="1">
      <alignment horizontal="left" vertical="top"/>
    </xf>
    <xf numFmtId="2" fontId="47" fillId="0" borderId="38" xfId="5"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660789</xdr:colOff>
      <xdr:row>6</xdr:row>
      <xdr:rowOff>79375</xdr:rowOff>
    </xdr:from>
    <xdr:to>
      <xdr:col>12</xdr:col>
      <xdr:colOff>1925409</xdr:colOff>
      <xdr:row>12</xdr:row>
      <xdr:rowOff>95250</xdr:rowOff>
    </xdr:to>
    <xdr:pic>
      <xdr:nvPicPr>
        <xdr:cNvPr id="10" name="Image 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84414" y="904875"/>
          <a:ext cx="1264620" cy="1031875"/>
        </a:xfrm>
        <a:prstGeom prst="rect">
          <a:avLst/>
        </a:prstGeom>
      </xdr:spPr>
    </xdr:pic>
    <xdr:clientData/>
  </xdr:twoCellAnchor>
  <xdr:oneCellAnchor>
    <xdr:from>
      <xdr:col>11</xdr:col>
      <xdr:colOff>1381125</xdr:colOff>
      <xdr:row>6</xdr:row>
      <xdr:rowOff>142875</xdr:rowOff>
    </xdr:from>
    <xdr:ext cx="2063750" cy="1025462"/>
    <xdr:pic>
      <xdr:nvPicPr>
        <xdr:cNvPr id="11"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9620250" y="968375"/>
          <a:ext cx="2063750" cy="102546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7" zoomScale="60" zoomScaleNormal="60" workbookViewId="0">
      <selection activeCell="K37" sqref="K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1" t="s">
        <v>82</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8" t="s">
        <v>64</v>
      </c>
      <c r="F22" s="189"/>
      <c r="G22" s="189"/>
      <c r="H22" s="189"/>
      <c r="I22" s="189"/>
      <c r="J22" s="189"/>
      <c r="K22" s="103"/>
      <c r="L22" s="184" t="s">
        <v>81</v>
      </c>
      <c r="M22" s="184"/>
      <c r="N22" s="52"/>
      <c r="O22" s="9"/>
    </row>
    <row r="23" spans="2:15" ht="33.75" x14ac:dyDescent="0.5">
      <c r="B23" s="7"/>
      <c r="C23" s="3"/>
      <c r="D23" s="102" t="s">
        <v>54</v>
      </c>
      <c r="E23" s="173" t="s">
        <v>66</v>
      </c>
      <c r="F23" s="174"/>
      <c r="G23" s="174"/>
      <c r="H23" s="174"/>
      <c r="I23" s="174"/>
      <c r="J23" s="174"/>
      <c r="K23" s="174"/>
      <c r="L23" s="104" t="s">
        <v>70</v>
      </c>
      <c r="M23" s="161"/>
      <c r="N23" s="53"/>
      <c r="O23" s="9"/>
    </row>
    <row r="24" spans="2:15" ht="33.75" x14ac:dyDescent="0.5">
      <c r="B24" s="7"/>
      <c r="C24" s="3"/>
      <c r="D24" s="102" t="s">
        <v>55</v>
      </c>
      <c r="E24" s="151">
        <v>8090</v>
      </c>
      <c r="F24" s="105" t="s">
        <v>8</v>
      </c>
      <c r="G24" s="175" t="s">
        <v>67</v>
      </c>
      <c r="H24" s="175"/>
      <c r="I24" s="106" t="s">
        <v>9</v>
      </c>
      <c r="J24" s="149" t="s">
        <v>57</v>
      </c>
      <c r="K24" s="103"/>
      <c r="L24" s="185" t="s">
        <v>69</v>
      </c>
      <c r="M24" s="186"/>
      <c r="N24" s="3"/>
      <c r="O24" s="9"/>
    </row>
    <row r="25" spans="2:15" ht="33.75" x14ac:dyDescent="0.5">
      <c r="B25" s="7"/>
      <c r="C25" s="3"/>
      <c r="D25" s="102" t="s">
        <v>56</v>
      </c>
      <c r="E25" s="190" t="s">
        <v>68</v>
      </c>
      <c r="F25" s="190"/>
      <c r="G25" s="190"/>
      <c r="H25" s="190"/>
      <c r="I25" s="190"/>
      <c r="J25" s="190"/>
      <c r="K25" s="103"/>
      <c r="L25" s="187" t="s">
        <v>65</v>
      </c>
      <c r="M25" s="18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20.25" x14ac:dyDescent="0.3">
      <c r="B28" s="7"/>
      <c r="C28" s="3"/>
      <c r="D28" s="155"/>
      <c r="E28" s="155"/>
      <c r="F28" s="191" t="s">
        <v>71</v>
      </c>
      <c r="G28" s="192"/>
      <c r="H28" s="192"/>
      <c r="I28" s="192"/>
      <c r="J28" s="193"/>
      <c r="K28" s="193"/>
      <c r="L28" s="155"/>
      <c r="M28" s="156"/>
      <c r="N28" s="92"/>
      <c r="O28" s="9"/>
    </row>
    <row r="29" spans="2:15" ht="20.25" x14ac:dyDescent="0.3">
      <c r="B29" s="7"/>
      <c r="C29" s="3"/>
      <c r="D29" s="155"/>
      <c r="E29" s="155"/>
      <c r="F29" s="194" t="s">
        <v>72</v>
      </c>
      <c r="G29" s="195"/>
      <c r="H29" s="195"/>
      <c r="I29" s="195"/>
      <c r="J29" s="196"/>
      <c r="K29" s="196"/>
      <c r="L29" s="155"/>
      <c r="M29" s="156"/>
      <c r="N29" s="92"/>
      <c r="O29" s="9"/>
    </row>
    <row r="30" spans="2:15" ht="33" customHeight="1" x14ac:dyDescent="0.45">
      <c r="B30" s="7"/>
      <c r="C30" s="3"/>
      <c r="D30" s="150"/>
      <c r="E30" s="157"/>
      <c r="F30" s="197" t="s">
        <v>73</v>
      </c>
      <c r="G30" s="198"/>
      <c r="H30" s="198"/>
      <c r="I30" s="198"/>
      <c r="J30" s="198"/>
      <c r="K30" s="198"/>
      <c r="L30" s="110"/>
      <c r="M30" s="115"/>
      <c r="N30" s="54"/>
      <c r="O30" s="9"/>
    </row>
    <row r="31" spans="2:15" ht="30" x14ac:dyDescent="0.4">
      <c r="B31" s="7"/>
      <c r="C31" s="3"/>
      <c r="D31" s="150"/>
      <c r="E31" s="108"/>
      <c r="F31" s="199" t="s">
        <v>74</v>
      </c>
      <c r="G31" s="200"/>
      <c r="H31" s="200"/>
      <c r="I31" s="200"/>
      <c r="J31" s="200"/>
      <c r="K31" s="200"/>
      <c r="L31" s="111"/>
      <c r="M31" s="111"/>
      <c r="N31" s="54"/>
      <c r="O31" s="9"/>
    </row>
    <row r="32" spans="2:15" ht="30" x14ac:dyDescent="0.4">
      <c r="B32" s="7"/>
      <c r="C32" s="3"/>
      <c r="D32" s="150"/>
      <c r="E32" s="108"/>
      <c r="F32" s="199" t="s">
        <v>75</v>
      </c>
      <c r="G32" s="200"/>
      <c r="H32" s="200"/>
      <c r="I32" s="200"/>
      <c r="J32" s="200"/>
      <c r="K32" s="200"/>
      <c r="L32" s="111"/>
      <c r="M32" s="111"/>
      <c r="N32" s="54"/>
      <c r="O32" s="9"/>
    </row>
    <row r="33" spans="2:15" ht="30" x14ac:dyDescent="0.4">
      <c r="B33" s="7"/>
      <c r="C33" s="3"/>
      <c r="D33" s="150"/>
      <c r="E33" s="108"/>
      <c r="F33" s="201"/>
      <c r="G33" s="202"/>
      <c r="H33" s="203"/>
      <c r="I33" s="202"/>
      <c r="J33" s="202"/>
      <c r="K33" s="203"/>
      <c r="L33" s="111"/>
      <c r="M33" s="111"/>
      <c r="N33" s="54"/>
      <c r="O33" s="9"/>
    </row>
    <row r="34" spans="2:15" ht="30" x14ac:dyDescent="0.4">
      <c r="B34" s="7"/>
      <c r="C34" s="3"/>
      <c r="D34" s="150"/>
      <c r="E34" s="108">
        <v>9</v>
      </c>
      <c r="F34" s="204" t="s">
        <v>76</v>
      </c>
      <c r="G34" s="202"/>
      <c r="H34" s="203"/>
      <c r="I34" s="202"/>
      <c r="J34" s="203"/>
      <c r="K34" s="203"/>
      <c r="L34" s="111">
        <v>4651</v>
      </c>
      <c r="M34" s="111">
        <f>L34*E34</f>
        <v>41859</v>
      </c>
      <c r="N34" s="54"/>
      <c r="O34" s="9"/>
    </row>
    <row r="35" spans="2:15" ht="30" x14ac:dyDescent="0.4">
      <c r="B35" s="7"/>
      <c r="C35" s="3"/>
      <c r="D35" s="150"/>
      <c r="E35" s="108"/>
      <c r="F35" s="162"/>
      <c r="G35" s="120"/>
      <c r="H35" s="120"/>
      <c r="I35" s="120"/>
      <c r="J35" s="120"/>
      <c r="K35" s="121"/>
      <c r="L35" s="111"/>
      <c r="M35" s="111"/>
      <c r="N35" s="54"/>
      <c r="O35" s="9"/>
    </row>
    <row r="36" spans="2:15" ht="30" x14ac:dyDescent="0.4">
      <c r="B36" s="7"/>
      <c r="C36" s="3"/>
      <c r="D36" s="150"/>
      <c r="E36" s="108">
        <v>1</v>
      </c>
      <c r="F36" s="204" t="s">
        <v>78</v>
      </c>
      <c r="G36" s="120"/>
      <c r="H36" s="120"/>
      <c r="I36" s="120"/>
      <c r="J36" s="120"/>
      <c r="K36" s="121"/>
      <c r="L36" s="111">
        <v>2003</v>
      </c>
      <c r="M36" s="111">
        <f t="shared" ref="M35:M42" si="0">L36*E36</f>
        <v>2003</v>
      </c>
      <c r="N36" s="54"/>
      <c r="O36" s="9"/>
    </row>
    <row r="37" spans="2:15" ht="30" x14ac:dyDescent="0.4">
      <c r="B37" s="7"/>
      <c r="C37" s="3"/>
      <c r="D37" s="150"/>
      <c r="E37" s="108"/>
      <c r="F37" s="162"/>
      <c r="G37" s="120"/>
      <c r="H37" s="120"/>
      <c r="I37" s="120"/>
      <c r="J37" s="120"/>
      <c r="K37" s="121"/>
      <c r="L37" s="111"/>
      <c r="M37" s="111"/>
      <c r="N37" s="54"/>
      <c r="O37" s="9"/>
    </row>
    <row r="38" spans="2:15" ht="30" x14ac:dyDescent="0.4">
      <c r="B38" s="7"/>
      <c r="C38" s="3"/>
      <c r="D38" s="150"/>
      <c r="E38" s="109">
        <v>1</v>
      </c>
      <c r="F38" s="204" t="s">
        <v>77</v>
      </c>
      <c r="G38" s="120"/>
      <c r="H38" s="120"/>
      <c r="I38" s="120"/>
      <c r="J38" s="120"/>
      <c r="K38" s="121"/>
      <c r="L38" s="111">
        <v>1757</v>
      </c>
      <c r="M38" s="111">
        <f t="shared" si="0"/>
        <v>1757</v>
      </c>
      <c r="N38" s="95"/>
      <c r="O38" s="9"/>
    </row>
    <row r="39" spans="2:15" ht="30" x14ac:dyDescent="0.4">
      <c r="B39" s="7"/>
      <c r="C39" s="3"/>
      <c r="D39" s="124"/>
      <c r="E39" s="109"/>
      <c r="F39" s="119"/>
      <c r="G39" s="120"/>
      <c r="H39" s="120"/>
      <c r="I39" s="120"/>
      <c r="J39" s="120"/>
      <c r="K39" s="121"/>
      <c r="L39" s="111"/>
      <c r="M39" s="111"/>
      <c r="N39" s="95"/>
      <c r="O39" s="9"/>
    </row>
    <row r="40" spans="2:15" ht="30" x14ac:dyDescent="0.4">
      <c r="B40" s="7"/>
      <c r="C40" s="3"/>
      <c r="D40" s="150"/>
      <c r="E40" s="109">
        <v>1</v>
      </c>
      <c r="F40" s="204" t="s">
        <v>79</v>
      </c>
      <c r="G40" s="120"/>
      <c r="H40" s="120"/>
      <c r="I40" s="120"/>
      <c r="J40" s="120"/>
      <c r="K40" s="121"/>
      <c r="L40" s="111">
        <v>1610</v>
      </c>
      <c r="M40" s="111">
        <f t="shared" si="0"/>
        <v>1610</v>
      </c>
      <c r="N40" s="54"/>
      <c r="O40" s="9"/>
    </row>
    <row r="41" spans="2:15" ht="30" x14ac:dyDescent="0.4">
      <c r="B41" s="7"/>
      <c r="C41" s="3"/>
      <c r="D41" s="124"/>
      <c r="E41" s="109"/>
      <c r="F41" s="125"/>
      <c r="G41" s="120"/>
      <c r="H41" s="120"/>
      <c r="I41" s="120"/>
      <c r="J41" s="120"/>
      <c r="K41" s="121"/>
      <c r="L41" s="111"/>
      <c r="M41" s="111"/>
      <c r="N41" s="54"/>
      <c r="O41" s="9"/>
    </row>
    <row r="42" spans="2:15" ht="30" x14ac:dyDescent="0.4">
      <c r="B42" s="7"/>
      <c r="C42" s="3"/>
      <c r="D42" s="124"/>
      <c r="E42" s="109">
        <v>1</v>
      </c>
      <c r="F42" s="205" t="s">
        <v>80</v>
      </c>
      <c r="G42" s="206"/>
      <c r="H42" s="206"/>
      <c r="I42" s="206"/>
      <c r="J42" s="206"/>
      <c r="K42" s="207"/>
      <c r="L42" s="111">
        <v>1380</v>
      </c>
      <c r="M42" s="111">
        <f t="shared" si="0"/>
        <v>1380</v>
      </c>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48609</v>
      </c>
      <c r="N44" s="54"/>
      <c r="O44" s="9"/>
    </row>
    <row r="45" spans="2:15" ht="30" customHeight="1" x14ac:dyDescent="0.5">
      <c r="B45" s="7"/>
      <c r="C45" s="3"/>
      <c r="D45" s="101"/>
      <c r="E45" s="97" t="s">
        <v>63</v>
      </c>
      <c r="F45" s="77"/>
      <c r="G45" s="77"/>
      <c r="H45" s="77"/>
      <c r="I45" s="77"/>
      <c r="J45" s="78"/>
      <c r="K45" s="93"/>
      <c r="L45" s="142" t="s">
        <v>47</v>
      </c>
      <c r="M45" s="141">
        <v>1</v>
      </c>
      <c r="N45" s="54"/>
      <c r="O45" s="9"/>
    </row>
    <row r="46" spans="2:15" ht="30" customHeight="1" x14ac:dyDescent="0.5">
      <c r="B46" s="7"/>
      <c r="C46" s="3"/>
      <c r="D46" s="98"/>
      <c r="E46" s="163" t="s">
        <v>62</v>
      </c>
      <c r="F46" s="77"/>
      <c r="G46" s="77"/>
      <c r="H46" s="77"/>
      <c r="I46" s="77"/>
      <c r="J46" s="80"/>
      <c r="K46" s="94"/>
      <c r="L46" s="143">
        <v>0.19</v>
      </c>
      <c r="M46" s="144">
        <f>+M44*19%</f>
        <v>9235.7100000000009</v>
      </c>
      <c r="N46" s="54"/>
      <c r="O46" s="9"/>
    </row>
    <row r="47" spans="2:15" ht="35.25" x14ac:dyDescent="0.5">
      <c r="B47" s="7"/>
      <c r="C47" s="3"/>
      <c r="D47" s="85"/>
      <c r="E47" s="100"/>
      <c r="F47" s="96"/>
      <c r="G47" s="82"/>
      <c r="H47" s="81"/>
      <c r="I47" s="77"/>
      <c r="J47" s="83"/>
      <c r="K47" s="93"/>
      <c r="L47" s="142" t="s">
        <v>28</v>
      </c>
      <c r="M47" s="141">
        <f>+M44+M45+M46</f>
        <v>57845.71</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179"/>
      <c r="E50" s="179"/>
      <c r="F50" s="179"/>
      <c r="G50" s="179"/>
      <c r="H50" s="179"/>
      <c r="I50" s="179"/>
      <c r="J50" s="179"/>
      <c r="K50" s="179"/>
      <c r="L50" s="179"/>
      <c r="M50" s="123"/>
      <c r="N50" s="54"/>
      <c r="O50" s="9"/>
    </row>
    <row r="51" spans="1:16" ht="26.25" x14ac:dyDescent="0.4">
      <c r="B51" s="7"/>
      <c r="C51" s="3"/>
      <c r="D51" s="180"/>
      <c r="E51" s="180"/>
      <c r="F51" s="180"/>
      <c r="G51" s="180"/>
      <c r="H51" s="180"/>
      <c r="I51" s="180"/>
      <c r="J51" s="180"/>
      <c r="K51" s="180"/>
      <c r="L51" s="180"/>
      <c r="M51" s="128"/>
      <c r="N51" s="127"/>
      <c r="O51" s="9"/>
    </row>
    <row r="52" spans="1:16" ht="26.25" x14ac:dyDescent="0.4">
      <c r="B52" s="7"/>
      <c r="C52" s="3"/>
      <c r="D52" s="123"/>
      <c r="E52" s="123"/>
      <c r="F52" s="128"/>
      <c r="G52" s="135"/>
      <c r="H52" s="135"/>
      <c r="I52" s="135"/>
      <c r="J52" s="78"/>
      <c r="K52" s="118"/>
      <c r="L52" s="158" t="s">
        <v>61</v>
      </c>
      <c r="M52" s="158"/>
      <c r="N52" s="113"/>
      <c r="O52" s="9"/>
    </row>
    <row r="53" spans="1:16" ht="23.25" x14ac:dyDescent="0.25">
      <c r="B53" s="7"/>
      <c r="C53" s="3"/>
      <c r="D53" s="123"/>
      <c r="E53" s="123"/>
      <c r="F53" s="136"/>
      <c r="G53" s="172"/>
      <c r="H53" s="172"/>
      <c r="I53" s="172"/>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59"/>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71" t="s">
        <v>52</v>
      </c>
      <c r="E59" s="171"/>
      <c r="F59" s="171"/>
      <c r="G59" s="171"/>
      <c r="H59" s="171"/>
      <c r="I59" s="171"/>
      <c r="J59" s="171"/>
      <c r="K59" s="171"/>
      <c r="L59" s="171"/>
      <c r="M59" s="88"/>
      <c r="N59" s="54"/>
      <c r="O59" s="9"/>
    </row>
    <row r="60" spans="1:16" ht="18" customHeight="1" x14ac:dyDescent="0.2">
      <c r="B60" s="7"/>
      <c r="C60" s="3"/>
      <c r="D60" s="171"/>
      <c r="E60" s="171"/>
      <c r="F60" s="171"/>
      <c r="G60" s="171"/>
      <c r="H60" s="171"/>
      <c r="I60" s="171"/>
      <c r="J60" s="171"/>
      <c r="K60" s="171"/>
      <c r="L60" s="171"/>
      <c r="M60" s="89"/>
      <c r="N60" s="54"/>
      <c r="O60" s="9"/>
    </row>
    <row r="61" spans="1:16" ht="15" customHeight="1" x14ac:dyDescent="0.2">
      <c r="B61" s="7"/>
      <c r="C61" s="3"/>
      <c r="D61" s="171"/>
      <c r="E61" s="171"/>
      <c r="F61" s="171"/>
      <c r="G61" s="171"/>
      <c r="H61" s="171"/>
      <c r="I61" s="171"/>
      <c r="J61" s="171"/>
      <c r="K61" s="171"/>
      <c r="L61" s="171"/>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0"/>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M31:M42 L30: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16/09/2025</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57845.71</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2025-08-18T12:41:08Z</cp:lastPrinted>
  <dcterms:created xsi:type="dcterms:W3CDTF">1995-05-29T15:50:39Z</dcterms:created>
  <dcterms:modified xsi:type="dcterms:W3CDTF">2025-09-16T09:11:47Z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57845.71</vt:r8>
  </property>
</Properties>
</file>