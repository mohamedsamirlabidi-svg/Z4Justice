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ACROBATE SOLUTION\2025\devis\"/>
    </mc:Choice>
  </mc:AlternateContent>
  <bookViews>
    <workbookView xWindow="-120" yWindow="-120" windowWidth="20730" windowHeight="11160"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Facture!$K$43</definedName>
    <definedName name="_Tax3">Facture!$K$45</definedName>
    <definedName name="_tax4">Facture!$K$45</definedName>
    <definedName name="_xlnm.Auto_Open21">AutoOpen_Stub_Data!$A$1</definedName>
    <definedName name="boxes">Facture!$C$43:$C$44</definedName>
    <definedName name="CC">Personnaliser_votre_facture!$G$22:$G$25</definedName>
    <definedName name="CCT">Facture!$F$45</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Facture!$C$40</definedName>
    <definedName name="data6">Facture!$D$22</definedName>
    <definedName name="data60">Facture!$D$40</definedName>
    <definedName name="data61">Facture!$K$40</definedName>
    <definedName name="data62">Facture!$C$43</definedName>
    <definedName name="data63">Facture!$C$44</definedName>
    <definedName name="data64">Facture!$C$45</definedName>
    <definedName name="data65">Facture!$F$44</definedName>
    <definedName name="data66">Facture!$D$48</definedName>
    <definedName name="data67">Facture!$D$49</definedName>
    <definedName name="data68">Facture!$E$53</definedName>
    <definedName name="data69">Facture!$I$53</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Facture!$A$3:$L$58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Facture!$D$40:$I$40</definedName>
    <definedName name="qzqzqz26">Facture!$D$48:$G$48</definedName>
    <definedName name="qzqzqz27">Facture!#REF!</definedName>
    <definedName name="qzqzqz28">Facture!$D$49:$G$49</definedName>
    <definedName name="qzqzqz29">Facture!$I$53:$L$53</definedName>
    <definedName name="qzqzqz3">Facture!$C$22:$H$22</definedName>
    <definedName name="qzqzqz30">Facture!$E$53:$G$53</definedName>
    <definedName name="qzqzqz31">Facture!$E$53:$F$53</definedName>
    <definedName name="qzqzqz32">Facture!$I$49:$L$53</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Facture!$L$44</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Facture!$A$3:$L$58</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9" i="3" l="1"/>
  <c r="L41" i="3" l="1"/>
  <c r="L40" i="3" l="1"/>
  <c r="K8" i="5" l="1"/>
  <c r="I8" i="5"/>
  <c r="H8" i="5"/>
  <c r="G8" i="5"/>
  <c r="F8" i="5"/>
  <c r="E8" i="5"/>
  <c r="D8" i="5"/>
  <c r="C8" i="5"/>
  <c r="B8" i="5"/>
  <c r="F33" i="2"/>
  <c r="L27" i="3"/>
  <c r="L43" i="3" l="1"/>
  <c r="L44"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2"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<sst xmlns="http://schemas.openxmlformats.org/spreadsheetml/2006/main" count="87" uniqueCount="70">
  <si>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</si>
  <si>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</si>
  <si>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</si>
  <si>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</si>
  <si>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</si>
  <si>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</si>
  <si>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</si>
  <si>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</si>
  <si>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</si>
  <si>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</si>
  <si>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</si>
  <si>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</si>
  <si>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</si>
  <si>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</si>
  <si>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</si>
  <si>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</si>
  <si>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</si>
  <si>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</si>
  <si>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</si>
  <si>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</si>
  <si>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</si>
  <si>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</si>
  <si>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</si>
  <si>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</si>
  <si>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</si>
  <si>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</si>
  <si>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</si>
  <si>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</si>
  <si>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</si>
  <si>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</si>
  <si>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</si>
  <si>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</si>
  <si>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</si>
  <si>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</si>
  <si>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</si>
  <si>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</si>
  <si>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</si>
  <si>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</si>
  <si>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</si>
  <si>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</si>
  <si>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</si>
  <si>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</si>
  <si>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</si>
  <si>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</si>
  <si>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Total T.T.C.</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</si>
  <si>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</si>
  <si>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</si>
  <si>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</si>
  <si>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</si>
  <si>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</si>
  <si>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</si>
  <si>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</si>
  <si>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</si>
  <si>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</si>
  <si>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</si>
  <si>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</si>
  <si>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</si>
  <si>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</si>
  <si>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</si>
  <si>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</si>
  <si>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</si>
  <si>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</si>
  <si>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</si>
  <si>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</si>
  <si>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</si>
  <si>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</si>
  <si>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</si>
  <si>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CHAUSSURES DE SÉCURITÉ</t>
  </si>
  <si>
    <t>BLACK/B</t>
  </si>
  <si>
    <t>DEVIS N°  2025-438</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</si>
</sst>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 numFmtId="169" formatCode="#&quot; &quot;##0.000\ &quot;DT&quot;;[Red]\-#&quot; &quot;##0.000\ &quot;DT&quot;"/>
  </numFmts>
  <fonts count="32">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u/>
      <sz val="9"/>
      <color rgb="FF000000"/>
      <name val="Arial"/>
      <family val="2"/>
    </font>
    <font>
      <sz val="11"/>
      <name val="Arial"/>
      <family val="2"/>
    </font>
    <font>
      <sz val="10"/>
      <name val="Arial"/>
      <family val="2"/>
    </font>
    <font>
      <b/>
      <sz val="12"/>
      <color theme="1"/>
      <name val="Calibri"/>
      <family val="2"/>
      <scheme val="minor"/>
    </font>
    <font>
      <b/>
      <sz val="18"/>
      <name val="Arial"/>
      <family val="2"/>
    </font>
    <font>
      <sz val="9"/>
      <name val="Arial"/>
      <family val="2"/>
    </font>
    <font>
      <sz val="24"/>
      <name val="Arial"/>
      <family val="2"/>
    </font>
    <font>
      <sz val="12"/>
      <name val="Arial"/>
      <family val="2"/>
    </font>
    <font>
      <b/>
      <sz val="9"/>
      <color theme="6" tint="-0.499984740745262"/>
      <name val="Arial"/>
      <family val="2"/>
    </font>
    <font>
      <b/>
      <sz val="14"/>
      <color theme="1"/>
      <name val="Arial"/>
      <family val="2"/>
    </font>
    <font>
      <b/>
      <sz val="10"/>
      <color theme="1"/>
      <name val="Calibri"/>
      <family val="2"/>
      <scheme val="minor"/>
    </font>
    <font>
      <b/>
      <sz val="10"/>
      <color rgb="FFC00000"/>
      <name val="Arial"/>
      <family val="2"/>
    </font>
  </fonts>
  <fills count="9">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
      <patternFill patternType="solid">
        <fgColor indexed="58"/>
        <bgColor indexed="64"/>
      </patternFill>
    </fill>
    <fill>
      <patternFill patternType="solid">
        <fgColor theme="0"/>
        <bgColor indexed="64"/>
      </patternFill>
    </fill>
  </fills>
  <borders count="49">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
      <left style="hair">
        <color indexed="64"/>
      </left>
      <right/>
      <top/>
      <bottom/>
      <diagonal/>
    </border>
    <border>
      <left/>
      <right style="hair">
        <color indexed="64"/>
      </right>
      <top/>
      <bottom/>
      <diagonal/>
    </border>
    <border>
      <left/>
      <right style="thin">
        <color rgb="FF000000"/>
      </right>
      <top/>
      <bottom/>
      <diagonal/>
    </border>
    <border>
      <left/>
      <right style="thin">
        <color indexed="64"/>
      </right>
      <top/>
      <bottom/>
      <diagonal/>
    </border>
    <border>
      <left style="thin">
        <color rgb="FF000000"/>
      </left>
      <right style="thin">
        <color indexed="64"/>
      </right>
      <top/>
      <bottom/>
      <diagonal/>
    </border>
    <border>
      <left style="thin">
        <color indexed="64"/>
      </left>
      <right style="thin">
        <color indexed="64"/>
      </right>
      <top/>
      <bottom/>
      <diagonal/>
    </border>
    <border>
      <left style="thin">
        <color indexed="64"/>
      </left>
      <right/>
      <top/>
      <bottom/>
      <diagonal/>
    </border>
  </borders>
  <cellStyleXfs count="7">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xf numFmtId="0" fontId="22" fillId="7" borderId="0"/>
  </cellStyleXfs>
  <cellXfs count="156">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xf numFmtId="0" fontId="10" fillId="4" borderId="0" xfId="0" applyFont="1" applyFill="1"/>
    <xf numFmtId="0" fontId="11" fillId="4" borderId="0" xfId="0" applyFont="1" applyFill="1"/>
    <xf numFmtId="0" fontId="10" fillId="4" borderId="16" xfId="0" applyFont="1" applyFill="1" applyBorder="1"/>
    <xf numFmtId="0" fontId="10" fillId="3" borderId="0" xfId="0" applyFont="1" applyFill="1"/>
    <xf numFmtId="0" fontId="10" fillId="3" borderId="5" xfId="0" applyFont="1" applyFill="1" applyBorder="1"/>
    <xf numFmtId="0" fontId="9" fillId="4" borderId="0" xfId="0" applyFont="1" applyFill="1"/>
    <xf numFmtId="0" fontId="10" fillId="4" borderId="21" xfId="0" applyFont="1" applyFill="1" applyBorder="1"/>
    <xf numFmtId="0" fontId="10" fillId="4" borderId="10" xfId="0" applyFont="1" applyFill="1" applyBorder="1"/>
    <xf numFmtId="0" fontId="10" fillId="4" borderId="20" xfId="0" applyFont="1" applyFill="1" applyBorder="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49" fontId="0" fillId="3" borderId="30" xfId="0" applyNumberFormat="1" applyFill="1" applyBorder="1" applyAlignment="1">
      <alignment horizontal="left"/>
    </xf>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xf numFmtId="164" fontId="15" fillId="0" borderId="35" xfId="0" applyNumberFormat="1" applyFont="1" applyFill="1" applyBorder="1"/>
    <xf numFmtId="0" fontId="16" fillId="3" borderId="34" xfId="0" applyFont="1" applyFill="1" applyBorder="1" applyAlignment="1">
      <alignment horizontal="center"/>
    </xf>
    <xf numFmtId="0" fontId="15" fillId="3" borderId="0" xfId="0" applyFont="1" applyFill="1"/>
    <xf numFmtId="0" fontId="0" fillId="3" borderId="35" xfId="0" applyFill="1" applyBorder="1" applyAlignment="1">
      <alignment horizontal="center"/>
    </xf>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xf numFmtId="0" fontId="15" fillId="3" borderId="33" xfId="0" applyFont="1" applyFill="1" applyBorder="1" applyAlignment="1">
      <alignment horizontal="right"/>
    </xf>
    <xf numFmtId="164" fontId="17" fillId="0" borderId="33" xfId="0" applyNumberFormat="1" applyFont="1" applyFill="1" applyBorder="1"/>
    <xf numFmtId="0" fontId="16" fillId="3" borderId="33" xfId="0" applyFont="1" applyFill="1" applyBorder="1" applyAlignment="1">
      <alignment horizontal="right"/>
    </xf>
    <xf numFmtId="164" fontId="15" fillId="0" borderId="33" xfId="0" applyNumberFormat="1" applyFont="1" applyFill="1" applyBorder="1"/>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8" fillId="3" borderId="0" xfId="0" applyFont="1" applyFill="1" applyAlignment="1">
      <alignment vertical="top"/>
    </xf>
    <xf numFmtId="0" fontId="17" fillId="0" borderId="0" xfId="0" applyFont="1" applyFill="1"/>
    <xf numFmtId="0" fontId="6" fillId="3" borderId="0" xfId="0" applyFont="1" applyFill="1" applyAlignment="1">
      <alignment horizontal="left"/>
    </xf>
    <xf numFmtId="49" fontId="15" fillId="3" borderId="0" xfId="0" applyNumberFormat="1" applyFont="1" applyFill="1"/>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20" fillId="3" borderId="34" xfId="0" applyFont="1" applyFill="1" applyBorder="1"/>
    <xf numFmtId="0" fontId="17" fillId="3" borderId="0" xfId="0" applyFont="1" applyFill="1" applyAlignment="1">
      <alignment horizontal="left"/>
    </xf>
    <xf numFmtId="0" fontId="14" fillId="3" borderId="0" xfId="0" applyFont="1" applyFill="1" applyAlignment="1">
      <alignment horizontal="left"/>
    </xf>
    <xf numFmtId="0" fontId="21" fillId="6" borderId="0" xfId="0" applyFont="1" applyFill="1"/>
    <xf numFmtId="0" fontId="22" fillId="6" borderId="0" xfId="0" applyFont="1" applyFill="1"/>
    <xf numFmtId="0" fontId="23" fillId="3" borderId="0" xfId="0" applyFont="1" applyFill="1" applyAlignment="1">
      <alignment horizontal="left"/>
    </xf>
    <xf numFmtId="0" fontId="25" fillId="8" borderId="0" xfId="6" applyFont="1" applyFill="1"/>
    <xf numFmtId="0" fontId="25" fillId="6" borderId="0" xfId="6" applyFont="1" applyFill="1"/>
    <xf numFmtId="0" fontId="17" fillId="3" borderId="42" xfId="6" applyFont="1" applyFill="1" applyBorder="1" applyAlignment="1">
      <alignment vertical="top" wrapText="1"/>
    </xf>
    <xf numFmtId="0" fontId="17" fillId="3" borderId="0" xfId="6" applyFont="1" applyFill="1" applyAlignment="1">
      <alignment vertical="top" wrapText="1"/>
    </xf>
    <xf numFmtId="0" fontId="25" fillId="6" borderId="0" xfId="6" applyFont="1" applyFill="1" applyBorder="1"/>
    <xf numFmtId="169" fontId="26" fillId="0" borderId="43" xfId="0" applyNumberFormat="1" applyFont="1" applyFill="1" applyBorder="1"/>
    <xf numFmtId="0" fontId="17" fillId="3" borderId="0" xfId="6" applyFont="1" applyFill="1" applyBorder="1" applyAlignment="1">
      <alignment vertical="top" wrapText="1"/>
    </xf>
    <xf numFmtId="0" fontId="0" fillId="3" borderId="44" xfId="0" applyFill="1" applyBorder="1"/>
    <xf numFmtId="169" fontId="27" fillId="0" borderId="43" xfId="0" applyNumberFormat="1" applyFont="1" applyFill="1" applyBorder="1"/>
    <xf numFmtId="169" fontId="22" fillId="0" borderId="45" xfId="0" applyNumberFormat="1" applyFont="1" applyFill="1" applyBorder="1"/>
    <xf numFmtId="0" fontId="13" fillId="3" borderId="45" xfId="6" applyFont="1" applyFill="1" applyBorder="1" applyAlignment="1">
      <alignment wrapText="1"/>
    </xf>
    <xf numFmtId="0" fontId="28" fillId="3" borderId="45" xfId="6" applyFont="1" applyFill="1" applyBorder="1" applyAlignment="1">
      <alignment vertical="top" wrapText="1"/>
    </xf>
    <xf numFmtId="169" fontId="26" fillId="0" borderId="45" xfId="0" applyNumberFormat="1" applyFont="1" applyFill="1" applyBorder="1"/>
    <xf numFmtId="0" fontId="3" fillId="3" borderId="6" xfId="0" applyFont="1" applyFill="1" applyBorder="1"/>
    <xf numFmtId="0" fontId="8" fillId="3" borderId="10" xfId="0" applyFont="1" applyFill="1" applyBorder="1"/>
    <xf numFmtId="0" fontId="0" fillId="5" borderId="25" xfId="0" applyFill="1" applyBorder="1"/>
    <xf numFmtId="0" fontId="0" fillId="3" borderId="0" xfId="0" applyFill="1"/>
    <xf numFmtId="0" fontId="2" fillId="3" borderId="0" xfId="2" applyFill="1" applyAlignment="1">
      <alignment horizontal="center"/>
    </xf>
    <xf numFmtId="2" fontId="17" fillId="3" borderId="29" xfId="0" applyNumberFormat="1" applyFont="1" applyFill="1" applyBorder="1" applyAlignment="1">
      <alignment horizontal="center" vertical="center" wrapText="1"/>
    </xf>
    <xf numFmtId="49" fontId="14" fillId="3" borderId="30" xfId="0" applyNumberFormat="1" applyFont="1" applyFill="1" applyBorder="1"/>
    <xf numFmtId="14" fontId="15" fillId="3" borderId="30" xfId="0" applyNumberFormat="1" applyFont="1" applyFill="1" applyBorder="1" applyAlignment="1">
      <alignment horizontal="center"/>
    </xf>
    <xf numFmtId="0" fontId="0" fillId="3" borderId="41" xfId="0" applyFill="1" applyBorder="1"/>
    <xf numFmtId="0" fontId="16" fillId="3" borderId="31" xfId="0" applyFont="1" applyFill="1" applyBorder="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49" fontId="0" fillId="3" borderId="31" xfId="0" applyNumberFormat="1" applyFill="1" applyBorder="1" applyAlignment="1">
      <alignment horizontal="center"/>
    </xf>
    <xf numFmtId="0" fontId="15" fillId="3" borderId="44" xfId="0" applyFont="1" applyFill="1" applyBorder="1" applyAlignment="1">
      <alignment horizontal="center"/>
    </xf>
    <xf numFmtId="0" fontId="24" fillId="6" borderId="45" xfId="6" applyFont="1" applyFill="1" applyBorder="1" applyAlignment="1">
      <alignment horizontal="center"/>
    </xf>
    <xf numFmtId="0" fontId="27" fillId="6" borderId="45" xfId="6" applyFont="1" applyFill="1" applyBorder="1" applyAlignment="1">
      <alignment horizontal="center"/>
    </xf>
    <xf numFmtId="1" fontId="26" fillId="0" borderId="45" xfId="0" applyNumberFormat="1" applyFont="1" applyFill="1" applyBorder="1" applyAlignment="1">
      <alignment horizontal="center"/>
    </xf>
    <xf numFmtId="0" fontId="16" fillId="3" borderId="46" xfId="0" applyFont="1" applyFill="1" applyBorder="1" applyAlignment="1">
      <alignment horizontal="center"/>
    </xf>
    <xf numFmtId="0" fontId="27" fillId="6" borderId="47" xfId="6" applyFont="1" applyFill="1" applyBorder="1" applyAlignment="1">
      <alignment horizontal="center"/>
    </xf>
    <xf numFmtId="0" fontId="29" fillId="6" borderId="0" xfId="6" applyFont="1" applyFill="1"/>
    <xf numFmtId="0" fontId="30" fillId="3" borderId="0" xfId="0" applyFont="1" applyFill="1"/>
    <xf numFmtId="0" fontId="31" fillId="3" borderId="0" xfId="6" applyFont="1" applyFill="1" applyBorder="1" applyAlignment="1">
      <alignment vertical="top" wrapText="1"/>
    </xf>
    <xf numFmtId="0" fontId="31" fillId="3" borderId="42" xfId="6" applyFont="1" applyFill="1" applyBorder="1" applyAlignment="1">
      <alignment vertical="top" wrapText="1"/>
    </xf>
    <xf numFmtId="0" fontId="31" fillId="3" borderId="48" xfId="6" applyFont="1" applyFill="1" applyBorder="1" applyAlignment="1">
      <alignment horizontal="left" vertical="top" wrapText="1"/>
    </xf>
    <xf numFmtId="0" fontId="31" fillId="3" borderId="0" xfId="6" applyFont="1" applyFill="1" applyBorder="1" applyAlignment="1">
      <alignment horizontal="left" vertical="top" wrapText="1"/>
    </xf>
  </cellXfs>
  <cellStyles count="7">
    <cellStyle name="Lien hypertexte" xfId="2"/>
    <cellStyle name="Normal" xfId="0" builtinId="0" customBuiltin="1"/>
    <cellStyle name="Normal 2" xfId="6"/>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a:extLst>
            <a:ext uri="{FF2B5EF4-FFF2-40B4-BE49-F238E27FC236}">
              <a16:creationId xmlns="" xmlns:a16="http://schemas.microsoft.com/office/drawing/2014/main" id="{00000000-0008-0000-0100-000003000000}"/>
            </a:ext>
          </a:extLst>
        </xdr:cNvPr>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a:extLst>
            <a:ext uri="{FF2B5EF4-FFF2-40B4-BE49-F238E27FC236}">
              <a16:creationId xmlns="" xmlns:a16="http://schemas.microsoft.com/office/drawing/2014/main" id="{00000000-0008-0000-0100-000002000000}"/>
            </a:ext>
          </a:extLst>
        </xdr:cNvPr>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a:extLst>
            <a:ext uri="{FF2B5EF4-FFF2-40B4-BE49-F238E27FC236}">
              <a16:creationId xmlns="" xmlns:a16="http://schemas.microsoft.com/office/drawing/2014/main" id="{00000000-0008-0000-0200-000005000000}"/>
            </a:ext>
          </a:extLst>
        </xdr:cNvPr>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a:extLst>
            <a:ext uri="{FF2B5EF4-FFF2-40B4-BE49-F238E27FC236}">
              <a16:creationId xmlns="" xmlns:a16="http://schemas.microsoft.com/office/drawing/2014/main" id="{00000000-0008-0000-0200-000007000000}"/>
            </a:ext>
          </a:extLst>
        </xdr:cNvPr>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a:extLst>
            <a:ext uri="{FF2B5EF4-FFF2-40B4-BE49-F238E27FC236}">
              <a16:creationId xmlns="" xmlns:a16="http://schemas.microsoft.com/office/drawing/2014/main" id="{00000000-0008-0000-0200-000008000000}"/>
            </a:ext>
          </a:extLst>
        </xdr:cNvPr>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0</xdr:col>
      <xdr:colOff>220580</xdr:colOff>
      <xdr:row>6</xdr:row>
      <xdr:rowOff>10021</xdr:rowOff>
    </xdr:from>
    <xdr:ext cx="3268577" cy="1062788"/>
    <xdr:pic>
      <xdr:nvPicPr>
        <xdr:cNvPr id="2" name="Image 12" descr="C:\Users\User\Desktop\sigle acrobat.png">
          <a:extLst>
            <a:ext uri="{FF2B5EF4-FFF2-40B4-BE49-F238E27FC236}">
              <a16:creationId xmlns="" xmlns:a16="http://schemas.microsoft.com/office/drawing/2014/main" id="{00000000-0008-0000-0200-000002000000}"/>
            </a:ext>
          </a:extLst>
        </xdr:cNvPr>
        <xdr:cNvPicPr>
          <a:picLocks noChangeAspect="1"/>
        </xdr:cNvPicPr>
      </xdr:nvPicPr>
      <xdr:blipFill>
        <a:blip xmlns:r="http://schemas.openxmlformats.org/officeDocument/2006/relationships" r:embed="rId1"/>
        <a:srcRect/>
        <a:stretch>
          <a:fillRect/>
        </a:stretch>
      </xdr:blipFill>
      <xdr:spPr>
        <a:xfrm>
          <a:off x="334880" y="743446"/>
          <a:ext cx="3268577" cy="1062788"/>
        </a:xfrm>
        <a:prstGeom prst="rect">
          <a:avLst/>
        </a:prstGeom>
        <a:noFill/>
        <a:ln cap="flat">
          <a:noFill/>
        </a:ln>
      </xdr:spPr>
    </xdr:pic>
    <xdr:clientData/>
  </xdr:oneCellAnchor>
  <xdr:oneCellAnchor>
    <xdr:from>
      <xdr:col>9</xdr:col>
      <xdr:colOff>584039</xdr:colOff>
      <xdr:row>4</xdr:row>
      <xdr:rowOff>111288</xdr:rowOff>
    </xdr:from>
    <xdr:ext cx="1254286" cy="623245"/>
    <xdr:pic>
      <xdr:nvPicPr>
        <xdr:cNvPr id="4" name="Image 11" descr="Résultat de recherche d'images pour &quot;FALLPROTEC&quot;">
          <a:extLst>
            <a:ext uri="{FF2B5EF4-FFF2-40B4-BE49-F238E27FC236}">
              <a16:creationId xmlns="" xmlns:a16="http://schemas.microsoft.com/office/drawing/2014/main" id="{00000000-0008-0000-0200-000004000000}"/>
            </a:ext>
          </a:extLst>
        </xdr:cNvPr>
        <xdr:cNvPicPr>
          <a:picLocks noChangeAspect="1"/>
        </xdr:cNvPicPr>
      </xdr:nvPicPr>
      <xdr:blipFill>
        <a:blip xmlns:r="http://schemas.openxmlformats.org/officeDocument/2006/relationships" r:embed="rId2"/>
        <a:srcRect/>
        <a:stretch>
          <a:fillRect/>
        </a:stretch>
      </xdr:blipFill>
      <xdr:spPr>
        <a:xfrm>
          <a:off x="5451314" y="520863"/>
          <a:ext cx="1254286" cy="623245"/>
        </a:xfrm>
        <a:prstGeom prst="rect">
          <a:avLst/>
        </a:prstGeom>
        <a:noFill/>
        <a:ln cap="flat">
          <a:noFill/>
        </a:ln>
      </xdr:spPr>
    </xdr:pic>
    <xdr:clientData/>
  </xdr:oneCellAnchor>
  <xdr:twoCellAnchor editAs="oneCell">
    <xdr:from>
      <xdr:col>11</xdr:col>
      <xdr:colOff>114300</xdr:colOff>
      <xdr:row>4</xdr:row>
      <xdr:rowOff>76200</xdr:rowOff>
    </xdr:from>
    <xdr:to>
      <xdr:col>11</xdr:col>
      <xdr:colOff>845288</xdr:colOff>
      <xdr:row>8</xdr:row>
      <xdr:rowOff>57150</xdr:rowOff>
    </xdr:to>
    <xdr:pic>
      <xdr:nvPicPr>
        <xdr:cNvPr id="9" name="Image 8">
          <a:extLst>
            <a:ext uri="{FF2B5EF4-FFF2-40B4-BE49-F238E27FC236}">
              <a16:creationId xmlns="" xmlns:a16="http://schemas.microsoft.com/office/drawing/2014/main" id="{00000000-0008-0000-0200-000009000000}"/>
            </a:ext>
          </a:extLst>
        </xdr:cNvPr>
        <xdr:cNvPicPr>
          <a:picLocks noChangeAspect="1"/>
        </xdr:cNvPicPr>
      </xdr:nvPicPr>
      <xdr:blipFill>
        <a:blip xmlns:r="http://schemas.openxmlformats.org/officeDocument/2006/relationships" r:embed="rId3"/>
        <a:stretch>
          <a:fillRect/>
        </a:stretch>
      </xdr:blipFill>
      <xdr:spPr>
        <a:xfrm>
          <a:off x="6762750" y="485775"/>
          <a:ext cx="730988" cy="628650"/>
        </a:xfrm>
        <a:prstGeom prst="rect">
          <a:avLst/>
        </a:prstGeom>
      </xdr:spPr>
    </xdr:pic>
    <xdr:clientData/>
  </xdr:twoCellAnchor>
  <xdr:twoCellAnchor editAs="oneCell">
    <xdr:from>
      <xdr:col>5</xdr:col>
      <xdr:colOff>85725</xdr:colOff>
      <xdr:row>30</xdr:row>
      <xdr:rowOff>114301</xdr:rowOff>
    </xdr:from>
    <xdr:to>
      <xdr:col>9</xdr:col>
      <xdr:colOff>416905</xdr:colOff>
      <xdr:row>35</xdr:row>
      <xdr:rowOff>142875</xdr:rowOff>
    </xdr:to>
    <xdr:pic>
      <xdr:nvPicPr>
        <xdr:cNvPr id="15" name="Image 1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952750" y="5286376"/>
          <a:ext cx="2331430" cy="1514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23" t="s">
        <v>0</v>
      </c>
      <c r="E4" s="123"/>
      <c r="F4" s="123"/>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24" t="s">
        <v>3</v>
      </c>
      <c r="E10" s="124"/>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24" t="s">
        <v>15</v>
      </c>
      <c r="E19" s="124"/>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25" t="str">
        <f>LOWER(TemplateInformation!B3)</f>
        <v>c:\program files\microsoft office\office\macrolib\factbd.xls</v>
      </c>
      <c r="G33" s="125"/>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24" t="s">
        <v>24</v>
      </c>
      <c r="E36" s="124"/>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69"/>
  <sheetViews>
    <sheetView tabSelected="1" topLeftCell="A19" workbookViewId="0">
      <selection activeCell="H30" sqref="H30"/>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0.42578125" customWidth="1"/>
    <col min="14" max="14" width="1.7109375" customWidth="1"/>
    <col min="15" max="15" width="9.140625" customWidth="1"/>
  </cols>
  <sheetData>
    <row r="1" spans="1:13" ht="6" customHeight="1" thickBot="1"/>
    <row r="2" spans="1:13" ht="0.95" customHeight="1" thickTop="1">
      <c r="A2" s="2"/>
      <c r="B2" s="2"/>
      <c r="C2" s="2"/>
      <c r="D2" s="2"/>
      <c r="E2" s="2"/>
      <c r="F2" s="2"/>
      <c r="G2" s="2"/>
      <c r="H2" s="2"/>
      <c r="I2" s="2"/>
      <c r="J2" s="2"/>
      <c r="K2" s="2"/>
      <c r="L2" s="2"/>
      <c r="M2" s="3"/>
    </row>
    <row r="3" spans="1:13">
      <c r="A3" s="5"/>
      <c r="B3" s="5"/>
      <c r="C3" s="5"/>
      <c r="D3" s="5"/>
      <c r="E3" s="5"/>
      <c r="F3" s="5"/>
      <c r="G3" s="5"/>
      <c r="H3" s="5"/>
      <c r="I3" s="5"/>
      <c r="J3" s="5"/>
      <c r="K3" s="5"/>
      <c r="L3" s="5"/>
      <c r="M3" s="6"/>
    </row>
    <row r="4" spans="1:13">
      <c r="A4" s="5"/>
      <c r="B4" s="5"/>
      <c r="C4" s="5"/>
      <c r="D4" s="5"/>
      <c r="E4" s="5"/>
      <c r="F4" s="5"/>
      <c r="G4" s="5"/>
      <c r="H4" s="5"/>
      <c r="I4" s="5"/>
      <c r="J4" s="5"/>
      <c r="K4" s="5"/>
      <c r="L4" s="5"/>
      <c r="M4" s="6"/>
    </row>
    <row r="5" spans="1:13">
      <c r="A5" s="5"/>
      <c r="B5" s="5"/>
      <c r="C5" s="5"/>
      <c r="D5" s="5"/>
      <c r="E5" s="5"/>
      <c r="F5" s="5"/>
      <c r="G5" s="5"/>
      <c r="H5" s="5"/>
      <c r="I5" s="5"/>
      <c r="J5" s="5"/>
      <c r="K5" s="5"/>
      <c r="L5" s="5"/>
      <c r="M5" s="6"/>
    </row>
    <row r="6" spans="1:13">
      <c r="A6" s="5"/>
      <c r="B6" s="5"/>
      <c r="C6" s="5"/>
      <c r="D6" s="5"/>
      <c r="E6" s="5"/>
      <c r="F6" s="5"/>
      <c r="G6" s="5"/>
      <c r="H6" s="5"/>
      <c r="I6" s="5"/>
      <c r="J6" s="5"/>
      <c r="K6" s="5"/>
      <c r="L6" s="5"/>
      <c r="M6" s="6"/>
    </row>
    <row r="7" spans="1:13">
      <c r="A7" s="5"/>
      <c r="B7" s="5"/>
      <c r="C7" s="5"/>
      <c r="D7" s="5"/>
      <c r="E7" s="5"/>
      <c r="F7" s="5"/>
      <c r="G7" s="5"/>
      <c r="H7" s="5"/>
      <c r="I7" s="5"/>
      <c r="J7" s="5"/>
      <c r="K7" s="5"/>
      <c r="L7" s="5"/>
      <c r="M7" s="6"/>
    </row>
    <row r="8" spans="1:13">
      <c r="A8" s="5"/>
      <c r="B8" s="5"/>
      <c r="C8" s="5"/>
      <c r="D8" s="5"/>
      <c r="E8" s="5"/>
      <c r="F8" s="5"/>
      <c r="G8" s="5"/>
      <c r="H8" s="5"/>
      <c r="I8" s="5"/>
      <c r="J8" s="5"/>
      <c r="K8" s="5"/>
      <c r="L8" s="5"/>
      <c r="M8" s="6"/>
    </row>
    <row r="9" spans="1:13">
      <c r="A9" s="5"/>
      <c r="B9" s="5"/>
      <c r="C9" s="5"/>
      <c r="D9" s="5"/>
      <c r="E9" s="5"/>
      <c r="F9" s="5"/>
      <c r="G9" s="5"/>
      <c r="H9" s="5"/>
      <c r="I9" s="5"/>
      <c r="J9" s="5"/>
      <c r="K9" s="126"/>
      <c r="L9" s="126"/>
      <c r="M9" s="6"/>
    </row>
    <row r="10" spans="1:13">
      <c r="A10" s="5"/>
      <c r="B10" s="5"/>
      <c r="C10" s="5"/>
      <c r="D10" s="5"/>
      <c r="E10" s="5"/>
      <c r="F10" s="5"/>
      <c r="G10" s="5"/>
      <c r="H10" s="5"/>
      <c r="I10" s="5"/>
      <c r="J10" s="5"/>
      <c r="K10" s="5"/>
      <c r="L10" s="5"/>
      <c r="M10" s="6"/>
    </row>
    <row r="11" spans="1:13">
      <c r="A11" s="5"/>
      <c r="B11" s="5"/>
      <c r="C11" s="5"/>
      <c r="D11" s="5"/>
      <c r="E11" s="5"/>
      <c r="F11" s="5"/>
      <c r="G11" s="5"/>
      <c r="H11" s="5"/>
      <c r="I11" s="5"/>
      <c r="J11" s="5"/>
      <c r="K11" s="58"/>
      <c r="L11" s="59"/>
      <c r="M11" s="6"/>
    </row>
    <row r="12" spans="1:13">
      <c r="A12" s="5"/>
      <c r="B12" s="5"/>
      <c r="C12" s="5"/>
      <c r="D12" s="5"/>
      <c r="E12" s="5"/>
      <c r="F12" s="5"/>
      <c r="G12" s="5"/>
      <c r="H12" s="5"/>
      <c r="I12" s="5"/>
      <c r="J12" s="5"/>
      <c r="K12" s="58"/>
      <c r="L12" s="59"/>
      <c r="M12" s="6"/>
    </row>
    <row r="13" spans="1:13">
      <c r="A13" s="5"/>
      <c r="B13" s="5"/>
      <c r="C13" s="5"/>
      <c r="D13" s="5"/>
      <c r="E13" s="5"/>
      <c r="F13" s="5"/>
      <c r="G13" s="5"/>
      <c r="H13" s="5"/>
      <c r="I13" s="5"/>
      <c r="J13" s="5"/>
      <c r="K13" s="127"/>
      <c r="L13" s="127"/>
      <c r="M13" s="6"/>
    </row>
    <row r="14" spans="1:13">
      <c r="A14" s="5"/>
      <c r="B14" s="5"/>
      <c r="C14" s="5"/>
      <c r="D14" s="5"/>
      <c r="E14" s="5"/>
      <c r="F14" s="126"/>
      <c r="G14" s="126"/>
      <c r="H14" s="126"/>
      <c r="I14" s="126"/>
      <c r="J14" s="126"/>
      <c r="K14" s="5"/>
      <c r="L14" s="5"/>
      <c r="M14" s="6"/>
    </row>
    <row r="15" spans="1:13" ht="20.100000000000001" customHeight="1">
      <c r="A15" s="5"/>
      <c r="B15" s="5"/>
      <c r="C15" s="5"/>
      <c r="D15" s="5"/>
      <c r="E15" s="5"/>
      <c r="F15" s="126"/>
      <c r="G15" s="126"/>
      <c r="H15" s="126"/>
      <c r="I15" s="126"/>
      <c r="J15" s="126"/>
      <c r="K15" s="5"/>
      <c r="L15" s="5"/>
      <c r="M15" s="6"/>
    </row>
    <row r="16" spans="1:13" ht="3" customHeight="1" thickBot="1">
      <c r="A16" s="5"/>
      <c r="B16" s="5"/>
      <c r="C16" s="5"/>
      <c r="D16" s="5"/>
      <c r="E16" s="5"/>
      <c r="F16" s="5"/>
      <c r="G16" s="5"/>
      <c r="H16" s="5"/>
      <c r="I16" s="5"/>
      <c r="J16" s="5"/>
      <c r="K16" s="5"/>
      <c r="L16" s="5"/>
      <c r="M16" s="6"/>
    </row>
    <row r="17" spans="1:13" ht="14.1" customHeight="1" thickBot="1">
      <c r="A17" s="5"/>
      <c r="B17" s="5"/>
      <c r="C17" s="5"/>
      <c r="D17" s="5"/>
      <c r="E17" s="5"/>
      <c r="F17" s="60"/>
      <c r="G17" s="5"/>
      <c r="H17" s="5"/>
      <c r="I17" s="5"/>
      <c r="J17" s="5"/>
      <c r="K17" s="128" t="s">
        <v>69</v>
      </c>
      <c r="L17" s="128"/>
      <c r="M17" s="6"/>
    </row>
    <row r="18" spans="1:13" ht="20.25" thickTop="1" thickBot="1">
      <c r="A18" s="5"/>
      <c r="B18" s="8"/>
      <c r="C18" s="8"/>
      <c r="D18" s="8"/>
      <c r="E18" s="8"/>
      <c r="F18" s="8"/>
      <c r="G18" s="8"/>
      <c r="H18" s="61"/>
      <c r="I18" s="61"/>
      <c r="J18" s="61"/>
      <c r="K18" s="128"/>
      <c r="L18" s="128"/>
      <c r="M18" s="6"/>
    </row>
    <row r="19" spans="1:13" ht="13.5" thickBot="1">
      <c r="A19" s="5"/>
      <c r="B19" s="5"/>
      <c r="C19" s="5"/>
      <c r="D19" s="5"/>
      <c r="E19" s="5"/>
      <c r="F19" s="5"/>
      <c r="G19" s="5"/>
      <c r="H19" s="5"/>
      <c r="I19" s="5"/>
      <c r="J19" s="5"/>
      <c r="K19" s="128"/>
      <c r="L19" s="128"/>
      <c r="M19" s="6"/>
    </row>
    <row r="20" spans="1:13">
      <c r="A20" s="5"/>
      <c r="B20" s="5"/>
      <c r="C20" s="5"/>
      <c r="D20" s="5"/>
      <c r="E20" s="5"/>
      <c r="F20" s="5"/>
      <c r="G20" s="5"/>
      <c r="H20" s="5"/>
      <c r="I20" s="5"/>
      <c r="J20" s="5"/>
      <c r="K20" s="5"/>
      <c r="L20" s="5"/>
      <c r="M20" s="6"/>
    </row>
    <row r="21" spans="1:13" ht="18">
      <c r="A21" s="5"/>
      <c r="B21" s="5" t="s">
        <v>4</v>
      </c>
      <c r="C21" s="129" t="s">
        <v>26</v>
      </c>
      <c r="D21" s="129"/>
      <c r="E21" s="129"/>
      <c r="F21" s="129"/>
      <c r="G21" s="129"/>
      <c r="H21" s="129"/>
      <c r="I21" s="5"/>
      <c r="J21" s="62" t="s">
        <v>27</v>
      </c>
      <c r="K21" s="130">
        <v>45887</v>
      </c>
      <c r="L21" s="130"/>
      <c r="M21" s="6"/>
    </row>
    <row r="22" spans="1:13">
      <c r="A22" s="5"/>
      <c r="B22" s="5" t="s">
        <v>7</v>
      </c>
      <c r="C22" s="132" t="s">
        <v>28</v>
      </c>
      <c r="D22" s="132"/>
      <c r="E22" s="132"/>
      <c r="F22" s="132"/>
      <c r="G22" s="132"/>
      <c r="H22" s="132"/>
      <c r="I22" s="5"/>
      <c r="J22" s="62" t="s">
        <v>29</v>
      </c>
      <c r="K22" s="143"/>
      <c r="L22" s="143"/>
      <c r="M22" s="6"/>
    </row>
    <row r="23" spans="1:13">
      <c r="A23" s="5"/>
      <c r="B23" s="5" t="s">
        <v>10</v>
      </c>
      <c r="C23" s="64">
        <v>2094</v>
      </c>
      <c r="D23" s="65" t="s">
        <v>12</v>
      </c>
      <c r="E23" s="133" t="s">
        <v>30</v>
      </c>
      <c r="F23" s="133"/>
      <c r="G23" s="66" t="s">
        <v>14</v>
      </c>
      <c r="H23" s="63" t="s">
        <v>31</v>
      </c>
      <c r="I23" s="5"/>
      <c r="J23" s="62" t="s">
        <v>32</v>
      </c>
      <c r="K23" s="134" t="s">
        <v>66</v>
      </c>
      <c r="L23" s="134"/>
      <c r="M23" s="6"/>
    </row>
    <row r="24" spans="1:13">
      <c r="A24" s="5"/>
      <c r="B24" s="5" t="s">
        <v>33</v>
      </c>
      <c r="C24" s="135" t="s">
        <v>34</v>
      </c>
      <c r="D24" s="135"/>
      <c r="E24" s="135"/>
      <c r="F24" s="135"/>
      <c r="G24" s="135"/>
      <c r="H24" s="135"/>
      <c r="I24" s="5"/>
      <c r="J24" s="62" t="s">
        <v>35</v>
      </c>
      <c r="K24" s="136" t="s">
        <v>36</v>
      </c>
      <c r="L24" s="136"/>
      <c r="M24" s="6"/>
    </row>
    <row r="25" spans="1:13">
      <c r="A25" s="5"/>
      <c r="B25" s="5"/>
      <c r="C25" s="5"/>
      <c r="D25" s="5"/>
      <c r="E25" s="5"/>
      <c r="F25" s="5"/>
      <c r="G25" s="5"/>
      <c r="H25" s="5"/>
      <c r="I25" s="5"/>
      <c r="J25" s="5"/>
      <c r="K25" s="5"/>
      <c r="L25" s="5"/>
      <c r="M25" s="6"/>
    </row>
    <row r="26" spans="1:13">
      <c r="A26" s="5"/>
      <c r="B26" s="67" t="s">
        <v>37</v>
      </c>
      <c r="C26" s="67" t="s">
        <v>38</v>
      </c>
      <c r="D26" s="137" t="s">
        <v>39</v>
      </c>
      <c r="E26" s="137"/>
      <c r="F26" s="137"/>
      <c r="G26" s="137"/>
      <c r="H26" s="137"/>
      <c r="I26" s="137"/>
      <c r="J26" s="137"/>
      <c r="K26" s="68" t="s">
        <v>40</v>
      </c>
      <c r="L26" s="69" t="s">
        <v>41</v>
      </c>
      <c r="M26" s="6"/>
    </row>
    <row r="27" spans="1:13" ht="15">
      <c r="A27" s="5"/>
      <c r="B27" s="70"/>
      <c r="C27" s="71"/>
      <c r="D27" s="138"/>
      <c r="E27" s="138"/>
      <c r="F27" s="138"/>
      <c r="G27" s="138"/>
      <c r="H27" s="138"/>
      <c r="I27" s="138"/>
      <c r="J27" s="72"/>
      <c r="K27" s="73"/>
      <c r="L27" s="73" t="str">
        <f>IF(C27&lt;&gt;"",C27*K27,"")</f>
        <v/>
      </c>
      <c r="M27" s="6"/>
    </row>
    <row r="28" spans="1:13" ht="15">
      <c r="A28" s="5"/>
      <c r="B28" s="148"/>
      <c r="C28" s="144"/>
      <c r="D28" s="104"/>
      <c r="E28" s="5"/>
      <c r="F28" s="75"/>
      <c r="G28" s="5"/>
      <c r="H28" s="5"/>
      <c r="I28" s="75"/>
      <c r="J28" s="117"/>
      <c r="K28" s="73"/>
      <c r="L28" s="73"/>
      <c r="M28" s="6"/>
    </row>
    <row r="29" spans="1:13" ht="23.25">
      <c r="A29" s="5"/>
      <c r="B29" s="148"/>
      <c r="C29" s="145">
        <v>22</v>
      </c>
      <c r="D29" s="150" t="s">
        <v>67</v>
      </c>
      <c r="E29" s="110"/>
      <c r="F29" s="111"/>
      <c r="G29" s="110"/>
      <c r="H29" s="110"/>
      <c r="I29" s="114"/>
      <c r="J29" s="119"/>
      <c r="K29" s="118">
        <v>136</v>
      </c>
      <c r="L29" s="73">
        <f>+K29*C29</f>
        <v>2992</v>
      </c>
      <c r="M29" s="6"/>
    </row>
    <row r="30" spans="1:13" ht="30" customHeight="1">
      <c r="A30" s="5"/>
      <c r="B30" s="148"/>
      <c r="C30" s="146"/>
      <c r="D30" s="116"/>
      <c r="E30" s="113"/>
      <c r="F30" s="113"/>
      <c r="G30" s="113"/>
      <c r="H30" s="113"/>
      <c r="I30" s="116"/>
      <c r="J30" s="120"/>
      <c r="K30" s="115"/>
      <c r="L30" s="73"/>
      <c r="M30" s="6"/>
    </row>
    <row r="31" spans="1:13" ht="25.5" customHeight="1">
      <c r="A31" s="5"/>
      <c r="B31" s="148"/>
      <c r="C31" s="146"/>
      <c r="D31" s="152"/>
      <c r="E31" s="113"/>
      <c r="F31" s="113"/>
      <c r="G31" s="113"/>
      <c r="H31" s="113"/>
      <c r="I31" s="113"/>
      <c r="J31" s="120"/>
      <c r="K31" s="115"/>
      <c r="L31" s="73"/>
      <c r="M31" s="6"/>
    </row>
    <row r="32" spans="1:13" ht="25.5" customHeight="1">
      <c r="A32" s="5"/>
      <c r="B32" s="148"/>
      <c r="C32" s="146"/>
      <c r="D32" s="154" t="s">
        <v>68</v>
      </c>
      <c r="E32" s="155"/>
      <c r="F32" s="113"/>
      <c r="G32" s="113"/>
      <c r="H32" s="113"/>
      <c r="I32" s="113"/>
      <c r="J32" s="121"/>
      <c r="K32" s="115"/>
      <c r="L32" s="73"/>
      <c r="M32" s="6"/>
    </row>
    <row r="33" spans="1:13" ht="25.5" customHeight="1">
      <c r="A33" s="5"/>
      <c r="B33" s="148"/>
      <c r="C33" s="149"/>
      <c r="D33" s="116"/>
      <c r="E33" s="113"/>
      <c r="F33" s="113"/>
      <c r="G33" s="113"/>
      <c r="H33" s="116"/>
      <c r="I33" s="116"/>
      <c r="J33" s="121"/>
      <c r="K33" s="115"/>
      <c r="L33" s="73"/>
      <c r="M33" s="6"/>
    </row>
    <row r="34" spans="1:13" ht="25.5" customHeight="1">
      <c r="A34" s="5"/>
      <c r="B34" s="148"/>
      <c r="C34" s="147"/>
      <c r="D34" s="116"/>
      <c r="E34" s="113"/>
      <c r="F34" s="113"/>
      <c r="G34" s="113"/>
      <c r="H34" s="113"/>
      <c r="I34" s="116"/>
      <c r="J34" s="122"/>
      <c r="K34" s="115"/>
      <c r="L34" s="73"/>
      <c r="M34" s="6"/>
    </row>
    <row r="35" spans="1:13" ht="15">
      <c r="A35" s="5"/>
      <c r="B35" s="74"/>
      <c r="C35" s="71"/>
      <c r="D35" s="153"/>
      <c r="E35" s="151"/>
      <c r="F35" s="5"/>
      <c r="G35" s="5"/>
      <c r="H35" s="5"/>
      <c r="I35" s="75"/>
      <c r="J35" s="5"/>
      <c r="K35" s="73"/>
      <c r="L35" s="73"/>
      <c r="M35" s="6"/>
    </row>
    <row r="36" spans="1:13" ht="15.75">
      <c r="A36" s="5"/>
      <c r="B36" s="74"/>
      <c r="C36" s="76"/>
      <c r="D36" s="112"/>
      <c r="E36" s="109"/>
      <c r="F36" s="62"/>
      <c r="G36" s="62"/>
      <c r="H36" s="62"/>
      <c r="I36" s="62"/>
      <c r="J36" s="75"/>
      <c r="K36" s="73"/>
      <c r="L36" s="73"/>
      <c r="M36" s="6"/>
    </row>
    <row r="37" spans="1:13" ht="15.75">
      <c r="A37" s="5"/>
      <c r="B37" s="74"/>
      <c r="C37" s="76"/>
      <c r="D37" s="112"/>
      <c r="E37" s="109"/>
      <c r="F37" s="62"/>
      <c r="G37" s="62"/>
      <c r="H37" s="62"/>
      <c r="I37" s="62"/>
      <c r="J37" s="75"/>
      <c r="K37" s="73"/>
      <c r="L37" s="73"/>
      <c r="M37" s="6"/>
    </row>
    <row r="38" spans="1:13" ht="15.75">
      <c r="A38" s="5"/>
      <c r="B38" s="74"/>
      <c r="C38" s="76"/>
      <c r="D38" s="112"/>
      <c r="E38" s="109"/>
      <c r="F38" s="62"/>
      <c r="G38" s="62"/>
      <c r="H38" s="62"/>
      <c r="I38" s="62"/>
      <c r="J38" s="75"/>
      <c r="K38" s="73"/>
      <c r="L38" s="73"/>
      <c r="M38" s="6"/>
    </row>
    <row r="39" spans="1:13" ht="15.75">
      <c r="A39" s="5"/>
      <c r="B39" s="74"/>
      <c r="C39" s="76"/>
      <c r="D39" s="109"/>
      <c r="E39" s="109"/>
      <c r="F39" s="62"/>
      <c r="G39" s="62"/>
      <c r="H39" s="62"/>
      <c r="I39" s="62"/>
      <c r="J39" s="75"/>
      <c r="K39" s="73"/>
      <c r="L39" s="73"/>
      <c r="M39" s="6"/>
    </row>
    <row r="40" spans="1:13" ht="15">
      <c r="A40" s="5"/>
      <c r="B40" s="77"/>
      <c r="C40" s="78"/>
      <c r="D40" s="139"/>
      <c r="E40" s="139"/>
      <c r="F40" s="139"/>
      <c r="G40" s="139"/>
      <c r="H40" s="139"/>
      <c r="I40" s="139"/>
      <c r="J40" s="79"/>
      <c r="K40" s="73"/>
      <c r="L40" s="73" t="str">
        <f>IF(C40&lt;&gt;"",C40*K40,"")</f>
        <v/>
      </c>
      <c r="M40" s="6"/>
    </row>
    <row r="41" spans="1:13" ht="15" customHeight="1">
      <c r="A41" s="107"/>
      <c r="B41" s="5"/>
      <c r="C41" s="5"/>
      <c r="D41" s="5"/>
      <c r="E41" s="5"/>
      <c r="F41" s="5"/>
      <c r="G41" s="5"/>
      <c r="H41" s="75"/>
      <c r="I41" s="75"/>
      <c r="J41" s="75"/>
      <c r="K41" s="80" t="s">
        <v>42</v>
      </c>
      <c r="L41" s="81">
        <f>SUM(L28:L38)</f>
        <v>2992</v>
      </c>
      <c r="M41" s="6"/>
    </row>
    <row r="42" spans="1:13" ht="15">
      <c r="A42" s="108"/>
      <c r="B42" s="5"/>
      <c r="C42" s="5"/>
      <c r="D42" s="5"/>
      <c r="E42" s="5"/>
      <c r="F42" s="5"/>
      <c r="G42" s="5"/>
      <c r="H42" s="75"/>
      <c r="I42" s="75"/>
      <c r="J42" s="75"/>
      <c r="K42" s="82" t="s">
        <v>18</v>
      </c>
      <c r="L42" s="83">
        <v>1</v>
      </c>
      <c r="M42" s="6"/>
    </row>
    <row r="43" spans="1:13" ht="18">
      <c r="A43" s="5"/>
      <c r="B43" s="5"/>
      <c r="C43" s="84"/>
      <c r="D43" s="106" t="s">
        <v>43</v>
      </c>
      <c r="E43" s="5"/>
      <c r="F43" s="5"/>
      <c r="G43" s="5"/>
      <c r="H43" s="75"/>
      <c r="I43" s="75"/>
      <c r="J43" s="85"/>
      <c r="K43" s="86">
        <v>0.19</v>
      </c>
      <c r="L43" s="83">
        <f>L41*0.19</f>
        <v>568.48</v>
      </c>
      <c r="M43" s="6"/>
    </row>
    <row r="44" spans="1:13" ht="15.75">
      <c r="A44" s="5"/>
      <c r="B44" s="5"/>
      <c r="C44" s="84"/>
      <c r="D44" s="62"/>
      <c r="E44" s="87"/>
      <c r="F44" s="84"/>
      <c r="G44" s="5"/>
      <c r="H44" s="88"/>
      <c r="I44" s="75"/>
      <c r="J44" s="75"/>
      <c r="K44" s="89" t="s">
        <v>44</v>
      </c>
      <c r="L44" s="81">
        <f>+L41+L42+L43</f>
        <v>3561.48</v>
      </c>
      <c r="M44" s="6"/>
    </row>
    <row r="45" spans="1:13" ht="15.75">
      <c r="A45" s="5"/>
      <c r="B45" s="5"/>
      <c r="C45" s="84">
        <v>3</v>
      </c>
      <c r="D45" s="105"/>
      <c r="E45" s="5"/>
      <c r="F45" s="5"/>
      <c r="G45" s="5"/>
      <c r="H45" s="75" t="s">
        <v>45</v>
      </c>
      <c r="I45" s="75"/>
      <c r="J45" s="75"/>
      <c r="K45" s="90"/>
      <c r="L45" s="91"/>
      <c r="M45" s="6"/>
    </row>
    <row r="46" spans="1:13" ht="15.75">
      <c r="A46" s="5"/>
      <c r="B46" s="5"/>
      <c r="C46" s="84"/>
      <c r="D46" s="62"/>
      <c r="E46" s="5"/>
      <c r="F46" s="5"/>
      <c r="G46" s="5"/>
      <c r="H46" s="75"/>
      <c r="I46" s="75"/>
      <c r="J46" s="75"/>
      <c r="K46" s="92" t="s">
        <v>46</v>
      </c>
      <c r="L46" s="91"/>
      <c r="M46" s="6"/>
    </row>
    <row r="47" spans="1:13" ht="15">
      <c r="A47" s="5"/>
      <c r="B47" s="5"/>
      <c r="C47" s="5"/>
      <c r="D47" s="5"/>
      <c r="E47" s="5"/>
      <c r="F47" s="5"/>
      <c r="G47" s="5"/>
      <c r="H47" s="75" t="s">
        <v>45</v>
      </c>
      <c r="I47" s="75"/>
      <c r="J47" s="5"/>
      <c r="K47" s="5"/>
      <c r="L47" s="5"/>
      <c r="M47" s="6"/>
    </row>
    <row r="48" spans="1:13" ht="17.100000000000001" customHeight="1">
      <c r="A48" s="93" t="s">
        <v>47</v>
      </c>
      <c r="B48" s="94"/>
      <c r="C48" s="94"/>
      <c r="D48" s="94"/>
      <c r="E48" s="94"/>
      <c r="F48" s="94"/>
      <c r="G48" s="94"/>
      <c r="H48" s="94"/>
      <c r="I48" s="94"/>
      <c r="J48" s="94"/>
      <c r="K48" s="5"/>
      <c r="L48" s="91"/>
      <c r="M48" s="6"/>
    </row>
    <row r="49" spans="1:13" ht="17.100000000000001" customHeight="1">
      <c r="A49" s="140" t="s">
        <v>48</v>
      </c>
      <c r="B49" s="140"/>
      <c r="C49" s="140"/>
      <c r="D49" s="140"/>
      <c r="E49" s="140"/>
      <c r="F49" s="140"/>
      <c r="G49" s="140"/>
      <c r="H49" s="140"/>
      <c r="I49" s="140"/>
      <c r="J49" s="92"/>
      <c r="K49" s="92"/>
      <c r="L49" s="92"/>
      <c r="M49" s="6"/>
    </row>
    <row r="50" spans="1:13" ht="15.75">
      <c r="A50" s="5"/>
      <c r="B50" s="5"/>
      <c r="C50" s="65"/>
      <c r="D50" s="95"/>
      <c r="E50" s="75"/>
      <c r="F50" s="75"/>
      <c r="G50" s="75"/>
      <c r="H50" s="75"/>
      <c r="I50" s="92"/>
      <c r="J50" s="92"/>
      <c r="K50" s="92"/>
      <c r="L50" s="92"/>
      <c r="M50" s="6"/>
    </row>
    <row r="51" spans="1:13" ht="15" customHeight="1">
      <c r="A51" s="5"/>
      <c r="B51" s="5"/>
      <c r="C51" s="5" t="s">
        <v>49</v>
      </c>
      <c r="D51" s="5"/>
      <c r="E51" s="5"/>
      <c r="F51" s="5"/>
      <c r="G51" s="5"/>
      <c r="H51" s="5"/>
      <c r="I51" s="5"/>
      <c r="J51" s="5"/>
      <c r="K51" s="5"/>
      <c r="L51" s="92"/>
      <c r="M51" s="6"/>
    </row>
    <row r="52" spans="1:13" ht="15" customHeight="1">
      <c r="A52" s="5"/>
      <c r="B52" s="5"/>
      <c r="C52" s="65"/>
      <c r="D52" s="141" t="s">
        <v>50</v>
      </c>
      <c r="E52" s="141"/>
      <c r="F52" s="141"/>
      <c r="G52" s="141"/>
      <c r="H52" s="141"/>
      <c r="I52" s="141"/>
      <c r="J52" s="141"/>
      <c r="K52" s="92"/>
      <c r="L52" s="92"/>
      <c r="M52" s="6"/>
    </row>
    <row r="53" spans="1:13" ht="15" customHeight="1" thickBot="1">
      <c r="A53" s="5"/>
      <c r="B53" s="5"/>
      <c r="C53" s="142" t="s">
        <v>51</v>
      </c>
      <c r="D53" s="142"/>
      <c r="E53" s="142"/>
      <c r="F53" s="142"/>
      <c r="G53" s="142"/>
      <c r="H53" s="142"/>
      <c r="I53" s="142"/>
      <c r="J53" s="142"/>
      <c r="K53" s="142"/>
      <c r="L53" s="92"/>
      <c r="M53" s="6"/>
    </row>
    <row r="54" spans="1:13" ht="17.25" thickTop="1" thickBot="1">
      <c r="A54" s="5"/>
      <c r="B54" s="5"/>
      <c r="C54" s="142"/>
      <c r="D54" s="142"/>
      <c r="E54" s="142"/>
      <c r="F54" s="142"/>
      <c r="G54" s="142"/>
      <c r="H54" s="142"/>
      <c r="I54" s="142"/>
      <c r="J54" s="142"/>
      <c r="K54" s="142"/>
      <c r="L54" s="92"/>
      <c r="M54" s="6"/>
    </row>
    <row r="55" spans="1:13" ht="14.25" thickTop="1" thickBot="1">
      <c r="A55" s="5"/>
      <c r="B55" s="5"/>
      <c r="C55" s="142"/>
      <c r="D55" s="142"/>
      <c r="E55" s="142"/>
      <c r="F55" s="142"/>
      <c r="G55" s="142"/>
      <c r="H55" s="142"/>
      <c r="I55" s="142"/>
      <c r="J55" s="142"/>
      <c r="K55" s="142"/>
      <c r="L55" s="96"/>
      <c r="M55" s="6"/>
    </row>
    <row r="56" spans="1:13" ht="13.5" thickTop="1">
      <c r="A56" s="8"/>
      <c r="B56" s="8"/>
      <c r="C56" s="8"/>
      <c r="D56" s="8"/>
      <c r="E56" s="8"/>
      <c r="F56" s="8"/>
      <c r="G56" s="8"/>
      <c r="H56" s="8"/>
      <c r="I56" s="8"/>
      <c r="J56" s="8"/>
      <c r="K56" s="8"/>
      <c r="L56" s="8"/>
      <c r="M56" s="6"/>
    </row>
    <row r="57" spans="1:13" ht="15" customHeight="1">
      <c r="A57" s="97"/>
      <c r="B57" s="97"/>
      <c r="C57" s="97"/>
      <c r="D57" s="97"/>
      <c r="E57" s="97"/>
      <c r="F57" s="97"/>
      <c r="G57" s="97"/>
      <c r="H57" s="97"/>
      <c r="I57" s="131"/>
      <c r="J57" s="131"/>
      <c r="K57" s="131"/>
      <c r="L57" s="131"/>
      <c r="M57" s="6"/>
    </row>
    <row r="58" spans="1:13" ht="15" customHeight="1">
      <c r="A58" s="98"/>
      <c r="B58" s="98"/>
      <c r="C58" s="98"/>
      <c r="D58" s="98"/>
      <c r="E58" s="98"/>
      <c r="F58" s="98"/>
      <c r="G58" s="98"/>
      <c r="H58" s="98"/>
      <c r="I58" s="131"/>
      <c r="J58" s="131"/>
      <c r="K58" s="131"/>
      <c r="L58" s="131"/>
    </row>
    <row r="59" spans="1:13" ht="12.75" customHeight="1"/>
    <row r="60" spans="1:13" ht="3" customHeight="1"/>
    <row r="64" spans="1:13" ht="0.95" customHeight="1"/>
    <row r="65" ht="6" customHeight="1"/>
    <row r="69"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20">
    <mergeCell ref="I57:L58"/>
    <mergeCell ref="C22:H22"/>
    <mergeCell ref="E23:F23"/>
    <mergeCell ref="K23:L23"/>
    <mergeCell ref="C24:H24"/>
    <mergeCell ref="K24:L24"/>
    <mergeCell ref="D26:J26"/>
    <mergeCell ref="D27:I27"/>
    <mergeCell ref="D40:I40"/>
    <mergeCell ref="A49:I49"/>
    <mergeCell ref="D52:J52"/>
    <mergeCell ref="C53:K55"/>
    <mergeCell ref="K22:L22"/>
    <mergeCell ref="D32:E32"/>
    <mergeCell ref="K9:L9"/>
    <mergeCell ref="K13:L13"/>
    <mergeCell ref="F14:J15"/>
    <mergeCell ref="K17:L19"/>
    <mergeCell ref="C21:H21"/>
    <mergeCell ref="K21:L21"/>
  </mergeCells>
  <dataValidations count="12">
    <dataValidation type="textLength" errorStyle="warning" allowBlank="1" showErrorMessage="1" errorTitle="T.V.A." error="Les cellules ombrées contiennent des formules et sont calculées automatiquement par Excel. N'y tapez aucune information." promptTitle="T.V.A." sqref="K43 K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4 L48">
      <formula1>0</formula1>
      <formula2>0</formula2>
    </dataValidation>
    <dataValidation type="list" allowBlank="1" showInputMessage="1" showErrorMessage="1" errorTitle="Code TVA" error="Tapez 1, 2, ou 3." sqref="J36:J40 J27:J28">
      <formula1>"1,2,3"</formula1>
    </dataValidation>
    <dataValidation errorStyle="warning" allowBlank="1" showInputMessage="1" errorTitle="Numéro de carte de crédit" promptTitle="Numéro de carte de crédit" prompt="Tapez ici le numéro de carte de crédit du client" sqref="D50 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 I50"/>
    <dataValidation type="decimal" allowBlank="1" showErrorMessage="1" errorTitle="Prix unitaire" error="Tapez un nombre dans cette cellule." promptTitle="Prix unitaire" sqref="L38 J29:J34 K27:K40 L28:L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37 L39:L4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L45:L46">
      <formula1>0</formula1>
      <formula2>0</formula2>
    </dataValidation>
    <dataValidation type="whole" errorStyle="warning" allowBlank="1" showErrorMessage="1" errorTitle="Quantité" error="Tapez un nombre dans cette cellule." promptTitle="Quantité" sqref="C27:C40">
      <formula1>0</formula1>
      <formula2>1000000000</formula2>
    </dataValidation>
  </dataValidations>
  <printOptions horizontalCentered="1"/>
  <pageMargins left="0.511811023622047" right="0.511811023622047" top="0.511811023622047" bottom="0.511811023622047" header="0.511811023622047" footer="0.511811023622047"/>
  <pageSetup paperSize="9" scale="79" fitToWidth="0" fitToHeight="0"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99" customWidth="1"/>
    <col min="2" max="16384" width="9.140625" style="99"/>
  </cols>
  <sheetData>
    <row r="1" spans="1:11">
      <c r="A1" s="99" t="s">
        <v>52</v>
      </c>
    </row>
    <row r="2" spans="1:11">
      <c r="A2" s="99" t="s">
        <v>53</v>
      </c>
      <c r="B2" s="99" t="s">
        <v>54</v>
      </c>
    </row>
    <row r="3" spans="1:11">
      <c r="A3" s="99" t="s">
        <v>55</v>
      </c>
      <c r="B3" s="99" t="s">
        <v>56</v>
      </c>
    </row>
    <row r="4" spans="1:11">
      <c r="A4" s="99" t="s">
        <v>57</v>
      </c>
    </row>
    <row r="5" spans="1:11">
      <c r="A5" s="99" t="s">
        <v>58</v>
      </c>
      <c r="B5" s="99">
        <v>1</v>
      </c>
    </row>
    <row r="6" spans="1:11">
      <c r="A6" s="99">
        <v>1</v>
      </c>
      <c r="B6" s="99" t="s">
        <v>59</v>
      </c>
      <c r="C6" s="99" t="s">
        <v>60</v>
      </c>
      <c r="D6" s="99" t="s">
        <v>61</v>
      </c>
      <c r="E6" s="99">
        <v>10</v>
      </c>
      <c r="G6" s="99">
        <v>-1383939328</v>
      </c>
    </row>
    <row r="7" spans="1:11">
      <c r="A7" s="99" t="s">
        <v>62</v>
      </c>
      <c r="B7" s="99" t="s">
        <v>63</v>
      </c>
      <c r="C7" s="99" t="s">
        <v>27</v>
      </c>
      <c r="D7" s="99" t="s">
        <v>4</v>
      </c>
      <c r="E7" s="99" t="s">
        <v>7</v>
      </c>
      <c r="F7" s="99" t="s">
        <v>10</v>
      </c>
      <c r="G7" s="99" t="s">
        <v>12</v>
      </c>
      <c r="H7" s="99" t="s">
        <v>14</v>
      </c>
      <c r="I7" s="99" t="s">
        <v>33</v>
      </c>
      <c r="J7" s="99" t="s">
        <v>64</v>
      </c>
      <c r="K7" s="99" t="s">
        <v>32</v>
      </c>
    </row>
    <row r="8" spans="1:11">
      <c r="A8" s="99" t="s">
        <v>65</v>
      </c>
      <c r="B8" s="100" t="e">
        <f>Facture!#REF!</f>
        <v>#REF!</v>
      </c>
      <c r="C8" s="101">
        <f>Facture!$K$21</f>
        <v>45887</v>
      </c>
      <c r="D8" s="102" t="str">
        <f>Facture!$C$21</f>
        <v xml:space="preserve">COMETEL </v>
      </c>
      <c r="E8" s="99" t="str">
        <f>Facture!$C$22</f>
        <v>RS LILIA JMZH 2AP01 MNIHLA</v>
      </c>
      <c r="F8" s="99">
        <f>Facture!$C$23</f>
        <v>2094</v>
      </c>
      <c r="G8" s="102" t="str">
        <f>Facture!$E$23</f>
        <v>ARIANA</v>
      </c>
      <c r="H8" s="102" t="str">
        <f>Facture!$H$23</f>
        <v>TN</v>
      </c>
      <c r="I8" s="99" t="str">
        <f>Facture!$C$24</f>
        <v xml:space="preserve">22619085   fax: </v>
      </c>
      <c r="J8" s="103">
        <f>Facture!$L$44</f>
        <v>3561.48</v>
      </c>
      <c r="K8" s="99" t="str">
        <f>Facture!$K$23</f>
        <v xml:space="preserve"> MR SLIM</v>
      </c>
    </row>
    <row r="9" spans="1:11">
      <c r="A9" s="99" t="s">
        <v>57</v>
      </c>
    </row>
    <row r="10" spans="1:11">
      <c r="G10" s="99">
        <v>-1261995520</v>
      </c>
    </row>
    <row r="14" spans="1:11">
      <c r="G14" s="99">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2025-08-18T10:14:53Z</cp:lastPrinted>
  <dcterms:created xsi:type="dcterms:W3CDTF">1995-05-29T15:50:39Z</dcterms:created>
  <dcterms:modified xsi:type="dcterms:W3CDTF">2025-08-18T10:15:16Z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