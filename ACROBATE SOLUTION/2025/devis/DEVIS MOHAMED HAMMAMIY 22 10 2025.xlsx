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Facture!$K$47</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Facture!$D$45</definedName>
    <definedName name="data63">Facture!$D$46</definedName>
    <definedName name="data64">Facture!$D$47</definedName>
    <definedName name="data65">Facture!$G$48</definedName>
    <definedName name="data66">Facture!#REF!</definedName>
    <definedName name="data67">Facture!$E$51</definedName>
    <definedName name="data68">Facture!$F$51</definedName>
    <definedName name="data69">Facture!$J$51</definedName>
    <definedName name="data7">Facture!$G$24</definedName>
    <definedName name="data70">Facture!$J$52</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Facture!$E$50:$H$50</definedName>
    <definedName name="qzqzqz29">Facture!$K$50:$L$52</definedName>
    <definedName name="qzqzqz3">Facture!$D$23:$I$23</definedName>
    <definedName name="qzqzqz30">Facture!$F$51:$H$51</definedName>
    <definedName name="qzqzqz31">Facture!$F$51:$G$51</definedName>
    <definedName name="qzqzqz32">Facture!$K$50:$L$51</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Facture!$A$1:$M$65</definedName>
  </definedNames>
  <calcPr calcId="152511"/>
</workbook>
</file>

<file path=xl/calcChain.xml><?xml version="1.0" encoding="utf-8"?>
<calcChain xmlns="http://schemas.openxmlformats.org/spreadsheetml/2006/main">
  <c r="L40" i="3" l="1"/>
  <c r="L30" i="3" l="1"/>
  <c r="L28" i="3" l="1"/>
  <c r="F33" i="2" l="1"/>
  <c r="K8" i="8"/>
  <c r="I8" i="8"/>
  <c r="H8" i="8"/>
  <c r="G8" i="8"/>
  <c r="F8" i="8"/>
  <c r="E8" i="8"/>
  <c r="D8" i="8"/>
  <c r="C8" i="8"/>
  <c r="B8" i="8"/>
  <c r="L45" i="3" l="1"/>
  <c r="L47" i="3" s="1"/>
  <c r="L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<sst xmlns="http://schemas.openxmlformats.org/spreadsheetml/2006/main" count="90" uniqueCount="79">
  <si>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</si>
  <si>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</si>
  <si>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</si>
  <si>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</si>
  <si>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</si>
  <si>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</si>
  <si>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</si>
  <si>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</si>
  <si>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</si>
  <si>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</si>
  <si>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</si>
  <si>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</si>
  <si>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</si>
  <si>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</si>
  <si>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</si>
  <si>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</si>
  <si>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</si>
  <si>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</si>
  <si>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</si>
  <si>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</si>
  <si>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</si>
  <si>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</si>
  <si>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</si>
  <si>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</si>
  <si>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</si>
  <si>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</si>
  <si>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</si>
  <si>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</si>
  <si>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</si>
  <si>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</si>
  <si>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</si>
  <si>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</si>
  <si>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</si>
  <si>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</si>
  <si>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</si>
  <si>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</si>
  <si>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</si>
  <si>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</si>
  <si>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</si>
  <si>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</si>
  <si>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</si>
  <si>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</si>
  <si>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</si>
  <si>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</si>
  <si>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</si>
  <si>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</si>
  <si>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</si>
  <si>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</si>
  <si>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</si>
  <si>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</si>
  <si>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</si>
  <si>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</si>
  <si>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</si>
  <si>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</si>
  <si>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</si>
  <si>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</si>
  <si>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</si>
  <si>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</si>
  <si>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</si>
  <si>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</si>
  <si>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</si>
  <si>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</si>
  <si>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</si>
  <si>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</si>
  <si>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</si>
  <si>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</si>
  <si>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</si>
  <si>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</si>
  <si>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</si>
  <si>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</si>
  <si>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</si>
  <si>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</si>
  <si>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</si>
  <si>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</si>
  <si>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POULIE EN 12278</t>
  </si>
  <si>
    <t>MOHAMED HAMMAMIY</t>
  </si>
  <si>
    <t>DEVIS   N°2025-924</t>
  </si>
  <si>
    <t xml:space="preserve">QUANTITE DISPONIBLE : 2 </t>
  </si>
  <si>
    <t xml:space="preserve"> 8 kit disponible fin décembre.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</si>
</sst>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16"/>
      <color rgb="FFC00000"/>
      <name val="Arial"/>
      <family val="2"/>
    </font>
    <font>
      <b/>
      <u/>
      <sz val="20"/>
      <color rgb="FFFF0000"/>
      <name val="Arial"/>
      <family val="2"/>
    </font>
    <font>
      <b/>
      <u/>
      <sz val="18"/>
      <color rgb="FFC00000"/>
      <name val="Arial"/>
      <family val="2"/>
    </font>
    <font>
      <b/>
      <u val="double"/>
      <sz val="16"/>
      <color rgb="FF0070C0"/>
      <name val="Arial"/>
      <family val="2"/>
    </font>
    <font>
      <b/>
      <u val="double"/>
      <sz val="14"/>
      <color rgb="FF00B05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8" fillId="6" borderId="0" xfId="0" applyFont="1" applyFill="1" applyBorder="1" applyAlignment="1">
      <alignment horizontal="left"/>
    </xf>
    <xf numFmtId="0" fontId="44" fillId="6" borderId="0" xfId="0" applyFont="1" applyFill="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0" fontId="29" fillId="3" borderId="0" xfId="0" applyFont="1" applyFill="1" applyBorder="1" applyAlignment="1">
      <alignment horizontal="left"/>
    </xf>
    <xf numFmtId="49" fontId="38" fillId="0" borderId="0" xfId="0" applyNumberFormat="1" applyFont="1" applyFill="1" applyBorder="1" applyAlignment="1"/>
    <xf numFmtId="49" fontId="50"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51" fillId="0" borderId="0" xfId="0" applyNumberFormat="1" applyFont="1" applyFill="1" applyBorder="1" applyAlignment="1"/>
    <xf numFmtId="49" fontId="52" fillId="0" borderId="0" xfId="0" applyNumberFormat="1" applyFont="1" applyFill="1" applyBorder="1" applyAlignment="1"/>
    <xf numFmtId="49" fontId="53"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46</xdr:row>
          <xdr:rowOff>114300</xdr:rowOff>
        </xdr:from>
        <xdr:to>
          <xdr:col>2</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45</xdr:row>
          <xdr:rowOff>95250</xdr:rowOff>
        </xdr:from>
        <xdr:to>
          <xdr:col>2</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20</xdr:row>
      <xdr:rowOff>47625</xdr:rowOff>
    </xdr:from>
    <xdr:to>
      <xdr:col>12</xdr:col>
      <xdr:colOff>95250</xdr:colOff>
      <xdr:row>24</xdr:row>
      <xdr:rowOff>285750</xdr:rowOff>
    </xdr:to>
    <xdr:sp macro="" textlink="">
      <xdr:nvSpPr>
        <xdr:cNvPr id="9" name="INVB2"/>
        <xdr:cNvSpPr>
          <a:spLocks noChangeArrowheads="1"/>
        </xdr:cNvSpPr>
      </xdr:nvSpPr>
      <xdr:spPr bwMode="auto">
        <a:xfrm>
          <a:off x="8080375" y="3587750"/>
          <a:ext cx="5270500" cy="136525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80" t="s">
        <v>0</v>
      </c>
      <c r="E4" s="181"/>
      <c r="F4" s="181"/>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2" t="s">
        <v>2</v>
      </c>
      <c r="E10" s="183"/>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4" t="s">
        <v>46</v>
      </c>
      <c r="E19" s="183"/>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5" t="str">
        <f>LOWER(TemplateInformation!B3)</f>
        <v>c:\program files\microsoft office\office\macrolib\factbd.xls</v>
      </c>
      <c r="G33" s="186"/>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2" t="s">
        <v>16</v>
      </c>
      <c r="E36" s="183"/>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7" zoomScale="60" zoomScaleNormal="60" workbookViewId="0">
      <selection activeCell="K38" sqref="K38"/>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7" t="s">
        <v>76</v>
      </c>
      <c r="L18" s="3"/>
      <c r="M18" s="3"/>
      <c r="N18" s="9"/>
    </row>
    <row r="19" spans="2:14" ht="21.95" customHeight="1" thickTop="1">
      <c r="B19" s="7"/>
      <c r="C19" s="53"/>
      <c r="D19" s="53"/>
      <c r="E19" s="53"/>
      <c r="F19" s="53"/>
      <c r="G19" s="53"/>
      <c r="H19" s="53"/>
      <c r="I19" s="54"/>
      <c r="J19" s="54"/>
      <c r="K19" s="188"/>
      <c r="L19" s="54"/>
      <c r="M19" s="20"/>
      <c r="N19" s="9"/>
    </row>
    <row r="20" spans="2:14" ht="21.95" customHeight="1" thickBot="1">
      <c r="B20" s="7"/>
      <c r="C20" s="3"/>
      <c r="D20" s="3"/>
      <c r="E20" s="3"/>
      <c r="F20" s="3"/>
      <c r="G20" s="3"/>
      <c r="H20" s="3"/>
      <c r="I20" s="3"/>
      <c r="J20" s="3"/>
      <c r="K20" s="189"/>
      <c r="L20" s="3"/>
      <c r="M20" s="3"/>
      <c r="N20" s="9"/>
    </row>
    <row r="21" spans="2:14" ht="13.5" thickTop="1">
      <c r="B21" s="7"/>
      <c r="C21" s="3"/>
      <c r="D21" s="3"/>
      <c r="E21" s="3"/>
      <c r="F21" s="3"/>
      <c r="G21" s="3"/>
      <c r="H21" s="3"/>
      <c r="I21" s="3"/>
      <c r="J21" s="3"/>
      <c r="K21" s="3"/>
      <c r="L21" s="3"/>
      <c r="M21" s="3"/>
      <c r="N21" s="9"/>
    </row>
    <row r="22" spans="2:14" ht="27.75">
      <c r="B22" s="7"/>
      <c r="C22" s="135" t="s">
        <v>53</v>
      </c>
      <c r="D22" s="139" t="s">
        <v>75</v>
      </c>
      <c r="E22" s="139"/>
      <c r="F22" s="138"/>
      <c r="G22" s="138"/>
      <c r="H22" s="192"/>
      <c r="I22" s="192"/>
      <c r="J22" s="137"/>
      <c r="K22" s="135" t="s">
        <v>19</v>
      </c>
      <c r="L22" s="190">
        <v>45952</v>
      </c>
      <c r="M22" s="191"/>
      <c r="N22" s="9"/>
    </row>
    <row r="23" spans="2:14" ht="23.25">
      <c r="B23" s="7"/>
      <c r="C23" s="135" t="s">
        <v>54</v>
      </c>
      <c r="D23" s="138"/>
      <c r="E23" s="138"/>
      <c r="F23" s="138"/>
      <c r="G23" s="138"/>
      <c r="H23" s="138"/>
      <c r="I23" s="138"/>
      <c r="J23" s="137"/>
      <c r="K23" s="135" t="s">
        <v>63</v>
      </c>
      <c r="L23" s="136"/>
      <c r="M23" s="136"/>
      <c r="N23" s="9"/>
    </row>
    <row r="24" spans="2:14" ht="23.25">
      <c r="B24" s="7"/>
      <c r="C24" s="135" t="s">
        <v>55</v>
      </c>
      <c r="D24" s="192"/>
      <c r="E24" s="192"/>
      <c r="F24" s="192"/>
      <c r="G24" s="192"/>
      <c r="H24" s="192" t="s">
        <v>9</v>
      </c>
      <c r="I24" s="192" t="s">
        <v>58</v>
      </c>
      <c r="J24" s="137"/>
      <c r="K24" s="135" t="s">
        <v>20</v>
      </c>
      <c r="L24" s="192"/>
      <c r="M24" s="192"/>
      <c r="N24" s="9"/>
    </row>
    <row r="25" spans="2:14" ht="23.25">
      <c r="B25" s="7"/>
      <c r="C25" s="135" t="s">
        <v>56</v>
      </c>
      <c r="D25" s="199"/>
      <c r="E25" s="200"/>
      <c r="F25" s="138"/>
      <c r="G25" s="138"/>
      <c r="H25" s="138"/>
      <c r="I25" s="138"/>
      <c r="J25" s="137"/>
      <c r="K25" s="135" t="s">
        <v>64</v>
      </c>
      <c r="L25" s="193"/>
      <c r="M25" s="193"/>
      <c r="N25" s="9"/>
    </row>
    <row r="26" spans="2:14">
      <c r="B26" s="7"/>
      <c r="C26" s="71"/>
      <c r="D26" s="71"/>
      <c r="E26" s="71"/>
      <c r="F26" s="71"/>
      <c r="G26" s="71"/>
      <c r="H26" s="71"/>
      <c r="I26" s="71"/>
      <c r="J26" s="71"/>
      <c r="K26" s="71"/>
      <c r="L26" s="71"/>
      <c r="M26" s="3"/>
      <c r="N26" s="9"/>
    </row>
    <row r="27" spans="2:14" ht="18">
      <c r="B27" s="7"/>
      <c r="C27" s="87" t="s">
        <v>35</v>
      </c>
      <c r="D27" s="87" t="s">
        <v>22</v>
      </c>
      <c r="E27" s="196" t="s">
        <v>23</v>
      </c>
      <c r="F27" s="197"/>
      <c r="G27" s="197"/>
      <c r="H27" s="197"/>
      <c r="I27" s="197"/>
      <c r="J27" s="198"/>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48"/>
      <c r="E29" s="152"/>
      <c r="F29" s="153"/>
      <c r="G29" s="153"/>
      <c r="H29" s="153"/>
      <c r="I29" s="154"/>
      <c r="J29" s="155"/>
      <c r="K29" s="173"/>
      <c r="L29" s="156"/>
      <c r="M29" s="52"/>
      <c r="N29" s="9"/>
    </row>
    <row r="30" spans="2:14" ht="30">
      <c r="B30" s="7"/>
      <c r="C30" s="132"/>
      <c r="D30" s="148">
        <v>10</v>
      </c>
      <c r="E30" s="179" t="s">
        <v>66</v>
      </c>
      <c r="F30" s="159"/>
      <c r="G30" s="159"/>
      <c r="H30" s="160"/>
      <c r="I30" s="160"/>
      <c r="J30" s="174"/>
      <c r="K30" s="158">
        <v>1350</v>
      </c>
      <c r="L30" s="158">
        <f>+K30*D30</f>
        <v>13500</v>
      </c>
      <c r="M30" s="52"/>
      <c r="N30" s="9"/>
    </row>
    <row r="31" spans="2:14" ht="30">
      <c r="B31" s="7"/>
      <c r="C31" s="132"/>
      <c r="D31" s="148"/>
      <c r="E31" s="163"/>
      <c r="F31" s="164"/>
      <c r="G31" s="165"/>
      <c r="H31" s="164"/>
      <c r="I31" s="164"/>
      <c r="J31" s="172"/>
      <c r="K31" s="158"/>
      <c r="L31" s="158"/>
      <c r="M31" s="52"/>
      <c r="N31" s="9"/>
    </row>
    <row r="32" spans="2:14" ht="30">
      <c r="B32" s="7"/>
      <c r="C32" s="132"/>
      <c r="D32" s="148"/>
      <c r="E32" s="168" t="s">
        <v>67</v>
      </c>
      <c r="F32" s="164"/>
      <c r="G32" s="165"/>
      <c r="H32" s="164"/>
      <c r="I32" s="164"/>
      <c r="J32" s="172"/>
      <c r="K32" s="158"/>
      <c r="L32" s="158"/>
      <c r="M32" s="52"/>
      <c r="N32" s="9"/>
    </row>
    <row r="33" spans="2:14" ht="30">
      <c r="B33" s="7"/>
      <c r="C33" s="132"/>
      <c r="D33" s="157"/>
      <c r="E33" s="146" t="s">
        <v>68</v>
      </c>
      <c r="F33" s="159"/>
      <c r="G33" s="160"/>
      <c r="H33" s="160"/>
      <c r="I33" s="160"/>
      <c r="J33" s="174"/>
      <c r="K33" s="158"/>
      <c r="L33" s="158"/>
      <c r="M33" s="52"/>
      <c r="N33" s="9"/>
    </row>
    <row r="34" spans="2:14" ht="30">
      <c r="B34" s="7"/>
      <c r="C34" s="151"/>
      <c r="D34" s="148"/>
      <c r="E34" s="169" t="s">
        <v>69</v>
      </c>
      <c r="F34" s="159"/>
      <c r="G34" s="160"/>
      <c r="H34" s="160"/>
      <c r="I34" s="160"/>
      <c r="J34" s="174"/>
      <c r="K34" s="158"/>
      <c r="L34" s="158"/>
      <c r="M34" s="150"/>
      <c r="N34" s="9"/>
    </row>
    <row r="35" spans="2:14" ht="30">
      <c r="B35" s="7"/>
      <c r="C35" s="147"/>
      <c r="D35" s="148"/>
      <c r="E35" s="170" t="s">
        <v>70</v>
      </c>
      <c r="F35" s="159"/>
      <c r="G35" s="159"/>
      <c r="H35" s="159"/>
      <c r="I35" s="159"/>
      <c r="J35" s="174"/>
      <c r="K35" s="158"/>
      <c r="L35" s="158"/>
      <c r="M35" s="52"/>
      <c r="N35" s="9"/>
    </row>
    <row r="36" spans="2:14" ht="30">
      <c r="B36" s="7"/>
      <c r="C36" s="132"/>
      <c r="D36" s="148"/>
      <c r="E36" s="169" t="s">
        <v>71</v>
      </c>
      <c r="F36" s="159"/>
      <c r="G36" s="159"/>
      <c r="H36" s="159"/>
      <c r="I36" s="159"/>
      <c r="J36" s="175"/>
      <c r="K36" s="158"/>
      <c r="L36" s="158"/>
      <c r="M36" s="52"/>
      <c r="N36" s="9"/>
    </row>
    <row r="37" spans="2:14" ht="30">
      <c r="B37" s="7"/>
      <c r="C37" s="132"/>
      <c r="D37" s="149"/>
      <c r="E37" s="146" t="s">
        <v>72</v>
      </c>
      <c r="F37" s="159"/>
      <c r="G37" s="159"/>
      <c r="H37" s="159"/>
      <c r="I37" s="159"/>
      <c r="J37" s="175"/>
      <c r="K37" s="158"/>
      <c r="L37" s="158"/>
      <c r="M37" s="52"/>
      <c r="N37" s="9"/>
    </row>
    <row r="38" spans="2:14" ht="30">
      <c r="B38" s="7"/>
      <c r="C38" s="132"/>
      <c r="D38" s="149"/>
      <c r="E38" s="203" t="s">
        <v>77</v>
      </c>
      <c r="F38" s="159"/>
      <c r="G38" s="159"/>
      <c r="H38" s="159"/>
      <c r="I38" s="159"/>
      <c r="J38" s="175"/>
      <c r="K38" s="158"/>
      <c r="L38" s="158"/>
      <c r="M38" s="52"/>
      <c r="N38" s="9"/>
    </row>
    <row r="39" spans="2:14" ht="30">
      <c r="B39" s="7"/>
      <c r="C39" s="132"/>
      <c r="D39" s="149"/>
      <c r="E39" s="202" t="s">
        <v>78</v>
      </c>
      <c r="F39" s="159"/>
      <c r="G39" s="159"/>
      <c r="H39" s="159"/>
      <c r="I39" s="159"/>
      <c r="J39" s="175"/>
      <c r="K39" s="158"/>
      <c r="L39" s="158"/>
      <c r="M39" s="52"/>
      <c r="N39" s="9"/>
    </row>
    <row r="40" spans="2:14" ht="30">
      <c r="B40" s="7"/>
      <c r="C40" s="132"/>
      <c r="D40" s="149">
        <v>5</v>
      </c>
      <c r="E40" s="178" t="s">
        <v>74</v>
      </c>
      <c r="F40" s="159"/>
      <c r="G40" s="159"/>
      <c r="H40" s="159"/>
      <c r="I40" s="159"/>
      <c r="J40" s="175"/>
      <c r="K40" s="158">
        <v>315</v>
      </c>
      <c r="L40" s="158">
        <f t="shared" ref="L40" si="0">+K40*D40</f>
        <v>1575</v>
      </c>
      <c r="M40" s="52"/>
      <c r="N40" s="9"/>
    </row>
    <row r="41" spans="2:14" ht="30">
      <c r="B41" s="7"/>
      <c r="C41" s="132"/>
      <c r="D41" s="101"/>
      <c r="E41" s="167"/>
      <c r="F41" s="166"/>
      <c r="G41" s="166"/>
      <c r="H41" s="166"/>
      <c r="I41" s="166"/>
      <c r="J41" s="175"/>
      <c r="K41" s="161"/>
      <c r="L41" s="103"/>
      <c r="M41" s="52"/>
      <c r="N41" s="9"/>
    </row>
    <row r="42" spans="2:14" ht="30">
      <c r="B42" s="7"/>
      <c r="C42" s="132"/>
      <c r="D42" s="149"/>
      <c r="E42" s="176" t="s">
        <v>73</v>
      </c>
      <c r="F42" s="162"/>
      <c r="G42" s="161"/>
      <c r="H42" s="162"/>
      <c r="I42" s="162"/>
      <c r="J42" s="174"/>
      <c r="K42" s="171"/>
      <c r="L42" s="103"/>
      <c r="M42" s="52"/>
      <c r="N42" s="9"/>
    </row>
    <row r="43" spans="2:14" ht="30">
      <c r="B43" s="7"/>
      <c r="C43" s="132"/>
      <c r="D43" s="149"/>
      <c r="E43" s="201"/>
      <c r="F43" s="162"/>
      <c r="G43" s="161"/>
      <c r="H43" s="162"/>
      <c r="I43" s="162"/>
      <c r="J43" s="174"/>
      <c r="K43" s="171"/>
      <c r="L43" s="103"/>
      <c r="M43" s="52"/>
      <c r="N43" s="9"/>
    </row>
    <row r="44" spans="2:14" ht="30">
      <c r="B44" s="7"/>
      <c r="C44" s="140"/>
      <c r="D44" s="141"/>
      <c r="E44" s="145"/>
      <c r="F44" s="142"/>
      <c r="G44" s="142"/>
      <c r="H44" s="144"/>
      <c r="I44" s="142"/>
      <c r="J44" s="143"/>
      <c r="K44" s="131"/>
      <c r="L44" s="103"/>
      <c r="M44" s="52"/>
      <c r="N44" s="9"/>
    </row>
    <row r="45" spans="2:14" ht="35.25">
      <c r="B45" s="7"/>
      <c r="C45" s="83"/>
      <c r="D45" s="92"/>
      <c r="E45" s="116"/>
      <c r="F45" s="113"/>
      <c r="G45" s="113"/>
      <c r="H45" s="113"/>
      <c r="I45" s="114"/>
      <c r="J45" s="115"/>
      <c r="K45" s="118" t="s">
        <v>26</v>
      </c>
      <c r="L45" s="123">
        <f>SUM(L28:L42)</f>
        <v>15075</v>
      </c>
      <c r="M45" s="52"/>
      <c r="N45" s="9"/>
    </row>
    <row r="46" spans="2:14" ht="35.25">
      <c r="B46" s="7"/>
      <c r="C46" s="98"/>
      <c r="D46" s="94" t="s">
        <v>57</v>
      </c>
      <c r="E46" s="75"/>
      <c r="F46" s="75"/>
      <c r="G46" s="75"/>
      <c r="H46" s="75"/>
      <c r="I46" s="76"/>
      <c r="J46" s="90"/>
      <c r="K46" s="117" t="s">
        <v>47</v>
      </c>
      <c r="L46" s="99">
        <v>1</v>
      </c>
      <c r="M46" s="52"/>
      <c r="N46" s="9"/>
    </row>
    <row r="47" spans="2:14" ht="35.25">
      <c r="B47" s="7"/>
      <c r="C47" s="95"/>
      <c r="D47" s="177" t="s">
        <v>65</v>
      </c>
      <c r="E47" s="75"/>
      <c r="F47" s="75"/>
      <c r="G47" s="75"/>
      <c r="H47" s="75"/>
      <c r="I47" s="78"/>
      <c r="J47" s="91"/>
      <c r="K47" s="119">
        <v>0.19</v>
      </c>
      <c r="L47" s="99">
        <f>(L45)*0.19</f>
        <v>2864.25</v>
      </c>
      <c r="M47" s="52"/>
      <c r="N47" s="9"/>
    </row>
    <row r="48" spans="2:14" ht="35.25">
      <c r="B48" s="7"/>
      <c r="C48" s="83"/>
      <c r="D48" s="97"/>
      <c r="E48" s="93"/>
      <c r="F48" s="80"/>
      <c r="G48" s="79"/>
      <c r="H48" s="75"/>
      <c r="I48" s="81"/>
      <c r="J48" s="90"/>
      <c r="K48" s="100" t="s">
        <v>28</v>
      </c>
      <c r="L48" s="99">
        <f>+L45+L46+L47</f>
        <v>17940.25</v>
      </c>
      <c r="M48" s="52"/>
      <c r="N48" s="9"/>
    </row>
    <row r="49" spans="2:14" ht="18">
      <c r="B49" s="7"/>
      <c r="C49" s="74"/>
      <c r="D49" s="84"/>
      <c r="E49" s="96"/>
      <c r="F49" s="75"/>
      <c r="G49" s="62"/>
      <c r="H49" s="75"/>
      <c r="I49" s="82" t="s">
        <v>27</v>
      </c>
      <c r="J49" s="76"/>
      <c r="K49" s="130"/>
      <c r="L49" s="130"/>
      <c r="M49" s="52"/>
      <c r="N49" s="9"/>
    </row>
    <row r="50" spans="2:14" ht="26.25">
      <c r="B50" s="7"/>
      <c r="C50" s="112"/>
      <c r="D50" s="112"/>
      <c r="E50" s="122"/>
      <c r="F50" s="126"/>
      <c r="G50" s="126"/>
      <c r="H50" s="126"/>
      <c r="I50" s="76"/>
      <c r="J50" s="110"/>
      <c r="K50" s="133" t="s">
        <v>62</v>
      </c>
      <c r="L50" s="133"/>
      <c r="M50" s="52"/>
      <c r="N50" s="9"/>
    </row>
    <row r="51" spans="2:14" ht="23.25">
      <c r="B51" s="7"/>
      <c r="C51" s="112"/>
      <c r="D51" s="112"/>
      <c r="E51" s="127"/>
      <c r="F51" s="195"/>
      <c r="G51" s="195"/>
      <c r="H51" s="195"/>
      <c r="I51" s="76"/>
      <c r="J51" s="110"/>
      <c r="K51" s="105"/>
      <c r="L51" s="105"/>
      <c r="M51" s="105"/>
      <c r="N51" s="9"/>
    </row>
    <row r="52" spans="2:14" ht="23.25">
      <c r="B52" s="7"/>
      <c r="C52" s="112"/>
      <c r="D52" s="112"/>
      <c r="E52" s="77"/>
      <c r="F52" s="76"/>
      <c r="G52" s="76"/>
      <c r="H52" s="76"/>
      <c r="I52" s="76"/>
      <c r="J52" s="110"/>
      <c r="K52" s="105"/>
      <c r="L52" s="105"/>
      <c r="M52" s="105"/>
      <c r="N52" s="9"/>
    </row>
    <row r="53" spans="2:14" ht="15">
      <c r="B53" s="7"/>
      <c r="C53" s="112"/>
      <c r="D53" s="112"/>
      <c r="E53" s="76"/>
      <c r="F53" s="76"/>
      <c r="G53" s="76"/>
      <c r="H53" s="76"/>
      <c r="I53" s="76"/>
      <c r="J53" s="105"/>
      <c r="K53" s="105"/>
      <c r="L53" s="105"/>
      <c r="M53" s="105"/>
      <c r="N53" s="9"/>
    </row>
    <row r="54" spans="2:14" ht="20.25">
      <c r="B54" s="7"/>
      <c r="C54" s="108" t="s">
        <v>59</v>
      </c>
      <c r="D54" s="134"/>
      <c r="E54" s="76"/>
      <c r="F54" s="76"/>
      <c r="G54" s="76"/>
      <c r="H54" s="76"/>
      <c r="I54" s="76"/>
      <c r="J54" s="85"/>
      <c r="K54" s="85"/>
      <c r="L54" s="86"/>
      <c r="M54" s="52"/>
      <c r="N54" s="9"/>
    </row>
    <row r="55" spans="2:14" ht="20.25">
      <c r="B55" s="7"/>
      <c r="C55" s="109" t="s">
        <v>60</v>
      </c>
      <c r="D55" s="109"/>
      <c r="E55" s="76"/>
      <c r="F55" s="76"/>
      <c r="G55" s="76"/>
      <c r="H55" s="76"/>
      <c r="I55" s="78"/>
      <c r="J55" s="85"/>
      <c r="K55" s="85"/>
      <c r="L55" s="85"/>
      <c r="M55" s="52"/>
      <c r="N55" s="9"/>
    </row>
    <row r="56" spans="2:14" ht="18">
      <c r="B56" s="7"/>
      <c r="C56" s="74"/>
      <c r="D56" s="74"/>
      <c r="E56" s="76"/>
      <c r="F56" s="76"/>
      <c r="G56" s="76"/>
      <c r="H56" s="76"/>
      <c r="I56" s="78"/>
      <c r="J56" s="85"/>
      <c r="K56" s="85"/>
      <c r="L56" s="85"/>
      <c r="M56" s="89"/>
      <c r="N56" s="9"/>
    </row>
    <row r="57" spans="2:14" ht="18">
      <c r="B57" s="7"/>
      <c r="C57" s="194" t="s">
        <v>52</v>
      </c>
      <c r="D57" s="194"/>
      <c r="E57" s="194"/>
      <c r="F57" s="194"/>
      <c r="G57" s="194"/>
      <c r="H57" s="194"/>
      <c r="I57" s="194"/>
      <c r="J57" s="194"/>
      <c r="K57" s="194"/>
      <c r="L57" s="85"/>
      <c r="M57" s="89"/>
      <c r="N57" s="9"/>
    </row>
    <row r="58" spans="2:14" ht="18">
      <c r="B58" s="7"/>
      <c r="C58" s="194"/>
      <c r="D58" s="194"/>
      <c r="E58" s="194"/>
      <c r="F58" s="194"/>
      <c r="G58" s="194"/>
      <c r="H58" s="194"/>
      <c r="I58" s="194"/>
      <c r="J58" s="194"/>
      <c r="K58" s="194"/>
      <c r="L58" s="86"/>
      <c r="M58" s="89"/>
      <c r="N58" s="9"/>
    </row>
    <row r="59" spans="2:14" ht="15">
      <c r="B59" s="7"/>
      <c r="C59" s="194"/>
      <c r="D59" s="194"/>
      <c r="E59" s="194"/>
      <c r="F59" s="194"/>
      <c r="G59" s="194"/>
      <c r="H59" s="194"/>
      <c r="I59" s="194"/>
      <c r="J59" s="194"/>
      <c r="K59" s="194"/>
      <c r="L59" s="86"/>
      <c r="M59" s="52"/>
      <c r="N59" s="9"/>
    </row>
    <row r="60" spans="2:14" ht="13.5" thickBot="1">
      <c r="B60" s="7"/>
      <c r="C60" s="3"/>
      <c r="D60" s="3"/>
      <c r="E60" s="3"/>
      <c r="F60" s="3"/>
      <c r="G60" s="3"/>
      <c r="H60" s="3"/>
      <c r="I60" s="3"/>
      <c r="J60" s="3"/>
      <c r="K60" s="3"/>
      <c r="L60" s="3"/>
      <c r="M60" s="52"/>
      <c r="N60" s="9"/>
    </row>
    <row r="61" spans="2:14" ht="15.75" thickTop="1">
      <c r="B61" s="7"/>
      <c r="C61" s="53"/>
      <c r="D61" s="53"/>
      <c r="E61" s="53"/>
      <c r="F61" s="53"/>
      <c r="G61" s="53"/>
      <c r="H61" s="53"/>
      <c r="I61" s="53"/>
      <c r="J61" s="53"/>
      <c r="K61" s="53"/>
      <c r="L61" s="53"/>
      <c r="M61" s="52"/>
      <c r="N61" s="124"/>
    </row>
    <row r="62" spans="2:14" ht="15">
      <c r="B62" s="7"/>
      <c r="C62" s="120"/>
      <c r="D62" s="120"/>
      <c r="E62" s="120"/>
      <c r="F62" s="120"/>
      <c r="G62" s="120"/>
      <c r="H62" s="120"/>
      <c r="I62" s="120"/>
      <c r="J62" s="120"/>
      <c r="K62" s="120"/>
      <c r="L62" s="121"/>
      <c r="M62" s="52"/>
      <c r="N62" s="125"/>
    </row>
    <row r="63" spans="2:14">
      <c r="B63" s="7"/>
      <c r="C63" s="130"/>
      <c r="D63" s="130"/>
      <c r="E63" s="130"/>
      <c r="F63" s="130"/>
      <c r="G63" s="130"/>
      <c r="H63" s="130"/>
      <c r="I63" s="130"/>
      <c r="J63" s="130"/>
      <c r="K63" s="130"/>
      <c r="L63" s="130"/>
      <c r="M63" s="52"/>
      <c r="N63" s="9"/>
    </row>
    <row r="64" spans="2:14">
      <c r="B64" s="7"/>
      <c r="C64" s="130"/>
      <c r="D64" s="130"/>
      <c r="E64" s="130"/>
      <c r="F64" s="130"/>
      <c r="G64" s="130"/>
      <c r="H64" s="130"/>
      <c r="I64" s="130"/>
      <c r="J64" s="130"/>
      <c r="K64" s="130"/>
      <c r="L64" s="130"/>
      <c r="M64" s="130"/>
      <c r="N64" s="9"/>
    </row>
    <row r="65" spans="2:14" ht="18" customHeight="1">
      <c r="B65" s="7"/>
      <c r="C65" s="130"/>
      <c r="D65" s="130"/>
      <c r="E65" s="130"/>
      <c r="F65" s="130"/>
      <c r="G65" s="130"/>
      <c r="H65" s="130"/>
      <c r="I65" s="130"/>
      <c r="J65" s="130"/>
      <c r="K65" s="130"/>
      <c r="L65" s="130"/>
      <c r="M65" s="130"/>
      <c r="N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7:K59"/>
    <mergeCell ref="F51:H51"/>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0:L5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K62"/>
    <dataValidation type="textLength" errorStyle="warning" allowBlank="1" showErrorMessage="1" errorTitle="Total" error="Les cellules ombrées contiennent des formules et sont calculées automatiquement par Excel. N'y tapez aucune information." promptTitle="Total" sqref="L48">
      <formula1>0</formula1>
      <formula2>0</formula2>
    </dataValidation>
    <dataValidation type="decimal" allowBlank="1" showErrorMessage="1" errorTitle="Prix unitaire" error="Tapez un nombre dans cette cellule." promptTitle="Prix unitaire" sqref="L34:M34 K44 K28:K40 L30:L33 L3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4">
      <formula1>0</formula1>
      <formula2>1000000000</formula2>
    </dataValidation>
    <dataValidation type="list" allowBlank="1" showInputMessage="1" showErrorMessage="1" errorTitle="Code TVA" error="Tapez 1, 2, ou 3." sqref="K41:K43">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46</xdr:row>
                    <xdr:rowOff>114300</xdr:rowOff>
                  </from>
                  <to>
                    <xdr:col>2</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45</xdr:row>
                    <xdr:rowOff>95250</xdr:rowOff>
                  </from>
                  <to>
                    <xdr:col>2</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MOHAMED HAMMAMIY</v>
      </c>
      <c r="E8" s="62">
        <f>Facture!$D$23</f>
        <v>0</v>
      </c>
      <c r="F8" s="62">
        <f>Facture!$D$24</f>
        <v>0</v>
      </c>
      <c r="G8" s="65">
        <f>Facture!$F$24</f>
        <v>0</v>
      </c>
      <c r="H8" s="65" t="str">
        <f>Facture!$I$24</f>
        <v>TN</v>
      </c>
      <c r="I8" s="62">
        <f>Facture!$D$25</f>
        <v>0</v>
      </c>
      <c r="J8" s="66">
        <f>Facture!$L$48</f>
        <v>17940.25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2025-10-22T08:41:51Z</cp:lastPrinted>
  <dcterms:created xsi:type="dcterms:W3CDTF">1995-05-29T15:50:39Z</dcterms:created>
  <dcterms:modified xsi:type="dcterms:W3CDTF">2025-10-22T08:42:17Z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MOHAMED HAMMAMIY</vt:lpwstr>
  </property>
  <property fmtid="{D5CDD505-2E9C-101B-9397-08002B2CF9AE}" pid="11" name="Montant de la facture" linkTarget="TOT">
    <vt:r8>17940.25</vt:r8>
  </property>
</Properties>
</file>