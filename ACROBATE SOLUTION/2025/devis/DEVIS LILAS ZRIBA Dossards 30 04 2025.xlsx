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Facture!$L$36</definedName>
    <definedName name="_Tax3">Facture!#REF!</definedName>
    <definedName name="_tax4">Facture!#REF!</definedName>
    <definedName name="_xlnm.Auto_Open21">'AutoOpen Stub Data'!$A$1</definedName>
    <definedName name="boxes">Facture!$E$35:$E$35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Facture!$L$20</definedName>
    <definedName name="data10">Facture!$F$23</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Facture!$M$21</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Facture!$M$22</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Facture!$M$23</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Facture!$E$20</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Facture!$F$21</definedName>
    <definedName name="data60">Facture!#REF!</definedName>
    <definedName name="data61">Facture!#REF!</definedName>
    <definedName name="data62">Facture!#REF!</definedName>
    <definedName name="data63">Facture!$E$35</definedName>
    <definedName name="data64">Facture!$E$36</definedName>
    <definedName name="data65">Facture!$H$37</definedName>
    <definedName name="data66">Facture!#REF!</definedName>
    <definedName name="data67">Facture!$F$40</definedName>
    <definedName name="data68">Facture!$G$40</definedName>
    <definedName name="data69">Facture!$K$40</definedName>
    <definedName name="data7">Facture!$H$22</definedName>
    <definedName name="data70">Facture!$K$41</definedName>
    <definedName name="data8">Facture!$J$22</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Facture!$C$3:$N$49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Facture!$E$20:$J$20</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Facture!$L$20:$M$20</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Facture!$F$39:$I$39</definedName>
    <definedName name="qzqzqz29">Facture!$L$39:$M$41</definedName>
    <definedName name="qzqzqz3">Facture!$E$21:$J$21</definedName>
    <definedName name="qzqzqz30">Facture!$G$40:$I$40</definedName>
    <definedName name="qzqzqz31">Facture!$G$40:$H$40</definedName>
    <definedName name="qzqzqz32">Facture!$L$39:$M$40</definedName>
    <definedName name="qzqzqz4">Facture!$G$22:$H$22</definedName>
    <definedName name="qzqzqz5">Facture!$L$22:$M$22</definedName>
    <definedName name="qzqzqz6">Facture!$E$23:$J$23</definedName>
    <definedName name="qzqzqz7">Facture!$L$23:$M$23</definedName>
    <definedName name="qzqzqz8">Facture!$F$25:$K$25</definedName>
    <definedName name="qzqzqz9">Facture!#REF!</definedName>
    <definedName name="SS">'Personnaliser votre facture'!$E$48</definedName>
    <definedName name="TOT">Facture!$M$37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Facture!$A$1:$N$46</definedName>
  </definedNames>
  <calcPr calcId="152511"/>
  <fileRecoveryPr repairLoad="1"/>
</workbook>
</file>

<file path=xl/calcChain.xml><?xml version="1.0" encoding="utf-8"?>
<calcChain xmlns="http://schemas.openxmlformats.org/spreadsheetml/2006/main">
  <c r="M28" i="3" l="1"/>
  <c r="K8" i="8" l="1"/>
  <c r="I8" i="8"/>
  <c r="H8" i="8"/>
  <c r="G8" i="8"/>
  <c r="F8" i="8"/>
  <c r="E8" i="8"/>
  <c r="D8" i="8"/>
  <c r="C8" i="8"/>
  <c r="B8" i="8"/>
  <c r="M34" i="3"/>
  <c r="M36" i="3" s="1"/>
  <c r="M37" i="3" s="1"/>
  <c r="J8" i="8" s="1"/>
  <c r="M27" i="3"/>
  <c r="M26" i="3"/>
  <c r="F33" i="2"/>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<sst xmlns="http://schemas.openxmlformats.org/spreadsheetml/2006/main" count="80" uniqueCount="70">
  <si>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</si>
  <si>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</si>
  <si>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</si>
  <si>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</si>
  <si>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</si>
  <si>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</si>
  <si>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</si>
  <si>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</si>
  <si>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</si>
  <si>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</si>
  <si>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</si>
  <si>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</si>
  <si>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</si>
  <si>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</si>
  <si>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</si>
  <si>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</si>
  <si>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</si>
  <si>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</si>
  <si>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</si>
  <si>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</si>
  <si>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</si>
  <si>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</si>
  <si>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</si>
  <si>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</si>
  <si>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</si>
  <si>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</si>
  <si>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</si>
  <si>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</si>
  <si>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</si>
  <si>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</si>
  <si>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</si>
  <si>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</si>
  <si>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</si>
  <si>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</si>
  <si>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</si>
  <si>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</si>
  <si>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</si>
  <si>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</si>
  <si>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</si>
  <si>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</si>
  <si>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</si>
  <si>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</si>
  <si>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</si>
  <si>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</si>
  <si>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</si>
  <si>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</si>
  <si>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</si>
  <si>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</si>
  <si>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</si>
  <si>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</si>
  <si>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</si>
  <si>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</si>
  <si>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</si>
  <si>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</si>
  <si>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</si>
  <si>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</si>
  <si>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</si>
  <si>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RIB: 10 000 000 080746 3788 95</t>
  </si>
  <si>
    <t>RC:B161701999  MF:645 267 KMA 000</t>
  </si>
  <si>
    <t>SIGNATURE :</t>
  </si>
  <si>
    <t xml:space="preserve">Responsable: Service achat </t>
  </si>
  <si>
    <t xml:space="preserve">virement </t>
  </si>
  <si>
    <t xml:space="preserve">STB THAMEUR </t>
  </si>
  <si>
    <t>PAIEMENT A LA LIVRAISON</t>
  </si>
  <si>
    <t>Réf commande:</t>
  </si>
  <si>
    <t>MF:</t>
  </si>
  <si>
    <t xml:space="preserve">LILAS ZRIBA </t>
  </si>
  <si>
    <t>Dossards avec sérigraphie</t>
  </si>
  <si>
    <t>offre de prix N° 2025-309</t>
  </si>
  <si>
    <t>Date : 30/03/2025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</si>
</sst>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6"/>
      <color rgb="FFFF0000"/>
      <name val="Arial"/>
      <family val="2"/>
    </font>
    <font>
      <b/>
      <sz val="22"/>
      <name val="Arial"/>
      <family val="2"/>
    </font>
    <font>
      <b/>
      <sz val="20"/>
      <color theme="1"/>
      <name val="Arial"/>
      <family val="2"/>
    </font>
    <font>
      <b/>
      <u/>
      <sz val="20"/>
      <color rgb="FFC00000"/>
      <name val="Arial"/>
      <family val="2"/>
    </font>
    <font>
      <u/>
      <sz val="16"/>
      <color theme="10"/>
      <name val="Arial"/>
      <family val="2"/>
    </font>
    <font>
      <b/>
      <sz val="16"/>
      <name val="Arial"/>
      <family val="2"/>
    </font>
    <font>
      <b/>
      <sz val="16"/>
      <color rgb="FF000000"/>
      <name val="Arial"/>
      <family val="2"/>
    </font>
    <font>
      <sz val="16"/>
      <color rgb="FF000000"/>
      <name val="Arial"/>
      <family val="2"/>
    </font>
    <font>
      <b/>
      <sz val="16"/>
      <color theme="1"/>
      <name val="Arial"/>
      <family val="2"/>
    </font>
    <font>
      <b/>
      <sz val="20"/>
      <name val="Times New Roman"/>
      <family val="1"/>
    </font>
    <font>
      <b/>
      <sz val="22"/>
      <color theme="1"/>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6">
    <xf numFmtId="0" fontId="0" fillId="2" borderId="0"/>
    <xf numFmtId="9" fontId="1" fillId="0" borderId="0" applyFont="0" applyFill="0" applyBorder="0" applyAlignment="0" applyProtection="0"/>
    <xf numFmtId="0" fontId="1" fillId="2" borderId="0"/>
    <xf numFmtId="165" fontId="1" fillId="0" borderId="0" applyFont="0" applyFill="0" applyBorder="0" applyAlignment="0" applyProtection="0"/>
    <xf numFmtId="166" fontId="1" fillId="0" borderId="0" applyFont="0" applyFill="0" applyBorder="0" applyAlignment="0" applyProtection="0"/>
    <xf numFmtId="0" fontId="35" fillId="2" borderId="0" applyNumberFormat="0" applyFill="0" applyBorder="0" applyAlignment="0" applyProtection="0"/>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2" fillId="3" borderId="0" xfId="0" applyFont="1" applyFill="1" applyBorder="1"/>
    <xf numFmtId="0" fontId="8" fillId="3" borderId="0" xfId="0" applyFont="1" applyFill="1" applyBorder="1"/>
    <xf numFmtId="0" fontId="7" fillId="3" borderId="7" xfId="0" applyFont="1" applyFill="1" applyBorder="1" applyAlignment="1"/>
    <xf numFmtId="0" fontId="6"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7" fillId="4" borderId="23" xfId="0" applyFont="1" applyFill="1" applyBorder="1" applyAlignment="1"/>
    <xf numFmtId="0" fontId="7" fillId="4" borderId="0" xfId="0" applyFont="1" applyFill="1" applyBorder="1" applyAlignment="1"/>
    <xf numFmtId="0" fontId="7" fillId="4" borderId="19" xfId="0" applyFont="1" applyFill="1" applyBorder="1" applyAlignment="1"/>
    <xf numFmtId="0" fontId="10" fillId="4" borderId="0" xfId="0" applyFont="1" applyFill="1" applyBorder="1" applyAlignment="1"/>
    <xf numFmtId="0" fontId="7" fillId="4" borderId="20" xfId="0" applyFont="1" applyFill="1" applyBorder="1" applyAlignment="1"/>
    <xf numFmtId="0" fontId="7" fillId="4" borderId="21" xfId="0" applyFont="1" applyFill="1" applyBorder="1" applyAlignment="1"/>
    <xf numFmtId="0" fontId="7"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2" fillId="3" borderId="25" xfId="0" applyFont="1" applyFill="1" applyBorder="1"/>
    <xf numFmtId="0" fontId="7"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9"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3" fillId="0" borderId="0" xfId="0" applyFont="1" applyFill="1"/>
    <xf numFmtId="1" fontId="3" fillId="0" borderId="0" xfId="0" applyNumberFormat="1" applyFont="1" applyFill="1"/>
    <xf numFmtId="14" fontId="3" fillId="0" borderId="0" xfId="0" applyNumberFormat="1" applyFont="1" applyFill="1"/>
    <xf numFmtId="49" fontId="3" fillId="0" borderId="0" xfId="0" applyNumberFormat="1" applyFont="1" applyFill="1"/>
    <xf numFmtId="164" fontId="3"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4" fillId="4" borderId="0" xfId="0" applyFont="1" applyFill="1" applyBorder="1" applyAlignment="1"/>
    <xf numFmtId="0" fontId="3" fillId="3" borderId="0" xfId="0" applyFont="1" applyFill="1" applyBorder="1"/>
    <xf numFmtId="0" fontId="0" fillId="2" borderId="0" xfId="0" applyBorder="1"/>
    <xf numFmtId="0" fontId="19" fillId="3" borderId="0" xfId="0" applyFont="1" applyFill="1" applyBorder="1"/>
    <xf numFmtId="0" fontId="0" fillId="0" borderId="0" xfId="0" applyFill="1" applyBorder="1"/>
    <xf numFmtId="0" fontId="3" fillId="0" borderId="0" xfId="0" applyFont="1" applyFill="1" applyBorder="1"/>
    <xf numFmtId="0" fontId="15" fillId="0" borderId="0" xfId="0" applyFont="1" applyFill="1" applyBorder="1"/>
    <xf numFmtId="0" fontId="15" fillId="0" borderId="0" xfId="0" quotePrefix="1" applyFont="1" applyFill="1" applyBorder="1" applyAlignment="1">
      <alignment horizontal="right"/>
    </xf>
    <xf numFmtId="0" fontId="15" fillId="0" borderId="0" xfId="0" applyFont="1" applyFill="1"/>
    <xf numFmtId="167" fontId="3" fillId="0" borderId="0" xfId="0" applyNumberFormat="1" applyFont="1" applyFill="1" applyBorder="1"/>
    <xf numFmtId="0" fontId="3" fillId="0" borderId="0" xfId="0" applyFont="1" applyFill="1" applyBorder="1" applyAlignment="1">
      <alignment vertical="top"/>
    </xf>
    <xf numFmtId="9" fontId="16" fillId="0" borderId="0" xfId="0" applyNumberFormat="1" applyFont="1" applyFill="1" applyBorder="1"/>
    <xf numFmtId="0" fontId="15" fillId="0" borderId="0" xfId="0" quotePrefix="1" applyFont="1" applyFill="1" applyBorder="1"/>
    <xf numFmtId="0" fontId="3" fillId="0" borderId="0" xfId="0" quotePrefix="1" applyFont="1" applyFill="1" applyBorder="1" applyAlignment="1">
      <alignment horizontal="right"/>
    </xf>
    <xf numFmtId="0" fontId="15" fillId="0" borderId="0" xfId="0" applyFont="1" applyFill="1" applyBorder="1" applyAlignment="1">
      <alignment vertical="top"/>
    </xf>
    <xf numFmtId="0" fontId="15" fillId="0" borderId="0" xfId="0" applyFont="1" applyFill="1" applyBorder="1" applyAlignment="1">
      <alignment wrapText="1"/>
    </xf>
    <xf numFmtId="0" fontId="18" fillId="3" borderId="30" xfId="0" applyFont="1" applyFill="1" applyBorder="1" applyAlignment="1">
      <alignment horizontal="center"/>
    </xf>
    <xf numFmtId="0" fontId="18" fillId="3" borderId="32" xfId="0" applyFont="1" applyFill="1" applyBorder="1" applyAlignment="1">
      <alignment horizontal="center"/>
    </xf>
    <xf numFmtId="0" fontId="20" fillId="3" borderId="0" xfId="0" applyNumberFormat="1" applyFont="1" applyFill="1" applyBorder="1" applyAlignment="1"/>
    <xf numFmtId="0" fontId="16" fillId="0" borderId="0" xfId="0" applyFont="1" applyFill="1" applyBorder="1"/>
    <xf numFmtId="0" fontId="16" fillId="0" borderId="0" xfId="0" applyFont="1" applyFill="1"/>
    <xf numFmtId="0" fontId="20" fillId="0" borderId="0" xfId="0" applyFont="1" applyFill="1" applyBorder="1" applyAlignment="1">
      <alignment horizontal="left"/>
    </xf>
    <xf numFmtId="0" fontId="20" fillId="3" borderId="0" xfId="0" applyFont="1" applyFill="1" applyBorder="1" applyAlignment="1">
      <alignment horizontal="left"/>
    </xf>
    <xf numFmtId="167" fontId="20" fillId="3" borderId="0" xfId="0" applyNumberFormat="1" applyFont="1" applyFill="1" applyBorder="1"/>
    <xf numFmtId="0" fontId="20" fillId="3" borderId="0" xfId="0" applyFont="1" applyFill="1" applyBorder="1" applyAlignment="1">
      <alignment vertical="top"/>
    </xf>
    <xf numFmtId="0" fontId="20" fillId="0" borderId="0" xfId="0" applyFont="1" applyFill="1"/>
    <xf numFmtId="167" fontId="20" fillId="3" borderId="0" xfId="0" quotePrefix="1" applyNumberFormat="1" applyFont="1" applyFill="1" applyBorder="1" applyAlignment="1">
      <alignment horizontal="center"/>
    </xf>
    <xf numFmtId="0" fontId="22" fillId="3" borderId="0" xfId="0" applyFont="1" applyFill="1" applyBorder="1"/>
    <xf numFmtId="0" fontId="21" fillId="3" borderId="0" xfId="0" applyFont="1" applyFill="1" applyBorder="1"/>
    <xf numFmtId="1" fontId="27" fillId="0" borderId="29" xfId="0" applyNumberFormat="1" applyFont="1" applyFill="1" applyBorder="1" applyAlignment="1">
      <alignment horizontal="center"/>
    </xf>
    <xf numFmtId="168" fontId="26" fillId="0" borderId="29" xfId="0" applyNumberFormat="1" applyFont="1" applyFill="1" applyBorder="1" applyAlignment="1"/>
    <xf numFmtId="0" fontId="29" fillId="3" borderId="0" xfId="0" applyFont="1" applyFill="1" applyBorder="1"/>
    <xf numFmtId="0" fontId="15" fillId="6" borderId="0" xfId="0" applyFont="1" applyFill="1" applyBorder="1" applyAlignment="1">
      <alignment vertical="top"/>
    </xf>
    <xf numFmtId="0" fontId="18" fillId="3" borderId="0" xfId="0" applyFont="1" applyFill="1" applyBorder="1"/>
    <xf numFmtId="168" fontId="29" fillId="0" borderId="29" xfId="0" applyNumberFormat="1" applyFont="1" applyFill="1" applyBorder="1" applyAlignment="1">
      <alignment horizontal="center" vertical="center" shrinkToFit="1"/>
    </xf>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31" fillId="0" borderId="0" xfId="0" applyFont="1" applyFill="1" applyAlignment="1"/>
    <xf numFmtId="0" fontId="31" fillId="0" borderId="38" xfId="0" applyFont="1" applyFill="1" applyBorder="1" applyAlignment="1"/>
    <xf numFmtId="0" fontId="0" fillId="0" borderId="0" xfId="0" applyFill="1" applyBorder="1"/>
    <xf numFmtId="0" fontId="4"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 fontId="16" fillId="0" borderId="44" xfId="0" applyNumberFormat="1" applyFont="1" applyFill="1" applyBorder="1" applyAlignment="1">
      <alignment horizontal="center"/>
    </xf>
    <xf numFmtId="0" fontId="16" fillId="0" borderId="0" xfId="0" applyFont="1" applyFill="1" applyBorder="1" applyAlignment="1"/>
    <xf numFmtId="0" fontId="20" fillId="0" borderId="47" xfId="0" applyFont="1" applyFill="1" applyBorder="1"/>
    <xf numFmtId="0" fontId="23" fillId="0" borderId="48" xfId="0" quotePrefix="1" applyFont="1" applyFill="1" applyBorder="1" applyAlignment="1">
      <alignment horizontal="right"/>
    </xf>
    <xf numFmtId="168" fontId="24" fillId="0" borderId="48" xfId="0" applyNumberFormat="1" applyFont="1" applyFill="1" applyBorder="1" applyAlignment="1">
      <alignment shrinkToFit="1"/>
    </xf>
    <xf numFmtId="0" fontId="23" fillId="0" borderId="48" xfId="0" applyFont="1" applyFill="1" applyBorder="1" applyAlignment="1">
      <alignment horizontal="right"/>
    </xf>
    <xf numFmtId="10" fontId="23" fillId="0" borderId="48" xfId="0" quotePrefix="1" applyNumberFormat="1" applyFont="1" applyFill="1" applyBorder="1" applyAlignment="1">
      <alignment horizontal="center"/>
    </xf>
    <xf numFmtId="168" fontId="25" fillId="0" borderId="48" xfId="0" applyNumberFormat="1" applyFont="1" applyFill="1" applyBorder="1" applyAlignment="1">
      <alignment shrinkToFit="1"/>
    </xf>
    <xf numFmtId="0" fontId="20" fillId="0" borderId="0" xfId="0" applyFont="1" applyFill="1" applyBorder="1"/>
    <xf numFmtId="1" fontId="16" fillId="0" borderId="0" xfId="0" applyNumberFormat="1" applyFont="1" applyFill="1" applyBorder="1" applyAlignment="1">
      <alignment horizontal="center"/>
    </xf>
    <xf numFmtId="49" fontId="35" fillId="0" borderId="0" xfId="5" applyNumberFormat="1" applyFill="1" applyBorder="1" applyAlignment="1">
      <alignment horizontal="center"/>
    </xf>
    <xf numFmtId="49" fontId="30" fillId="3" borderId="33" xfId="0" applyNumberFormat="1" applyFont="1" applyFill="1" applyBorder="1" applyAlignment="1">
      <alignment horizontal="left"/>
    </xf>
    <xf numFmtId="0" fontId="20" fillId="0" borderId="28" xfId="0" applyFont="1" applyFill="1" applyBorder="1" applyAlignment="1">
      <alignment horizontal="center"/>
    </xf>
    <xf numFmtId="2" fontId="0" fillId="6" borderId="45" xfId="0" applyNumberFormat="1" applyFill="1" applyBorder="1"/>
    <xf numFmtId="2" fontId="0" fillId="6" borderId="46" xfId="0" applyNumberFormat="1" applyFill="1" applyBorder="1"/>
    <xf numFmtId="0" fontId="37" fillId="0" borderId="0" xfId="0" applyFont="1" applyFill="1" applyBorder="1"/>
    <xf numFmtId="0" fontId="36" fillId="6" borderId="0" xfId="0" applyFont="1" applyFill="1" applyBorder="1" applyAlignment="1">
      <alignment vertical="top"/>
    </xf>
    <xf numFmtId="49" fontId="28" fillId="3" borderId="33" xfId="0" applyNumberFormat="1" applyFont="1" applyFill="1" applyBorder="1" applyAlignment="1"/>
    <xf numFmtId="0" fontId="38" fillId="3" borderId="0" xfId="0" applyFont="1" applyFill="1" applyBorder="1" applyAlignment="1">
      <alignment horizontal="right"/>
    </xf>
    <xf numFmtId="49" fontId="29" fillId="3" borderId="33" xfId="0" applyNumberFormat="1" applyFont="1" applyFill="1" applyBorder="1" applyAlignment="1">
      <alignment horizontal="left"/>
    </xf>
    <xf numFmtId="0" fontId="15" fillId="3" borderId="34" xfId="0" applyFont="1" applyFill="1" applyBorder="1"/>
    <xf numFmtId="1" fontId="26" fillId="0" borderId="29" xfId="0" applyNumberFormat="1" applyFont="1" applyFill="1" applyBorder="1" applyAlignment="1">
      <alignment horizontal="center"/>
    </xf>
    <xf numFmtId="0" fontId="28" fillId="3" borderId="0" xfId="0" applyFont="1" applyFill="1" applyBorder="1"/>
    <xf numFmtId="0" fontId="28" fillId="0" borderId="0" xfId="0" applyFont="1" applyFill="1" applyBorder="1"/>
    <xf numFmtId="49" fontId="39" fillId="0" borderId="28" xfId="5" applyNumberFormat="1" applyFont="1" applyFill="1" applyBorder="1" applyAlignment="1"/>
    <xf numFmtId="0" fontId="0" fillId="0" borderId="0" xfId="0" applyFill="1" applyBorder="1" applyAlignment="1">
      <alignment vertical="top"/>
    </xf>
    <xf numFmtId="0" fontId="40" fillId="3" borderId="0" xfId="0" applyFont="1" applyFill="1" applyBorder="1" applyAlignment="1">
      <alignment horizontal="left"/>
    </xf>
    <xf numFmtId="0" fontId="18" fillId="0" borderId="0" xfId="0" applyFont="1" applyFill="1" applyBorder="1" applyAlignment="1">
      <alignment vertical="top"/>
    </xf>
    <xf numFmtId="49" fontId="41" fillId="0" borderId="0" xfId="5" applyNumberFormat="1" applyFont="1" applyFill="1" applyBorder="1" applyAlignment="1" applyProtection="1"/>
    <xf numFmtId="0" fontId="42" fillId="3" borderId="0" xfId="0" applyFont="1" applyFill="1" applyBorder="1" applyAlignment="1"/>
    <xf numFmtId="0" fontId="33" fillId="3" borderId="0" xfId="0" applyFont="1" applyFill="1" applyBorder="1" applyAlignment="1"/>
    <xf numFmtId="0" fontId="43" fillId="7" borderId="49" xfId="0" applyFont="1" applyFill="1" applyBorder="1"/>
    <xf numFmtId="0" fontId="33" fillId="7" borderId="0" xfId="0" applyFont="1" applyFill="1"/>
    <xf numFmtId="0" fontId="44" fillId="7" borderId="0" xfId="0" applyFont="1" applyFill="1" applyAlignment="1"/>
    <xf numFmtId="49" fontId="33" fillId="0" borderId="28" xfId="0" applyNumberFormat="1" applyFont="1" applyFill="1" applyBorder="1" applyAlignment="1">
      <alignment vertical="top"/>
    </xf>
    <xf numFmtId="0" fontId="33" fillId="3" borderId="38" xfId="0" applyFont="1" applyFill="1" applyBorder="1" applyAlignment="1"/>
    <xf numFmtId="49" fontId="42" fillId="0" borderId="28" xfId="0" applyNumberFormat="1" applyFont="1" applyFill="1" applyBorder="1" applyAlignment="1"/>
    <xf numFmtId="49" fontId="45" fillId="0" borderId="28" xfId="5" applyNumberFormat="1" applyFont="1" applyFill="1" applyBorder="1" applyAlignment="1"/>
    <xf numFmtId="0" fontId="33" fillId="0" borderId="0" xfId="0" applyFont="1" applyFill="1" applyAlignment="1"/>
    <xf numFmtId="0" fontId="33" fillId="6" borderId="0" xfId="0" applyFont="1" applyFill="1"/>
    <xf numFmtId="0" fontId="33" fillId="0" borderId="38" xfId="0" applyFont="1" applyFill="1" applyBorder="1" applyAlignment="1"/>
    <xf numFmtId="2" fontId="5" fillId="6" borderId="47" xfId="0" applyNumberFormat="1" applyFont="1" applyFill="1" applyBorder="1"/>
    <xf numFmtId="0" fontId="11" fillId="3" borderId="35" xfId="0" applyFont="1" applyFill="1" applyBorder="1" applyAlignment="1"/>
    <xf numFmtId="0" fontId="0" fillId="2" borderId="35" xfId="0" applyBorder="1" applyAlignment="1"/>
    <xf numFmtId="0" fontId="5" fillId="3" borderId="21" xfId="0" applyFont="1" applyFill="1" applyBorder="1" applyAlignment="1"/>
    <xf numFmtId="0" fontId="0" fillId="2" borderId="21" xfId="0" applyBorder="1" applyAlignment="1"/>
    <xf numFmtId="0" fontId="5"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18" fillId="3" borderId="33" xfId="0" applyNumberFormat="1" applyFont="1" applyFill="1" applyBorder="1" applyAlignment="1"/>
    <xf numFmtId="0" fontId="18" fillId="2" borderId="33" xfId="0" applyFont="1" applyBorder="1" applyAlignment="1"/>
    <xf numFmtId="0" fontId="46" fillId="3" borderId="40" xfId="0" applyFont="1" applyFill="1" applyBorder="1" applyAlignment="1">
      <alignment horizontal="center" vertical="center" wrapText="1" shrinkToFit="1"/>
    </xf>
    <xf numFmtId="0" fontId="46" fillId="3" borderId="41" xfId="0" applyFont="1" applyFill="1" applyBorder="1" applyAlignment="1">
      <alignment horizontal="center" vertical="center" wrapText="1" shrinkToFit="1"/>
    </xf>
    <xf numFmtId="0" fontId="46" fillId="3" borderId="42" xfId="0" applyFont="1" applyFill="1" applyBorder="1" applyAlignment="1">
      <alignment horizontal="center" vertical="center" wrapText="1" shrinkToFit="1"/>
    </xf>
    <xf numFmtId="14" fontId="29" fillId="3" borderId="33" xfId="0" applyNumberFormat="1" applyFont="1" applyFill="1" applyBorder="1" applyAlignment="1">
      <alignment horizontal="left"/>
    </xf>
    <xf numFmtId="0" fontId="29" fillId="3" borderId="34" xfId="0" applyFont="1" applyFill="1" applyBorder="1" applyAlignment="1">
      <alignment horizontal="left"/>
    </xf>
    <xf numFmtId="49" fontId="38" fillId="3" borderId="33" xfId="0" applyNumberFormat="1" applyFont="1" applyFill="1" applyBorder="1" applyAlignment="1"/>
    <xf numFmtId="0" fontId="38" fillId="2" borderId="33" xfId="0" applyFont="1" applyBorder="1" applyAlignment="1"/>
    <xf numFmtId="3" fontId="31" fillId="3" borderId="33" xfId="0" applyNumberFormat="1" applyFont="1" applyFill="1" applyBorder="1" applyAlignment="1"/>
    <xf numFmtId="0" fontId="31" fillId="3" borderId="33" xfId="0" applyFont="1" applyFill="1" applyBorder="1" applyAlignment="1"/>
    <xf numFmtId="0" fontId="17" fillId="0" borderId="0" xfId="0" applyFont="1" applyFill="1" applyBorder="1" applyAlignment="1">
      <alignment horizontal="center" vertical="center" wrapText="1"/>
    </xf>
    <xf numFmtId="49" fontId="20" fillId="3" borderId="34" xfId="0" applyNumberFormat="1" applyFont="1" applyFill="1" applyBorder="1" applyAlignment="1">
      <alignment horizontal="left"/>
    </xf>
    <xf numFmtId="0" fontId="18" fillId="3" borderId="30" xfId="0" applyFont="1" applyFill="1" applyBorder="1" applyAlignment="1"/>
    <xf numFmtId="0" fontId="18" fillId="3" borderId="31" xfId="0" applyFont="1" applyFill="1" applyBorder="1" applyAlignment="1"/>
    <xf numFmtId="0" fontId="18" fillId="3" borderId="43" xfId="0" applyFont="1" applyFill="1" applyBorder="1" applyAlignment="1"/>
    <xf numFmtId="49" fontId="33" fillId="3" borderId="28" xfId="0" applyNumberFormat="1" applyFont="1" applyFill="1" applyBorder="1" applyAlignment="1">
      <alignment horizontal="left" shrinkToFit="1"/>
    </xf>
    <xf numFmtId="49" fontId="33" fillId="3" borderId="0" xfId="0" applyNumberFormat="1" applyFont="1" applyFill="1" applyBorder="1" applyAlignment="1">
      <alignment horizontal="left" shrinkToFit="1"/>
    </xf>
    <xf numFmtId="49" fontId="33" fillId="3" borderId="38" xfId="0" applyNumberFormat="1" applyFont="1" applyFill="1" applyBorder="1" applyAlignment="1">
      <alignment horizontal="left" shrinkToFit="1"/>
    </xf>
    <xf numFmtId="49" fontId="47"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9</xdr:row>
      <xdr:rowOff>28202</xdr:rowOff>
    </xdr:from>
    <xdr:to>
      <xdr:col>5</xdr:col>
      <xdr:colOff>731418</xdr:colOff>
      <xdr:row>15</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35</xdr:row>
          <xdr:rowOff>114300</xdr:rowOff>
        </xdr:from>
        <xdr:to>
          <xdr:col>3</xdr:col>
          <xdr:colOff>1838325</xdr:colOff>
          <xdr:row>35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34</xdr:row>
          <xdr:rowOff>95250</xdr:rowOff>
        </xdr:from>
        <xdr:to>
          <xdr:col>3</xdr:col>
          <xdr:colOff>1885950</xdr:colOff>
          <xdr:row>34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127000</xdr:colOff>
      <xdr:row>2</xdr:row>
      <xdr:rowOff>79375</xdr:rowOff>
    </xdr:from>
    <xdr:to>
      <xdr:col>5</xdr:col>
      <xdr:colOff>555625</xdr:colOff>
      <xdr:row>8</xdr:row>
      <xdr:rowOff>142875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74625"/>
          <a:ext cx="3508375" cy="1079500"/>
        </a:xfrm>
        <a:prstGeom prst="rect">
          <a:avLst/>
        </a:prstGeom>
        <a:noFill/>
        <a:ln>
          <a:noFill/>
        </a:ln>
      </xdr:spPr>
    </xdr:pic>
    <xdr:clientData/>
  </xdr:twoCellAnchor>
  <xdr:twoCellAnchor>
    <xdr:from>
      <xdr:col>10</xdr:col>
      <xdr:colOff>889000</xdr:colOff>
      <xdr:row>19</xdr:row>
      <xdr:rowOff>47625</xdr:rowOff>
    </xdr:from>
    <xdr:to>
      <xdr:col>13</xdr:col>
      <xdr:colOff>0</xdr:colOff>
      <xdr:row>24</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1301749</xdr:colOff>
      <xdr:row>5</xdr:row>
      <xdr:rowOff>47625</xdr:rowOff>
    </xdr:from>
    <xdr:to>
      <xdr:col>12</xdr:col>
      <xdr:colOff>523874</xdr:colOff>
      <xdr:row>10</xdr:row>
      <xdr:rowOff>47625</xdr:rowOff>
    </xdr:to>
    <xdr:pic>
      <xdr:nvPicPr>
        <xdr:cNvPr id="10" name="Picture 2" descr="Image associée"/>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40874" y="619125"/>
          <a:ext cx="2206625" cy="857250"/>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36</xdr:row>
          <xdr:rowOff>95250</xdr:rowOff>
        </xdr:from>
        <xdr:to>
          <xdr:col>3</xdr:col>
          <xdr:colOff>1885950</xdr:colOff>
          <xdr:row>36</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904876</xdr:colOff>
      <xdr:row>3</xdr:row>
      <xdr:rowOff>142875</xdr:rowOff>
    </xdr:from>
    <xdr:to>
      <xdr:col>12</xdr:col>
      <xdr:colOff>2174876</xdr:colOff>
      <xdr:row>10</xdr:row>
      <xdr:rowOff>4390</xdr:rowOff>
    </xdr:to>
    <xdr:pic>
      <xdr:nvPicPr>
        <xdr:cNvPr id="11" name="Image 10"/>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128501" y="396875"/>
          <a:ext cx="1270000" cy="10362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4" t="s">
        <v>0</v>
      </c>
      <c r="E4" s="155"/>
      <c r="F4" s="155"/>
      <c r="G4" s="3"/>
      <c r="H4" s="3"/>
      <c r="I4" s="3"/>
      <c r="J4" s="8"/>
    </row>
    <row r="5" spans="2:10" ht="3" customHeight="1" thickTop="1" x14ac:dyDescent="0.2">
      <c r="B5" s="2"/>
      <c r="C5" s="53"/>
      <c r="D5" s="53"/>
      <c r="E5" s="53"/>
      <c r="F5" s="53"/>
      <c r="G5" s="53"/>
      <c r="H5" s="53"/>
      <c r="I5" s="53"/>
      <c r="J5" s="1"/>
    </row>
    <row r="6" spans="2:10" ht="12.75" customHeight="1" x14ac:dyDescent="0.3">
      <c r="B6" s="7"/>
      <c r="C6" s="3"/>
      <c r="D6" s="18"/>
      <c r="E6" s="3"/>
      <c r="F6" s="3"/>
      <c r="G6" s="3"/>
      <c r="H6" s="3"/>
      <c r="I6" s="3"/>
      <c r="J6" s="8"/>
    </row>
    <row r="7" spans="2:10" x14ac:dyDescent="0.2">
      <c r="B7" s="7"/>
      <c r="C7" s="3"/>
      <c r="D7" s="3"/>
      <c r="E7" s="3"/>
      <c r="F7" s="3"/>
      <c r="G7" s="59" t="s">
        <v>44</v>
      </c>
      <c r="H7" s="3"/>
      <c r="I7" s="3"/>
      <c r="J7" s="8"/>
    </row>
    <row r="8" spans="2:10" x14ac:dyDescent="0.2">
      <c r="B8" s="7"/>
      <c r="C8" s="3"/>
      <c r="D8" s="3"/>
      <c r="E8" s="3"/>
      <c r="F8" s="3"/>
      <c r="G8" s="59" t="s">
        <v>1</v>
      </c>
      <c r="H8" s="3"/>
      <c r="I8" s="3"/>
      <c r="J8" s="8"/>
    </row>
    <row r="9" spans="2:10" x14ac:dyDescent="0.2">
      <c r="B9" s="7"/>
      <c r="C9" s="3"/>
      <c r="D9" s="19"/>
      <c r="E9" s="3"/>
      <c r="F9" s="3"/>
      <c r="G9" s="41"/>
      <c r="H9" s="3"/>
      <c r="I9" s="3"/>
      <c r="J9" s="8"/>
    </row>
    <row r="10" spans="2:10" ht="13.5" thickBot="1" x14ac:dyDescent="0.25">
      <c r="B10" s="7"/>
      <c r="C10" s="3"/>
      <c r="D10" s="156" t="s">
        <v>2</v>
      </c>
      <c r="E10" s="157"/>
      <c r="F10" s="3"/>
      <c r="G10" s="3"/>
      <c r="H10" s="3"/>
      <c r="I10" s="3"/>
      <c r="J10" s="8"/>
    </row>
    <row r="11" spans="2:10" ht="5.25" customHeight="1" thickBot="1" x14ac:dyDescent="0.25">
      <c r="B11" s="7"/>
      <c r="C11" s="3"/>
      <c r="D11" s="21"/>
      <c r="E11" s="22"/>
      <c r="F11" s="22"/>
      <c r="G11" s="22"/>
      <c r="H11" s="23"/>
      <c r="I11" s="3"/>
      <c r="J11" s="8"/>
    </row>
    <row r="12" spans="2:10" x14ac:dyDescent="0.2">
      <c r="B12" s="7"/>
      <c r="C12" s="3"/>
      <c r="D12" s="31" t="s">
        <v>3</v>
      </c>
      <c r="E12" s="12" t="s">
        <v>48</v>
      </c>
      <c r="F12" s="60" t="s">
        <v>4</v>
      </c>
      <c r="G12" s="16"/>
      <c r="H12" s="24"/>
      <c r="I12" s="3"/>
      <c r="J12" s="8"/>
    </row>
    <row r="13" spans="2:10" ht="13.5" thickBot="1" x14ac:dyDescent="0.25">
      <c r="B13" s="7"/>
      <c r="C13" s="3"/>
      <c r="D13" s="31" t="s">
        <v>5</v>
      </c>
      <c r="E13" s="13" t="s">
        <v>47</v>
      </c>
      <c r="F13" s="60" t="s">
        <v>6</v>
      </c>
      <c r="G13" s="17"/>
      <c r="H13" s="24"/>
      <c r="I13" s="3"/>
      <c r="J13" s="8"/>
    </row>
    <row r="14" spans="2:10" x14ac:dyDescent="0.2">
      <c r="B14" s="7"/>
      <c r="C14" s="3"/>
      <c r="D14" s="31" t="s">
        <v>7</v>
      </c>
      <c r="E14" s="14" t="s">
        <v>49</v>
      </c>
      <c r="F14" s="25"/>
      <c r="G14" s="26"/>
      <c r="H14" s="24"/>
      <c r="I14" s="3"/>
      <c r="J14" s="8"/>
    </row>
    <row r="15" spans="2:10" x14ac:dyDescent="0.2">
      <c r="B15" s="7"/>
      <c r="C15" s="3"/>
      <c r="D15" s="31" t="s">
        <v>8</v>
      </c>
      <c r="E15" s="13" t="s">
        <v>50</v>
      </c>
      <c r="F15" s="38"/>
      <c r="G15" s="26"/>
      <c r="H15" s="24"/>
      <c r="I15" s="3"/>
      <c r="J15" s="8"/>
    </row>
    <row r="16" spans="2:10" ht="13.5" thickBot="1" x14ac:dyDescent="0.25">
      <c r="B16" s="7"/>
      <c r="C16" s="3"/>
      <c r="D16" s="31" t="s">
        <v>9</v>
      </c>
      <c r="E16" s="15"/>
      <c r="F16" s="38"/>
      <c r="G16" s="26"/>
      <c r="H16" s="24"/>
      <c r="I16" s="3"/>
      <c r="J16" s="8"/>
    </row>
    <row r="17" spans="2:10" ht="6" customHeight="1" thickBot="1" x14ac:dyDescent="0.25">
      <c r="B17" s="7"/>
      <c r="C17" s="3"/>
      <c r="D17" s="27"/>
      <c r="E17" s="28"/>
      <c r="F17" s="28"/>
      <c r="G17" s="28"/>
      <c r="H17" s="29"/>
      <c r="I17" s="3"/>
      <c r="J17" s="8"/>
    </row>
    <row r="18" spans="2:10" ht="6" customHeight="1" x14ac:dyDescent="0.2">
      <c r="B18" s="7"/>
      <c r="C18" s="3"/>
      <c r="D18" s="3"/>
      <c r="E18" s="3"/>
      <c r="F18" s="3"/>
      <c r="G18" s="3"/>
      <c r="H18" s="3"/>
      <c r="I18" s="3"/>
      <c r="J18" s="8"/>
    </row>
    <row r="19" spans="2:10" ht="13.5" thickBot="1" x14ac:dyDescent="0.25">
      <c r="B19" s="7"/>
      <c r="C19" s="3"/>
      <c r="D19" s="158" t="s">
        <v>45</v>
      </c>
      <c r="E19" s="157"/>
      <c r="F19" s="3"/>
      <c r="G19" s="3"/>
      <c r="H19" s="3"/>
      <c r="I19" s="3"/>
      <c r="J19" s="8"/>
    </row>
    <row r="20" spans="2:10" ht="5.25" customHeight="1" x14ac:dyDescent="0.2">
      <c r="B20" s="7"/>
      <c r="C20" s="3"/>
      <c r="D20" s="30"/>
      <c r="E20" s="22"/>
      <c r="F20" s="22"/>
      <c r="G20" s="22"/>
      <c r="H20" s="23"/>
      <c r="I20" s="3"/>
      <c r="J20" s="8"/>
    </row>
    <row r="21" spans="2:10" ht="13.5" thickBot="1" x14ac:dyDescent="0.25">
      <c r="B21" s="7"/>
      <c r="C21" s="3"/>
      <c r="D21" s="39"/>
      <c r="E21" s="38" t="s">
        <v>33</v>
      </c>
      <c r="F21" s="32"/>
      <c r="G21" s="40" t="s">
        <v>10</v>
      </c>
      <c r="H21" s="24"/>
      <c r="I21" s="3"/>
      <c r="J21" s="8"/>
    </row>
    <row r="22" spans="2:10" x14ac:dyDescent="0.2">
      <c r="B22" s="7"/>
      <c r="C22" s="3"/>
      <c r="D22" s="31">
        <v>1</v>
      </c>
      <c r="E22" s="67">
        <v>0.1</v>
      </c>
      <c r="F22" s="32"/>
      <c r="G22" s="35"/>
      <c r="H22" s="24"/>
      <c r="I22" s="3"/>
      <c r="J22" s="8"/>
    </row>
    <row r="23" spans="2:10" x14ac:dyDescent="0.2">
      <c r="B23" s="7"/>
      <c r="C23" s="3"/>
      <c r="D23" s="33">
        <v>2</v>
      </c>
      <c r="E23" s="61">
        <v>0.18</v>
      </c>
      <c r="F23" s="32"/>
      <c r="G23" s="36"/>
      <c r="H23" s="24"/>
      <c r="I23" s="3"/>
      <c r="J23" s="8"/>
    </row>
    <row r="24" spans="2:10" ht="13.5" thickBot="1" x14ac:dyDescent="0.25">
      <c r="B24" s="7"/>
      <c r="C24" s="3"/>
      <c r="D24" s="33">
        <v>3</v>
      </c>
      <c r="E24" s="57">
        <v>0.28999999999999998</v>
      </c>
      <c r="F24" s="32"/>
      <c r="G24" s="34"/>
      <c r="H24" s="24"/>
      <c r="I24" s="3"/>
      <c r="J24" s="8"/>
    </row>
    <row r="25" spans="2:10" ht="13.5" thickBot="1" x14ac:dyDescent="0.25">
      <c r="B25" s="7"/>
      <c r="C25" s="3"/>
      <c r="D25" s="39"/>
      <c r="E25" s="38"/>
      <c r="F25" s="32"/>
      <c r="G25" s="37"/>
      <c r="H25" s="24"/>
      <c r="I25" s="3"/>
      <c r="J25" s="8"/>
    </row>
    <row r="26" spans="2:10" ht="13.5" thickBot="1" x14ac:dyDescent="0.25">
      <c r="B26" s="7"/>
      <c r="C26" s="3"/>
      <c r="D26" s="33"/>
      <c r="E26" s="38"/>
      <c r="F26" s="32"/>
      <c r="G26" s="32"/>
      <c r="H26" s="24"/>
      <c r="I26" s="3"/>
      <c r="J26" s="8"/>
    </row>
    <row r="27" spans="2:10" ht="13.5" thickBot="1" x14ac:dyDescent="0.25">
      <c r="B27" s="7"/>
      <c r="C27" s="3"/>
      <c r="D27" s="33"/>
      <c r="E27" s="26"/>
      <c r="F27" s="25" t="s">
        <v>46</v>
      </c>
      <c r="G27" s="68">
        <v>0.2</v>
      </c>
      <c r="H27" s="24"/>
      <c r="I27" s="3"/>
      <c r="J27" s="8"/>
    </row>
    <row r="28" spans="2:10" x14ac:dyDescent="0.2">
      <c r="B28" s="7"/>
      <c r="C28" s="3"/>
      <c r="D28" s="42"/>
      <c r="E28" s="38"/>
      <c r="F28" s="32"/>
      <c r="G28" s="32"/>
      <c r="H28" s="24"/>
      <c r="I28" s="3"/>
      <c r="J28" s="8"/>
    </row>
    <row r="29" spans="2:10" ht="13.5" thickBot="1" x14ac:dyDescent="0.25">
      <c r="B29" s="7"/>
      <c r="C29" s="3"/>
      <c r="D29" s="42"/>
      <c r="E29" s="38"/>
      <c r="F29" s="32"/>
      <c r="G29" s="32"/>
      <c r="H29" s="24"/>
      <c r="I29" s="3"/>
      <c r="J29" s="8"/>
    </row>
    <row r="30" spans="2:10" ht="13.5" thickBot="1" x14ac:dyDescent="0.25">
      <c r="B30" s="7"/>
      <c r="C30" s="3"/>
      <c r="D30" s="42" t="b">
        <v>0</v>
      </c>
      <c r="E30" s="38" t="s">
        <v>11</v>
      </c>
      <c r="F30" s="25" t="s">
        <v>12</v>
      </c>
      <c r="G30" s="56"/>
      <c r="H30" s="24"/>
      <c r="I30" s="3"/>
      <c r="J30" s="8"/>
    </row>
    <row r="31" spans="2:10" x14ac:dyDescent="0.2">
      <c r="B31" s="7"/>
      <c r="C31" s="3"/>
      <c r="D31" s="42"/>
      <c r="E31" s="38" t="s">
        <v>13</v>
      </c>
      <c r="F31" s="25" t="s">
        <v>14</v>
      </c>
      <c r="G31" s="38"/>
      <c r="H31" s="24"/>
      <c r="I31" s="3"/>
      <c r="J31" s="8"/>
    </row>
    <row r="32" spans="2:10" ht="13.5" thickBot="1" x14ac:dyDescent="0.25">
      <c r="B32" s="7"/>
      <c r="C32" s="3"/>
      <c r="D32" s="42"/>
      <c r="E32" s="38"/>
      <c r="F32" s="25"/>
      <c r="G32" s="38"/>
      <c r="H32" s="24"/>
      <c r="I32" s="3"/>
      <c r="J32" s="8"/>
    </row>
    <row r="33" spans="2:10" ht="13.5" thickBot="1" x14ac:dyDescent="0.25">
      <c r="B33" s="7"/>
      <c r="C33" s="3"/>
      <c r="D33" s="42"/>
      <c r="E33" s="25" t="s">
        <v>15</v>
      </c>
      <c r="F33" s="159" t="str">
        <f>LOWER(TemplateInformation!B3)</f>
        <v>c:\program files\microsoft office\office\macrolib\factbd.xls</v>
      </c>
      <c r="G33" s="160"/>
      <c r="H33" s="24"/>
      <c r="I33" s="3"/>
      <c r="J33" s="8"/>
    </row>
    <row r="34" spans="2:10" ht="13.5" thickBot="1" x14ac:dyDescent="0.25">
      <c r="B34" s="7"/>
      <c r="C34" s="3"/>
      <c r="D34" s="27"/>
      <c r="E34" s="28"/>
      <c r="F34" s="28"/>
      <c r="G34" s="28"/>
      <c r="H34" s="29"/>
      <c r="I34" s="3"/>
      <c r="J34" s="8"/>
    </row>
    <row r="35" spans="2:10" ht="6" customHeight="1" x14ac:dyDescent="0.2">
      <c r="B35" s="7"/>
      <c r="C35" s="3"/>
      <c r="D35" s="3"/>
      <c r="E35" s="3"/>
      <c r="F35" s="3"/>
      <c r="G35" s="3"/>
      <c r="H35" s="3"/>
      <c r="I35" s="3"/>
      <c r="J35" s="8"/>
    </row>
    <row r="36" spans="2:10" ht="13.5" thickBot="1" x14ac:dyDescent="0.25">
      <c r="B36" s="7"/>
      <c r="C36" s="3"/>
      <c r="D36" s="156" t="s">
        <v>16</v>
      </c>
      <c r="E36" s="157"/>
      <c r="F36" s="3"/>
      <c r="G36" s="3"/>
      <c r="H36" s="3"/>
      <c r="I36" s="3"/>
      <c r="J36" s="8"/>
    </row>
    <row r="37" spans="2:10" ht="14.25" x14ac:dyDescent="0.2">
      <c r="B37" s="7"/>
      <c r="C37" s="3"/>
      <c r="D37" s="21"/>
      <c r="E37" s="22"/>
      <c r="F37" s="22"/>
      <c r="G37" s="22"/>
      <c r="H37" s="23"/>
      <c r="I37" s="3"/>
      <c r="J37" s="8"/>
    </row>
    <row r="38" spans="2:10" ht="15.75" x14ac:dyDescent="0.25">
      <c r="B38" s="7"/>
      <c r="C38" s="3"/>
      <c r="D38" s="43"/>
      <c r="E38" s="44"/>
      <c r="F38" s="69"/>
      <c r="G38" s="44"/>
      <c r="H38" s="45"/>
      <c r="I38" s="55"/>
      <c r="J38" s="20"/>
    </row>
    <row r="39" spans="2:10" ht="14.25" x14ac:dyDescent="0.2">
      <c r="B39" s="7"/>
      <c r="C39" s="3"/>
      <c r="D39" s="43"/>
      <c r="E39" s="44"/>
      <c r="F39" s="46"/>
      <c r="G39" s="44"/>
      <c r="H39" s="45"/>
      <c r="I39" s="55"/>
      <c r="J39" s="20"/>
    </row>
    <row r="40" spans="2:10" ht="14.25" x14ac:dyDescent="0.2">
      <c r="B40" s="7"/>
      <c r="C40" s="3"/>
      <c r="D40" s="43"/>
      <c r="E40" s="44"/>
      <c r="F40" s="44"/>
      <c r="G40" s="44"/>
      <c r="H40" s="45"/>
      <c r="I40" s="55"/>
      <c r="J40" s="20"/>
    </row>
    <row r="41" spans="2:10" ht="14.25" x14ac:dyDescent="0.2">
      <c r="B41" s="7"/>
      <c r="C41" s="3"/>
      <c r="D41" s="43"/>
      <c r="E41" s="44"/>
      <c r="F41" s="44"/>
      <c r="G41" s="44"/>
      <c r="H41" s="45"/>
      <c r="I41" s="55"/>
      <c r="J41" s="20"/>
    </row>
    <row r="42" spans="2:10" ht="20.100000000000001" customHeight="1" x14ac:dyDescent="0.2">
      <c r="B42" s="7"/>
      <c r="C42" s="3"/>
      <c r="D42" s="43"/>
      <c r="E42" s="44"/>
      <c r="F42" s="44"/>
      <c r="G42" s="44"/>
      <c r="H42" s="45"/>
      <c r="I42" s="55"/>
      <c r="J42" s="20"/>
    </row>
    <row r="43" spans="2:10" ht="14.25" x14ac:dyDescent="0.2">
      <c r="B43" s="7"/>
      <c r="C43" s="3"/>
      <c r="D43" s="43"/>
      <c r="E43" s="44"/>
      <c r="F43" s="44"/>
      <c r="G43" s="44"/>
      <c r="H43" s="45"/>
      <c r="I43" s="55"/>
      <c r="J43" s="20"/>
    </row>
    <row r="44" spans="2:10" ht="26.25" customHeight="1" thickBot="1" x14ac:dyDescent="0.25">
      <c r="B44" s="7"/>
      <c r="C44" s="3"/>
      <c r="D44" s="47"/>
      <c r="E44" s="48"/>
      <c r="F44" s="48"/>
      <c r="G44" s="48"/>
      <c r="H44" s="49"/>
      <c r="I44" s="55"/>
      <c r="J44" s="20"/>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49"/>
  <sheetViews>
    <sheetView showGridLines="0" showRowColHeaders="0" tabSelected="1" topLeftCell="C4" zoomScale="60" zoomScaleNormal="60" workbookViewId="0">
      <selection activeCell="F28" sqref="F2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1"/>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8"/>
    </row>
    <row r="4" spans="1:15" x14ac:dyDescent="0.2">
      <c r="B4" s="7"/>
      <c r="C4" s="3"/>
      <c r="D4" s="3"/>
      <c r="E4" s="3"/>
      <c r="F4" s="3"/>
      <c r="G4" s="3"/>
      <c r="H4" s="3"/>
      <c r="I4" s="3"/>
      <c r="J4" s="3"/>
      <c r="K4" s="3"/>
      <c r="L4" s="3"/>
      <c r="M4" s="3"/>
      <c r="N4" s="3"/>
      <c r="O4" s="8"/>
    </row>
    <row r="5" spans="1:15" x14ac:dyDescent="0.2">
      <c r="B5" s="7"/>
      <c r="C5" s="3"/>
      <c r="D5" s="3"/>
      <c r="E5" s="3"/>
      <c r="F5" s="3"/>
      <c r="G5" s="3"/>
      <c r="H5" s="3"/>
      <c r="I5" s="3"/>
      <c r="J5" s="3"/>
      <c r="K5" s="3"/>
      <c r="L5" s="3"/>
      <c r="M5" s="3"/>
      <c r="N5" s="3"/>
      <c r="O5" s="8"/>
    </row>
    <row r="6" spans="1:15" x14ac:dyDescent="0.2">
      <c r="B6" s="7"/>
      <c r="C6" s="3"/>
      <c r="D6" s="3"/>
      <c r="E6" s="3"/>
      <c r="F6" s="3"/>
      <c r="G6" s="3"/>
      <c r="H6" s="3"/>
      <c r="I6" s="3"/>
      <c r="J6" s="3"/>
      <c r="K6" s="3"/>
      <c r="L6" s="3"/>
      <c r="M6" s="3"/>
      <c r="N6" s="3"/>
      <c r="O6" s="8"/>
    </row>
    <row r="7" spans="1:15" ht="18" x14ac:dyDescent="0.25">
      <c r="B7" s="7"/>
      <c r="C7" s="3"/>
      <c r="D7" s="3"/>
      <c r="E7" s="3"/>
      <c r="F7" s="3"/>
      <c r="G7" s="3"/>
      <c r="H7" s="3"/>
      <c r="I7" s="3"/>
      <c r="J7" s="102"/>
      <c r="K7" s="102"/>
      <c r="L7" s="3"/>
      <c r="M7" s="3"/>
      <c r="N7" s="3"/>
      <c r="O7" s="8"/>
    </row>
    <row r="8" spans="1:15" x14ac:dyDescent="0.2">
      <c r="B8" s="7"/>
      <c r="C8" s="3"/>
      <c r="D8" s="3"/>
      <c r="E8" s="3"/>
      <c r="F8" s="3"/>
      <c r="G8" s="3"/>
      <c r="H8" s="3"/>
      <c r="I8" s="3"/>
      <c r="J8" s="3"/>
      <c r="K8" s="3"/>
      <c r="L8" s="3"/>
      <c r="M8" s="3"/>
      <c r="N8" s="3"/>
      <c r="O8" s="8"/>
    </row>
    <row r="9" spans="1:15" x14ac:dyDescent="0.2">
      <c r="B9" s="7"/>
      <c r="C9" s="3"/>
      <c r="D9" s="3"/>
      <c r="E9" s="3"/>
      <c r="F9" s="3"/>
      <c r="G9" s="3"/>
      <c r="H9" s="3"/>
      <c r="I9" s="3"/>
      <c r="J9" s="3"/>
      <c r="K9" s="3"/>
      <c r="L9" s="3"/>
      <c r="M9" s="3"/>
      <c r="N9" s="3"/>
      <c r="O9" s="8"/>
    </row>
    <row r="10" spans="1:15" x14ac:dyDescent="0.2">
      <c r="B10" s="7"/>
      <c r="C10" s="3"/>
      <c r="D10" s="3"/>
      <c r="E10" s="3"/>
      <c r="F10" s="3"/>
      <c r="G10" s="3"/>
      <c r="H10" s="3"/>
      <c r="I10" s="3"/>
      <c r="J10" s="3"/>
      <c r="K10" s="3"/>
      <c r="L10" s="3"/>
      <c r="M10" s="3"/>
      <c r="N10" s="3"/>
      <c r="O10" s="8"/>
    </row>
    <row r="11" spans="1:15" x14ac:dyDescent="0.2">
      <c r="B11" s="7"/>
      <c r="C11" s="3"/>
      <c r="D11" s="3"/>
      <c r="E11" s="3"/>
      <c r="F11" s="3"/>
      <c r="G11" s="3"/>
      <c r="H11" s="3"/>
      <c r="I11" s="3"/>
      <c r="J11" s="3"/>
      <c r="K11" s="3"/>
      <c r="L11" s="3"/>
      <c r="M11" s="3"/>
      <c r="N11" s="3"/>
      <c r="O11" s="8"/>
    </row>
    <row r="12" spans="1:15" x14ac:dyDescent="0.2">
      <c r="B12" s="7"/>
      <c r="C12" s="3"/>
      <c r="D12" s="3"/>
      <c r="E12" s="3"/>
      <c r="F12" s="3"/>
      <c r="G12" s="3"/>
      <c r="H12" s="3"/>
      <c r="I12" s="3"/>
      <c r="J12" s="3"/>
      <c r="K12" s="3"/>
      <c r="L12" s="3"/>
      <c r="M12" s="3"/>
      <c r="N12" s="3"/>
      <c r="O12" s="8"/>
    </row>
    <row r="13" spans="1:15" x14ac:dyDescent="0.2">
      <c r="B13" s="7"/>
      <c r="C13" s="3"/>
      <c r="D13" s="3"/>
      <c r="E13" s="3"/>
      <c r="F13" s="3"/>
      <c r="G13" s="3"/>
      <c r="H13" s="3"/>
      <c r="I13" s="3"/>
      <c r="J13" s="3"/>
      <c r="K13" s="3"/>
      <c r="L13" s="3"/>
      <c r="M13" s="3"/>
      <c r="N13" s="3"/>
      <c r="O13" s="8"/>
    </row>
    <row r="14" spans="1:15" x14ac:dyDescent="0.2">
      <c r="B14" s="7"/>
      <c r="C14" s="3"/>
      <c r="D14" s="3"/>
      <c r="E14" s="3"/>
      <c r="F14" s="3"/>
      <c r="G14" s="3"/>
      <c r="H14" s="3"/>
      <c r="I14" s="3"/>
      <c r="J14" s="3"/>
      <c r="K14" s="3"/>
      <c r="L14" s="3"/>
      <c r="M14" s="3"/>
      <c r="N14" s="3"/>
      <c r="O14" s="8"/>
    </row>
    <row r="15" spans="1:15" ht="13.5" thickBot="1" x14ac:dyDescent="0.25">
      <c r="B15" s="7"/>
      <c r="C15" s="3"/>
      <c r="D15" s="3"/>
      <c r="E15" s="3"/>
      <c r="F15" s="3"/>
      <c r="G15" s="3"/>
      <c r="H15" s="3"/>
      <c r="I15" s="3"/>
      <c r="J15" s="3"/>
      <c r="K15" s="3"/>
      <c r="L15" s="3"/>
      <c r="M15" s="3"/>
      <c r="N15" s="3"/>
      <c r="O15" s="8"/>
    </row>
    <row r="16" spans="1:15" ht="27.75" thickTop="1" thickBot="1" x14ac:dyDescent="0.45">
      <c r="B16" s="7"/>
      <c r="C16" s="3"/>
      <c r="D16" s="100" t="s">
        <v>58</v>
      </c>
      <c r="E16" s="72"/>
      <c r="F16" s="72"/>
      <c r="G16" s="72"/>
      <c r="H16" s="3"/>
      <c r="I16" s="3"/>
      <c r="J16" s="3"/>
      <c r="K16" s="3"/>
      <c r="L16" s="163" t="s">
        <v>68</v>
      </c>
      <c r="M16" s="3"/>
      <c r="N16" s="3"/>
      <c r="O16" s="8"/>
    </row>
    <row r="17" spans="2:15" ht="21.95" customHeight="1" thickTop="1" x14ac:dyDescent="0.3">
      <c r="B17" s="7"/>
      <c r="C17" s="3"/>
      <c r="D17" s="53"/>
      <c r="E17" s="53"/>
      <c r="F17" s="53"/>
      <c r="G17" s="53"/>
      <c r="H17" s="53"/>
      <c r="I17" s="53"/>
      <c r="J17" s="54"/>
      <c r="K17" s="54"/>
      <c r="L17" s="164"/>
      <c r="M17" s="54"/>
      <c r="N17" s="18"/>
      <c r="O17" s="8"/>
    </row>
    <row r="18" spans="2:15" ht="21.95" customHeight="1" thickBot="1" x14ac:dyDescent="0.25">
      <c r="B18" s="7"/>
      <c r="C18" s="3"/>
      <c r="D18" s="3"/>
      <c r="E18" s="3"/>
      <c r="F18" s="3"/>
      <c r="G18" s="3"/>
      <c r="H18" s="3"/>
      <c r="I18" s="3"/>
      <c r="J18" s="3"/>
      <c r="K18" s="3"/>
      <c r="L18" s="165"/>
      <c r="M18" s="3"/>
      <c r="N18" s="3"/>
      <c r="O18" s="8"/>
    </row>
    <row r="19" spans="2:15" ht="13.5" thickTop="1" x14ac:dyDescent="0.2">
      <c r="B19" s="7"/>
      <c r="C19" s="3"/>
      <c r="D19" s="3"/>
      <c r="E19" s="3"/>
      <c r="F19" s="3"/>
      <c r="G19" s="3"/>
      <c r="H19" s="3"/>
      <c r="I19" s="3"/>
      <c r="J19" s="3"/>
      <c r="K19" s="3"/>
      <c r="L19" s="3"/>
      <c r="M19" s="3"/>
      <c r="N19" s="3"/>
      <c r="O19" s="8"/>
    </row>
    <row r="20" spans="2:15" ht="33.75" x14ac:dyDescent="0.5">
      <c r="B20" s="7"/>
      <c r="C20" s="3"/>
      <c r="D20" s="96" t="s">
        <v>52</v>
      </c>
      <c r="E20" s="168" t="s">
        <v>66</v>
      </c>
      <c r="F20" s="169"/>
      <c r="G20" s="169"/>
      <c r="H20" s="169"/>
      <c r="I20" s="169"/>
      <c r="J20" s="169"/>
      <c r="K20" s="97"/>
      <c r="L20" s="166" t="s">
        <v>69</v>
      </c>
      <c r="M20" s="166"/>
      <c r="N20" s="50"/>
      <c r="O20" s="8"/>
    </row>
    <row r="21" spans="2:15" ht="33.75" x14ac:dyDescent="0.5">
      <c r="B21" s="7"/>
      <c r="C21" s="3"/>
      <c r="D21" s="96" t="s">
        <v>53</v>
      </c>
      <c r="E21" s="161"/>
      <c r="F21" s="162"/>
      <c r="G21" s="162"/>
      <c r="H21" s="162"/>
      <c r="I21" s="162"/>
      <c r="J21" s="162"/>
      <c r="K21" s="129"/>
      <c r="L21" s="131" t="s">
        <v>64</v>
      </c>
      <c r="M21" s="131"/>
      <c r="N21" s="51"/>
      <c r="O21" s="8"/>
    </row>
    <row r="22" spans="2:15" ht="33.75" x14ac:dyDescent="0.5">
      <c r="B22" s="7"/>
      <c r="C22" s="3"/>
      <c r="D22" s="96" t="s">
        <v>54</v>
      </c>
      <c r="E22" s="132"/>
      <c r="F22" s="130" t="s">
        <v>8</v>
      </c>
      <c r="G22" s="173"/>
      <c r="H22" s="173"/>
      <c r="I22" s="130" t="s">
        <v>9</v>
      </c>
      <c r="J22" s="123"/>
      <c r="K22" s="97"/>
      <c r="L22" s="167" t="s">
        <v>60</v>
      </c>
      <c r="M22" s="167"/>
      <c r="N22" s="3"/>
      <c r="O22" s="8"/>
    </row>
    <row r="23" spans="2:15" ht="33.75" x14ac:dyDescent="0.5">
      <c r="B23" s="7"/>
      <c r="C23" s="3"/>
      <c r="D23" s="96" t="s">
        <v>55</v>
      </c>
      <c r="E23" s="170"/>
      <c r="F23" s="171"/>
      <c r="G23" s="171"/>
      <c r="H23" s="171"/>
      <c r="I23" s="171"/>
      <c r="J23" s="171"/>
      <c r="K23" s="97"/>
      <c r="L23" s="167" t="s">
        <v>65</v>
      </c>
      <c r="M23" s="167"/>
      <c r="N23" s="3"/>
      <c r="O23" s="8"/>
    </row>
    <row r="24" spans="2:15" x14ac:dyDescent="0.2">
      <c r="B24" s="7"/>
      <c r="C24" s="3"/>
      <c r="D24" s="70"/>
      <c r="E24" s="70"/>
      <c r="F24" s="70"/>
      <c r="G24" s="70"/>
      <c r="H24" s="70"/>
      <c r="I24" s="70"/>
      <c r="J24" s="70"/>
      <c r="K24" s="70"/>
      <c r="L24" s="70"/>
      <c r="M24" s="70"/>
      <c r="N24" s="3"/>
      <c r="O24" s="8"/>
    </row>
    <row r="25" spans="2:15" ht="18" x14ac:dyDescent="0.25">
      <c r="B25" s="7"/>
      <c r="C25" s="3"/>
      <c r="D25" s="85" t="s">
        <v>34</v>
      </c>
      <c r="E25" s="85" t="s">
        <v>21</v>
      </c>
      <c r="F25" s="174" t="s">
        <v>22</v>
      </c>
      <c r="G25" s="175"/>
      <c r="H25" s="175"/>
      <c r="I25" s="175"/>
      <c r="J25" s="175"/>
      <c r="K25" s="176"/>
      <c r="L25" s="85" t="s">
        <v>23</v>
      </c>
      <c r="M25" s="86" t="s">
        <v>24</v>
      </c>
      <c r="N25" s="87"/>
      <c r="O25" s="8"/>
    </row>
    <row r="26" spans="2:15" ht="30" x14ac:dyDescent="0.4">
      <c r="B26" s="7"/>
      <c r="C26" s="3"/>
      <c r="D26" s="124"/>
      <c r="E26" s="98"/>
      <c r="F26" s="136"/>
      <c r="G26" s="106"/>
      <c r="H26" s="106"/>
      <c r="I26" s="106"/>
      <c r="J26" s="106"/>
      <c r="K26" s="107"/>
      <c r="L26" s="99"/>
      <c r="M26" s="103" t="str">
        <f>IF(E26&lt;&gt;"",E26*L26,"")</f>
        <v/>
      </c>
      <c r="N26" s="52"/>
      <c r="O26" s="8"/>
    </row>
    <row r="27" spans="2:15" ht="30" x14ac:dyDescent="0.4">
      <c r="B27" s="7"/>
      <c r="C27" s="3"/>
      <c r="D27" s="124"/>
      <c r="E27" s="98"/>
      <c r="F27" s="177"/>
      <c r="G27" s="178"/>
      <c r="H27" s="178"/>
      <c r="I27" s="178"/>
      <c r="J27" s="178"/>
      <c r="K27" s="179"/>
      <c r="L27" s="99"/>
      <c r="M27" s="103" t="str">
        <f>IF(E27&lt;&gt;"",E27*L27,"")</f>
        <v/>
      </c>
      <c r="N27" s="52"/>
      <c r="O27" s="8"/>
    </row>
    <row r="28" spans="2:15" ht="30" x14ac:dyDescent="0.4">
      <c r="B28" s="7"/>
      <c r="C28" s="3"/>
      <c r="D28" s="124"/>
      <c r="E28" s="98">
        <v>26</v>
      </c>
      <c r="F28" s="180" t="s">
        <v>67</v>
      </c>
      <c r="G28" s="140"/>
      <c r="H28" s="140"/>
      <c r="I28" s="141"/>
      <c r="J28" s="141"/>
      <c r="K28" s="142"/>
      <c r="L28" s="99">
        <v>51</v>
      </c>
      <c r="M28" s="99">
        <f>L28*E28</f>
        <v>1326</v>
      </c>
      <c r="N28" s="52"/>
      <c r="O28" s="8"/>
    </row>
    <row r="29" spans="2:15" ht="30" x14ac:dyDescent="0.4">
      <c r="B29" s="7"/>
      <c r="C29" s="3"/>
      <c r="D29" s="124"/>
      <c r="E29" s="98"/>
      <c r="F29" s="143"/>
      <c r="G29" s="144"/>
      <c r="H29" s="145"/>
      <c r="I29" s="144"/>
      <c r="J29" s="144"/>
      <c r="K29" s="145"/>
      <c r="L29" s="99"/>
      <c r="M29" s="99"/>
      <c r="N29" s="52"/>
      <c r="O29" s="8"/>
    </row>
    <row r="30" spans="2:15" ht="30" x14ac:dyDescent="0.4">
      <c r="B30" s="7"/>
      <c r="C30" s="3"/>
      <c r="D30" s="124"/>
      <c r="E30" s="133"/>
      <c r="F30" s="146"/>
      <c r="G30" s="140"/>
      <c r="H30" s="141"/>
      <c r="I30" s="141"/>
      <c r="J30" s="141"/>
      <c r="K30" s="147"/>
      <c r="L30" s="99"/>
      <c r="M30" s="99"/>
      <c r="N30" s="52"/>
      <c r="O30" s="8"/>
    </row>
    <row r="31" spans="2:15" ht="30" x14ac:dyDescent="0.4">
      <c r="B31" s="7"/>
      <c r="C31" s="3"/>
      <c r="D31" s="124"/>
      <c r="E31" s="98"/>
      <c r="F31" s="148"/>
      <c r="G31" s="140"/>
      <c r="H31" s="141"/>
      <c r="I31" s="141"/>
      <c r="J31" s="141"/>
      <c r="K31" s="142"/>
      <c r="L31" s="99"/>
      <c r="M31" s="99"/>
      <c r="N31" s="52"/>
      <c r="O31" s="8"/>
    </row>
    <row r="32" spans="2:15" ht="30" x14ac:dyDescent="0.4">
      <c r="B32" s="7"/>
      <c r="C32" s="3"/>
      <c r="D32" s="124"/>
      <c r="E32" s="98"/>
      <c r="F32" s="149"/>
      <c r="G32" s="150"/>
      <c r="H32" s="151"/>
      <c r="I32" s="150"/>
      <c r="J32" s="150"/>
      <c r="K32" s="152"/>
      <c r="L32" s="99"/>
      <c r="M32" s="99"/>
      <c r="N32" s="52"/>
      <c r="O32" s="8"/>
    </row>
    <row r="33" spans="1:16" ht="30" x14ac:dyDescent="0.4">
      <c r="B33" s="7"/>
      <c r="C33" s="3"/>
      <c r="D33" s="114"/>
      <c r="E33" s="112"/>
      <c r="F33" s="153"/>
      <c r="G33" s="125"/>
      <c r="H33" s="125"/>
      <c r="I33" s="125"/>
      <c r="J33" s="125"/>
      <c r="K33" s="126"/>
      <c r="L33" s="99"/>
      <c r="M33" s="99"/>
      <c r="N33" s="52"/>
      <c r="O33" s="8"/>
    </row>
    <row r="34" spans="1:16" ht="35.25" x14ac:dyDescent="0.5">
      <c r="B34" s="7"/>
      <c r="C34" s="3"/>
      <c r="D34" s="120"/>
      <c r="E34" s="121"/>
      <c r="F34" s="122"/>
      <c r="G34" s="122"/>
      <c r="H34" s="122"/>
      <c r="I34" s="122"/>
      <c r="J34" s="122"/>
      <c r="K34" s="122"/>
      <c r="L34" s="115" t="s">
        <v>25</v>
      </c>
      <c r="M34" s="116">
        <f>SUM(M26:M32)</f>
        <v>1326</v>
      </c>
      <c r="N34" s="52"/>
      <c r="O34" s="8"/>
    </row>
    <row r="35" spans="1:16" ht="35.25" x14ac:dyDescent="0.5">
      <c r="B35" s="7"/>
      <c r="C35" s="3"/>
      <c r="D35" s="95"/>
      <c r="E35" s="138" t="s">
        <v>63</v>
      </c>
      <c r="F35" s="74"/>
      <c r="G35" s="74"/>
      <c r="H35" s="74"/>
      <c r="I35" s="74"/>
      <c r="J35" s="75"/>
      <c r="K35" s="88"/>
      <c r="L35" s="117" t="s">
        <v>46</v>
      </c>
      <c r="M35" s="116">
        <v>1</v>
      </c>
      <c r="N35" s="52"/>
      <c r="O35" s="8"/>
    </row>
    <row r="36" spans="1:16" ht="35.25" x14ac:dyDescent="0.5">
      <c r="B36" s="7"/>
      <c r="C36" s="3"/>
      <c r="D36" s="92"/>
      <c r="E36" s="91" t="s">
        <v>56</v>
      </c>
      <c r="F36" s="74"/>
      <c r="G36" s="74"/>
      <c r="H36" s="74"/>
      <c r="I36" s="74"/>
      <c r="J36" s="77"/>
      <c r="K36" s="89"/>
      <c r="L36" s="118">
        <v>0.19</v>
      </c>
      <c r="M36" s="119">
        <f>+M34*0.19</f>
        <v>251.94</v>
      </c>
      <c r="N36" s="52"/>
      <c r="O36" s="8"/>
    </row>
    <row r="37" spans="1:16" ht="35.25" x14ac:dyDescent="0.5">
      <c r="B37" s="7"/>
      <c r="C37" s="3"/>
      <c r="D37" s="127"/>
      <c r="E37" s="94" t="s">
        <v>61</v>
      </c>
      <c r="F37" s="90"/>
      <c r="G37" s="79"/>
      <c r="H37" s="78"/>
      <c r="I37" s="74"/>
      <c r="J37" s="80"/>
      <c r="K37" s="88"/>
      <c r="L37" s="117" t="s">
        <v>27</v>
      </c>
      <c r="M37" s="116">
        <f>SUM(M34:M36)</f>
        <v>1578.94</v>
      </c>
      <c r="N37" s="52"/>
      <c r="O37" s="8"/>
    </row>
    <row r="38" spans="1:16" ht="18" x14ac:dyDescent="0.2">
      <c r="B38" s="7"/>
      <c r="C38" s="3"/>
      <c r="D38" s="73"/>
      <c r="E38" s="82"/>
      <c r="F38" s="93"/>
      <c r="G38" s="74"/>
      <c r="H38" s="62"/>
      <c r="I38" s="74"/>
      <c r="J38" s="81" t="s">
        <v>26</v>
      </c>
      <c r="K38" s="75"/>
      <c r="L38" s="110"/>
      <c r="M38" s="110"/>
      <c r="N38" s="52"/>
      <c r="O38" s="8"/>
    </row>
    <row r="39" spans="1:16" ht="26.25" x14ac:dyDescent="0.4">
      <c r="B39" s="7"/>
      <c r="C39" s="3"/>
      <c r="D39" s="108"/>
      <c r="E39" s="108"/>
      <c r="F39" s="111"/>
      <c r="G39" s="113"/>
      <c r="H39" s="113"/>
      <c r="I39" s="113"/>
      <c r="J39" s="75"/>
      <c r="K39" s="105"/>
      <c r="L39" s="128" t="s">
        <v>59</v>
      </c>
      <c r="M39" s="128"/>
      <c r="N39" s="52"/>
      <c r="O39" s="8"/>
    </row>
    <row r="40" spans="1:16" ht="51.75" customHeight="1" x14ac:dyDescent="0.2">
      <c r="B40" s="7"/>
      <c r="C40" s="3"/>
      <c r="D40" s="139"/>
      <c r="E40" s="137"/>
      <c r="F40" s="137"/>
      <c r="G40" s="137"/>
      <c r="H40" s="137"/>
      <c r="I40" s="137"/>
      <c r="J40" s="137"/>
      <c r="K40" s="137"/>
      <c r="L40" s="137"/>
      <c r="M40" s="137"/>
      <c r="N40" s="137"/>
      <c r="O40" s="137"/>
      <c r="P40" s="71"/>
    </row>
    <row r="41" spans="1:16" ht="23.25" x14ac:dyDescent="0.35">
      <c r="B41" s="7"/>
      <c r="C41" s="3"/>
      <c r="D41" s="135" t="s">
        <v>57</v>
      </c>
      <c r="E41" s="108"/>
      <c r="F41" s="76"/>
      <c r="G41" s="75"/>
      <c r="H41" s="75"/>
      <c r="I41" s="75"/>
      <c r="J41" s="75"/>
      <c r="K41" s="105"/>
      <c r="L41" s="101"/>
      <c r="M41" s="101"/>
      <c r="N41" s="101"/>
      <c r="O41" s="3"/>
      <c r="P41" s="71"/>
    </row>
    <row r="42" spans="1:16" ht="15" x14ac:dyDescent="0.2">
      <c r="B42" s="7"/>
      <c r="C42" s="3"/>
      <c r="D42" s="108"/>
      <c r="E42" s="108"/>
      <c r="F42" s="75"/>
      <c r="G42" s="75"/>
      <c r="H42" s="75"/>
      <c r="I42" s="75"/>
      <c r="J42" s="75"/>
      <c r="K42" s="101"/>
      <c r="L42" s="101"/>
      <c r="M42" s="101"/>
      <c r="N42" s="101"/>
      <c r="O42" s="3"/>
      <c r="P42" s="71"/>
    </row>
    <row r="43" spans="1:16" ht="18" customHeight="1" x14ac:dyDescent="0.35">
      <c r="B43" s="7"/>
      <c r="C43" s="3"/>
      <c r="D43" s="134" t="s">
        <v>62</v>
      </c>
      <c r="E43" s="104"/>
      <c r="F43" s="75"/>
      <c r="G43" s="75"/>
      <c r="H43" s="75"/>
      <c r="I43" s="75"/>
      <c r="J43" s="77"/>
      <c r="K43" s="83"/>
      <c r="L43" s="83"/>
      <c r="M43" s="84"/>
      <c r="N43" s="101"/>
      <c r="O43" s="3"/>
      <c r="P43" s="71"/>
    </row>
    <row r="44" spans="1:16" ht="18" x14ac:dyDescent="0.25">
      <c r="B44" s="7"/>
      <c r="C44" s="3"/>
      <c r="D44" s="172" t="s">
        <v>51</v>
      </c>
      <c r="E44" s="172"/>
      <c r="F44" s="172"/>
      <c r="G44" s="172"/>
      <c r="H44" s="172"/>
      <c r="I44" s="172"/>
      <c r="J44" s="172"/>
      <c r="K44" s="172"/>
      <c r="L44" s="172"/>
      <c r="M44" s="83"/>
      <c r="N44" s="87"/>
      <c r="O44" s="8"/>
    </row>
    <row r="45" spans="1:16" ht="18" x14ac:dyDescent="0.25">
      <c r="B45" s="7"/>
      <c r="C45" s="3"/>
      <c r="D45" s="172"/>
      <c r="E45" s="172"/>
      <c r="F45" s="172"/>
      <c r="G45" s="172"/>
      <c r="H45" s="172"/>
      <c r="I45" s="172"/>
      <c r="J45" s="172"/>
      <c r="K45" s="172"/>
      <c r="L45" s="172"/>
      <c r="M45" s="84"/>
      <c r="N45" s="87"/>
      <c r="O45" s="8"/>
    </row>
    <row r="46" spans="1:16" ht="15" x14ac:dyDescent="0.2">
      <c r="A46" s="109"/>
      <c r="B46" s="109"/>
      <c r="C46" s="3"/>
      <c r="D46" s="172"/>
      <c r="E46" s="172"/>
      <c r="F46" s="172"/>
      <c r="G46" s="172"/>
      <c r="H46" s="172"/>
      <c r="I46" s="172"/>
      <c r="J46" s="172"/>
      <c r="K46" s="172"/>
      <c r="L46" s="172"/>
      <c r="M46" s="84"/>
      <c r="N46" s="52"/>
      <c r="O46" s="8"/>
    </row>
    <row r="47" spans="1:16" ht="13.5" thickBot="1" x14ac:dyDescent="0.25">
      <c r="C47" s="3"/>
      <c r="D47" s="3"/>
      <c r="E47" s="3"/>
      <c r="F47" s="3"/>
      <c r="G47" s="3"/>
      <c r="H47" s="3"/>
      <c r="I47" s="3"/>
      <c r="J47" s="3"/>
      <c r="K47" s="3"/>
      <c r="L47" s="3"/>
      <c r="M47" s="3"/>
      <c r="N47" s="52"/>
      <c r="O47" s="8"/>
    </row>
    <row r="48" spans="1:16" ht="13.5" thickTop="1" x14ac:dyDescent="0.2">
      <c r="C48" s="3"/>
      <c r="D48" s="53"/>
      <c r="E48" s="53"/>
      <c r="F48" s="53"/>
      <c r="G48" s="53"/>
      <c r="H48" s="53"/>
      <c r="I48" s="53"/>
      <c r="J48" s="53"/>
      <c r="K48" s="53"/>
      <c r="L48" s="53"/>
      <c r="M48" s="53"/>
      <c r="N48" s="52"/>
      <c r="O48" s="8"/>
    </row>
    <row r="49" spans="3:15" x14ac:dyDescent="0.2">
      <c r="C49" s="109"/>
      <c r="D49" s="109"/>
      <c r="E49" s="109"/>
      <c r="F49" s="109"/>
      <c r="G49" s="109"/>
      <c r="H49" s="109"/>
      <c r="I49" s="109"/>
      <c r="J49" s="109"/>
      <c r="K49" s="109"/>
      <c r="L49" s="109"/>
      <c r="M49" s="110"/>
      <c r="N49" s="52"/>
      <c r="O49" s="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1">
    <mergeCell ref="D44:L46"/>
    <mergeCell ref="G22:H22"/>
    <mergeCell ref="F25:K25"/>
    <mergeCell ref="F27:K27"/>
    <mergeCell ref="E21:J21"/>
    <mergeCell ref="L16:L18"/>
    <mergeCell ref="L20:M20"/>
    <mergeCell ref="L22:M22"/>
    <mergeCell ref="L23:M23"/>
    <mergeCell ref="E20:J20"/>
    <mergeCell ref="E23:J23"/>
  </mergeCells>
  <phoneticPr fontId="0" type="noConversion"/>
  <dataValidations xWindow="574" yWindow="401" count="1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4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39:M39"/>
    <dataValidation type="textLength" errorStyle="warning" allowBlank="1" showErrorMessage="1" errorTitle="T.V.A." error="Les cellules ombrées contiennent des formules et sont calculées automatiquement par Excel. N'y tapez aucune information." promptTitle="T.V.A." sqref="L3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6">
      <formula1>0</formula1>
      <formula2>0</formula2>
    </dataValidation>
    <dataValidation allowBlank="1" showErrorMessage="1" sqref="G22:H22"/>
    <dataValidation type="textLength" errorStyle="warning" allowBlank="1" showErrorMessage="1" errorTitle="Sous-total" error="Les cellules ombrées contiennent des formules et sont calculées automatiquement par Excel. N'y tapez aucune information." promptTitle="Sous-total" sqref="M3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49:L49"/>
    <dataValidation type="textLength" errorStyle="warning" allowBlank="1" showErrorMessage="1" errorTitle="Total" error="Les cellules ombrées contiennent des formules et sont calculées automatiquement par Excel. N'y tapez aucune information." promptTitle="Total" sqref="M37">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6:M27">
      <formula1>0</formula1>
      <formula2>0</formula2>
    </dataValidation>
    <dataValidation type="decimal" allowBlank="1" showErrorMessage="1" errorTitle="Prix unitaire" error="Tapez un nombre dans cette cellule." promptTitle="Prix unitaire" sqref="L26:L31 M28:M31 L32:M33">
      <formula1>0</formula1>
      <formula2>1000000000</formula2>
    </dataValidation>
    <dataValidation type="whole" errorStyle="warning" allowBlank="1" showErrorMessage="1" errorTitle="Quantité" error="Tapez un nombre dans cette cellule." promptTitle="Quantité" sqref="E26:E34">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35</xdr:row>
                    <xdr:rowOff>114300</xdr:rowOff>
                  </from>
                  <to>
                    <xdr:col>3</xdr:col>
                    <xdr:colOff>1838325</xdr:colOff>
                    <xdr:row>35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34</xdr:row>
                    <xdr:rowOff>95250</xdr:rowOff>
                  </from>
                  <to>
                    <xdr:col>3</xdr:col>
                    <xdr:colOff>1885950</xdr:colOff>
                    <xdr:row>34</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36</xdr:row>
                    <xdr:rowOff>95250</xdr:rowOff>
                  </from>
                  <to>
                    <xdr:col>3</xdr:col>
                    <xdr:colOff>1885950</xdr:colOff>
                    <xdr:row>36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18</v>
      </c>
      <c r="D7" s="62" t="s">
        <v>3</v>
      </c>
      <c r="E7" s="62" t="s">
        <v>5</v>
      </c>
      <c r="F7" s="62" t="s">
        <v>7</v>
      </c>
      <c r="G7" s="62" t="s">
        <v>8</v>
      </c>
      <c r="H7" s="62" t="s">
        <v>9</v>
      </c>
      <c r="I7" s="62" t="s">
        <v>20</v>
      </c>
      <c r="J7" s="62" t="s">
        <v>32</v>
      </c>
      <c r="K7" s="62" t="s">
        <v>19</v>
      </c>
    </row>
    <row r="8" spans="1:11" x14ac:dyDescent="0.2">
      <c r="A8" s="62" t="s">
        <v>41</v>
      </c>
      <c r="B8" s="63" t="e">
        <f>Facture!#REF!</f>
        <v>#REF!</v>
      </c>
      <c r="C8" s="64" t="str">
        <f>Facture!$L$20</f>
        <v>Date : 30/03/2025</v>
      </c>
      <c r="D8" s="65" t="str">
        <f>Facture!$E$20</f>
        <v xml:space="preserve">LILAS ZRIBA </v>
      </c>
      <c r="E8" s="62">
        <f>Facture!$E$21</f>
        <v>0</v>
      </c>
      <c r="F8" s="62">
        <f>Facture!$E$22</f>
        <v>0</v>
      </c>
      <c r="G8" s="65">
        <f>Facture!$G$22</f>
        <v>0</v>
      </c>
      <c r="H8" s="65">
        <f>Facture!$J$22</f>
        <v>0</v>
      </c>
      <c r="I8" s="62">
        <f>Facture!$E$23</f>
        <v>0</v>
      </c>
      <c r="J8" s="66">
        <f>Facture!$M$37</f>
        <v>1578.94</v>
      </c>
      <c r="K8" s="62" t="str">
        <f>Facture!$L$22</f>
        <v xml:space="preserve">Responsable: Service achat </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2025-03-24T10:48:26Z</cp:lastPrinted>
  <dcterms:created xsi:type="dcterms:W3CDTF">1995-05-29T15:50:39Z</dcterms:created>
  <dcterms:modified xsi:type="dcterms:W3CDTF">2025-04-30T08:22:59Z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LILAS ZRIBA </vt:lpwstr>
  </property>
  <property fmtid="{D5CDD505-2E9C-101B-9397-08002B2CF9AE}" pid="11" name="Montant de la facture" linkTarget="TOT">
    <vt:r8>1578.94</vt:r8>
  </property>
</Properties>
</file>