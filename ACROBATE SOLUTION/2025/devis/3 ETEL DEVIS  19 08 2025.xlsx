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Facture!$J$48</definedName>
    <definedName name="_Tax3">Facture!#REF!</definedName>
    <definedName name="_tax4">Facture!#REF!</definedName>
    <definedName name="_xlnm.Auto_Open21">'AutoOpen Stub Data'!$A$1</definedName>
    <definedName name="boxes">Facture!$C$46:$C$47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Facture!$J$22</definedName>
    <definedName name="data10">Facture!$D$25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Facture!$K$23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Facture!$D$23</definedName>
    <definedName name="data60">Facture!#REF!</definedName>
    <definedName name="data61">Facture!#REF!</definedName>
    <definedName name="data62">Facture!$C$46</definedName>
    <definedName name="data63">Facture!$C$47</definedName>
    <definedName name="data64">Facture!$C$48</definedName>
    <definedName name="data65">Facture!$F$49</definedName>
    <definedName name="data66">Facture!#REF!</definedName>
    <definedName name="data67">Facture!#REF!</definedName>
    <definedName name="data68">Facture!#REF!</definedName>
    <definedName name="data69">Facture!#REF!</definedName>
    <definedName name="data7">Facture!$F$24</definedName>
    <definedName name="data70">Facture!#REF!</definedName>
    <definedName name="data8">Facture!$H$24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Facture!$B$3:$L$68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Facture!$K$4</definedName>
    <definedName name="NS">'Personnaliser votre facture'!$E$49</definedName>
    <definedName name="qzqzqz1">Facture!$C$22:$H$22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Facture!$J$22:$K$22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Facture!$D$51:$G$51</definedName>
    <definedName name="qzqzqz29">Facture!$J$51:$K$51</definedName>
    <definedName name="qzqzqz3">Facture!$C$23:$H$23</definedName>
    <definedName name="qzqzqz30">Facture!#REF!</definedName>
    <definedName name="qzqzqz31">Facture!#REF!</definedName>
    <definedName name="qzqzqz32">Facture!$J$51:$K$51</definedName>
    <definedName name="qzqzqz4">Facture!$E$24:$F$24</definedName>
    <definedName name="qzqzqz5">Facture!$J$24:$K$24</definedName>
    <definedName name="qzqzqz6">Facture!$C$25:$H$25</definedName>
    <definedName name="qzqzqz7">Facture!$J$25:$K$25</definedName>
    <definedName name="qzqzqz8">Facture!$D$27:$I$27</definedName>
    <definedName name="qzqzqz9">Facture!#REF!</definedName>
    <definedName name="SS">'Personnaliser votre facture'!$E$48</definedName>
    <definedName name="TOT">Facture!$K$49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Facture!$B$1:$L$66</definedName>
  </definedNames>
  <calcPr calcId="152511"/>
</workbook>
</file>

<file path=xl/calcChain.xml><?xml version="1.0" encoding="utf-8"?>
<calcChain xmlns="http://schemas.openxmlformats.org/spreadsheetml/2006/main">
  <c r="K37" i="3" l="1"/>
  <c r="K34" i="3" l="1"/>
  <c r="K38" i="3"/>
  <c r="K46" i="3" s="1"/>
  <c r="K45" i="3" l="1"/>
  <c r="K48" i="3" l="1"/>
  <c r="K49"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<sst xmlns="http://schemas.openxmlformats.org/spreadsheetml/2006/main" count="95" uniqueCount="85">
  <si>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</si>
  <si>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</si>
  <si>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</si>
  <si>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</si>
  <si>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</si>
  <si>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</si>
  <si>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</si>
  <si>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</si>
  <si>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</si>
  <si>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</si>
  <si>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</si>
  <si>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</si>
  <si>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</si>
  <si>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</si>
  <si>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</si>
  <si>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</si>
  <si>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</si>
  <si>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</si>
  <si>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</si>
  <si>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</si>
  <si>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</si>
  <si>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</si>
  <si>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</si>
  <si>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</si>
  <si>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</si>
  <si>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</si>
  <si>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</si>
  <si>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</si>
  <si>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</si>
  <si>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</si>
  <si>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</si>
  <si>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</si>
  <si>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</si>
  <si>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</si>
  <si>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</si>
  <si>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</si>
  <si>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</si>
  <si>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</si>
  <si>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</si>
  <si>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</si>
  <si>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</si>
  <si>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</si>
  <si>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</si>
  <si>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</si>
  <si>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</si>
  <si>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</si>
  <si>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</si>
  <si>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</si>
  <si>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</si>
  <si>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</si>
  <si>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</si>
  <si>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</si>
  <si>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</si>
  <si>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</si>
  <si>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</si>
  <si>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</si>
  <si>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</si>
  <si>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</si>
  <si>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</si>
  <si>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</si>
  <si>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</si>
  <si>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</si>
  <si>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3 ETEL </t>
  </si>
  <si>
    <t>1066643Y/A/M/000</t>
  </si>
  <si>
    <t>ROGBA TATAOUINE 3293</t>
  </si>
  <si>
    <t>LIGNE DE VIE   conforme aux:</t>
  </si>
  <si>
    <t>* Norme Européenne EN353-1 :2014+A1:2017</t>
  </si>
  <si>
    <t>* la réglementation nationale américaine,</t>
  </si>
  <si>
    <t>OSHA 1910</t>
  </si>
  <si>
    <t>ANSI A14 -3</t>
  </si>
  <si>
    <t xml:space="preserve">LIGNE DE VIE 13 M </t>
  </si>
  <si>
    <t xml:space="preserve">Responsable:Mme feryel </t>
  </si>
  <si>
    <t xml:space="preserve">Chèque </t>
  </si>
  <si>
    <t>LDV-13M</t>
  </si>
  <si>
    <t>4 RUE DU CAIRE 1001 TUNIS TEL:  71 258108 FAX : 71 259346 RC:B161701999  MF:645 267 KMA 000</t>
  </si>
  <si>
    <t>Site web:www.acrobatsolution.com</t>
  </si>
  <si>
    <t>MAIL: gamestream@plane.tn///////gamestream.formation@gmail.com</t>
  </si>
  <si>
    <t xml:space="preserve">Consultation: </t>
  </si>
  <si>
    <t>Date : 11/08/2025</t>
  </si>
  <si>
    <t>DEVIS 2025-597</t>
  </si>
  <si>
    <t>LDV-36M</t>
  </si>
  <si>
    <t xml:space="preserve">LIGNE DE VIE 36 M </t>
  </si>
  <si>
    <t>3 492,000 DT</t>
  </si>
  <si>
    <t>LDV-16M</t>
  </si>
  <si>
    <t xml:space="preserve">LIGNE DE VIE 16 M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</si>
</sst>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2"/>
      <name val="Arial"/>
      <family val="2"/>
    </font>
    <font>
      <b/>
      <sz val="12"/>
      <name val="Times New Roman"/>
      <family val="1"/>
    </font>
    <font>
      <sz val="12"/>
      <name val="Times New Roman"/>
      <family val="1"/>
    </font>
    <font>
      <b/>
      <sz val="18"/>
      <name val="Times New Roman"/>
      <family val="1"/>
    </font>
    <font>
      <b/>
      <sz val="18"/>
      <name val="Arial"/>
      <family val="2"/>
    </font>
    <font>
      <b/>
      <sz val="22"/>
      <name val="Times New Roman"/>
      <family val="1"/>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2" fillId="0" borderId="0" xfId="0" quotePrefix="1" applyNumberFormat="1" applyFont="1" applyFill="1" applyBorder="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0" fontId="26"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0" fontId="31"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49" fontId="34"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6" fillId="0" borderId="45" xfId="0" applyFont="1" applyFill="1" applyBorder="1" applyAlignment="1">
      <alignment horizontal="right"/>
    </xf>
    <xf numFmtId="0" fontId="26" fillId="0" borderId="45" xfId="0" quotePrefix="1" applyFont="1" applyFill="1" applyBorder="1" applyAlignment="1">
      <alignment horizontal="right"/>
    </xf>
    <xf numFmtId="10" fontId="26"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68" fontId="27" fillId="0" borderId="30" xfId="0" applyNumberFormat="1" applyFont="1" applyFill="1" applyBorder="1" applyAlignment="1">
      <alignment shrinkToFit="1"/>
    </xf>
    <xf numFmtId="0" fontId="18" fillId="6" borderId="0" xfId="0" applyFont="1" applyFill="1" applyAlignment="1">
      <alignment vertical="top"/>
    </xf>
    <xf numFmtId="0" fontId="18" fillId="6" borderId="51" xfId="0" applyFont="1" applyFill="1" applyBorder="1" applyAlignment="1">
      <alignment vertical="top"/>
    </xf>
    <xf numFmtId="0" fontId="19" fillId="0" borderId="0" xfId="0" applyFont="1" applyFill="1" applyBorder="1" applyAlignment="1"/>
    <xf numFmtId="49" fontId="38" fillId="0" borderId="48" xfId="5" applyNumberFormat="1" applyFill="1" applyBorder="1" applyAlignment="1"/>
    <xf numFmtId="49" fontId="38" fillId="0" borderId="49" xfId="5" applyNumberFormat="1" applyFill="1" applyBorder="1" applyAlignment="1"/>
    <xf numFmtId="49" fontId="38" fillId="0" borderId="50"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0" fontId="0" fillId="6" borderId="0" xfId="0" applyFill="1"/>
    <xf numFmtId="1" fontId="30" fillId="0" borderId="47" xfId="0" applyNumberFormat="1" applyFont="1" applyFill="1" applyBorder="1" applyAlignment="1">
      <alignment horizontal="center"/>
    </xf>
    <xf numFmtId="49" fontId="34" fillId="0" borderId="52" xfId="0" applyNumberFormat="1" applyFont="1" applyFill="1" applyBorder="1" applyAlignment="1"/>
    <xf numFmtId="0" fontId="22" fillId="0" borderId="28" xfId="0" applyFont="1" applyFill="1" applyBorder="1" applyAlignment="1">
      <alignment horizontal="center"/>
    </xf>
    <xf numFmtId="1" fontId="34" fillId="0" borderId="29" xfId="0" applyNumberFormat="1" applyFont="1" applyFill="1" applyBorder="1" applyAlignment="1">
      <alignment horizontal="center"/>
    </xf>
    <xf numFmtId="0" fontId="22" fillId="0" borderId="47" xfId="0" applyFont="1" applyFill="1" applyBorder="1" applyAlignment="1">
      <alignment horizontal="center"/>
    </xf>
    <xf numFmtId="0" fontId="39" fillId="6" borderId="0" xfId="0" applyFont="1" applyFill="1" applyBorder="1" applyAlignment="1">
      <alignment vertical="top"/>
    </xf>
    <xf numFmtId="0" fontId="36" fillId="0" borderId="0" xfId="0" applyFont="1" applyFill="1" applyBorder="1"/>
    <xf numFmtId="49" fontId="40" fillId="0" borderId="28" xfId="0" applyNumberFormat="1" applyFont="1" applyFill="1" applyBorder="1" applyAlignment="1"/>
    <xf numFmtId="49" fontId="41" fillId="3" borderId="0" xfId="0" applyNumberFormat="1" applyFont="1" applyFill="1" applyBorder="1" applyAlignment="1"/>
    <xf numFmtId="49" fontId="42" fillId="3" borderId="0" xfId="0" applyNumberFormat="1" applyFont="1" applyFill="1" applyBorder="1" applyAlignment="1"/>
    <xf numFmtId="0" fontId="18" fillId="3" borderId="0" xfId="0" applyFont="1" applyFill="1" applyBorder="1" applyAlignment="1"/>
    <xf numFmtId="0" fontId="2" fillId="6" borderId="0" xfId="0" applyFont="1" applyFill="1" applyBorder="1"/>
    <xf numFmtId="49" fontId="18" fillId="0" borderId="28" xfId="0" applyNumberFormat="1" applyFont="1" applyFill="1" applyBorder="1" applyAlignment="1"/>
    <xf numFmtId="0" fontId="22" fillId="6" borderId="0" xfId="0" applyFont="1" applyFill="1" applyBorder="1"/>
    <xf numFmtId="49" fontId="43" fillId="3" borderId="28" xfId="0" applyNumberFormat="1" applyFont="1" applyFill="1" applyBorder="1" applyAlignment="1"/>
    <xf numFmtId="49" fontId="44" fillId="0" borderId="28" xfId="0" applyNumberFormat="1" applyFont="1" applyFill="1" applyBorder="1" applyAlignment="1"/>
    <xf numFmtId="49" fontId="45" fillId="3" borderId="28" xfId="0" applyNumberFormat="1" applyFont="1" applyFill="1" applyBorder="1" applyAlignment="1"/>
    <xf numFmtId="49" fontId="46" fillId="0" borderId="28" xfId="0" applyNumberFormat="1" applyFont="1" applyFill="1" applyBorder="1" applyAlignment="1"/>
    <xf numFmtId="0" fontId="30" fillId="3" borderId="0" xfId="0" applyFont="1" applyFill="1" applyBorder="1" applyAlignment="1"/>
    <xf numFmtId="0" fontId="33" fillId="3" borderId="0" xfId="0" applyFont="1" applyFill="1" applyBorder="1" applyAlignment="1">
      <alignment horizontal="left"/>
    </xf>
    <xf numFmtId="0" fontId="2" fillId="6" borderId="29" xfId="0" applyFont="1" applyFill="1" applyBorder="1"/>
    <xf numFmtId="0" fontId="2" fillId="3" borderId="0" xfId="0" quotePrefix="1" applyFont="1" applyFill="1" applyBorder="1" applyAlignment="1">
      <alignment horizontal="center"/>
    </xf>
    <xf numFmtId="0" fontId="39" fillId="6" borderId="0" xfId="0" applyFont="1" applyFill="1" applyBorder="1" applyAlignment="1">
      <alignment horizontal="center" vertical="top"/>
    </xf>
    <xf numFmtId="0" fontId="2" fillId="3" borderId="0" xfId="0" quotePrefix="1" applyFont="1" applyFill="1" applyBorder="1" applyAlignment="1">
      <alignment horizontal="center" vertical="center"/>
    </xf>
    <xf numFmtId="0" fontId="18" fillId="3" borderId="0" xfId="0" applyNumberFormat="1" applyFont="1" applyFill="1" applyBorder="1" applyAlignment="1">
      <alignment horizontal="center" vertical="center"/>
    </xf>
    <xf numFmtId="0" fontId="18" fillId="3" borderId="7" xfId="0" applyFont="1" applyFill="1" applyBorder="1" applyAlignment="1">
      <alignment horizontal="center" vertical="center"/>
    </xf>
    <xf numFmtId="0" fontId="36" fillId="3" borderId="0" xfId="0" quotePrefix="1" applyFont="1" applyFill="1" applyBorder="1" applyAlignment="1"/>
    <xf numFmtId="0" fontId="16" fillId="6" borderId="0" xfId="0" applyFont="1" applyFill="1" applyBorder="1" applyAlignment="1">
      <alignment vertical="top"/>
    </xf>
    <xf numFmtId="49" fontId="36" fillId="3" borderId="0" xfId="0" applyNumberFormat="1" applyFont="1" applyFill="1" applyBorder="1" applyAlignment="1">
      <alignment horizontal="center" vertical="center"/>
    </xf>
    <xf numFmtId="0" fontId="16" fillId="6" borderId="0" xfId="0" applyFont="1" applyFill="1" applyBorder="1" applyAlignment="1">
      <alignment horizontal="center" vertical="top"/>
    </xf>
    <xf numFmtId="0" fontId="36" fillId="3" borderId="0" xfId="0" applyNumberFormat="1" applyFont="1" applyFill="1" applyBorder="1" applyAlignment="1"/>
    <xf numFmtId="49" fontId="36" fillId="3" borderId="0" xfId="0" applyNumberFormat="1" applyFont="1" applyFill="1" applyBorder="1" applyAlignment="1">
      <alignment vertical="center"/>
    </xf>
    <xf numFmtId="0" fontId="36" fillId="3" borderId="0" xfId="0" applyNumberFormat="1" applyFont="1" applyFill="1" applyBorder="1" applyAlignment="1">
      <alignment horizontal="center" vertical="center"/>
    </xf>
    <xf numFmtId="0" fontId="36" fillId="3" borderId="7" xfId="0" applyFont="1" applyFill="1" applyBorder="1" applyAlignment="1">
      <alignment horizontal="center" vertical="center"/>
    </xf>
    <xf numFmtId="0" fontId="36" fillId="3" borderId="0" xfId="0" applyFont="1" applyFill="1" applyBorder="1" applyAlignment="1"/>
    <xf numFmtId="0" fontId="36" fillId="3" borderId="7" xfId="0" applyFont="1" applyFill="1" applyBorder="1" applyAlignment="1"/>
    <xf numFmtId="168" fontId="28" fillId="0" borderId="29" xfId="0" applyNumberFormat="1" applyFont="1" applyFill="1" applyBorder="1" applyAlignment="1">
      <alignment horizontal="right" shrinkToFit="1"/>
    </xf>
    <xf numFmtId="168" fontId="28" fillId="0" borderId="29" xfId="0" applyNumberFormat="1" applyFont="1" applyFill="1" applyBorder="1" applyAlignment="1">
      <alignment horizontal="right"/>
    </xf>
    <xf numFmtId="168" fontId="31" fillId="0" borderId="29" xfId="0" applyNumberFormat="1" applyFont="1" applyFill="1" applyBorder="1" applyAlignment="1">
      <alignment horizontal="right" vertical="center" shrinkToFit="1"/>
    </xf>
    <xf numFmtId="168" fontId="28" fillId="0" borderId="47" xfId="0" applyNumberFormat="1" applyFont="1" applyFill="1" applyBorder="1" applyAlignment="1">
      <alignment horizontal="right"/>
    </xf>
    <xf numFmtId="168" fontId="31" fillId="0" borderId="47" xfId="0" applyNumberFormat="1" applyFont="1" applyFill="1" applyBorder="1" applyAlignment="1">
      <alignment horizontal="right" vertical="center"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32" fillId="3" borderId="0" xfId="0" quotePrefix="1" applyFont="1" applyFill="1" applyBorder="1" applyAlignment="1">
      <alignment horizontal="center" vertical="center"/>
    </xf>
    <xf numFmtId="0" fontId="32" fillId="3" borderId="0" xfId="0" applyFont="1" applyFill="1" applyBorder="1" applyAlignment="1">
      <alignment horizontal="center" vertical="center"/>
    </xf>
    <xf numFmtId="49" fontId="32" fillId="3" borderId="0" xfId="0" applyNumberFormat="1" applyFont="1" applyFill="1" applyBorder="1" applyAlignment="1">
      <alignment horizontal="left" vertical="center"/>
    </xf>
    <xf numFmtId="0" fontId="20"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xf>
    <xf numFmtId="49" fontId="26" fillId="3" borderId="34" xfId="0" applyNumberFormat="1" applyFont="1" applyFill="1" applyBorder="1" applyAlignment="1"/>
    <xf numFmtId="0" fontId="34"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314700</xdr:colOff>
      <xdr:row>11</xdr:row>
      <xdr:rowOff>28202</xdr:rowOff>
    </xdr:from>
    <xdr:to>
      <xdr:col>3</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1533525</xdr:colOff>
          <xdr:row>47</xdr:row>
          <xdr:rowOff>114300</xdr:rowOff>
        </xdr:from>
        <xdr:to>
          <xdr:col>1</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1590675</xdr:colOff>
          <xdr:row>46</xdr:row>
          <xdr:rowOff>95250</xdr:rowOff>
        </xdr:from>
        <xdr:to>
          <xdr:col>1</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0</xdr:colOff>
      <xdr:row>21</xdr:row>
      <xdr:rowOff>0</xdr:rowOff>
    </xdr:from>
    <xdr:to>
      <xdr:col>11</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9</xdr:col>
      <xdr:colOff>2286000</xdr:colOff>
      <xdr:row>6</xdr:row>
      <xdr:rowOff>111125</xdr:rowOff>
    </xdr:from>
    <xdr:to>
      <xdr:col>10</xdr:col>
      <xdr:colOff>642844</xdr:colOff>
      <xdr:row>9</xdr:row>
      <xdr:rowOff>111125</xdr:rowOff>
    </xdr:to>
    <xdr:pic>
      <xdr:nvPicPr>
        <xdr:cNvPr id="10" name="Image 9"/>
        <xdr:cNvPicPr>
          <a:picLocks noChangeAspect="1"/>
        </xdr:cNvPicPr>
      </xdr:nvPicPr>
      <xdr:blipFill>
        <a:blip xmlns:r="http://schemas.openxmlformats.org/officeDocument/2006/relationships" r:embed="rId1"/>
        <a:stretch>
          <a:fillRect/>
        </a:stretch>
      </xdr:blipFill>
      <xdr:spPr>
        <a:xfrm>
          <a:off x="10969625" y="1127125"/>
          <a:ext cx="1341344" cy="666750"/>
        </a:xfrm>
        <a:prstGeom prst="rect">
          <a:avLst/>
        </a:prstGeom>
      </xdr:spPr>
    </xdr:pic>
    <xdr:clientData/>
  </xdr:twoCellAnchor>
  <xdr:twoCellAnchor editAs="oneCell">
    <xdr:from>
      <xdr:col>10</xdr:col>
      <xdr:colOff>714375</xdr:colOff>
      <xdr:row>4</xdr:row>
      <xdr:rowOff>158750</xdr:rowOff>
    </xdr:from>
    <xdr:to>
      <xdr:col>10</xdr:col>
      <xdr:colOff>1998451</xdr:colOff>
      <xdr:row>9</xdr:row>
      <xdr:rowOff>95250</xdr:rowOff>
    </xdr:to>
    <xdr:pic>
      <xdr:nvPicPr>
        <xdr:cNvPr id="12" name="Image 1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00" y="730250"/>
          <a:ext cx="1284076" cy="1047750"/>
        </a:xfrm>
        <a:prstGeom prst="rect">
          <a:avLst/>
        </a:prstGeom>
      </xdr:spPr>
    </xdr:pic>
    <xdr:clientData/>
  </xdr:twoCellAnchor>
  <xdr:twoCellAnchor editAs="oneCell">
    <xdr:from>
      <xdr:col>0</xdr:col>
      <xdr:colOff>492125</xdr:colOff>
      <xdr:row>3</xdr:row>
      <xdr:rowOff>47624</xdr:rowOff>
    </xdr:from>
    <xdr:to>
      <xdr:col>5</xdr:col>
      <xdr:colOff>111125</xdr:colOff>
      <xdr:row>9</xdr:row>
      <xdr:rowOff>95249</xdr:rowOff>
    </xdr:to>
    <xdr:pic>
      <xdr:nvPicPr>
        <xdr:cNvPr id="13" name="Image 12" descr="C:\Users\User\Desktop\sigle acrobat.png"/>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92125" y="365124"/>
          <a:ext cx="4794250" cy="141287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1" t="s">
        <v>0</v>
      </c>
      <c r="E4" s="182"/>
      <c r="F4" s="18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3" t="s">
        <v>2</v>
      </c>
      <c r="E10" s="18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5" t="s">
        <v>46</v>
      </c>
      <c r="E19" s="18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6" t="str">
        <f>LOWER(TemplateInformation!B3)</f>
        <v>c:\program files\microsoft office\office\macrolib\factbd.xls</v>
      </c>
      <c r="G33" s="18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3" t="s">
        <v>16</v>
      </c>
      <c r="E36" s="18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68"/>
  <sheetViews>
    <sheetView showGridLines="0" showRowColHeaders="0" tabSelected="1" topLeftCell="A36" zoomScale="60" zoomScaleNormal="60" workbookViewId="0">
      <selection activeCell="D43" sqref="D43"/>
    </sheetView>
  </sheetViews>
  <sheetFormatPr baseColWidth="10" defaultColWidth="9.140625" defaultRowHeight="12.75" x14ac:dyDescent="0.2"/>
  <cols>
    <col min="2" max="2" width="33.7109375" customWidth="1"/>
    <col min="3" max="3" width="12.42578125" customWidth="1"/>
    <col min="4" max="4" width="13.28515625" customWidth="1"/>
    <col min="5" max="5" width="9.140625" customWidth="1"/>
    <col min="6" max="6" width="13.7109375" customWidth="1"/>
    <col min="7" max="7" width="14.42578125" customWidth="1"/>
    <col min="8" max="8" width="9.42578125" customWidth="1"/>
    <col min="9" max="9" width="14.85546875" customWidth="1"/>
    <col min="10" max="10" width="44.7109375" customWidth="1"/>
    <col min="11" max="11" width="32.85546875" customWidth="1"/>
    <col min="12" max="12" width="3.7109375" customWidth="1"/>
    <col min="13" max="13" width="0.42578125" customWidth="1"/>
  </cols>
  <sheetData>
    <row r="1" spans="1:13" ht="6" customHeight="1" thickBot="1" x14ac:dyDescent="0.3">
      <c r="A1" s="142"/>
    </row>
    <row r="2" spans="1:13" ht="0.95" customHeight="1" thickTop="1" x14ac:dyDescent="0.25">
      <c r="A2" s="142"/>
      <c r="B2" s="5"/>
      <c r="C2" s="5"/>
      <c r="D2" s="5"/>
      <c r="E2" s="5"/>
      <c r="F2" s="5"/>
      <c r="G2" s="5"/>
      <c r="H2" s="5"/>
      <c r="I2" s="5"/>
      <c r="J2" s="5"/>
      <c r="K2" s="5"/>
      <c r="L2" s="5"/>
      <c r="M2" s="6"/>
    </row>
    <row r="3" spans="1:13" ht="18" x14ac:dyDescent="0.25">
      <c r="A3" s="142"/>
      <c r="B3" s="3"/>
      <c r="C3" s="3"/>
      <c r="D3" s="3"/>
      <c r="E3" s="3"/>
      <c r="F3" s="3"/>
      <c r="G3" s="3"/>
      <c r="H3" s="3"/>
      <c r="I3" s="3"/>
      <c r="J3" s="3"/>
      <c r="K3" s="3"/>
      <c r="L3" s="3"/>
      <c r="M3" s="9"/>
    </row>
    <row r="4" spans="1:13" ht="20.25" x14ac:dyDescent="0.3">
      <c r="A4" s="142"/>
      <c r="B4" s="3"/>
      <c r="C4" s="3"/>
      <c r="D4" s="3"/>
      <c r="E4" s="3"/>
      <c r="F4" s="3"/>
      <c r="G4" s="3"/>
      <c r="H4" s="3"/>
      <c r="I4" s="8"/>
      <c r="J4" s="71"/>
      <c r="K4" s="19" t="s">
        <v>18</v>
      </c>
      <c r="L4" s="19"/>
      <c r="M4" s="9"/>
    </row>
    <row r="5" spans="1:13" ht="18" x14ac:dyDescent="0.25">
      <c r="A5" s="142"/>
      <c r="B5" s="3"/>
      <c r="C5" s="3"/>
      <c r="D5" s="3"/>
      <c r="E5" s="3"/>
      <c r="F5" s="3"/>
      <c r="G5" s="3"/>
      <c r="H5" s="3"/>
      <c r="I5" s="3"/>
      <c r="J5" s="3"/>
      <c r="K5" s="3"/>
      <c r="L5" s="3"/>
      <c r="M5" s="9"/>
    </row>
    <row r="6" spans="1:13" ht="18" x14ac:dyDescent="0.25">
      <c r="A6" s="142"/>
      <c r="B6" s="3"/>
      <c r="C6" s="3"/>
      <c r="D6" s="3"/>
      <c r="E6" s="3"/>
      <c r="F6" s="3"/>
      <c r="G6" s="3"/>
      <c r="H6" s="3"/>
      <c r="I6" s="3"/>
      <c r="J6" s="3"/>
      <c r="K6" s="3"/>
      <c r="L6" s="3"/>
      <c r="M6" s="9"/>
    </row>
    <row r="7" spans="1:13" ht="18" x14ac:dyDescent="0.25">
      <c r="A7" s="142"/>
      <c r="B7" s="3"/>
      <c r="C7" s="3"/>
      <c r="D7" s="3"/>
      <c r="E7" s="3"/>
      <c r="F7" s="3"/>
      <c r="G7" s="3"/>
      <c r="H7" s="3"/>
      <c r="I7" s="3"/>
      <c r="J7" s="3"/>
      <c r="K7" s="3"/>
      <c r="L7" s="3"/>
      <c r="M7" s="9"/>
    </row>
    <row r="8" spans="1:13" ht="18" x14ac:dyDescent="0.25">
      <c r="A8" s="142"/>
      <c r="B8" s="3"/>
      <c r="C8" s="3"/>
      <c r="D8" s="3"/>
      <c r="E8" s="3"/>
      <c r="F8" s="3"/>
      <c r="G8" s="3"/>
      <c r="H8" s="3"/>
      <c r="I8" s="3"/>
      <c r="J8" s="3"/>
      <c r="K8" s="3"/>
      <c r="L8" s="3"/>
      <c r="M8" s="9"/>
    </row>
    <row r="9" spans="1:13" ht="18" x14ac:dyDescent="0.25">
      <c r="A9" s="142"/>
      <c r="B9" s="3"/>
      <c r="C9" s="3"/>
      <c r="D9" s="3"/>
      <c r="E9" s="3"/>
      <c r="F9" s="3"/>
      <c r="G9" s="3"/>
      <c r="H9" s="112"/>
      <c r="I9" s="112"/>
      <c r="J9" s="3"/>
      <c r="K9" s="3"/>
      <c r="L9" s="3"/>
      <c r="M9" s="9"/>
    </row>
    <row r="10" spans="1:13" ht="18" x14ac:dyDescent="0.25">
      <c r="A10" s="142"/>
      <c r="B10" s="3"/>
      <c r="C10" s="3"/>
      <c r="D10" s="3"/>
      <c r="E10" s="3"/>
      <c r="F10" s="3"/>
      <c r="G10" s="3"/>
      <c r="H10" s="3"/>
      <c r="I10" s="3"/>
      <c r="J10" s="3"/>
      <c r="K10" s="3"/>
      <c r="L10" s="3"/>
      <c r="M10" s="9"/>
    </row>
    <row r="11" spans="1:13" ht="18" x14ac:dyDescent="0.25">
      <c r="A11" s="142"/>
      <c r="B11" s="3"/>
      <c r="C11" s="3"/>
      <c r="D11" s="3"/>
      <c r="E11" s="3"/>
      <c r="F11" s="3"/>
      <c r="G11" s="3"/>
      <c r="H11" s="3"/>
      <c r="I11" s="3"/>
      <c r="J11" s="3"/>
      <c r="K11" s="3"/>
      <c r="L11" s="3"/>
      <c r="M11" s="9"/>
    </row>
    <row r="12" spans="1:13" ht="18" x14ac:dyDescent="0.25">
      <c r="A12" s="142"/>
      <c r="B12" s="3"/>
      <c r="C12" s="3"/>
      <c r="D12" s="3"/>
      <c r="E12" s="3"/>
      <c r="F12" s="3"/>
      <c r="G12" s="3"/>
      <c r="H12" s="3"/>
      <c r="I12" s="3"/>
      <c r="J12" s="3"/>
      <c r="K12" s="3"/>
      <c r="L12" s="3"/>
      <c r="M12" s="9"/>
    </row>
    <row r="13" spans="1:13" ht="18" x14ac:dyDescent="0.25">
      <c r="A13" s="142"/>
      <c r="B13" s="3"/>
      <c r="C13" s="3"/>
      <c r="D13" s="3"/>
      <c r="E13" s="3"/>
      <c r="F13" s="3"/>
      <c r="G13" s="3"/>
      <c r="H13" s="3"/>
      <c r="I13" s="3"/>
      <c r="J13" s="3"/>
      <c r="K13" s="3"/>
      <c r="L13" s="3"/>
      <c r="M13" s="9"/>
    </row>
    <row r="14" spans="1:13" ht="18" x14ac:dyDescent="0.25">
      <c r="A14" s="142"/>
      <c r="B14" s="3"/>
      <c r="C14" s="3"/>
      <c r="D14" s="3"/>
      <c r="E14" s="3"/>
      <c r="F14" s="3"/>
      <c r="G14" s="3"/>
      <c r="H14" s="3"/>
      <c r="I14" s="3"/>
      <c r="J14" s="3"/>
      <c r="K14" s="3"/>
      <c r="L14" s="3"/>
      <c r="M14" s="9"/>
    </row>
    <row r="15" spans="1:13" ht="18" x14ac:dyDescent="0.25">
      <c r="A15" s="142"/>
      <c r="B15" s="3"/>
      <c r="C15" s="3"/>
      <c r="D15" s="3"/>
      <c r="E15" s="3"/>
      <c r="F15" s="3"/>
      <c r="G15" s="3"/>
      <c r="H15" s="3"/>
      <c r="I15" s="3"/>
      <c r="J15" s="3"/>
      <c r="K15" s="3"/>
      <c r="L15" s="3"/>
      <c r="M15" s="9"/>
    </row>
    <row r="16" spans="1:13" ht="18" x14ac:dyDescent="0.25">
      <c r="A16" s="142"/>
      <c r="B16" s="3"/>
      <c r="C16" s="3"/>
      <c r="D16" s="3"/>
      <c r="E16" s="3"/>
      <c r="F16" s="3"/>
      <c r="G16" s="3"/>
      <c r="H16" s="3"/>
      <c r="I16" s="3"/>
      <c r="J16" s="3"/>
      <c r="K16" s="3"/>
      <c r="L16" s="3"/>
      <c r="M16" s="9"/>
    </row>
    <row r="17" spans="1:13" ht="18.75" thickBot="1" x14ac:dyDescent="0.3">
      <c r="A17" s="142"/>
      <c r="B17" s="3"/>
      <c r="C17" s="3"/>
      <c r="D17" s="3"/>
      <c r="E17" s="3"/>
      <c r="F17" s="3"/>
      <c r="G17" s="3"/>
      <c r="H17" s="3"/>
      <c r="I17" s="3"/>
      <c r="J17" s="3"/>
      <c r="K17" s="3"/>
      <c r="L17" s="3"/>
      <c r="M17" s="9"/>
    </row>
    <row r="18" spans="1:13" ht="27.75" thickTop="1" thickBot="1" x14ac:dyDescent="0.45">
      <c r="A18" s="142"/>
      <c r="B18" s="110" t="s">
        <v>60</v>
      </c>
      <c r="C18" s="74"/>
      <c r="D18" s="74"/>
      <c r="E18" s="74"/>
      <c r="F18" s="3"/>
      <c r="G18" s="3"/>
      <c r="H18" s="3"/>
      <c r="I18" s="3"/>
      <c r="J18" s="196" t="s">
        <v>79</v>
      </c>
      <c r="K18" s="3"/>
      <c r="L18" s="3"/>
      <c r="M18" s="9"/>
    </row>
    <row r="19" spans="1:13" ht="21.95" customHeight="1" thickTop="1" x14ac:dyDescent="0.3">
      <c r="A19" s="142"/>
      <c r="B19" s="55"/>
      <c r="C19" s="55"/>
      <c r="D19" s="55"/>
      <c r="E19" s="55"/>
      <c r="F19" s="55"/>
      <c r="G19" s="55"/>
      <c r="H19" s="56"/>
      <c r="I19" s="56"/>
      <c r="J19" s="197"/>
      <c r="K19" s="56"/>
      <c r="L19" s="20"/>
      <c r="M19" s="9"/>
    </row>
    <row r="20" spans="1:13" ht="21.95" customHeight="1" thickBot="1" x14ac:dyDescent="0.3">
      <c r="A20" s="142"/>
      <c r="B20" s="3"/>
      <c r="C20" s="3"/>
      <c r="D20" s="3"/>
      <c r="E20" s="3"/>
      <c r="F20" s="3"/>
      <c r="G20" s="3"/>
      <c r="H20" s="3"/>
      <c r="I20" s="3"/>
      <c r="J20" s="198"/>
      <c r="K20" s="3"/>
      <c r="L20" s="3"/>
      <c r="M20" s="9"/>
    </row>
    <row r="21" spans="1:13" ht="18.75" thickTop="1" x14ac:dyDescent="0.25">
      <c r="A21" s="142"/>
      <c r="B21" s="3"/>
      <c r="C21" s="3"/>
      <c r="D21" s="3"/>
      <c r="E21" s="3"/>
      <c r="F21" s="3"/>
      <c r="G21" s="3"/>
      <c r="H21" s="3"/>
      <c r="I21" s="3"/>
      <c r="J21" s="3"/>
      <c r="K21" s="3"/>
      <c r="L21" s="3"/>
      <c r="M21" s="9"/>
    </row>
    <row r="22" spans="1:13" ht="35.25" x14ac:dyDescent="0.5">
      <c r="A22" s="142"/>
      <c r="B22" s="100" t="s">
        <v>52</v>
      </c>
      <c r="C22" s="201" t="s">
        <v>62</v>
      </c>
      <c r="D22" s="201"/>
      <c r="E22" s="201"/>
      <c r="F22" s="201"/>
      <c r="G22" s="201"/>
      <c r="H22" s="201"/>
      <c r="I22" s="101"/>
      <c r="J22" s="199" t="s">
        <v>78</v>
      </c>
      <c r="K22" s="199"/>
      <c r="L22" s="52"/>
      <c r="M22" s="9"/>
    </row>
    <row r="23" spans="1:13" ht="33.75" x14ac:dyDescent="0.5">
      <c r="A23" s="142"/>
      <c r="B23" s="100" t="s">
        <v>53</v>
      </c>
      <c r="C23" s="191" t="s">
        <v>64</v>
      </c>
      <c r="D23" s="191"/>
      <c r="E23" s="191"/>
      <c r="F23" s="191"/>
      <c r="G23" s="191"/>
      <c r="H23" s="191"/>
      <c r="I23" s="191"/>
      <c r="J23" s="102" t="s">
        <v>77</v>
      </c>
      <c r="K23" s="102"/>
      <c r="L23" s="53"/>
      <c r="M23" s="9"/>
    </row>
    <row r="24" spans="1:13" ht="33.75" x14ac:dyDescent="0.5">
      <c r="A24" s="142"/>
      <c r="B24" s="100" t="s">
        <v>54</v>
      </c>
      <c r="C24" s="113"/>
      <c r="D24" s="103" t="s">
        <v>8</v>
      </c>
      <c r="E24" s="192"/>
      <c r="F24" s="192"/>
      <c r="G24" s="104" t="s">
        <v>9</v>
      </c>
      <c r="H24" s="105" t="s">
        <v>57</v>
      </c>
      <c r="I24" s="101"/>
      <c r="J24" s="200" t="s">
        <v>71</v>
      </c>
      <c r="K24" s="200"/>
      <c r="L24" s="3"/>
      <c r="M24" s="9"/>
    </row>
    <row r="25" spans="1:13" ht="33.75" x14ac:dyDescent="0.5">
      <c r="A25" s="142"/>
      <c r="B25" s="100" t="s">
        <v>55</v>
      </c>
      <c r="C25" s="202"/>
      <c r="D25" s="202"/>
      <c r="E25" s="202"/>
      <c r="F25" s="202"/>
      <c r="G25" s="202"/>
      <c r="H25" s="202"/>
      <c r="I25" s="101"/>
      <c r="J25" s="200" t="s">
        <v>63</v>
      </c>
      <c r="K25" s="200"/>
      <c r="L25" s="3"/>
      <c r="M25" s="9"/>
    </row>
    <row r="26" spans="1:13" ht="18" x14ac:dyDescent="0.25">
      <c r="A26" s="142"/>
      <c r="B26" s="73"/>
      <c r="C26" s="73"/>
      <c r="D26" s="73"/>
      <c r="E26" s="73"/>
      <c r="F26" s="73"/>
      <c r="G26" s="73"/>
      <c r="H26" s="73"/>
      <c r="I26" s="73"/>
      <c r="J26" s="73"/>
      <c r="K26" s="73"/>
      <c r="L26" s="3"/>
      <c r="M26" s="9"/>
    </row>
    <row r="27" spans="1:13" ht="18" x14ac:dyDescent="0.25">
      <c r="A27" s="142"/>
      <c r="B27" s="87" t="s">
        <v>35</v>
      </c>
      <c r="C27" s="87" t="s">
        <v>22</v>
      </c>
      <c r="D27" s="193" t="s">
        <v>23</v>
      </c>
      <c r="E27" s="194"/>
      <c r="F27" s="194"/>
      <c r="G27" s="194"/>
      <c r="H27" s="194"/>
      <c r="I27" s="195"/>
      <c r="J27" s="87" t="s">
        <v>24</v>
      </c>
      <c r="K27" s="88" t="s">
        <v>25</v>
      </c>
      <c r="L27" s="89"/>
      <c r="M27" s="9"/>
    </row>
    <row r="28" spans="1:13" ht="30" x14ac:dyDescent="0.4">
      <c r="A28" s="142"/>
      <c r="B28" s="142"/>
      <c r="C28" s="143"/>
      <c r="D28" s="147"/>
      <c r="E28" s="136"/>
      <c r="F28" s="136"/>
      <c r="G28" s="136"/>
      <c r="H28" s="137"/>
      <c r="I28" s="138"/>
      <c r="J28" s="109"/>
      <c r="K28" s="114"/>
      <c r="L28" s="54"/>
      <c r="M28" s="9"/>
    </row>
    <row r="29" spans="1:13" ht="27" x14ac:dyDescent="0.35">
      <c r="A29" s="142"/>
      <c r="B29" s="142"/>
      <c r="C29" s="143"/>
      <c r="D29" s="156" t="s">
        <v>65</v>
      </c>
      <c r="E29" s="148"/>
      <c r="F29" s="148"/>
      <c r="G29" s="148"/>
      <c r="H29" s="148"/>
      <c r="I29" s="148"/>
      <c r="J29" s="160"/>
      <c r="K29" s="114"/>
      <c r="L29" s="54"/>
      <c r="M29" s="9"/>
    </row>
    <row r="30" spans="1:13" ht="26.25" x14ac:dyDescent="0.35">
      <c r="A30" s="142"/>
      <c r="B30" s="142"/>
      <c r="C30" s="143"/>
      <c r="D30" s="154" t="s">
        <v>66</v>
      </c>
      <c r="E30" s="149"/>
      <c r="F30" s="149"/>
      <c r="G30" s="149"/>
      <c r="H30" s="149"/>
      <c r="I30" s="149"/>
      <c r="J30" s="160"/>
      <c r="K30" s="114"/>
      <c r="L30" s="54"/>
      <c r="M30" s="9"/>
    </row>
    <row r="31" spans="1:13" ht="30" x14ac:dyDescent="0.4">
      <c r="A31" s="142"/>
      <c r="B31" s="142"/>
      <c r="C31" s="108"/>
      <c r="D31" s="155" t="s">
        <v>67</v>
      </c>
      <c r="E31" s="121"/>
      <c r="F31" s="150"/>
      <c r="G31" s="151"/>
      <c r="H31" s="151"/>
      <c r="I31" s="150"/>
      <c r="J31" s="160"/>
      <c r="K31" s="114"/>
      <c r="L31" s="54"/>
      <c r="M31" s="9"/>
    </row>
    <row r="32" spans="1:13" ht="30" x14ac:dyDescent="0.4">
      <c r="A32" s="142"/>
      <c r="B32" s="142"/>
      <c r="C32" s="108"/>
      <c r="D32" s="155" t="s">
        <v>68</v>
      </c>
      <c r="E32" s="121"/>
      <c r="F32" s="150"/>
      <c r="G32" s="151"/>
      <c r="H32" s="151"/>
      <c r="I32" s="150"/>
      <c r="J32" s="160"/>
      <c r="K32" s="109"/>
      <c r="L32" s="54"/>
      <c r="M32" s="9"/>
    </row>
    <row r="33" spans="1:13" ht="30" x14ac:dyDescent="0.4">
      <c r="A33" s="142"/>
      <c r="B33" s="142"/>
      <c r="C33" s="108"/>
      <c r="D33" s="155" t="s">
        <v>69</v>
      </c>
      <c r="E33" s="121"/>
      <c r="F33" s="150"/>
      <c r="G33" s="151"/>
      <c r="H33" s="151"/>
      <c r="I33" s="150"/>
      <c r="J33" s="160"/>
      <c r="K33" s="114"/>
      <c r="L33" s="54"/>
      <c r="M33" s="9"/>
    </row>
    <row r="34" spans="1:13" ht="30" x14ac:dyDescent="0.4">
      <c r="A34" s="142"/>
      <c r="B34" s="142"/>
      <c r="C34" s="108"/>
      <c r="D34" s="152"/>
      <c r="E34" s="121"/>
      <c r="F34" s="150"/>
      <c r="G34" s="151"/>
      <c r="H34" s="151"/>
      <c r="I34" s="150"/>
      <c r="J34" s="160"/>
      <c r="K34" s="114" t="str">
        <f>IF(C34&lt;&gt;"",C34*J34,"")</f>
        <v/>
      </c>
      <c r="L34" s="54"/>
      <c r="M34" s="9"/>
    </row>
    <row r="35" spans="1:13" ht="30" x14ac:dyDescent="0.4">
      <c r="A35" s="142"/>
      <c r="B35" s="142"/>
      <c r="C35" s="108"/>
      <c r="D35" s="158"/>
      <c r="E35" s="121"/>
      <c r="F35" s="150"/>
      <c r="G35" s="151"/>
      <c r="H35" s="150"/>
      <c r="I35" s="150"/>
      <c r="J35" s="109"/>
      <c r="K35" s="109"/>
      <c r="L35" s="54"/>
      <c r="M35" s="9"/>
    </row>
    <row r="36" spans="1:13" ht="30" x14ac:dyDescent="0.4">
      <c r="A36" s="142"/>
      <c r="B36" s="142"/>
      <c r="C36" s="108"/>
      <c r="D36" s="158"/>
      <c r="E36" s="153"/>
      <c r="F36" s="150"/>
      <c r="G36" s="151"/>
      <c r="H36" s="150"/>
      <c r="I36" s="150"/>
      <c r="J36" s="109"/>
      <c r="K36" s="109"/>
      <c r="L36" s="92"/>
      <c r="M36" s="9"/>
    </row>
    <row r="37" spans="1:13" ht="30" x14ac:dyDescent="0.4">
      <c r="A37" s="142"/>
      <c r="B37" s="142" t="s">
        <v>73</v>
      </c>
      <c r="C37" s="108">
        <v>3</v>
      </c>
      <c r="D37" s="158" t="s">
        <v>70</v>
      </c>
      <c r="E37" s="153"/>
      <c r="F37" s="150"/>
      <c r="G37" s="151"/>
      <c r="H37" s="150"/>
      <c r="I37" s="150"/>
      <c r="J37" s="176">
        <v>1692</v>
      </c>
      <c r="K37" s="176">
        <f>J37*C37</f>
        <v>5076</v>
      </c>
      <c r="L37" s="92"/>
      <c r="M37" s="9"/>
    </row>
    <row r="38" spans="1:13" ht="30" x14ac:dyDescent="0.4">
      <c r="A38" s="142"/>
      <c r="B38" s="142"/>
      <c r="C38" s="108"/>
      <c r="D38" s="157"/>
      <c r="E38" s="137"/>
      <c r="F38" s="137"/>
      <c r="G38" s="137"/>
      <c r="H38" s="137"/>
      <c r="I38" s="138"/>
      <c r="J38" s="177"/>
      <c r="K38" s="178" t="str">
        <f t="shared" ref="K38:K45" si="0">IF(C38&lt;&gt;"",C38*J38,"")</f>
        <v/>
      </c>
      <c r="L38" s="92"/>
      <c r="M38" s="9"/>
    </row>
    <row r="39" spans="1:13" ht="30" x14ac:dyDescent="0.4">
      <c r="A39" s="142"/>
      <c r="B39" s="142" t="s">
        <v>80</v>
      </c>
      <c r="C39" s="108">
        <v>1</v>
      </c>
      <c r="D39" s="158" t="s">
        <v>81</v>
      </c>
      <c r="E39" s="153"/>
      <c r="F39" s="150"/>
      <c r="G39" s="151"/>
      <c r="H39" s="150"/>
      <c r="I39" s="150"/>
      <c r="J39" s="176" t="s">
        <v>82</v>
      </c>
      <c r="K39" s="176">
        <v>3492</v>
      </c>
      <c r="L39" s="54"/>
      <c r="M39" s="9"/>
    </row>
    <row r="40" spans="1:13" ht="30" x14ac:dyDescent="0.4">
      <c r="A40" s="142"/>
      <c r="B40" s="142"/>
      <c r="C40" s="108"/>
      <c r="D40" s="118"/>
      <c r="E40" s="137"/>
      <c r="F40" s="137"/>
      <c r="G40" s="137"/>
      <c r="H40" s="137"/>
      <c r="I40" s="138"/>
      <c r="J40" s="177"/>
      <c r="K40" s="178"/>
      <c r="L40" s="54"/>
      <c r="M40" s="9"/>
    </row>
    <row r="41" spans="1:13" ht="30" x14ac:dyDescent="0.4">
      <c r="A41" s="142"/>
      <c r="B41" s="142" t="s">
        <v>83</v>
      </c>
      <c r="C41" s="108">
        <v>1</v>
      </c>
      <c r="D41" s="158" t="s">
        <v>84</v>
      </c>
      <c r="E41" s="153"/>
      <c r="F41" s="150"/>
      <c r="G41" s="151"/>
      <c r="H41" s="150"/>
      <c r="I41" s="150"/>
      <c r="J41" s="176">
        <v>1839</v>
      </c>
      <c r="K41" s="176">
        <v>1839</v>
      </c>
      <c r="L41" s="54"/>
      <c r="M41" s="9"/>
    </row>
    <row r="42" spans="1:13" ht="30" x14ac:dyDescent="0.4">
      <c r="A42" s="142"/>
      <c r="B42" s="142"/>
      <c r="C42" s="108"/>
      <c r="D42" s="158"/>
      <c r="E42" s="153"/>
      <c r="F42" s="150"/>
      <c r="G42" s="151"/>
      <c r="H42" s="150"/>
      <c r="I42" s="150"/>
      <c r="J42" s="176"/>
      <c r="K42" s="176"/>
      <c r="L42" s="54"/>
      <c r="M42" s="9"/>
    </row>
    <row r="43" spans="1:13" ht="30" x14ac:dyDescent="0.4">
      <c r="A43" s="142"/>
      <c r="B43" s="142"/>
      <c r="C43" s="108"/>
      <c r="D43" s="158"/>
      <c r="E43" s="153"/>
      <c r="F43" s="150"/>
      <c r="G43" s="151"/>
      <c r="H43" s="150"/>
      <c r="I43" s="150"/>
      <c r="J43" s="176"/>
      <c r="K43" s="176"/>
      <c r="L43" s="54"/>
      <c r="M43" s="9"/>
    </row>
    <row r="44" spans="1:13" ht="30" x14ac:dyDescent="0.4">
      <c r="A44" s="142"/>
      <c r="B44" s="142"/>
      <c r="C44" s="108"/>
      <c r="D44" s="158"/>
      <c r="E44" s="153"/>
      <c r="F44" s="150"/>
      <c r="G44" s="151"/>
      <c r="H44" s="150"/>
      <c r="I44" s="150"/>
      <c r="J44" s="176"/>
      <c r="K44" s="176"/>
      <c r="L44" s="54"/>
      <c r="M44" s="9"/>
    </row>
    <row r="45" spans="1:13" ht="30" x14ac:dyDescent="0.4">
      <c r="A45" s="142"/>
      <c r="B45" s="144"/>
      <c r="C45" s="140"/>
      <c r="D45" s="141"/>
      <c r="E45" s="134"/>
      <c r="F45" s="134"/>
      <c r="G45" s="134"/>
      <c r="H45" s="134"/>
      <c r="I45" s="135"/>
      <c r="J45" s="179"/>
      <c r="K45" s="180" t="str">
        <f t="shared" si="0"/>
        <v/>
      </c>
      <c r="L45" s="54"/>
      <c r="M45" s="9"/>
    </row>
    <row r="46" spans="1:13" ht="35.25" x14ac:dyDescent="0.5">
      <c r="A46" s="142"/>
      <c r="B46" s="83"/>
      <c r="C46" s="93"/>
      <c r="D46" s="123"/>
      <c r="E46" s="120"/>
      <c r="F46" s="120"/>
      <c r="G46" s="120"/>
      <c r="H46" s="121"/>
      <c r="I46" s="122"/>
      <c r="J46" s="125" t="s">
        <v>26</v>
      </c>
      <c r="K46" s="130">
        <f>SUM(K37:K41)</f>
        <v>10407</v>
      </c>
      <c r="L46" s="54"/>
      <c r="M46" s="9"/>
    </row>
    <row r="47" spans="1:13" ht="35.25" x14ac:dyDescent="0.5">
      <c r="A47" s="142"/>
      <c r="B47" s="99"/>
      <c r="C47" s="95" t="s">
        <v>56</v>
      </c>
      <c r="D47" s="76"/>
      <c r="E47" s="76"/>
      <c r="F47" s="76"/>
      <c r="G47" s="76"/>
      <c r="H47" s="77"/>
      <c r="I47" s="90"/>
      <c r="J47" s="124" t="s">
        <v>47</v>
      </c>
      <c r="K47" s="106">
        <v>1</v>
      </c>
      <c r="L47" s="54"/>
      <c r="M47" s="9"/>
    </row>
    <row r="48" spans="1:13" ht="35.25" x14ac:dyDescent="0.5">
      <c r="A48" s="142"/>
      <c r="B48" s="96"/>
      <c r="C48" s="159" t="s">
        <v>72</v>
      </c>
      <c r="D48" s="76"/>
      <c r="E48" s="76"/>
      <c r="F48" s="76"/>
      <c r="G48" s="76"/>
      <c r="H48" s="78"/>
      <c r="I48" s="91"/>
      <c r="J48" s="126">
        <v>0.19</v>
      </c>
      <c r="K48" s="106">
        <f>(K46)*0.19</f>
        <v>1977.33</v>
      </c>
      <c r="L48" s="54"/>
      <c r="M48" s="9"/>
    </row>
    <row r="49" spans="1:13" ht="35.25" x14ac:dyDescent="0.5">
      <c r="A49" s="142"/>
      <c r="B49" s="83"/>
      <c r="C49" s="98"/>
      <c r="D49" s="94"/>
      <c r="E49" s="80"/>
      <c r="F49" s="79"/>
      <c r="G49" s="76"/>
      <c r="H49" s="81"/>
      <c r="I49" s="90"/>
      <c r="J49" s="107" t="s">
        <v>28</v>
      </c>
      <c r="K49" s="106">
        <f>+K46+K47+K48</f>
        <v>12385.33</v>
      </c>
      <c r="L49" s="54"/>
      <c r="M49" s="9"/>
    </row>
    <row r="50" spans="1:13" ht="18" x14ac:dyDescent="0.25">
      <c r="A50" s="142"/>
      <c r="B50" s="75"/>
      <c r="C50" s="84"/>
      <c r="D50" s="97"/>
      <c r="E50" s="76"/>
      <c r="F50" s="76"/>
      <c r="G50" s="76"/>
      <c r="H50" s="82" t="s">
        <v>27</v>
      </c>
      <c r="I50" s="77"/>
      <c r="J50" s="139"/>
      <c r="K50" s="139"/>
      <c r="L50" s="54"/>
      <c r="M50" s="9"/>
    </row>
    <row r="51" spans="1:13" ht="26.25" x14ac:dyDescent="0.4">
      <c r="A51" s="142"/>
      <c r="B51" s="119"/>
      <c r="C51" s="119"/>
      <c r="D51" s="129"/>
      <c r="E51" s="133"/>
      <c r="F51" s="133"/>
      <c r="G51" s="133"/>
      <c r="H51" s="77"/>
      <c r="I51" s="117"/>
      <c r="J51" s="145" t="s">
        <v>61</v>
      </c>
      <c r="K51" s="145"/>
      <c r="L51" s="111"/>
      <c r="M51" s="9"/>
    </row>
    <row r="52" spans="1:13" ht="18" x14ac:dyDescent="0.25">
      <c r="A52" s="142"/>
      <c r="B52" s="119"/>
      <c r="C52" s="119"/>
      <c r="D52" s="77"/>
      <c r="E52" s="77"/>
      <c r="F52" s="77"/>
      <c r="G52" s="77"/>
      <c r="H52" s="77"/>
      <c r="I52" s="111"/>
      <c r="J52" s="111"/>
      <c r="K52" s="111"/>
      <c r="L52" s="54"/>
      <c r="M52" s="131"/>
    </row>
    <row r="53" spans="1:13" ht="20.25" x14ac:dyDescent="0.3">
      <c r="A53" s="142"/>
      <c r="B53" s="115" t="s">
        <v>58</v>
      </c>
      <c r="C53" s="146"/>
      <c r="D53" s="77"/>
      <c r="E53" s="77"/>
      <c r="F53" s="77"/>
      <c r="G53" s="77"/>
      <c r="H53" s="77"/>
      <c r="I53" s="85"/>
      <c r="J53" s="85"/>
      <c r="K53" s="86"/>
      <c r="L53" s="54"/>
      <c r="M53" s="132"/>
    </row>
    <row r="54" spans="1:13" ht="20.25" x14ac:dyDescent="0.3">
      <c r="A54" s="142"/>
      <c r="B54" s="116" t="s">
        <v>59</v>
      </c>
      <c r="C54" s="116"/>
      <c r="D54" s="77"/>
      <c r="E54" s="77"/>
      <c r="F54" s="77"/>
      <c r="G54" s="77"/>
      <c r="H54" s="78"/>
      <c r="I54" s="85"/>
      <c r="J54" s="85"/>
      <c r="K54" s="85"/>
      <c r="L54" s="89"/>
      <c r="M54" s="9"/>
    </row>
    <row r="55" spans="1:13" ht="18" customHeight="1" x14ac:dyDescent="0.25">
      <c r="A55" s="142"/>
      <c r="B55" s="163"/>
      <c r="C55" s="161"/>
      <c r="D55" s="161"/>
      <c r="E55" s="161"/>
      <c r="F55" s="161"/>
      <c r="G55" s="161"/>
      <c r="H55" s="161"/>
      <c r="I55" s="161"/>
      <c r="J55" s="161"/>
      <c r="K55" s="162"/>
      <c r="L55" s="89"/>
      <c r="M55" s="9"/>
    </row>
    <row r="56" spans="1:13" ht="15" customHeight="1" x14ac:dyDescent="0.25">
      <c r="A56" s="142"/>
      <c r="B56" s="188" t="s">
        <v>74</v>
      </c>
      <c r="C56" s="188"/>
      <c r="D56" s="188"/>
      <c r="E56" s="188"/>
      <c r="F56" s="188"/>
      <c r="G56" s="188"/>
      <c r="H56" s="188"/>
      <c r="I56" s="188"/>
      <c r="J56" s="188"/>
      <c r="K56" s="188"/>
      <c r="L56" s="164"/>
      <c r="M56" s="165"/>
    </row>
    <row r="57" spans="1:13" ht="20.100000000000001" customHeight="1" x14ac:dyDescent="0.25">
      <c r="A57" s="142"/>
      <c r="B57" s="188"/>
      <c r="C57" s="188"/>
      <c r="D57" s="188"/>
      <c r="E57" s="188"/>
      <c r="F57" s="188"/>
      <c r="G57" s="188"/>
      <c r="H57" s="188"/>
      <c r="I57" s="188"/>
      <c r="J57" s="188"/>
      <c r="K57" s="188"/>
      <c r="L57" s="172"/>
      <c r="M57" s="173"/>
    </row>
    <row r="58" spans="1:13" ht="15.75" customHeight="1" x14ac:dyDescent="0.3">
      <c r="A58" s="142"/>
      <c r="B58" s="189" t="s">
        <v>75</v>
      </c>
      <c r="C58" s="189"/>
      <c r="D58" s="189"/>
      <c r="E58" s="189"/>
      <c r="F58" s="189"/>
      <c r="G58" s="189"/>
      <c r="H58" s="189"/>
      <c r="I58" s="189"/>
      <c r="J58" s="189"/>
      <c r="K58" s="189"/>
      <c r="L58" s="166"/>
      <c r="M58" s="167"/>
    </row>
    <row r="59" spans="1:13" ht="15.75" customHeight="1" x14ac:dyDescent="0.25">
      <c r="A59" s="142"/>
      <c r="B59" s="189"/>
      <c r="C59" s="189"/>
      <c r="D59" s="189"/>
      <c r="E59" s="189"/>
      <c r="F59" s="189"/>
      <c r="G59" s="189"/>
      <c r="H59" s="189"/>
      <c r="I59" s="189"/>
      <c r="J59" s="189"/>
      <c r="K59" s="189"/>
      <c r="L59" s="167"/>
      <c r="M59" s="167"/>
    </row>
    <row r="60" spans="1:13" ht="15.75" customHeight="1" x14ac:dyDescent="0.3">
      <c r="A60" s="142"/>
      <c r="B60" s="174"/>
      <c r="C60" s="190" t="s">
        <v>76</v>
      </c>
      <c r="D60" s="190"/>
      <c r="E60" s="190"/>
      <c r="F60" s="190"/>
      <c r="G60" s="190"/>
      <c r="H60" s="190"/>
      <c r="I60" s="190"/>
      <c r="J60" s="190"/>
      <c r="K60" s="190"/>
      <c r="L60" s="171"/>
      <c r="M60" s="167"/>
    </row>
    <row r="61" spans="1:13" ht="15.75" customHeight="1" x14ac:dyDescent="0.3">
      <c r="A61" s="142"/>
      <c r="B61" s="174"/>
      <c r="C61" s="190"/>
      <c r="D61" s="190"/>
      <c r="E61" s="190"/>
      <c r="F61" s="190"/>
      <c r="G61" s="190"/>
      <c r="H61" s="190"/>
      <c r="I61" s="190"/>
      <c r="J61" s="190"/>
      <c r="K61" s="190"/>
      <c r="L61" s="171"/>
      <c r="M61" s="167"/>
    </row>
    <row r="62" spans="1:13" ht="15.75" customHeight="1" x14ac:dyDescent="0.3">
      <c r="A62" s="142"/>
      <c r="B62" s="168"/>
      <c r="C62" s="168"/>
      <c r="D62" s="168"/>
      <c r="E62" s="168"/>
      <c r="F62" s="168"/>
      <c r="G62" s="168"/>
      <c r="H62" s="168"/>
      <c r="I62" s="168"/>
      <c r="J62" s="168"/>
      <c r="K62" s="169"/>
      <c r="L62" s="170"/>
      <c r="M62" s="175"/>
    </row>
    <row r="63" spans="1:13" ht="15.75" customHeight="1" x14ac:dyDescent="0.3">
      <c r="A63" s="142"/>
      <c r="B63" s="168"/>
      <c r="C63" s="168"/>
      <c r="D63" s="168"/>
      <c r="E63" s="168"/>
      <c r="F63" s="168"/>
      <c r="G63" s="168"/>
      <c r="H63" s="168"/>
      <c r="I63" s="168"/>
      <c r="J63" s="168"/>
      <c r="K63" s="169"/>
      <c r="L63" s="170"/>
      <c r="M63" s="175"/>
    </row>
    <row r="64" spans="1:13" ht="15.75" customHeight="1" x14ac:dyDescent="0.3">
      <c r="A64" s="142"/>
      <c r="B64" s="168"/>
      <c r="C64" s="168"/>
      <c r="D64" s="168"/>
      <c r="E64" s="168"/>
      <c r="F64" s="168"/>
      <c r="G64" s="168"/>
      <c r="H64" s="168"/>
      <c r="I64" s="168"/>
      <c r="J64" s="168"/>
      <c r="K64" s="169"/>
      <c r="L64" s="170"/>
      <c r="M64" s="175"/>
    </row>
    <row r="65" spans="1:13" ht="13.5" customHeight="1" thickBot="1" x14ac:dyDescent="0.3">
      <c r="A65" s="142"/>
      <c r="B65" s="3"/>
      <c r="C65" s="3"/>
      <c r="D65" s="3"/>
      <c r="E65" s="3"/>
      <c r="F65" s="3"/>
      <c r="G65" s="3"/>
      <c r="H65" s="3"/>
      <c r="I65" s="3"/>
      <c r="J65" s="3"/>
      <c r="K65" s="3"/>
      <c r="L65" s="54"/>
      <c r="M65" s="9"/>
    </row>
    <row r="66" spans="1:13" ht="13.5" customHeight="1" thickTop="1" x14ac:dyDescent="0.25">
      <c r="A66" s="142"/>
      <c r="B66" s="55"/>
      <c r="C66" s="55"/>
      <c r="D66" s="55"/>
      <c r="E66" s="55"/>
      <c r="F66" s="55"/>
      <c r="G66" s="55"/>
      <c r="H66" s="55"/>
      <c r="I66" s="55"/>
      <c r="J66" s="55"/>
      <c r="K66" s="55"/>
      <c r="L66" s="54"/>
      <c r="M66" s="9"/>
    </row>
    <row r="67" spans="1:13" ht="12.75" customHeight="1" x14ac:dyDescent="0.25">
      <c r="A67" s="142"/>
      <c r="B67" s="127"/>
      <c r="C67" s="127"/>
      <c r="D67" s="127"/>
      <c r="E67" s="127"/>
      <c r="F67" s="127"/>
      <c r="G67" s="127"/>
      <c r="H67" s="127"/>
      <c r="I67" s="127"/>
      <c r="J67" s="127"/>
      <c r="K67" s="128"/>
      <c r="L67" s="54"/>
    </row>
    <row r="68" spans="1:13" ht="12.75" customHeight="1" x14ac:dyDescent="0.2"/>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J18:J20"/>
    <mergeCell ref="J22:K22"/>
    <mergeCell ref="J24:K24"/>
    <mergeCell ref="J25:K25"/>
    <mergeCell ref="C22:H22"/>
    <mergeCell ref="C25:H25"/>
    <mergeCell ref="B56:K57"/>
    <mergeCell ref="B58:K59"/>
    <mergeCell ref="C60:K61"/>
    <mergeCell ref="C23:I23"/>
    <mergeCell ref="E24:F24"/>
    <mergeCell ref="D27:I27"/>
  </mergeCells>
  <phoneticPr fontId="0" type="noConversion"/>
  <dataValidations xWindow="574" yWindow="401" count="1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1:K51"/>
    <dataValidation type="textLength" errorStyle="warning" allowBlank="1" showErrorMessage="1" errorTitle="T.V.A." error="Les cellules ombrées contiennent des formules et sont calculées automatiquement par Excel. N'y tapez aucune information." promptTitle="T.V.A." sqref="J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8">
      <formula1>0</formula1>
      <formula2>0</formula2>
    </dataValidation>
    <dataValidation allowBlank="1" showErrorMessage="1" sqref="E24:F24"/>
    <dataValidation type="textLength" errorStyle="warning" allowBlank="1" showErrorMessage="1" errorTitle="Sous-total" error="Les cellules ombrées contiennent des formules et sont calculées automatiquement par Excel. N'y tapez aucune information." promptTitle="Sous-total" sqref="K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E67:J67"/>
    <dataValidation type="textLength" errorStyle="warning" allowBlank="1" showErrorMessage="1" errorTitle="Total" error="Les cellules ombrées contiennent des formules et sont calculées automatiquement par Excel. N'y tapez aucune information." promptTitle="Total" sqref="K49">
      <formula1>0</formula1>
      <formula2>0</formula2>
    </dataValidation>
    <dataValidation type="decimal" allowBlank="1" showErrorMessage="1" errorTitle="Prix unitaire" error="Tapez un nombre dans cette cellule." promptTitle="Prix unitaire" sqref="K32 J28 K41:K44 K35:K37 J35:J45 K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28:K31 K33:K34 K38 K40 K45">
      <formula1>0</formula1>
      <formula2>0</formula2>
    </dataValidation>
    <dataValidation type="whole" errorStyle="warning" allowBlank="1" showErrorMessage="1" errorTitle="Quantité" error="Tapez un nombre dans cette cellule." promptTitle="Quantité" sqref="C28:C45">
      <formula1>0</formula1>
      <formula2>1000000000</formula2>
    </dataValidation>
    <dataValidation type="list" allowBlank="1" showInputMessage="1" showErrorMessage="1" errorTitle="Code TVA" error="Tapez 1, 2, ou 3." sqref="J29:J30 J32:J34">
      <formula1>"1,2,3"</formula1>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1</xdr:col>
                    <xdr:colOff>1533525</xdr:colOff>
                    <xdr:row>47</xdr:row>
                    <xdr:rowOff>114300</xdr:rowOff>
                  </from>
                  <to>
                    <xdr:col>1</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1</xdr:col>
                    <xdr:colOff>1590675</xdr:colOff>
                    <xdr:row>46</xdr:row>
                    <xdr:rowOff>95250</xdr:rowOff>
                  </from>
                  <to>
                    <xdr:col>1</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Facture!$K$4</f>
        <v/>
      </c>
      <c r="C8" s="66" t="str">
        <f>Facture!$J$22</f>
        <v>Date : 11/08/2025</v>
      </c>
      <c r="D8" s="67" t="str">
        <f>Facture!$C$22</f>
        <v xml:space="preserve">3 ETEL </v>
      </c>
      <c r="E8" s="64" t="str">
        <f>Facture!$C$23</f>
        <v>ROGBA TATAOUINE 3293</v>
      </c>
      <c r="F8" s="64">
        <f>Facture!$C$24</f>
        <v>0</v>
      </c>
      <c r="G8" s="67">
        <f>Facture!$E$24</f>
        <v>0</v>
      </c>
      <c r="H8" s="67" t="str">
        <f>Facture!$H$24</f>
        <v>TN</v>
      </c>
      <c r="I8" s="64">
        <f>Facture!$C$25</f>
        <v>0</v>
      </c>
      <c r="J8" s="68">
        <f>Facture!$K$49</f>
        <v>12385.33</v>
      </c>
      <c r="K8" s="64" t="str">
        <f>Facture!$J$24</f>
        <v xml:space="preserve">Responsable:Mme feryel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55</vt:i4>
      </vt:variant>
    </vt:vector>
  </HeadingPairs>
  <TitlesOfParts>
    <vt:vector size="59"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2025-08-19T08:16:56Z</cp:lastPrinted>
  <dcterms:created xsi:type="dcterms:W3CDTF">1995-05-29T15:50:39Z</dcterms:created>
  <dcterms:modified xsi:type="dcterms:W3CDTF">2025-08-19T08:17:14Z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 </vt:lpwstr>
  </property>
  <property fmtid="{D5CDD505-2E9C-101B-9397-08002B2CF9AE}" pid="11" name="Montant de la facture" linkTarget="TOT">
    <vt:r8>12385.33</vt:r8>
  </property>
</Properties>
</file>