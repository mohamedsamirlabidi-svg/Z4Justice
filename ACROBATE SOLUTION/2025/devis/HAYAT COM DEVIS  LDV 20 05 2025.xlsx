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4" i="3" l="1"/>
  <c r="M35" i="3"/>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<sst xmlns="http://schemas.openxmlformats.org/spreadsheetml/2006/main" count="97" uniqueCount="81">
  <si>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</si>
  <si>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</si>
  <si>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</si>
  <si>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</si>
  <si>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</si>
  <si>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</si>
  <si>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</si>
  <si>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</si>
  <si>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</si>
  <si>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</si>
  <si>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</si>
  <si>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</si>
  <si>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</si>
  <si>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</si>
  <si>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</si>
  <si>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</si>
  <si>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</si>
  <si>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</si>
  <si>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</si>
  <si>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</si>
  <si>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</si>
  <si>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</si>
  <si>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</si>
  <si>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</si>
  <si>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</si>
  <si>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</si>
  <si>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</si>
  <si>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</si>
  <si>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</si>
  <si>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</si>
  <si>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</si>
  <si>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</si>
  <si>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</si>
  <si>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</si>
  <si>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</si>
  <si>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</si>
  <si>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</si>
  <si>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</si>
  <si>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</si>
  <si>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</si>
  <si>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</si>
  <si>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</si>
  <si>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</si>
  <si>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</si>
  <si>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</si>
  <si>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</si>
  <si>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</si>
  <si>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</si>
  <si>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</si>
  <si>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</si>
  <si>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</si>
  <si>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</si>
  <si>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</si>
  <si>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</si>
  <si>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</si>
  <si>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</si>
  <si>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</si>
  <si>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</si>
  <si>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</si>
  <si>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</si>
  <si>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</si>
  <si>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</si>
  <si>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</si>
  <si>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</si>
  <si>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</si>
  <si>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</si>
  <si>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</si>
  <si>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</si>
  <si>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</si>
  <si>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</si>
  <si>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</si>
  <si>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</si>
  <si>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</si>
  <si>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</si>
  <si>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</si>
  <si>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</si>
  <si>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LDV12M</t>
  </si>
  <si>
    <t>LONGUEUR  12 M</t>
  </si>
  <si>
    <t>LDV18M</t>
  </si>
  <si>
    <t>LONGUEUR  18M</t>
  </si>
  <si>
    <t>devis  N° 2025-887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</si>
</sst>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1" fillId="3" borderId="32" xfId="0" applyFont="1" applyFill="1" applyBorder="1" applyAlignment="1">
      <alignment horizontal="center" vertical="center"/>
    </xf>
    <xf numFmtId="1" fontId="2" fillId="0" borderId="27" xfId="0" applyNumberFormat="1" applyFont="1" applyFill="1" applyBorder="1" applyAlignment="1">
      <alignment horizontal="center"/>
    </xf>
    <xf numFmtId="49" fontId="1" fillId="0" borderId="32" xfId="0" applyNumberFormat="1" applyFont="1" applyFill="1" applyBorder="1" applyAlignment="1"/>
    <xf numFmtId="49" fontId="2" fillId="0" borderId="0" xfId="0" applyNumberFormat="1" applyFont="1" applyFill="1" applyBorder="1" applyAlignment="1"/>
    <xf numFmtId="169" fontId="2" fillId="0" borderId="27" xfId="0" applyNumberFormat="1" applyFont="1" applyFill="1" applyBorder="1" applyAlignment="1"/>
    <xf numFmtId="169" fontId="7" fillId="0" borderId="27" xfId="0" applyNumberFormat="1" applyFont="1" applyFill="1" applyBorder="1" applyAlignment="1">
      <alignment horizontal="center" vertical="center"/>
    </xf>
    <xf numFmtId="169" fontId="2" fillId="0"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96755</xdr:rowOff>
    </xdr:from>
    <xdr:to>
      <xdr:col>13</xdr:col>
      <xdr:colOff>154405</xdr:colOff>
      <xdr:row>24</xdr:row>
      <xdr:rowOff>87230</xdr:rowOff>
    </xdr:to>
    <xdr:sp macro="" textlink="">
      <xdr:nvSpPr>
        <xdr:cNvPr id="2115" name="INVB2"/>
        <xdr:cNvSpPr>
          <a:spLocks noChangeArrowheads="1"/>
        </xdr:cNvSpPr>
      </xdr:nvSpPr>
      <xdr:spPr bwMode="auto">
        <a:xfrm>
          <a:off x="4893343" y="2994360"/>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10" zoomScale="95" workbookViewId="0">
      <selection activeCell="L23" sqref="L23:M2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9"/>
      <c r="M9" s="17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6"/>
      <c r="M13" s="177"/>
      <c r="N13" s="3"/>
      <c r="O13" s="8"/>
    </row>
    <row r="14" spans="1:15" x14ac:dyDescent="0.2">
      <c r="A14" s="7"/>
      <c r="B14" s="3"/>
      <c r="C14" s="3"/>
      <c r="D14" s="3"/>
      <c r="E14" s="3"/>
      <c r="F14" s="3"/>
      <c r="G14" s="168"/>
      <c r="H14" s="168"/>
      <c r="I14" s="168"/>
      <c r="J14" s="168"/>
      <c r="K14" s="168"/>
      <c r="L14" s="3"/>
      <c r="M14" s="3"/>
      <c r="N14" s="3"/>
      <c r="O14" s="8"/>
    </row>
    <row r="15" spans="1:15" ht="20.100000000000001" customHeight="1" x14ac:dyDescent="0.2">
      <c r="A15" s="7"/>
      <c r="B15" s="3"/>
      <c r="C15" s="3"/>
      <c r="D15" s="3"/>
      <c r="E15" s="3"/>
      <c r="F15" s="3"/>
      <c r="G15" s="168"/>
      <c r="H15" s="168"/>
      <c r="I15" s="168"/>
      <c r="J15" s="168"/>
      <c r="K15" s="16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80</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customHeight="1"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2" t="s">
        <v>62</v>
      </c>
      <c r="E21" s="183"/>
      <c r="F21" s="183"/>
      <c r="G21" s="183"/>
      <c r="H21" s="183"/>
      <c r="I21" s="183"/>
      <c r="J21" s="82"/>
      <c r="K21" s="84" t="s">
        <v>18</v>
      </c>
      <c r="L21" s="173">
        <v>45797</v>
      </c>
      <c r="M21" s="173"/>
      <c r="N21" s="55"/>
      <c r="O21" s="8"/>
    </row>
    <row r="22" spans="1:15" ht="14.25" x14ac:dyDescent="0.2">
      <c r="A22" s="7"/>
      <c r="B22" s="3"/>
      <c r="C22" s="82" t="s">
        <v>5</v>
      </c>
      <c r="D22" s="180" t="s">
        <v>61</v>
      </c>
      <c r="E22" s="181"/>
      <c r="F22" s="181"/>
      <c r="G22" s="181"/>
      <c r="H22" s="181"/>
      <c r="I22" s="181"/>
      <c r="J22" s="82"/>
      <c r="K22" s="125" t="s">
        <v>58</v>
      </c>
      <c r="L22" s="153"/>
      <c r="M22" s="153"/>
      <c r="N22" s="56"/>
      <c r="O22" s="8"/>
    </row>
    <row r="23" spans="1:15" x14ac:dyDescent="0.2">
      <c r="A23" s="7"/>
      <c r="B23" s="3"/>
      <c r="C23" s="82" t="s">
        <v>7</v>
      </c>
      <c r="D23" s="89">
        <v>2035</v>
      </c>
      <c r="E23" s="90" t="s">
        <v>8</v>
      </c>
      <c r="F23" s="178" t="s">
        <v>63</v>
      </c>
      <c r="G23" s="179"/>
      <c r="H23" s="91" t="s">
        <v>9</v>
      </c>
      <c r="I23" s="88" t="s">
        <v>51</v>
      </c>
      <c r="J23" s="82"/>
      <c r="K23" s="84" t="s">
        <v>19</v>
      </c>
      <c r="L23" s="174" t="s">
        <v>65</v>
      </c>
      <c r="M23" s="174"/>
      <c r="N23" s="3"/>
      <c r="O23" s="8"/>
    </row>
    <row r="24" spans="1:15" x14ac:dyDescent="0.2">
      <c r="A24" s="7"/>
      <c r="B24" s="3"/>
      <c r="C24" s="82" t="s">
        <v>20</v>
      </c>
      <c r="D24" s="184" t="s">
        <v>64</v>
      </c>
      <c r="E24" s="185"/>
      <c r="F24" s="185"/>
      <c r="G24" s="185"/>
      <c r="H24" s="185"/>
      <c r="I24" s="185"/>
      <c r="J24" s="82"/>
      <c r="K24" s="84" t="s">
        <v>47</v>
      </c>
      <c r="L24" s="175" t="s">
        <v>60</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3" t="s">
        <v>23</v>
      </c>
      <c r="N26" s="57"/>
      <c r="O26" s="8"/>
    </row>
    <row r="27" spans="1:15" ht="15.75" x14ac:dyDescent="0.25">
      <c r="A27" s="7"/>
      <c r="B27" s="3"/>
      <c r="C27" s="93"/>
      <c r="D27" s="75"/>
      <c r="E27" s="137" t="s">
        <v>75</v>
      </c>
      <c r="F27" s="138"/>
      <c r="G27" s="138"/>
      <c r="H27" s="138"/>
      <c r="I27" s="139"/>
      <c r="J27" s="139"/>
      <c r="K27" s="130"/>
      <c r="L27" s="129"/>
      <c r="M27" s="96" t="str">
        <f t="shared" ref="M27" si="0">IF(D27&lt;&gt;"",D27*L27,"")</f>
        <v/>
      </c>
      <c r="N27" s="57"/>
      <c r="O27" s="8"/>
    </row>
    <row r="28" spans="1:15" ht="15.75" x14ac:dyDescent="0.25">
      <c r="A28" s="7"/>
      <c r="B28" s="3"/>
      <c r="C28" s="93"/>
      <c r="D28" s="75"/>
      <c r="E28" s="142" t="s">
        <v>71</v>
      </c>
      <c r="F28" s="140"/>
      <c r="G28" s="140"/>
      <c r="H28" s="140"/>
      <c r="I28" s="141"/>
      <c r="J28" s="141"/>
      <c r="K28" s="131"/>
      <c r="L28" s="129"/>
      <c r="M28" s="96"/>
      <c r="N28" s="57"/>
      <c r="O28" s="8"/>
    </row>
    <row r="29" spans="1:15" ht="15" x14ac:dyDescent="0.2">
      <c r="A29" s="7"/>
      <c r="B29" s="3"/>
      <c r="C29" s="107"/>
      <c r="D29" s="75"/>
      <c r="E29" s="189" t="s">
        <v>72</v>
      </c>
      <c r="F29" s="190"/>
      <c r="G29" s="190"/>
      <c r="H29" s="190"/>
      <c r="I29" s="190"/>
      <c r="J29" s="190"/>
      <c r="K29" s="131"/>
      <c r="L29" s="115"/>
      <c r="M29" s="96"/>
      <c r="N29" s="57"/>
      <c r="O29" s="8"/>
    </row>
    <row r="30" spans="1:15" ht="15.75" x14ac:dyDescent="0.25">
      <c r="A30" s="7"/>
      <c r="B30" s="3"/>
      <c r="C30" s="107"/>
      <c r="D30" s="75"/>
      <c r="E30" s="191" t="s">
        <v>73</v>
      </c>
      <c r="F30" s="192"/>
      <c r="G30" s="192"/>
      <c r="H30" s="192"/>
      <c r="I30" s="192"/>
      <c r="J30" s="192"/>
      <c r="K30" s="131"/>
      <c r="L30" s="115"/>
      <c r="M30" s="96"/>
      <c r="N30" s="57"/>
      <c r="O30" s="8"/>
    </row>
    <row r="31" spans="1:15" ht="15.75" x14ac:dyDescent="0.25">
      <c r="A31" s="7"/>
      <c r="B31" s="3"/>
      <c r="C31" s="107"/>
      <c r="D31" s="75"/>
      <c r="E31" s="191" t="s">
        <v>74</v>
      </c>
      <c r="F31" s="192"/>
      <c r="G31" s="192"/>
      <c r="H31" s="192"/>
      <c r="I31" s="192"/>
      <c r="J31" s="192"/>
      <c r="K31" s="131"/>
      <c r="L31" s="115"/>
      <c r="M31" s="96"/>
      <c r="N31" s="57"/>
      <c r="O31" s="8"/>
    </row>
    <row r="32" spans="1:15" ht="15.75" x14ac:dyDescent="0.25">
      <c r="A32" s="7"/>
      <c r="B32" s="3"/>
      <c r="C32" s="107"/>
      <c r="D32" s="75"/>
      <c r="E32" s="135"/>
      <c r="F32" s="136"/>
      <c r="G32" s="81"/>
      <c r="H32" s="108"/>
      <c r="I32" s="108"/>
      <c r="J32" s="81"/>
      <c r="K32" s="131"/>
      <c r="L32" s="131"/>
      <c r="M32" s="115"/>
      <c r="N32" s="57"/>
      <c r="O32" s="8"/>
    </row>
    <row r="33" spans="1:15" ht="15" x14ac:dyDescent="0.2">
      <c r="A33" s="7"/>
      <c r="B33" s="3"/>
      <c r="C33" s="193"/>
      <c r="D33" s="194"/>
      <c r="E33" s="195"/>
      <c r="F33" s="196"/>
      <c r="G33" s="196"/>
      <c r="H33" s="196"/>
      <c r="I33" s="196"/>
      <c r="J33" s="196"/>
      <c r="K33" s="199"/>
      <c r="L33" s="197"/>
      <c r="M33" s="96"/>
      <c r="N33" s="57"/>
      <c r="O33" s="8"/>
    </row>
    <row r="34" spans="1:15" ht="15" x14ac:dyDescent="0.2">
      <c r="A34" s="7"/>
      <c r="B34" s="3"/>
      <c r="C34" s="193" t="s">
        <v>76</v>
      </c>
      <c r="D34" s="194">
        <v>1</v>
      </c>
      <c r="E34" s="195" t="s">
        <v>77</v>
      </c>
      <c r="F34" s="196"/>
      <c r="G34" s="196"/>
      <c r="H34" s="196"/>
      <c r="I34" s="196"/>
      <c r="J34" s="196"/>
      <c r="K34" s="199"/>
      <c r="L34" s="198">
        <v>1610</v>
      </c>
      <c r="M34" s="96">
        <f>+L34*D34</f>
        <v>1610</v>
      </c>
      <c r="N34" s="57"/>
      <c r="O34" s="8"/>
    </row>
    <row r="35" spans="1:15" ht="15" x14ac:dyDescent="0.2">
      <c r="A35" s="7"/>
      <c r="B35" s="3"/>
      <c r="C35" s="193" t="s">
        <v>78</v>
      </c>
      <c r="D35" s="194">
        <v>1</v>
      </c>
      <c r="E35" s="195" t="s">
        <v>79</v>
      </c>
      <c r="F35" s="196"/>
      <c r="G35" s="196"/>
      <c r="H35" s="196"/>
      <c r="I35" s="196"/>
      <c r="J35" s="196"/>
      <c r="K35" s="199"/>
      <c r="L35" s="198">
        <v>2000</v>
      </c>
      <c r="M35" s="96">
        <f>+L35*D35</f>
        <v>2000</v>
      </c>
      <c r="N35" s="57"/>
      <c r="O35" s="8"/>
    </row>
    <row r="36" spans="1:15" ht="15" x14ac:dyDescent="0.2">
      <c r="A36" s="7"/>
      <c r="B36" s="3"/>
      <c r="C36" s="107"/>
      <c r="D36" s="53"/>
      <c r="E36" s="114"/>
      <c r="F36" s="108"/>
      <c r="G36" s="81"/>
      <c r="H36" s="108"/>
      <c r="I36" s="108"/>
      <c r="J36" s="81"/>
      <c r="K36" s="131"/>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71"/>
      <c r="F38" s="172"/>
      <c r="G38" s="172"/>
      <c r="H38" s="172"/>
      <c r="I38" s="172"/>
      <c r="J38" s="172"/>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3610</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3" t="s">
        <v>25</v>
      </c>
      <c r="F41" s="82"/>
      <c r="G41" s="82"/>
      <c r="H41" s="82"/>
      <c r="I41" s="78"/>
      <c r="J41" s="78"/>
      <c r="K41" s="77"/>
      <c r="L41" s="104">
        <v>0.19</v>
      </c>
      <c r="M41" s="103">
        <f>M39*0.19</f>
        <v>685.9</v>
      </c>
      <c r="N41" s="57"/>
      <c r="O41" s="8"/>
    </row>
    <row r="42" spans="1:15" ht="3" customHeight="1" x14ac:dyDescent="0.25">
      <c r="A42" s="7"/>
      <c r="B42" s="3"/>
      <c r="C42" s="3"/>
      <c r="D42" s="85"/>
      <c r="E42" s="132" t="s">
        <v>66</v>
      </c>
      <c r="F42" s="87"/>
      <c r="G42" s="85"/>
      <c r="H42" s="82"/>
      <c r="I42" s="79"/>
      <c r="J42" s="76"/>
      <c r="K42" s="76"/>
      <c r="L42" s="165" t="s">
        <v>27</v>
      </c>
      <c r="M42" s="166">
        <f>+M39+M40+M41</f>
        <v>4296.8999999999996</v>
      </c>
      <c r="N42" s="57"/>
      <c r="O42" s="8"/>
    </row>
    <row r="43" spans="1:15" ht="15" x14ac:dyDescent="0.2">
      <c r="A43" s="7"/>
      <c r="B43" s="3"/>
      <c r="C43" s="3"/>
      <c r="D43" s="85">
        <v>1</v>
      </c>
      <c r="E43" s="106" t="s">
        <v>67</v>
      </c>
      <c r="F43" s="82"/>
      <c r="G43" s="86"/>
      <c r="H43" s="82"/>
      <c r="I43" s="80" t="s">
        <v>26</v>
      </c>
      <c r="J43" s="76"/>
      <c r="K43" s="76"/>
      <c r="L43" s="165"/>
      <c r="M43" s="167"/>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60" t="s">
        <v>69</v>
      </c>
      <c r="C48" s="160"/>
      <c r="D48" s="160"/>
      <c r="E48" s="160"/>
      <c r="F48" s="160"/>
      <c r="G48" s="125"/>
      <c r="H48" s="125"/>
      <c r="I48" s="125"/>
      <c r="J48" s="125"/>
      <c r="K48" s="125"/>
      <c r="L48" s="133" t="s">
        <v>68</v>
      </c>
      <c r="M48" s="101"/>
      <c r="N48" s="57"/>
      <c r="O48" s="8"/>
    </row>
    <row r="49" spans="1:15" ht="15.75" x14ac:dyDescent="0.2">
      <c r="A49" s="7"/>
      <c r="B49" s="161" t="s">
        <v>70</v>
      </c>
      <c r="C49" s="161"/>
      <c r="D49" s="161"/>
      <c r="E49" s="161"/>
      <c r="F49" s="161"/>
      <c r="G49" s="134"/>
      <c r="H49" s="134"/>
      <c r="I49" s="134"/>
      <c r="J49" s="134"/>
      <c r="K49" s="134"/>
      <c r="L49" s="99"/>
      <c r="M49" s="100"/>
      <c r="N49" s="57"/>
      <c r="O49" s="8"/>
    </row>
    <row r="50" spans="1:15" ht="15.75" x14ac:dyDescent="0.2">
      <c r="A50" s="7"/>
      <c r="B50" s="3"/>
      <c r="C50" s="3"/>
      <c r="D50" s="18"/>
      <c r="E50" s="162"/>
      <c r="F50" s="162"/>
      <c r="G50" s="162"/>
      <c r="H50" s="162"/>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63" t="s">
        <v>54</v>
      </c>
      <c r="F53" s="163"/>
      <c r="G53" s="163"/>
      <c r="H53" s="163"/>
      <c r="I53" s="163"/>
      <c r="J53" s="163"/>
      <c r="K53" s="163"/>
      <c r="L53" s="98"/>
      <c r="M53" s="98"/>
      <c r="N53" s="57"/>
      <c r="O53" s="8"/>
    </row>
    <row r="54" spans="1:15" ht="15.75" x14ac:dyDescent="0.2">
      <c r="A54" s="124"/>
      <c r="B54" s="3"/>
      <c r="C54" s="3"/>
      <c r="D54" s="164" t="s">
        <v>56</v>
      </c>
      <c r="E54" s="164"/>
      <c r="F54" s="164"/>
      <c r="G54" s="164"/>
      <c r="H54" s="164"/>
      <c r="I54" s="164"/>
      <c r="J54" s="164"/>
      <c r="K54" s="164"/>
      <c r="L54" s="164"/>
      <c r="M54" s="98"/>
      <c r="N54" s="57"/>
    </row>
    <row r="55" spans="1:15" ht="15.75" x14ac:dyDescent="0.2">
      <c r="A55" s="123"/>
      <c r="B55" s="3"/>
      <c r="C55" s="3"/>
      <c r="D55" s="164"/>
      <c r="E55" s="164"/>
      <c r="F55" s="164"/>
      <c r="G55" s="164"/>
      <c r="H55" s="164"/>
      <c r="I55" s="164"/>
      <c r="J55" s="164"/>
      <c r="K55" s="164"/>
      <c r="L55" s="164"/>
      <c r="M55" s="98"/>
      <c r="N55" s="57"/>
    </row>
    <row r="56" spans="1:15" ht="13.5" thickBot="1" x14ac:dyDescent="0.25">
      <c r="B56" s="118"/>
      <c r="C56" s="118"/>
      <c r="D56" s="119"/>
      <c r="E56" s="119"/>
      <c r="F56" s="119"/>
      <c r="G56" s="152"/>
      <c r="H56" s="152"/>
      <c r="I56" s="152"/>
      <c r="J56" s="152"/>
      <c r="K56" s="152"/>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51"/>
      <c r="K58" s="151"/>
      <c r="L58" s="151"/>
      <c r="M58" s="151"/>
      <c r="N58" s="151"/>
    </row>
    <row r="59" spans="1:15" x14ac:dyDescent="0.2">
      <c r="B59" s="123"/>
      <c r="C59" s="123"/>
      <c r="D59" s="123"/>
      <c r="E59" s="123"/>
      <c r="F59" s="123"/>
      <c r="G59" s="123"/>
      <c r="H59" s="123"/>
      <c r="I59" s="123"/>
      <c r="J59" s="152"/>
      <c r="K59" s="152"/>
      <c r="L59" s="152"/>
      <c r="M59" s="152"/>
      <c r="N59"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 ref="J58:N59"/>
    <mergeCell ref="L22:M22"/>
    <mergeCell ref="L17:M19"/>
    <mergeCell ref="B48:F48"/>
    <mergeCell ref="B49:F49"/>
    <mergeCell ref="E50:H50"/>
    <mergeCell ref="E53:K53"/>
    <mergeCell ref="G56:K56"/>
    <mergeCell ref="D54:L55"/>
    <mergeCell ref="L42:L43"/>
    <mergeCell ref="M42:M4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5 L36:L38 L27:L31 K33: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8">
      <formula1>0</formula1>
      <formula2>0</formula2>
    </dataValidation>
    <dataValidation type="list" allowBlank="1" showInputMessage="1" showErrorMessage="1" errorTitle="Code TVA" error="Tapez 1, 2, ou 3." sqref="K27:K32 K36:K38 L32">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45797</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4296.8999999999996</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2025-05-20T11:03:19Z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4296.9</vt:r8>
  </property>
</Properties>
</file>