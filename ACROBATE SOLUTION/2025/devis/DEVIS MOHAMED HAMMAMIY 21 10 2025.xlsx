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Facture!$K$46</definedName>
    <definedName name="_Tax3">Facture!#REF!</definedName>
    <definedName name="_tax4">Facture!#REF!</definedName>
    <definedName name="_xlnm.Auto_Open21">'AutoOpen Stub Data'!$A$1</definedName>
    <definedName name="boxes">Facture!$D$44:$D$45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Facture!$K$22</definedName>
    <definedName name="data10">Facture!$E$25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Facture!$E$23</definedName>
    <definedName name="data60">Facture!#REF!</definedName>
    <definedName name="data61">Facture!#REF!</definedName>
    <definedName name="data62">Facture!$D$44</definedName>
    <definedName name="data63">Facture!$D$45</definedName>
    <definedName name="data64">Facture!$D$46</definedName>
    <definedName name="data65">Facture!$G$47</definedName>
    <definedName name="data66">Facture!#REF!</definedName>
    <definedName name="data67">Facture!$E$50</definedName>
    <definedName name="data68">Facture!$F$50</definedName>
    <definedName name="data69">Facture!$J$50</definedName>
    <definedName name="data7">Facture!$G$24</definedName>
    <definedName name="data70">Facture!$J$51</definedName>
    <definedName name="data8">Facture!$I$24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Facture!$C$3:$M$63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Facture!$L$4</definedName>
    <definedName name="NS">'Personnaliser votre facture'!$E$49</definedName>
    <definedName name="qzqzqz1">Facture!$D$22:$I$22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Facture!$K$22:$L$22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Facture!$E$49:$H$49</definedName>
    <definedName name="qzqzqz29">Facture!$K$49:$L$51</definedName>
    <definedName name="qzqzqz3">Facture!$D$23:$I$23</definedName>
    <definedName name="qzqzqz30">Facture!$F$50:$H$50</definedName>
    <definedName name="qzqzqz31">Facture!$F$50:$G$50</definedName>
    <definedName name="qzqzqz32">Facture!$K$49:$L$50</definedName>
    <definedName name="qzqzqz4">Facture!$F$24:$G$24</definedName>
    <definedName name="qzqzqz5">Facture!$K$24:$L$24</definedName>
    <definedName name="qzqzqz6">Facture!$D$25:$I$25</definedName>
    <definedName name="qzqzqz7">Facture!$K$25:$L$25</definedName>
    <definedName name="qzqzqz8">Facture!$E$27:$J$27</definedName>
    <definedName name="qzqzqz9">Facture!#REF!</definedName>
    <definedName name="SS">'Personnaliser votre facture'!$E$48</definedName>
    <definedName name="TOT">Facture!$L$47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Facture!$A$1:$M$64</definedName>
  </definedNames>
  <calcPr calcId="152511"/>
</workbook>
</file>

<file path=xl/calcChain.xml><?xml version="1.0" encoding="utf-8"?>
<calcChain xmlns="http://schemas.openxmlformats.org/spreadsheetml/2006/main">
  <c r="L39" i="3" l="1"/>
  <c r="L30" i="3" l="1"/>
  <c r="L28" i="3" l="1"/>
  <c r="F33" i="2" l="1"/>
  <c r="K8" i="8"/>
  <c r="I8" i="8"/>
  <c r="H8" i="8"/>
  <c r="G8" i="8"/>
  <c r="F8" i="8"/>
  <c r="E8" i="8"/>
  <c r="D8" i="8"/>
  <c r="C8" i="8"/>
  <c r="B8" i="8"/>
  <c r="L44" i="3" l="1"/>
  <c r="L46" i="3" s="1"/>
  <c r="L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K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<sst xmlns="http://schemas.openxmlformats.org/spreadsheetml/2006/main" count="89" uniqueCount="78">
  <si>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</si>
  <si>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</si>
  <si>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</si>
  <si>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</si>
  <si>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</si>
  <si>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</si>
  <si>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</si>
  <si>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</si>
  <si>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</si>
  <si>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</si>
  <si>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</si>
  <si>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</si>
  <si>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</si>
  <si>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</si>
  <si>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</si>
  <si>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</si>
  <si>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</si>
  <si>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</si>
  <si>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</si>
  <si>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</si>
  <si>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</si>
  <si>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</si>
  <si>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</si>
  <si>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</si>
  <si>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</si>
  <si>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</si>
  <si>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</si>
  <si>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</si>
  <si>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</si>
  <si>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</si>
  <si>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</si>
  <si>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</si>
  <si>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</si>
  <si>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</si>
  <si>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</si>
  <si>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</si>
  <si>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</si>
  <si>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</si>
  <si>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</si>
  <si>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</si>
  <si>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</si>
  <si>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</si>
  <si>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</si>
  <si>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</si>
  <si>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</si>
  <si>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</si>
  <si>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</si>
  <si>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</si>
  <si>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</si>
  <si>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</si>
  <si>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</si>
  <si>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</si>
  <si>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</si>
  <si>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</si>
  <si>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</si>
  <si>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</si>
  <si>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</si>
  <si>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</si>
  <si>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</si>
  <si>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</si>
  <si>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</si>
  <si>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</si>
  <si>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</si>
  <si>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N° Commande </t>
  </si>
  <si>
    <t>MF</t>
  </si>
  <si>
    <t xml:space="preserve">virement </t>
  </si>
  <si>
    <t>KIT COMPLET COMPOSE:</t>
  </si>
  <si>
    <t xml:space="preserve">* HARNIAS MIGUEL MIRANDA </t>
  </si>
  <si>
    <t xml:space="preserve">     CONFORME 3 NORMES EN 361 - EN358 - EN813</t>
  </si>
  <si>
    <t xml:space="preserve">* LONGE DOUBLE ELASTIQUE </t>
  </si>
  <si>
    <t xml:space="preserve">    CONFORME EN 355</t>
  </si>
  <si>
    <t xml:space="preserve">*LONGE DE MAINTIEN </t>
  </si>
  <si>
    <t xml:space="preserve">    CONFORME EN 358</t>
  </si>
  <si>
    <t>Cet équipement est approuvé par Huawei</t>
  </si>
  <si>
    <t>POULIE EN 12278</t>
  </si>
  <si>
    <t>MOHAMED HAMMAMIY</t>
  </si>
  <si>
    <t xml:space="preserve">Cet article sera disponible fin décembre. </t>
  </si>
  <si>
    <t>DEVIS   N°2025-924</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</si>
</sst>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2">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
      <sz val="20"/>
      <name val="Open Sans"/>
    </font>
    <font>
      <u/>
      <sz val="14"/>
      <color theme="10"/>
      <name val="Arial"/>
      <family val="2"/>
    </font>
    <font>
      <u/>
      <sz val="11"/>
      <color theme="10"/>
      <name val="Arial"/>
      <family val="2"/>
    </font>
    <font>
      <b/>
      <sz val="11"/>
      <name val="Arial"/>
      <family val="2"/>
    </font>
    <font>
      <b/>
      <sz val="11"/>
      <color theme="1"/>
      <name val="Arial"/>
      <family val="2"/>
    </font>
    <font>
      <sz val="11"/>
      <color rgb="FF000000"/>
      <name val="Arial"/>
      <family val="2"/>
    </font>
    <font>
      <b/>
      <sz val="14"/>
      <color rgb="FF000000"/>
      <name val="Arial"/>
      <family val="2"/>
    </font>
    <font>
      <sz val="14"/>
      <color theme="1"/>
      <name val="Arial"/>
      <family val="2"/>
    </font>
    <font>
      <b/>
      <u/>
      <sz val="16"/>
      <color rgb="FFC00000"/>
      <name val="Arial"/>
      <family val="2"/>
    </font>
    <font>
      <b/>
      <u/>
      <sz val="20"/>
      <color rgb="FFC00000"/>
      <name val="Arial"/>
      <family val="2"/>
    </font>
    <font>
      <b/>
      <u/>
      <sz val="20"/>
      <color rgb="FFFF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49" fontId="31"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52"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51" xfId="5" applyNumberFormat="1" applyFill="1" applyBorder="1" applyAlignment="1"/>
    <xf numFmtId="49" fontId="35" fillId="0" borderId="48" xfId="5" applyNumberFormat="1" applyFill="1" applyBorder="1" applyAlignment="1"/>
    <xf numFmtId="0" fontId="0" fillId="6" borderId="0" xfId="0" applyFill="1"/>
    <xf numFmtId="168" fontId="27" fillId="0" borderId="47" xfId="0" applyNumberFormat="1" applyFont="1" applyFill="1" applyBorder="1" applyAlignment="1"/>
    <xf numFmtId="0" fontId="23" fillId="0" borderId="28" xfId="0"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4" xfId="0" applyNumberFormat="1" applyFont="1" applyFill="1" applyBorder="1" applyAlignment="1">
      <alignment horizontal="left"/>
    </xf>
    <xf numFmtId="0" fontId="38" fillId="3" borderId="35" xfId="0" applyFont="1" applyFill="1" applyBorder="1" applyAlignment="1">
      <alignment horizontal="left"/>
    </xf>
    <xf numFmtId="0" fontId="38" fillId="3" borderId="35" xfId="0" applyFont="1" applyFill="1" applyBorder="1" applyAlignment="1"/>
    <xf numFmtId="0" fontId="37" fillId="3" borderId="35" xfId="0" applyFont="1" applyFill="1" applyBorder="1" applyAlignment="1"/>
    <xf numFmtId="0" fontId="23" fillId="0" borderId="53" xfId="0" applyFont="1" applyFill="1" applyBorder="1" applyAlignment="1">
      <alignment horizontal="center"/>
    </xf>
    <xf numFmtId="1" fontId="27" fillId="0" borderId="47" xfId="0" applyNumberFormat="1" applyFont="1" applyFill="1" applyBorder="1" applyAlignment="1">
      <alignment horizontal="center"/>
    </xf>
    <xf numFmtId="49" fontId="35" fillId="0" borderId="49" xfId="5" applyNumberFormat="1" applyFill="1" applyBorder="1" applyAlignment="1"/>
    <xf numFmtId="49" fontId="35" fillId="0" borderId="50" xfId="5" applyNumberFormat="1" applyFill="1" applyBorder="1" applyAlignment="1"/>
    <xf numFmtId="49" fontId="39" fillId="0" borderId="49" xfId="5" applyNumberFormat="1" applyFont="1" applyFill="1" applyBorder="1" applyAlignment="1"/>
    <xf numFmtId="49" fontId="31" fillId="0" borderId="49" xfId="5" applyNumberFormat="1" applyFont="1" applyFill="1" applyBorder="1" applyAlignment="1"/>
    <xf numFmtId="49" fontId="23" fillId="0" borderId="28" xfId="0" applyNumberFormat="1" applyFont="1" applyFill="1" applyBorder="1" applyAlignment="1"/>
    <xf numFmtId="0" fontId="23" fillId="3" borderId="28" xfId="0" applyFont="1" applyFill="1" applyBorder="1" applyAlignment="1">
      <alignment horizontal="center"/>
    </xf>
    <xf numFmtId="1" fontId="40" fillId="0" borderId="29" xfId="0" applyNumberFormat="1" applyFont="1" applyFill="1" applyBorder="1" applyAlignment="1">
      <alignment horizontal="center"/>
    </xf>
    <xf numFmtId="1" fontId="33" fillId="0" borderId="29" xfId="0" applyNumberFormat="1" applyFont="1" applyFill="1" applyBorder="1" applyAlignment="1">
      <alignment horizontal="center"/>
    </xf>
    <xf numFmtId="169" fontId="31" fillId="0" borderId="29" xfId="0" applyNumberFormat="1" applyFont="1" applyFill="1" applyBorder="1"/>
    <xf numFmtId="49" fontId="41" fillId="6" borderId="0" xfId="0" applyNumberFormat="1" applyFont="1" applyFill="1" applyAlignment="1">
      <alignment horizontal="center" vertical="center"/>
    </xf>
    <xf numFmtId="49" fontId="29" fillId="0" borderId="28" xfId="0" applyNumberFormat="1" applyFont="1" applyFill="1" applyBorder="1" applyAlignment="1"/>
    <xf numFmtId="49" fontId="29"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170" fontId="27" fillId="0" borderId="29" xfId="0" applyNumberFormat="1" applyFont="1" applyFill="1" applyBorder="1" applyAlignment="1"/>
    <xf numFmtId="1" fontId="31" fillId="0" borderId="29" xfId="0" applyNumberFormat="1" applyFont="1" applyFill="1" applyBorder="1" applyAlignment="1">
      <alignment horizontal="center"/>
    </xf>
    <xf numFmtId="170" fontId="27" fillId="0" borderId="29" xfId="0" applyNumberFormat="1" applyFont="1" applyFill="1" applyBorder="1" applyAlignment="1">
      <alignment horizontal="center" vertical="center"/>
    </xf>
    <xf numFmtId="49" fontId="43" fillId="0" borderId="0" xfId="5" applyNumberFormat="1" applyFont="1" applyFill="1" applyBorder="1" applyAlignment="1" applyProtection="1"/>
    <xf numFmtId="0" fontId="44" fillId="3" borderId="0" xfId="0" applyFont="1" applyFill="1" applyBorder="1" applyAlignment="1"/>
    <xf numFmtId="0" fontId="8" fillId="3" borderId="0" xfId="0" applyFont="1" applyFill="1" applyBorder="1" applyAlignment="1"/>
    <xf numFmtId="0" fontId="8" fillId="6" borderId="0" xfId="0" applyFont="1" applyFill="1" applyBorder="1"/>
    <xf numFmtId="0" fontId="45" fillId="7" borderId="54" xfId="0" applyFont="1" applyFill="1" applyBorder="1"/>
    <xf numFmtId="0" fontId="8" fillId="7" borderId="0" xfId="0" applyFont="1" applyFill="1"/>
    <xf numFmtId="0" fontId="46" fillId="7" borderId="0" xfId="0" applyFont="1" applyFill="1" applyAlignment="1"/>
    <xf numFmtId="0" fontId="8" fillId="6" borderId="0" xfId="0" applyFont="1" applyFill="1" applyBorder="1" applyAlignment="1">
      <alignment horizontal="left"/>
    </xf>
    <xf numFmtId="0" fontId="44" fillId="6" borderId="0" xfId="0" applyFont="1" applyFill="1"/>
    <xf numFmtId="0" fontId="47" fillId="7" borderId="54" xfId="0" applyFont="1" applyFill="1" applyBorder="1"/>
    <xf numFmtId="49" fontId="21" fillId="0" borderId="28" xfId="0" applyNumberFormat="1" applyFont="1" applyFill="1" applyBorder="1" applyAlignment="1"/>
    <xf numFmtId="49" fontId="48" fillId="0" borderId="28" xfId="5" applyNumberFormat="1" applyFont="1" applyFill="1" applyBorder="1" applyAlignment="1" applyProtection="1"/>
    <xf numFmtId="0" fontId="8" fillId="6" borderId="29" xfId="0" applyFont="1" applyFill="1" applyBorder="1"/>
    <xf numFmtId="0" fontId="46" fillId="7" borderId="39" xfId="0" applyFont="1" applyFill="1" applyBorder="1" applyAlignment="1"/>
    <xf numFmtId="170" fontId="27" fillId="0" borderId="39" xfId="0" applyNumberFormat="1" applyFont="1" applyFill="1" applyBorder="1" applyAlignment="1"/>
    <xf numFmtId="0" fontId="8" fillId="3" borderId="39" xfId="0" applyFont="1" applyFill="1" applyBorder="1" applyAlignment="1"/>
    <xf numFmtId="0" fontId="8" fillId="6" borderId="39" xfId="0" applyFont="1" applyFill="1" applyBorder="1" applyAlignment="1">
      <alignment horizontal="left"/>
    </xf>
    <xf numFmtId="49" fontId="49" fillId="0" borderId="28" xfId="0" applyNumberFormat="1" applyFont="1" applyFill="1" applyBorder="1" applyAlignment="1"/>
    <xf numFmtId="0" fontId="29" fillId="3" borderId="0" xfId="0" applyFont="1" applyFill="1" applyBorder="1" applyAlignment="1">
      <alignment horizontal="left"/>
    </xf>
    <xf numFmtId="49" fontId="23" fillId="0" borderId="0" xfId="0" applyNumberFormat="1" applyFont="1" applyFill="1" applyBorder="1" applyAlignment="1"/>
    <xf numFmtId="49" fontId="38" fillId="0" borderId="0" xfId="0" applyNumberFormat="1" applyFont="1" applyFill="1" applyBorder="1" applyAlignment="1"/>
    <xf numFmtId="49" fontId="50" fillId="0" borderId="0"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8"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3" fontId="38" fillId="3" borderId="35" xfId="0" applyNumberFormat="1" applyFont="1" applyFill="1" applyBorder="1" applyAlignment="1">
      <alignment horizontal="center"/>
    </xf>
    <xf numFmtId="0" fontId="38" fillId="3" borderId="35" xfId="0" applyFont="1" applyFill="1" applyBorder="1" applyAlignment="1">
      <alignment horizontal="center"/>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30" fillId="3" borderId="35" xfId="0" applyFont="1" applyFill="1" applyBorder="1" applyAlignment="1">
      <alignment horizontal="left"/>
    </xf>
    <xf numFmtId="49" fontId="51" fillId="0" borderId="28"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314700</xdr:colOff>
      <xdr:row>11</xdr:row>
      <xdr:rowOff>28202</xdr:rowOff>
    </xdr:from>
    <xdr:to>
      <xdr:col>4</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2</xdr:col>
          <xdr:colOff>1533525</xdr:colOff>
          <xdr:row>45</xdr:row>
          <xdr:rowOff>114300</xdr:rowOff>
        </xdr:from>
        <xdr:to>
          <xdr:col>2</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1590675</xdr:colOff>
          <xdr:row>44</xdr:row>
          <xdr:rowOff>95250</xdr:rowOff>
        </xdr:from>
        <xdr:to>
          <xdr:col>2</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31750</xdr:colOff>
      <xdr:row>3</xdr:row>
      <xdr:rowOff>47624</xdr:rowOff>
    </xdr:from>
    <xdr:to>
      <xdr:col>6</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10</xdr:col>
      <xdr:colOff>0</xdr:colOff>
      <xdr:row>20</xdr:row>
      <xdr:rowOff>47625</xdr:rowOff>
    </xdr:from>
    <xdr:to>
      <xdr:col>12</xdr:col>
      <xdr:colOff>95250</xdr:colOff>
      <xdr:row>24</xdr:row>
      <xdr:rowOff>285750</xdr:rowOff>
    </xdr:to>
    <xdr:sp macro="" textlink="">
      <xdr:nvSpPr>
        <xdr:cNvPr id="9" name="INVB2"/>
        <xdr:cNvSpPr>
          <a:spLocks noChangeArrowheads="1"/>
        </xdr:cNvSpPr>
      </xdr:nvSpPr>
      <xdr:spPr bwMode="auto">
        <a:xfrm>
          <a:off x="8080375" y="3587750"/>
          <a:ext cx="5270500" cy="1365250"/>
        </a:xfrm>
        <a:prstGeom prst="roundRect">
          <a:avLst>
            <a:gd name="adj" fmla="val 16667"/>
          </a:avLst>
        </a:prstGeom>
        <a:noFill/>
        <a:ln w="9525">
          <a:solidFill>
            <a:srgbClr val="000080"/>
          </a:solidFill>
          <a:round/>
          <a:headEnd/>
          <a:tailEnd/>
        </a:ln>
      </xdr:spPr>
    </xdr:sp>
    <xdr:clientData/>
  </xdr:twoCellAnchor>
  <xdr:twoCellAnchor editAs="oneCell">
    <xdr:from>
      <xdr:col>11</xdr:col>
      <xdr:colOff>904875</xdr:colOff>
      <xdr:row>4</xdr:row>
      <xdr:rowOff>15876</xdr:rowOff>
    </xdr:from>
    <xdr:to>
      <xdr:col>11</xdr:col>
      <xdr:colOff>2188951</xdr:colOff>
      <xdr:row>10</xdr:row>
      <xdr:rowOff>47626</xdr:rowOff>
    </xdr:to>
    <xdr:pic>
      <xdr:nvPicPr>
        <xdr:cNvPr id="11" name="Image 10"/>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969750" y="523876"/>
          <a:ext cx="1284076" cy="1047750"/>
        </a:xfrm>
        <a:prstGeom prst="rect">
          <a:avLst/>
        </a:prstGeom>
      </xdr:spPr>
    </xdr:pic>
    <xdr:clientData/>
  </xdr:twoCellAnchor>
  <xdr:twoCellAnchor editAs="oneCell">
    <xdr:from>
      <xdr:col>10</xdr:col>
      <xdr:colOff>2206624</xdr:colOff>
      <xdr:row>6</xdr:row>
      <xdr:rowOff>15875</xdr:rowOff>
    </xdr:from>
    <xdr:to>
      <xdr:col>11</xdr:col>
      <xdr:colOff>563468</xdr:colOff>
      <xdr:row>9</xdr:row>
      <xdr:rowOff>142875</xdr:rowOff>
    </xdr:to>
    <xdr:pic>
      <xdr:nvPicPr>
        <xdr:cNvPr id="4" name="Image 3"/>
        <xdr:cNvPicPr>
          <a:picLocks noChangeAspect="1"/>
        </xdr:cNvPicPr>
      </xdr:nvPicPr>
      <xdr:blipFill>
        <a:blip xmlns:r="http://schemas.openxmlformats.org/officeDocument/2006/relationships" r:embed="rId3"/>
        <a:stretch>
          <a:fillRect/>
        </a:stretch>
      </xdr:blipFill>
      <xdr:spPr>
        <a:xfrm>
          <a:off x="10286999" y="841375"/>
          <a:ext cx="1341344" cy="6667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81" t="s">
        <v>0</v>
      </c>
      <c r="E4" s="182"/>
      <c r="F4" s="182"/>
      <c r="G4" s="3"/>
      <c r="H4" s="3"/>
      <c r="I4" s="3"/>
      <c r="J4" s="9"/>
    </row>
    <row r="5" spans="2:10" ht="3" customHeight="1" thickTop="1">
      <c r="B5" s="2"/>
      <c r="C5" s="53"/>
      <c r="D5" s="53"/>
      <c r="E5" s="53"/>
      <c r="F5" s="53"/>
      <c r="G5" s="53"/>
      <c r="H5" s="53"/>
      <c r="I5" s="53"/>
      <c r="J5" s="1"/>
    </row>
    <row r="6" spans="2:10" ht="12.75" customHeight="1">
      <c r="B6" s="7"/>
      <c r="C6" s="3"/>
      <c r="D6" s="20"/>
      <c r="E6" s="3"/>
      <c r="F6" s="3"/>
      <c r="G6" s="3"/>
      <c r="H6" s="3"/>
      <c r="I6" s="3"/>
      <c r="J6" s="9"/>
    </row>
    <row r="7" spans="2:10">
      <c r="B7" s="7"/>
      <c r="C7" s="3"/>
      <c r="D7" s="3"/>
      <c r="E7" s="3"/>
      <c r="F7" s="3"/>
      <c r="G7" s="59" t="s">
        <v>45</v>
      </c>
      <c r="H7" s="3"/>
      <c r="I7" s="3"/>
      <c r="J7" s="9"/>
    </row>
    <row r="8" spans="2:10">
      <c r="B8" s="7"/>
      <c r="C8" s="3"/>
      <c r="D8" s="3"/>
      <c r="E8" s="3"/>
      <c r="F8" s="3"/>
      <c r="G8" s="59" t="s">
        <v>1</v>
      </c>
      <c r="H8" s="3"/>
      <c r="I8" s="3"/>
      <c r="J8" s="9"/>
    </row>
    <row r="9" spans="2:10">
      <c r="B9" s="7"/>
      <c r="C9" s="3"/>
      <c r="D9" s="21"/>
      <c r="E9" s="3"/>
      <c r="F9" s="3"/>
      <c r="G9" s="43"/>
      <c r="H9" s="3"/>
      <c r="I9" s="3"/>
      <c r="J9" s="9"/>
    </row>
    <row r="10" spans="2:10" ht="13.5" thickBot="1">
      <c r="B10" s="7"/>
      <c r="C10" s="3"/>
      <c r="D10" s="183" t="s">
        <v>2</v>
      </c>
      <c r="E10" s="184"/>
      <c r="F10" s="3"/>
      <c r="G10" s="3"/>
      <c r="H10" s="3"/>
      <c r="I10" s="3"/>
      <c r="J10" s="9"/>
    </row>
    <row r="11" spans="2:10" ht="5.25" customHeight="1" thickBot="1">
      <c r="B11" s="7"/>
      <c r="C11" s="3"/>
      <c r="D11" s="23"/>
      <c r="E11" s="24"/>
      <c r="F11" s="24"/>
      <c r="G11" s="24"/>
      <c r="H11" s="25"/>
      <c r="I11" s="3"/>
      <c r="J11" s="9"/>
    </row>
    <row r="12" spans="2:10">
      <c r="B12" s="7"/>
      <c r="C12" s="3"/>
      <c r="D12" s="33" t="s">
        <v>3</v>
      </c>
      <c r="E12" s="13" t="s">
        <v>49</v>
      </c>
      <c r="F12" s="60" t="s">
        <v>4</v>
      </c>
      <c r="G12" s="17"/>
      <c r="H12" s="26"/>
      <c r="I12" s="3"/>
      <c r="J12" s="9"/>
    </row>
    <row r="13" spans="2:10" ht="13.5" thickBot="1">
      <c r="B13" s="7"/>
      <c r="C13" s="3"/>
      <c r="D13" s="33" t="s">
        <v>5</v>
      </c>
      <c r="E13" s="14" t="s">
        <v>48</v>
      </c>
      <c r="F13" s="60" t="s">
        <v>6</v>
      </c>
      <c r="G13" s="18"/>
      <c r="H13" s="26"/>
      <c r="I13" s="3"/>
      <c r="J13" s="9"/>
    </row>
    <row r="14" spans="2:10">
      <c r="B14" s="7"/>
      <c r="C14" s="3"/>
      <c r="D14" s="33" t="s">
        <v>7</v>
      </c>
      <c r="E14" s="15" t="s">
        <v>50</v>
      </c>
      <c r="F14" s="27"/>
      <c r="G14" s="28"/>
      <c r="H14" s="26"/>
      <c r="I14" s="3"/>
      <c r="J14" s="9"/>
    </row>
    <row r="15" spans="2:10">
      <c r="B15" s="7"/>
      <c r="C15" s="3"/>
      <c r="D15" s="33" t="s">
        <v>8</v>
      </c>
      <c r="E15" s="14" t="s">
        <v>51</v>
      </c>
      <c r="F15" s="40"/>
      <c r="G15" s="28"/>
      <c r="H15" s="26"/>
      <c r="I15" s="3"/>
      <c r="J15" s="9"/>
    </row>
    <row r="16" spans="2:10" ht="13.5" thickBot="1">
      <c r="B16" s="7"/>
      <c r="C16" s="3"/>
      <c r="D16" s="33" t="s">
        <v>9</v>
      </c>
      <c r="E16" s="16"/>
      <c r="F16" s="40"/>
      <c r="G16" s="28"/>
      <c r="H16" s="26"/>
      <c r="I16" s="3"/>
      <c r="J16" s="9"/>
    </row>
    <row r="17" spans="2:10" ht="6" customHeight="1" thickBot="1">
      <c r="B17" s="7"/>
      <c r="C17" s="3"/>
      <c r="D17" s="29"/>
      <c r="E17" s="30"/>
      <c r="F17" s="30"/>
      <c r="G17" s="30"/>
      <c r="H17" s="31"/>
      <c r="I17" s="3"/>
      <c r="J17" s="9"/>
    </row>
    <row r="18" spans="2:10" ht="6" customHeight="1">
      <c r="B18" s="7"/>
      <c r="C18" s="3"/>
      <c r="D18" s="3"/>
      <c r="E18" s="3"/>
      <c r="F18" s="3"/>
      <c r="G18" s="3"/>
      <c r="H18" s="3"/>
      <c r="I18" s="3"/>
      <c r="J18" s="9"/>
    </row>
    <row r="19" spans="2:10" ht="13.5" thickBot="1">
      <c r="B19" s="7"/>
      <c r="C19" s="3"/>
      <c r="D19" s="185" t="s">
        <v>46</v>
      </c>
      <c r="E19" s="184"/>
      <c r="F19" s="3"/>
      <c r="G19" s="3"/>
      <c r="H19" s="3"/>
      <c r="I19" s="3"/>
      <c r="J19" s="9"/>
    </row>
    <row r="20" spans="2:10" ht="5.25" customHeight="1">
      <c r="B20" s="7"/>
      <c r="C20" s="3"/>
      <c r="D20" s="32"/>
      <c r="E20" s="24"/>
      <c r="F20" s="24"/>
      <c r="G20" s="24"/>
      <c r="H20" s="25"/>
      <c r="I20" s="3"/>
      <c r="J20" s="9"/>
    </row>
    <row r="21" spans="2:10" ht="13.5" thickBot="1">
      <c r="B21" s="7"/>
      <c r="C21" s="3"/>
      <c r="D21" s="41"/>
      <c r="E21" s="40" t="s">
        <v>34</v>
      </c>
      <c r="F21" s="34"/>
      <c r="G21" s="42" t="s">
        <v>10</v>
      </c>
      <c r="H21" s="26"/>
      <c r="I21" s="3"/>
      <c r="J21" s="9"/>
    </row>
    <row r="22" spans="2:10">
      <c r="B22" s="7"/>
      <c r="C22" s="3"/>
      <c r="D22" s="33">
        <v>1</v>
      </c>
      <c r="E22" s="67">
        <v>0.1</v>
      </c>
      <c r="F22" s="34"/>
      <c r="G22" s="37"/>
      <c r="H22" s="26"/>
      <c r="I22" s="3"/>
      <c r="J22" s="9"/>
    </row>
    <row r="23" spans="2:10">
      <c r="B23" s="7"/>
      <c r="C23" s="3"/>
      <c r="D23" s="35">
        <v>2</v>
      </c>
      <c r="E23" s="61">
        <v>0.18</v>
      </c>
      <c r="F23" s="34"/>
      <c r="G23" s="38"/>
      <c r="H23" s="26"/>
      <c r="I23" s="3"/>
      <c r="J23" s="9"/>
    </row>
    <row r="24" spans="2:10" ht="13.5" thickBot="1">
      <c r="B24" s="7"/>
      <c r="C24" s="3"/>
      <c r="D24" s="35">
        <v>3</v>
      </c>
      <c r="E24" s="57">
        <v>0.28999999999999998</v>
      </c>
      <c r="F24" s="34"/>
      <c r="G24" s="36"/>
      <c r="H24" s="26"/>
      <c r="I24" s="3"/>
      <c r="J24" s="9"/>
    </row>
    <row r="25" spans="2:10" ht="13.5" thickBot="1">
      <c r="B25" s="7"/>
      <c r="C25" s="3"/>
      <c r="D25" s="41"/>
      <c r="E25" s="40"/>
      <c r="F25" s="34"/>
      <c r="G25" s="39"/>
      <c r="H25" s="26"/>
      <c r="I25" s="3"/>
      <c r="J25" s="9"/>
    </row>
    <row r="26" spans="2:10" ht="13.5" thickBot="1">
      <c r="B26" s="7"/>
      <c r="C26" s="3"/>
      <c r="D26" s="35"/>
      <c r="E26" s="40"/>
      <c r="F26" s="34"/>
      <c r="G26" s="34"/>
      <c r="H26" s="26"/>
      <c r="I26" s="3"/>
      <c r="J26" s="9"/>
    </row>
    <row r="27" spans="2:10" ht="13.5" thickBot="1">
      <c r="B27" s="7"/>
      <c r="C27" s="3"/>
      <c r="D27" s="35"/>
      <c r="E27" s="28"/>
      <c r="F27" s="27" t="s">
        <v>47</v>
      </c>
      <c r="G27" s="68">
        <v>0.2</v>
      </c>
      <c r="H27" s="26"/>
      <c r="I27" s="3"/>
      <c r="J27" s="9"/>
    </row>
    <row r="28" spans="2:10">
      <c r="B28" s="7"/>
      <c r="C28" s="3"/>
      <c r="D28" s="44"/>
      <c r="E28" s="40"/>
      <c r="F28" s="34"/>
      <c r="G28" s="34"/>
      <c r="H28" s="26"/>
      <c r="I28" s="3"/>
      <c r="J28" s="9"/>
    </row>
    <row r="29" spans="2:10" ht="13.5" thickBot="1">
      <c r="B29" s="7"/>
      <c r="C29" s="3"/>
      <c r="D29" s="44"/>
      <c r="E29" s="40"/>
      <c r="F29" s="34"/>
      <c r="G29" s="34"/>
      <c r="H29" s="26"/>
      <c r="I29" s="3"/>
      <c r="J29" s="9"/>
    </row>
    <row r="30" spans="2:10" ht="13.5" thickBot="1">
      <c r="B30" s="7"/>
      <c r="C30" s="3"/>
      <c r="D30" s="44" t="b">
        <v>0</v>
      </c>
      <c r="E30" s="40" t="s">
        <v>11</v>
      </c>
      <c r="F30" s="27" t="s">
        <v>12</v>
      </c>
      <c r="G30" s="56"/>
      <c r="H30" s="26"/>
      <c r="I30" s="3"/>
      <c r="J30" s="9"/>
    </row>
    <row r="31" spans="2:10">
      <c r="B31" s="7"/>
      <c r="C31" s="3"/>
      <c r="D31" s="44"/>
      <c r="E31" s="40" t="s">
        <v>13</v>
      </c>
      <c r="F31" s="27" t="s">
        <v>14</v>
      </c>
      <c r="G31" s="40"/>
      <c r="H31" s="26"/>
      <c r="I31" s="3"/>
      <c r="J31" s="9"/>
    </row>
    <row r="32" spans="2:10" ht="13.5" thickBot="1">
      <c r="B32" s="7"/>
      <c r="C32" s="3"/>
      <c r="D32" s="44"/>
      <c r="E32" s="40"/>
      <c r="F32" s="27"/>
      <c r="G32" s="40"/>
      <c r="H32" s="26"/>
      <c r="I32" s="3"/>
      <c r="J32" s="9"/>
    </row>
    <row r="33" spans="2:10" ht="13.5" thickBot="1">
      <c r="B33" s="7"/>
      <c r="C33" s="3"/>
      <c r="D33" s="44"/>
      <c r="E33" s="27" t="s">
        <v>15</v>
      </c>
      <c r="F33" s="186" t="str">
        <f>LOWER(TemplateInformation!B3)</f>
        <v>c:\program files\microsoft office\office\macrolib\factbd.xls</v>
      </c>
      <c r="G33" s="187"/>
      <c r="H33" s="26"/>
      <c r="I33" s="3"/>
      <c r="J33" s="9"/>
    </row>
    <row r="34" spans="2:10" ht="13.5" thickBot="1">
      <c r="B34" s="7"/>
      <c r="C34" s="3"/>
      <c r="D34" s="29"/>
      <c r="E34" s="30"/>
      <c r="F34" s="30"/>
      <c r="G34" s="30"/>
      <c r="H34" s="31"/>
      <c r="I34" s="3"/>
      <c r="J34" s="9"/>
    </row>
    <row r="35" spans="2:10" ht="6" customHeight="1">
      <c r="B35" s="7"/>
      <c r="C35" s="3"/>
      <c r="D35" s="3"/>
      <c r="E35" s="3"/>
      <c r="F35" s="3"/>
      <c r="G35" s="3"/>
      <c r="H35" s="3"/>
      <c r="I35" s="3"/>
      <c r="J35" s="9"/>
    </row>
    <row r="36" spans="2:10" ht="13.5" thickBot="1">
      <c r="B36" s="7"/>
      <c r="C36" s="3"/>
      <c r="D36" s="183" t="s">
        <v>16</v>
      </c>
      <c r="E36" s="184"/>
      <c r="F36" s="3"/>
      <c r="G36" s="3"/>
      <c r="H36" s="3"/>
      <c r="I36" s="3"/>
      <c r="J36" s="9"/>
    </row>
    <row r="37" spans="2:10" ht="14.25">
      <c r="B37" s="7"/>
      <c r="C37" s="3"/>
      <c r="D37" s="23"/>
      <c r="E37" s="24"/>
      <c r="F37" s="24"/>
      <c r="G37" s="24"/>
      <c r="H37" s="25"/>
      <c r="I37" s="3"/>
      <c r="J37" s="9"/>
    </row>
    <row r="38" spans="2:10" ht="15.75">
      <c r="B38" s="7"/>
      <c r="C38" s="3"/>
      <c r="D38" s="45"/>
      <c r="E38" s="46"/>
      <c r="F38" s="70"/>
      <c r="G38" s="46"/>
      <c r="H38" s="47"/>
      <c r="I38" s="55"/>
      <c r="J38" s="22"/>
    </row>
    <row r="39" spans="2:10" ht="14.25">
      <c r="B39" s="7"/>
      <c r="C39" s="3"/>
      <c r="D39" s="45"/>
      <c r="E39" s="46"/>
      <c r="F39" s="48"/>
      <c r="G39" s="46"/>
      <c r="H39" s="47"/>
      <c r="I39" s="55"/>
      <c r="J39" s="22"/>
    </row>
    <row r="40" spans="2:10" ht="14.25">
      <c r="B40" s="7"/>
      <c r="C40" s="3"/>
      <c r="D40" s="45"/>
      <c r="E40" s="46"/>
      <c r="F40" s="46"/>
      <c r="G40" s="46"/>
      <c r="H40" s="47"/>
      <c r="I40" s="55"/>
      <c r="J40" s="22"/>
    </row>
    <row r="41" spans="2:10" ht="14.25">
      <c r="B41" s="7"/>
      <c r="C41" s="3"/>
      <c r="D41" s="45"/>
      <c r="E41" s="46"/>
      <c r="F41" s="46"/>
      <c r="G41" s="46"/>
      <c r="H41" s="47"/>
      <c r="I41" s="55"/>
      <c r="J41" s="22"/>
    </row>
    <row r="42" spans="2:10" ht="20.100000000000001" customHeight="1">
      <c r="B42" s="7"/>
      <c r="C42" s="3"/>
      <c r="D42" s="45"/>
      <c r="E42" s="46"/>
      <c r="F42" s="46"/>
      <c r="G42" s="46"/>
      <c r="H42" s="47"/>
      <c r="I42" s="55"/>
      <c r="J42" s="22"/>
    </row>
    <row r="43" spans="2:10" ht="14.25">
      <c r="B43" s="7"/>
      <c r="C43" s="3"/>
      <c r="D43" s="45"/>
      <c r="E43" s="46"/>
      <c r="F43" s="46"/>
      <c r="G43" s="46"/>
      <c r="H43" s="47"/>
      <c r="I43" s="55"/>
      <c r="J43" s="22"/>
    </row>
    <row r="44" spans="2:10" ht="26.25" customHeight="1" thickBot="1">
      <c r="B44" s="7"/>
      <c r="C44" s="3"/>
      <c r="D44" s="49"/>
      <c r="E44" s="50"/>
      <c r="F44" s="50"/>
      <c r="G44" s="50"/>
      <c r="H44" s="51"/>
      <c r="I44" s="55"/>
      <c r="J44" s="22"/>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58">
        <v>0</v>
      </c>
    </row>
    <row r="49" spans="5:5">
      <c r="E49" s="58" t="b">
        <v>0</v>
      </c>
    </row>
    <row r="50" spans="5:5">
      <c r="E50" s="58" t="b">
        <v>0</v>
      </c>
    </row>
    <row r="51" spans="5:5">
      <c r="E51" s="58" t="s">
        <v>17</v>
      </c>
    </row>
    <row r="52" spans="5:5">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4"/>
  <sheetViews>
    <sheetView showGridLines="0" showRowColHeaders="0" tabSelected="1" topLeftCell="C1" zoomScale="60" zoomScaleNormal="60" workbookViewId="0">
      <selection activeCell="E30" sqref="E30"/>
    </sheetView>
  </sheetViews>
  <sheetFormatPr baseColWidth="10" defaultColWidth="9.140625" defaultRowHeight="12.75"/>
  <cols>
    <col min="1" max="1" width="1.28515625" hidden="1" customWidth="1"/>
    <col min="2" max="2" width="0.42578125" hidden="1" customWidth="1"/>
    <col min="3" max="3" width="33.7109375" customWidth="1"/>
    <col min="4" max="4" width="12.42578125" customWidth="1"/>
    <col min="5" max="5" width="13.28515625" customWidth="1"/>
    <col min="6" max="6" width="9.140625" customWidth="1"/>
    <col min="7" max="7" width="13.7109375" customWidth="1"/>
    <col min="8" max="8" width="14.42578125" customWidth="1"/>
    <col min="9" max="9" width="9.42578125" customWidth="1"/>
    <col min="10" max="10" width="14.85546875" customWidth="1"/>
    <col min="11" max="11" width="44.7109375" customWidth="1"/>
    <col min="12" max="12" width="32.85546875" customWidth="1"/>
    <col min="13" max="13" width="3.7109375" customWidth="1"/>
    <col min="14" max="14" width="0.42578125" customWidth="1"/>
  </cols>
  <sheetData>
    <row r="1" spans="1:14" ht="6" customHeight="1" thickBot="1">
      <c r="A1" s="72"/>
    </row>
    <row r="2" spans="1:14" ht="0.95" customHeight="1" thickTop="1">
      <c r="B2" s="4"/>
      <c r="C2" s="5"/>
      <c r="D2" s="5"/>
      <c r="E2" s="5"/>
      <c r="F2" s="5"/>
      <c r="G2" s="5"/>
      <c r="H2" s="5"/>
      <c r="I2" s="5"/>
      <c r="J2" s="5"/>
      <c r="K2" s="5"/>
      <c r="L2" s="5"/>
      <c r="M2" s="5"/>
      <c r="N2" s="6"/>
    </row>
    <row r="3" spans="1:14">
      <c r="B3" s="7"/>
      <c r="C3" s="3"/>
      <c r="D3" s="3"/>
      <c r="E3" s="3"/>
      <c r="F3" s="3"/>
      <c r="G3" s="3"/>
      <c r="H3" s="3"/>
      <c r="I3" s="3"/>
      <c r="J3" s="3"/>
      <c r="K3" s="3"/>
      <c r="L3" s="3"/>
      <c r="M3" s="3"/>
      <c r="N3" s="9"/>
    </row>
    <row r="4" spans="1:14" ht="20.25">
      <c r="B4" s="7"/>
      <c r="C4" s="3"/>
      <c r="D4" s="3"/>
      <c r="E4" s="3"/>
      <c r="F4" s="3"/>
      <c r="G4" s="3"/>
      <c r="H4" s="3"/>
      <c r="I4" s="3"/>
      <c r="J4" s="8"/>
      <c r="K4" s="69"/>
      <c r="L4" s="19" t="s">
        <v>18</v>
      </c>
      <c r="M4" s="19"/>
      <c r="N4" s="9"/>
    </row>
    <row r="5" spans="1:14">
      <c r="B5" s="7"/>
      <c r="C5" s="3"/>
      <c r="D5" s="3"/>
      <c r="E5" s="3"/>
      <c r="F5" s="3"/>
      <c r="G5" s="3"/>
      <c r="H5" s="3"/>
      <c r="I5" s="3"/>
      <c r="J5" s="3"/>
      <c r="K5" s="3"/>
      <c r="L5" s="3"/>
      <c r="M5" s="3"/>
      <c r="N5" s="9"/>
    </row>
    <row r="6" spans="1:14">
      <c r="B6" s="7"/>
      <c r="C6" s="3"/>
      <c r="D6" s="3"/>
      <c r="E6" s="3"/>
      <c r="F6" s="3"/>
      <c r="G6" s="3"/>
      <c r="H6" s="3"/>
      <c r="I6" s="3"/>
      <c r="J6" s="3"/>
      <c r="K6" s="3"/>
      <c r="L6" s="3"/>
      <c r="M6" s="3"/>
      <c r="N6" s="9"/>
    </row>
    <row r="7" spans="1:14">
      <c r="B7" s="7"/>
      <c r="C7" s="3"/>
      <c r="D7" s="3"/>
      <c r="E7" s="3"/>
      <c r="F7" s="3"/>
      <c r="G7" s="3"/>
      <c r="H7" s="3"/>
      <c r="I7" s="3"/>
      <c r="J7" s="3"/>
      <c r="K7" s="3"/>
      <c r="L7" s="3"/>
      <c r="M7" s="3"/>
      <c r="N7" s="9"/>
    </row>
    <row r="8" spans="1:14">
      <c r="B8" s="7"/>
      <c r="C8" s="3"/>
      <c r="D8" s="3"/>
      <c r="E8" s="3"/>
      <c r="F8" s="3"/>
      <c r="G8" s="3"/>
      <c r="H8" s="3"/>
      <c r="I8" s="3"/>
      <c r="J8" s="3"/>
      <c r="K8" s="3"/>
      <c r="L8" s="3"/>
      <c r="M8" s="3"/>
      <c r="N8" s="9"/>
    </row>
    <row r="9" spans="1:14" ht="18">
      <c r="B9" s="7"/>
      <c r="C9" s="3"/>
      <c r="D9" s="3"/>
      <c r="E9" s="3"/>
      <c r="F9" s="3"/>
      <c r="G9" s="3"/>
      <c r="H9" s="3"/>
      <c r="I9" s="106"/>
      <c r="J9" s="106"/>
      <c r="K9" s="3"/>
      <c r="L9" s="3"/>
      <c r="M9" s="3"/>
      <c r="N9" s="9"/>
    </row>
    <row r="10" spans="1:14">
      <c r="B10" s="7"/>
      <c r="C10" s="3"/>
      <c r="D10" s="3"/>
      <c r="E10" s="3"/>
      <c r="F10" s="3"/>
      <c r="G10" s="3"/>
      <c r="H10" s="3"/>
      <c r="I10" s="3"/>
      <c r="J10" s="3"/>
      <c r="K10" s="3"/>
      <c r="L10" s="3"/>
      <c r="M10" s="3"/>
      <c r="N10" s="9"/>
    </row>
    <row r="11" spans="1:14">
      <c r="B11" s="7"/>
      <c r="C11" s="3"/>
      <c r="D11" s="3"/>
      <c r="E11" s="3"/>
      <c r="F11" s="3"/>
      <c r="G11" s="3"/>
      <c r="H11" s="3"/>
      <c r="I11" s="3"/>
      <c r="J11" s="3"/>
      <c r="K11" s="3"/>
      <c r="L11" s="3"/>
      <c r="M11" s="3"/>
      <c r="N11" s="9"/>
    </row>
    <row r="12" spans="1:14">
      <c r="B12" s="7"/>
      <c r="C12" s="3"/>
      <c r="D12" s="3"/>
      <c r="E12" s="3"/>
      <c r="F12" s="3"/>
      <c r="G12" s="3"/>
      <c r="H12" s="3"/>
      <c r="I12" s="3"/>
      <c r="J12" s="3"/>
      <c r="K12" s="3"/>
      <c r="L12" s="3"/>
      <c r="M12" s="3"/>
      <c r="N12" s="9"/>
    </row>
    <row r="13" spans="1:14">
      <c r="B13" s="7"/>
      <c r="C13" s="3"/>
      <c r="D13" s="3"/>
      <c r="E13" s="3"/>
      <c r="F13" s="3"/>
      <c r="G13" s="3"/>
      <c r="H13" s="3"/>
      <c r="I13" s="3"/>
      <c r="J13" s="3"/>
      <c r="K13" s="3"/>
      <c r="L13" s="3"/>
      <c r="M13" s="3"/>
      <c r="N13" s="9"/>
    </row>
    <row r="14" spans="1:14">
      <c r="B14" s="7"/>
      <c r="C14" s="3"/>
      <c r="D14" s="3"/>
      <c r="E14" s="3"/>
      <c r="F14" s="3"/>
      <c r="G14" s="3"/>
      <c r="H14" s="3"/>
      <c r="I14" s="3"/>
      <c r="J14" s="3"/>
      <c r="K14" s="3"/>
      <c r="L14" s="3"/>
      <c r="M14" s="3"/>
      <c r="N14" s="9"/>
    </row>
    <row r="15" spans="1:14">
      <c r="B15" s="7"/>
      <c r="C15" s="3"/>
      <c r="D15" s="3"/>
      <c r="E15" s="3"/>
      <c r="F15" s="3"/>
      <c r="G15" s="3"/>
      <c r="H15" s="3"/>
      <c r="I15" s="3"/>
      <c r="J15" s="3"/>
      <c r="K15" s="3"/>
      <c r="L15" s="3"/>
      <c r="M15" s="3"/>
      <c r="N15" s="9"/>
    </row>
    <row r="16" spans="1:14">
      <c r="B16" s="7"/>
      <c r="C16" s="3"/>
      <c r="D16" s="3"/>
      <c r="E16" s="3"/>
      <c r="F16" s="3"/>
      <c r="G16" s="3"/>
      <c r="H16" s="3"/>
      <c r="I16" s="3"/>
      <c r="J16" s="3"/>
      <c r="K16" s="3"/>
      <c r="L16" s="3"/>
      <c r="M16" s="3"/>
      <c r="N16" s="9"/>
    </row>
    <row r="17" spans="2:14" ht="13.5" thickBot="1">
      <c r="B17" s="7"/>
      <c r="C17" s="3"/>
      <c r="D17" s="3"/>
      <c r="E17" s="3"/>
      <c r="F17" s="3"/>
      <c r="G17" s="3"/>
      <c r="H17" s="3"/>
      <c r="I17" s="3"/>
      <c r="J17" s="3"/>
      <c r="K17" s="3"/>
      <c r="L17" s="3"/>
      <c r="M17" s="3"/>
      <c r="N17" s="9"/>
    </row>
    <row r="18" spans="2:14" ht="27.75" thickTop="1" thickBot="1">
      <c r="B18" s="7"/>
      <c r="C18" s="104" t="s">
        <v>61</v>
      </c>
      <c r="D18" s="73"/>
      <c r="E18" s="73"/>
      <c r="F18" s="73"/>
      <c r="G18" s="3"/>
      <c r="H18" s="3"/>
      <c r="I18" s="3"/>
      <c r="J18" s="3"/>
      <c r="K18" s="196" t="s">
        <v>77</v>
      </c>
      <c r="L18" s="3"/>
      <c r="M18" s="3"/>
      <c r="N18" s="9"/>
    </row>
    <row r="19" spans="2:14" ht="21.95" customHeight="1" thickTop="1">
      <c r="B19" s="7"/>
      <c r="C19" s="53"/>
      <c r="D19" s="53"/>
      <c r="E19" s="53"/>
      <c r="F19" s="53"/>
      <c r="G19" s="53"/>
      <c r="H19" s="53"/>
      <c r="I19" s="54"/>
      <c r="J19" s="54"/>
      <c r="K19" s="197"/>
      <c r="L19" s="54"/>
      <c r="M19" s="20"/>
      <c r="N19" s="9"/>
    </row>
    <row r="20" spans="2:14" ht="21.95" customHeight="1" thickBot="1">
      <c r="B20" s="7"/>
      <c r="C20" s="3"/>
      <c r="D20" s="3"/>
      <c r="E20" s="3"/>
      <c r="F20" s="3"/>
      <c r="G20" s="3"/>
      <c r="H20" s="3"/>
      <c r="I20" s="3"/>
      <c r="J20" s="3"/>
      <c r="K20" s="198"/>
      <c r="L20" s="3"/>
      <c r="M20" s="3"/>
      <c r="N20" s="9"/>
    </row>
    <row r="21" spans="2:14" ht="13.5" thickTop="1">
      <c r="B21" s="7"/>
      <c r="C21" s="3"/>
      <c r="D21" s="3"/>
      <c r="E21" s="3"/>
      <c r="F21" s="3"/>
      <c r="G21" s="3"/>
      <c r="H21" s="3"/>
      <c r="I21" s="3"/>
      <c r="J21" s="3"/>
      <c r="K21" s="3"/>
      <c r="L21" s="3"/>
      <c r="M21" s="3"/>
      <c r="N21" s="9"/>
    </row>
    <row r="22" spans="2:14" ht="27.75">
      <c r="B22" s="7"/>
      <c r="C22" s="135" t="s">
        <v>53</v>
      </c>
      <c r="D22" s="139" t="s">
        <v>75</v>
      </c>
      <c r="E22" s="139"/>
      <c r="F22" s="138"/>
      <c r="G22" s="138"/>
      <c r="H22" s="190"/>
      <c r="I22" s="190"/>
      <c r="J22" s="137"/>
      <c r="K22" s="135" t="s">
        <v>19</v>
      </c>
      <c r="L22" s="199">
        <v>45951</v>
      </c>
      <c r="M22" s="200"/>
      <c r="N22" s="9"/>
    </row>
    <row r="23" spans="2:14" ht="23.25">
      <c r="B23" s="7"/>
      <c r="C23" s="135" t="s">
        <v>54</v>
      </c>
      <c r="D23" s="138"/>
      <c r="E23" s="138"/>
      <c r="F23" s="138"/>
      <c r="G23" s="138"/>
      <c r="H23" s="138"/>
      <c r="I23" s="138"/>
      <c r="J23" s="137"/>
      <c r="K23" s="135" t="s">
        <v>63</v>
      </c>
      <c r="L23" s="136"/>
      <c r="M23" s="136"/>
      <c r="N23" s="9"/>
    </row>
    <row r="24" spans="2:14" ht="23.25">
      <c r="B24" s="7"/>
      <c r="C24" s="135" t="s">
        <v>55</v>
      </c>
      <c r="D24" s="190"/>
      <c r="E24" s="190"/>
      <c r="F24" s="190"/>
      <c r="G24" s="190"/>
      <c r="H24" s="190" t="s">
        <v>9</v>
      </c>
      <c r="I24" s="190" t="s">
        <v>58</v>
      </c>
      <c r="J24" s="137"/>
      <c r="K24" s="135" t="s">
        <v>20</v>
      </c>
      <c r="L24" s="190"/>
      <c r="M24" s="190"/>
      <c r="N24" s="9"/>
    </row>
    <row r="25" spans="2:14" ht="23.25">
      <c r="B25" s="7"/>
      <c r="C25" s="135" t="s">
        <v>56</v>
      </c>
      <c r="D25" s="194"/>
      <c r="E25" s="195"/>
      <c r="F25" s="138"/>
      <c r="G25" s="138"/>
      <c r="H25" s="138"/>
      <c r="I25" s="138"/>
      <c r="J25" s="137"/>
      <c r="K25" s="135" t="s">
        <v>64</v>
      </c>
      <c r="L25" s="201"/>
      <c r="M25" s="201"/>
      <c r="N25" s="9"/>
    </row>
    <row r="26" spans="2:14">
      <c r="B26" s="7"/>
      <c r="C26" s="71"/>
      <c r="D26" s="71"/>
      <c r="E26" s="71"/>
      <c r="F26" s="71"/>
      <c r="G26" s="71"/>
      <c r="H26" s="71"/>
      <c r="I26" s="71"/>
      <c r="J26" s="71"/>
      <c r="K26" s="71"/>
      <c r="L26" s="71"/>
      <c r="M26" s="3"/>
      <c r="N26" s="9"/>
    </row>
    <row r="27" spans="2:14" ht="18">
      <c r="B27" s="7"/>
      <c r="C27" s="87" t="s">
        <v>35</v>
      </c>
      <c r="D27" s="87" t="s">
        <v>22</v>
      </c>
      <c r="E27" s="191" t="s">
        <v>23</v>
      </c>
      <c r="F27" s="192"/>
      <c r="G27" s="192"/>
      <c r="H27" s="192"/>
      <c r="I27" s="192"/>
      <c r="J27" s="193"/>
      <c r="K27" s="87" t="s">
        <v>24</v>
      </c>
      <c r="L27" s="88" t="s">
        <v>25</v>
      </c>
      <c r="M27" s="89"/>
      <c r="N27" s="9"/>
    </row>
    <row r="28" spans="2:14" ht="30">
      <c r="B28" s="7"/>
      <c r="C28" s="132"/>
      <c r="D28" s="148"/>
      <c r="E28" s="111"/>
      <c r="F28" s="128"/>
      <c r="G28" s="128"/>
      <c r="H28" s="128"/>
      <c r="I28" s="128"/>
      <c r="J28" s="129"/>
      <c r="K28" s="102"/>
      <c r="L28" s="107" t="str">
        <f>IF(D28&lt;&gt;"",D28*K28,"")</f>
        <v/>
      </c>
      <c r="M28" s="52"/>
      <c r="N28" s="9"/>
    </row>
    <row r="29" spans="2:14" ht="30">
      <c r="B29" s="7"/>
      <c r="C29" s="132"/>
      <c r="D29" s="148"/>
      <c r="E29" s="152"/>
      <c r="F29" s="153"/>
      <c r="G29" s="153"/>
      <c r="H29" s="153"/>
      <c r="I29" s="154"/>
      <c r="J29" s="155"/>
      <c r="K29" s="173"/>
      <c r="L29" s="156"/>
      <c r="M29" s="52"/>
      <c r="N29" s="9"/>
    </row>
    <row r="30" spans="2:14" ht="30">
      <c r="B30" s="7"/>
      <c r="C30" s="132"/>
      <c r="D30" s="148">
        <v>10</v>
      </c>
      <c r="E30" s="202" t="s">
        <v>66</v>
      </c>
      <c r="F30" s="159"/>
      <c r="G30" s="159"/>
      <c r="H30" s="160"/>
      <c r="I30" s="160"/>
      <c r="J30" s="174"/>
      <c r="K30" s="158">
        <v>1500</v>
      </c>
      <c r="L30" s="158">
        <f>+K30*D30</f>
        <v>15000</v>
      </c>
      <c r="M30" s="52"/>
      <c r="N30" s="9"/>
    </row>
    <row r="31" spans="2:14" ht="30">
      <c r="B31" s="7"/>
      <c r="C31" s="132"/>
      <c r="D31" s="148"/>
      <c r="E31" s="163"/>
      <c r="F31" s="164"/>
      <c r="G31" s="165"/>
      <c r="H31" s="164"/>
      <c r="I31" s="164"/>
      <c r="J31" s="172"/>
      <c r="K31" s="158"/>
      <c r="L31" s="158"/>
      <c r="M31" s="52"/>
      <c r="N31" s="9"/>
    </row>
    <row r="32" spans="2:14" ht="30">
      <c r="B32" s="7"/>
      <c r="C32" s="132"/>
      <c r="D32" s="148"/>
      <c r="E32" s="168" t="s">
        <v>67</v>
      </c>
      <c r="F32" s="164"/>
      <c r="G32" s="165"/>
      <c r="H32" s="164"/>
      <c r="I32" s="164"/>
      <c r="J32" s="172"/>
      <c r="K32" s="158"/>
      <c r="L32" s="158"/>
      <c r="M32" s="52"/>
      <c r="N32" s="9"/>
    </row>
    <row r="33" spans="2:14" ht="30">
      <c r="B33" s="7"/>
      <c r="C33" s="132"/>
      <c r="D33" s="157"/>
      <c r="E33" s="146" t="s">
        <v>68</v>
      </c>
      <c r="F33" s="159"/>
      <c r="G33" s="160"/>
      <c r="H33" s="160"/>
      <c r="I33" s="160"/>
      <c r="J33" s="174"/>
      <c r="K33" s="158"/>
      <c r="L33" s="158"/>
      <c r="M33" s="52"/>
      <c r="N33" s="9"/>
    </row>
    <row r="34" spans="2:14" ht="30">
      <c r="B34" s="7"/>
      <c r="C34" s="151"/>
      <c r="D34" s="148"/>
      <c r="E34" s="169" t="s">
        <v>69</v>
      </c>
      <c r="F34" s="159"/>
      <c r="G34" s="160"/>
      <c r="H34" s="160"/>
      <c r="I34" s="160"/>
      <c r="J34" s="174"/>
      <c r="K34" s="158"/>
      <c r="L34" s="158"/>
      <c r="M34" s="150"/>
      <c r="N34" s="9"/>
    </row>
    <row r="35" spans="2:14" ht="30">
      <c r="B35" s="7"/>
      <c r="C35" s="147"/>
      <c r="D35" s="148"/>
      <c r="E35" s="170" t="s">
        <v>70</v>
      </c>
      <c r="F35" s="159"/>
      <c r="G35" s="159"/>
      <c r="H35" s="159"/>
      <c r="I35" s="159"/>
      <c r="J35" s="174"/>
      <c r="K35" s="158"/>
      <c r="L35" s="158"/>
      <c r="M35" s="52"/>
      <c r="N35" s="9"/>
    </row>
    <row r="36" spans="2:14" ht="30">
      <c r="B36" s="7"/>
      <c r="C36" s="132"/>
      <c r="D36" s="148"/>
      <c r="E36" s="169" t="s">
        <v>71</v>
      </c>
      <c r="F36" s="159"/>
      <c r="G36" s="159"/>
      <c r="H36" s="159"/>
      <c r="I36" s="159"/>
      <c r="J36" s="175"/>
      <c r="K36" s="158"/>
      <c r="L36" s="158"/>
      <c r="M36" s="52"/>
      <c r="N36" s="9"/>
    </row>
    <row r="37" spans="2:14" ht="30">
      <c r="B37" s="7"/>
      <c r="C37" s="132"/>
      <c r="D37" s="149"/>
      <c r="E37" s="146" t="s">
        <v>72</v>
      </c>
      <c r="F37" s="159"/>
      <c r="G37" s="159"/>
      <c r="H37" s="159"/>
      <c r="I37" s="159"/>
      <c r="J37" s="175"/>
      <c r="K37" s="158"/>
      <c r="L37" s="158"/>
      <c r="M37" s="52"/>
      <c r="N37" s="9"/>
    </row>
    <row r="38" spans="2:14" ht="30">
      <c r="B38" s="7"/>
      <c r="C38" s="132"/>
      <c r="D38" s="149"/>
      <c r="E38" s="178"/>
      <c r="F38" s="159"/>
      <c r="G38" s="159"/>
      <c r="H38" s="159"/>
      <c r="I38" s="159"/>
      <c r="J38" s="175"/>
      <c r="K38" s="158"/>
      <c r="L38" s="158"/>
      <c r="M38" s="52"/>
      <c r="N38" s="9"/>
    </row>
    <row r="39" spans="2:14" ht="30">
      <c r="B39" s="7"/>
      <c r="C39" s="132"/>
      <c r="D39" s="149">
        <v>5</v>
      </c>
      <c r="E39" s="179" t="s">
        <v>74</v>
      </c>
      <c r="F39" s="159"/>
      <c r="G39" s="159"/>
      <c r="H39" s="159"/>
      <c r="I39" s="159"/>
      <c r="J39" s="175"/>
      <c r="K39" s="158">
        <v>350</v>
      </c>
      <c r="L39" s="158">
        <f t="shared" ref="L39" si="0">+K39*D39</f>
        <v>1750</v>
      </c>
      <c r="M39" s="52"/>
      <c r="N39" s="9"/>
    </row>
    <row r="40" spans="2:14" ht="30">
      <c r="B40" s="7"/>
      <c r="C40" s="132"/>
      <c r="D40" s="101"/>
      <c r="E40" s="167"/>
      <c r="F40" s="166"/>
      <c r="G40" s="166"/>
      <c r="H40" s="166"/>
      <c r="I40" s="166"/>
      <c r="J40" s="175"/>
      <c r="K40" s="161"/>
      <c r="L40" s="103"/>
      <c r="M40" s="52"/>
      <c r="N40" s="9"/>
    </row>
    <row r="41" spans="2:14" ht="30">
      <c r="B41" s="7"/>
      <c r="C41" s="132"/>
      <c r="D41" s="149"/>
      <c r="E41" s="176" t="s">
        <v>73</v>
      </c>
      <c r="F41" s="162"/>
      <c r="G41" s="161"/>
      <c r="H41" s="162"/>
      <c r="I41" s="162"/>
      <c r="J41" s="174"/>
      <c r="K41" s="171"/>
      <c r="L41" s="103"/>
      <c r="M41" s="52"/>
      <c r="N41" s="9"/>
    </row>
    <row r="42" spans="2:14" ht="30">
      <c r="B42" s="7"/>
      <c r="C42" s="132"/>
      <c r="D42" s="149"/>
      <c r="E42" s="180" t="s">
        <v>76</v>
      </c>
      <c r="F42" s="162"/>
      <c r="G42" s="161"/>
      <c r="H42" s="162"/>
      <c r="I42" s="162"/>
      <c r="J42" s="174"/>
      <c r="K42" s="171"/>
      <c r="L42" s="103"/>
      <c r="M42" s="52"/>
      <c r="N42" s="9"/>
    </row>
    <row r="43" spans="2:14" ht="30">
      <c r="B43" s="7"/>
      <c r="C43" s="140"/>
      <c r="D43" s="141"/>
      <c r="E43" s="145"/>
      <c r="F43" s="142"/>
      <c r="G43" s="142"/>
      <c r="H43" s="144"/>
      <c r="I43" s="142"/>
      <c r="J43" s="143"/>
      <c r="K43" s="131"/>
      <c r="L43" s="103"/>
      <c r="M43" s="52"/>
      <c r="N43" s="9"/>
    </row>
    <row r="44" spans="2:14" ht="35.25">
      <c r="B44" s="7"/>
      <c r="C44" s="83"/>
      <c r="D44" s="92"/>
      <c r="E44" s="116"/>
      <c r="F44" s="113"/>
      <c r="G44" s="113"/>
      <c r="H44" s="113"/>
      <c r="I44" s="114"/>
      <c r="J44" s="115"/>
      <c r="K44" s="118" t="s">
        <v>26</v>
      </c>
      <c r="L44" s="123">
        <f>SUM(L28:L41)</f>
        <v>16750</v>
      </c>
      <c r="M44" s="52"/>
      <c r="N44" s="9"/>
    </row>
    <row r="45" spans="2:14" ht="35.25">
      <c r="B45" s="7"/>
      <c r="C45" s="98"/>
      <c r="D45" s="94" t="s">
        <v>57</v>
      </c>
      <c r="E45" s="75"/>
      <c r="F45" s="75"/>
      <c r="G45" s="75"/>
      <c r="H45" s="75"/>
      <c r="I45" s="76"/>
      <c r="J45" s="90"/>
      <c r="K45" s="117" t="s">
        <v>47</v>
      </c>
      <c r="L45" s="99">
        <v>1</v>
      </c>
      <c r="M45" s="52"/>
      <c r="N45" s="9"/>
    </row>
    <row r="46" spans="2:14" ht="35.25">
      <c r="B46" s="7"/>
      <c r="C46" s="95"/>
      <c r="D46" s="177" t="s">
        <v>65</v>
      </c>
      <c r="E46" s="75"/>
      <c r="F46" s="75"/>
      <c r="G46" s="75"/>
      <c r="H46" s="75"/>
      <c r="I46" s="78"/>
      <c r="J46" s="91"/>
      <c r="K46" s="119">
        <v>0.19</v>
      </c>
      <c r="L46" s="99">
        <f>(L44)*0.19</f>
        <v>3182.5</v>
      </c>
      <c r="M46" s="52"/>
      <c r="N46" s="9"/>
    </row>
    <row r="47" spans="2:14" ht="35.25">
      <c r="B47" s="7"/>
      <c r="C47" s="83"/>
      <c r="D47" s="97"/>
      <c r="E47" s="93"/>
      <c r="F47" s="80"/>
      <c r="G47" s="79"/>
      <c r="H47" s="75"/>
      <c r="I47" s="81"/>
      <c r="J47" s="90"/>
      <c r="K47" s="100" t="s">
        <v>28</v>
      </c>
      <c r="L47" s="99">
        <f>+L44+L45+L46</f>
        <v>19933.5</v>
      </c>
      <c r="M47" s="52"/>
      <c r="N47" s="9"/>
    </row>
    <row r="48" spans="2:14" ht="18">
      <c r="B48" s="7"/>
      <c r="C48" s="74"/>
      <c r="D48" s="84"/>
      <c r="E48" s="96"/>
      <c r="F48" s="75"/>
      <c r="G48" s="62"/>
      <c r="H48" s="75"/>
      <c r="I48" s="82" t="s">
        <v>27</v>
      </c>
      <c r="J48" s="76"/>
      <c r="K48" s="130"/>
      <c r="L48" s="130"/>
      <c r="M48" s="52"/>
      <c r="N48" s="9"/>
    </row>
    <row r="49" spans="2:14" ht="26.25">
      <c r="B49" s="7"/>
      <c r="C49" s="112"/>
      <c r="D49" s="112"/>
      <c r="E49" s="122"/>
      <c r="F49" s="126"/>
      <c r="G49" s="126"/>
      <c r="H49" s="126"/>
      <c r="I49" s="76"/>
      <c r="J49" s="110"/>
      <c r="K49" s="133" t="s">
        <v>62</v>
      </c>
      <c r="L49" s="133"/>
      <c r="M49" s="52"/>
      <c r="N49" s="9"/>
    </row>
    <row r="50" spans="2:14" ht="23.25">
      <c r="B50" s="7"/>
      <c r="C50" s="112"/>
      <c r="D50" s="112"/>
      <c r="E50" s="127"/>
      <c r="F50" s="189"/>
      <c r="G50" s="189"/>
      <c r="H50" s="189"/>
      <c r="I50" s="76"/>
      <c r="J50" s="110"/>
      <c r="K50" s="105"/>
      <c r="L50" s="105"/>
      <c r="M50" s="105"/>
      <c r="N50" s="9"/>
    </row>
    <row r="51" spans="2:14" ht="23.25">
      <c r="B51" s="7"/>
      <c r="C51" s="112"/>
      <c r="D51" s="112"/>
      <c r="E51" s="77"/>
      <c r="F51" s="76"/>
      <c r="G51" s="76"/>
      <c r="H51" s="76"/>
      <c r="I51" s="76"/>
      <c r="J51" s="110"/>
      <c r="K51" s="105"/>
      <c r="L51" s="105"/>
      <c r="M51" s="105"/>
      <c r="N51" s="9"/>
    </row>
    <row r="52" spans="2:14" ht="15">
      <c r="B52" s="7"/>
      <c r="C52" s="112"/>
      <c r="D52" s="112"/>
      <c r="E52" s="76"/>
      <c r="F52" s="76"/>
      <c r="G52" s="76"/>
      <c r="H52" s="76"/>
      <c r="I52" s="76"/>
      <c r="J52" s="105"/>
      <c r="K52" s="105"/>
      <c r="L52" s="105"/>
      <c r="M52" s="105"/>
      <c r="N52" s="9"/>
    </row>
    <row r="53" spans="2:14" ht="20.25">
      <c r="B53" s="7"/>
      <c r="C53" s="108" t="s">
        <v>59</v>
      </c>
      <c r="D53" s="134"/>
      <c r="E53" s="76"/>
      <c r="F53" s="76"/>
      <c r="G53" s="76"/>
      <c r="H53" s="76"/>
      <c r="I53" s="76"/>
      <c r="J53" s="85"/>
      <c r="K53" s="85"/>
      <c r="L53" s="86"/>
      <c r="M53" s="52"/>
      <c r="N53" s="9"/>
    </row>
    <row r="54" spans="2:14" ht="20.25">
      <c r="B54" s="7"/>
      <c r="C54" s="109" t="s">
        <v>60</v>
      </c>
      <c r="D54" s="109"/>
      <c r="E54" s="76"/>
      <c r="F54" s="76"/>
      <c r="G54" s="76"/>
      <c r="H54" s="76"/>
      <c r="I54" s="78"/>
      <c r="J54" s="85"/>
      <c r="K54" s="85"/>
      <c r="L54" s="85"/>
      <c r="M54" s="52"/>
      <c r="N54" s="9"/>
    </row>
    <row r="55" spans="2:14" ht="18">
      <c r="B55" s="7"/>
      <c r="C55" s="74"/>
      <c r="D55" s="74"/>
      <c r="E55" s="76"/>
      <c r="F55" s="76"/>
      <c r="G55" s="76"/>
      <c r="H55" s="76"/>
      <c r="I55" s="78"/>
      <c r="J55" s="85"/>
      <c r="K55" s="85"/>
      <c r="L55" s="85"/>
      <c r="M55" s="89"/>
      <c r="N55" s="9"/>
    </row>
    <row r="56" spans="2:14" ht="18">
      <c r="B56" s="7"/>
      <c r="C56" s="188" t="s">
        <v>52</v>
      </c>
      <c r="D56" s="188"/>
      <c r="E56" s="188"/>
      <c r="F56" s="188"/>
      <c r="G56" s="188"/>
      <c r="H56" s="188"/>
      <c r="I56" s="188"/>
      <c r="J56" s="188"/>
      <c r="K56" s="188"/>
      <c r="L56" s="85"/>
      <c r="M56" s="89"/>
      <c r="N56" s="9"/>
    </row>
    <row r="57" spans="2:14" ht="18">
      <c r="B57" s="7"/>
      <c r="C57" s="188"/>
      <c r="D57" s="188"/>
      <c r="E57" s="188"/>
      <c r="F57" s="188"/>
      <c r="G57" s="188"/>
      <c r="H57" s="188"/>
      <c r="I57" s="188"/>
      <c r="J57" s="188"/>
      <c r="K57" s="188"/>
      <c r="L57" s="86"/>
      <c r="M57" s="89"/>
      <c r="N57" s="9"/>
    </row>
    <row r="58" spans="2:14" ht="15">
      <c r="B58" s="7"/>
      <c r="C58" s="188"/>
      <c r="D58" s="188"/>
      <c r="E58" s="188"/>
      <c r="F58" s="188"/>
      <c r="G58" s="188"/>
      <c r="H58" s="188"/>
      <c r="I58" s="188"/>
      <c r="J58" s="188"/>
      <c r="K58" s="188"/>
      <c r="L58" s="86"/>
      <c r="M58" s="52"/>
      <c r="N58" s="9"/>
    </row>
    <row r="59" spans="2:14" ht="13.5" thickBot="1">
      <c r="B59" s="7"/>
      <c r="C59" s="3"/>
      <c r="D59" s="3"/>
      <c r="E59" s="3"/>
      <c r="F59" s="3"/>
      <c r="G59" s="3"/>
      <c r="H59" s="3"/>
      <c r="I59" s="3"/>
      <c r="J59" s="3"/>
      <c r="K59" s="3"/>
      <c r="L59" s="3"/>
      <c r="M59" s="52"/>
      <c r="N59" s="9"/>
    </row>
    <row r="60" spans="2:14" ht="15.75" thickTop="1">
      <c r="B60" s="7"/>
      <c r="C60" s="53"/>
      <c r="D60" s="53"/>
      <c r="E60" s="53"/>
      <c r="F60" s="53"/>
      <c r="G60" s="53"/>
      <c r="H60" s="53"/>
      <c r="I60" s="53"/>
      <c r="J60" s="53"/>
      <c r="K60" s="53"/>
      <c r="L60" s="53"/>
      <c r="M60" s="52"/>
      <c r="N60" s="124"/>
    </row>
    <row r="61" spans="2:14" ht="15">
      <c r="B61" s="7"/>
      <c r="C61" s="120"/>
      <c r="D61" s="120"/>
      <c r="E61" s="120"/>
      <c r="F61" s="120"/>
      <c r="G61" s="120"/>
      <c r="H61" s="120"/>
      <c r="I61" s="120"/>
      <c r="J61" s="120"/>
      <c r="K61" s="120"/>
      <c r="L61" s="121"/>
      <c r="M61" s="52"/>
      <c r="N61" s="125"/>
    </row>
    <row r="62" spans="2:14">
      <c r="B62" s="7"/>
      <c r="C62" s="130"/>
      <c r="D62" s="130"/>
      <c r="E62" s="130"/>
      <c r="F62" s="130"/>
      <c r="G62" s="130"/>
      <c r="H62" s="130"/>
      <c r="I62" s="130"/>
      <c r="J62" s="130"/>
      <c r="K62" s="130"/>
      <c r="L62" s="130"/>
      <c r="M62" s="52"/>
      <c r="N62" s="9"/>
    </row>
    <row r="63" spans="2:14">
      <c r="B63" s="7"/>
      <c r="C63" s="130"/>
      <c r="D63" s="130"/>
      <c r="E63" s="130"/>
      <c r="F63" s="130"/>
      <c r="G63" s="130"/>
      <c r="H63" s="130"/>
      <c r="I63" s="130"/>
      <c r="J63" s="130"/>
      <c r="K63" s="130"/>
      <c r="L63" s="130"/>
      <c r="M63" s="130"/>
      <c r="N63" s="9"/>
    </row>
    <row r="64" spans="2:14" ht="18" customHeight="1">
      <c r="B64" s="7"/>
      <c r="C64" s="130"/>
      <c r="D64" s="130"/>
      <c r="E64" s="130"/>
      <c r="F64" s="130"/>
      <c r="G64" s="130"/>
      <c r="H64" s="130"/>
      <c r="I64" s="130"/>
      <c r="J64" s="130"/>
      <c r="K64" s="130"/>
      <c r="L64" s="130"/>
      <c r="M64" s="130"/>
      <c r="N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K18:K20"/>
    <mergeCell ref="L22:M22"/>
    <mergeCell ref="L24:M24"/>
    <mergeCell ref="L25:M25"/>
    <mergeCell ref="H22:I22"/>
    <mergeCell ref="C56:K58"/>
    <mergeCell ref="F50:H50"/>
    <mergeCell ref="F24:G24"/>
    <mergeCell ref="E27:J27"/>
    <mergeCell ref="D24:E24"/>
    <mergeCell ref="H24:I24"/>
    <mergeCell ref="D25:E25"/>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E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C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49:L50"/>
    <dataValidation type="textLength" errorStyle="warning" allowBlank="1" showErrorMessage="1" errorTitle="T.V.A." error="Les cellules ombrées contiennent des formules et sont calculées automatiquement par Excel. N'y tapez aucune information." promptTitle="T.V.A." sqref="K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6">
      <formula1>0</formula1>
      <formula2>0</formula2>
    </dataValidation>
    <dataValidation allowBlank="1" showErrorMessage="1" sqref="F24:G24"/>
    <dataValidation type="textLength" errorStyle="warning" allowBlank="1" showErrorMessage="1" errorTitle="Sous-total" error="Les cellules ombrées contiennent des formules et sont calculées automatiquement par Excel. N'y tapez aucune information." promptTitle="Sous-total" sqref="L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1:K61"/>
    <dataValidation type="textLength" errorStyle="warning" allowBlank="1" showErrorMessage="1" errorTitle="Total" error="Les cellules ombrées contiennent des formules et sont calculées automatiquement par Excel. N'y tapez aucune information." promptTitle="Total" sqref="L47">
      <formula1>0</formula1>
      <formula2>0</formula2>
    </dataValidation>
    <dataValidation type="decimal" allowBlank="1" showErrorMessage="1" errorTitle="Prix unitaire" error="Tapez un nombre dans cette cellule." promptTitle="Prix unitaire" sqref="L34:M34 K43 K28:K39 L30:L33 L35: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8:L29">
      <formula1>0</formula1>
      <formula2>0</formula2>
    </dataValidation>
    <dataValidation type="whole" errorStyle="warning" allowBlank="1" showErrorMessage="1" errorTitle="Quantité" error="Tapez un nombre dans cette cellule." promptTitle="Quantité" sqref="D28:D43">
      <formula1>0</formula1>
      <formula2>1000000000</formula2>
    </dataValidation>
    <dataValidation type="list" allowBlank="1" showInputMessage="1" showErrorMessage="1" errorTitle="Code TVA" error="Tapez 1, 2, ou 3." sqref="K40:K42">
      <formula1>"1,2,3"</formula1>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2</xdr:col>
                    <xdr:colOff>1533525</xdr:colOff>
                    <xdr:row>45</xdr:row>
                    <xdr:rowOff>114300</xdr:rowOff>
                  </from>
                  <to>
                    <xdr:col>2</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2</xdr:col>
                    <xdr:colOff>1590675</xdr:colOff>
                    <xdr:row>44</xdr:row>
                    <xdr:rowOff>95250</xdr:rowOff>
                  </from>
                  <to>
                    <xdr:col>2</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cols>
    <col min="1" max="16384" width="9.140625" style="62"/>
  </cols>
  <sheetData>
    <row r="1" spans="1:11">
      <c r="A1" s="62" t="s">
        <v>29</v>
      </c>
    </row>
    <row r="2" spans="1:11">
      <c r="A2" s="62" t="s">
        <v>36</v>
      </c>
      <c r="B2" s="62" t="s">
        <v>30</v>
      </c>
    </row>
    <row r="3" spans="1:11">
      <c r="A3" s="62" t="s">
        <v>37</v>
      </c>
      <c r="B3" s="62" t="s">
        <v>44</v>
      </c>
    </row>
    <row r="4" spans="1:11">
      <c r="A4" s="62" t="s">
        <v>31</v>
      </c>
    </row>
    <row r="5" spans="1:11">
      <c r="A5" s="62" t="s">
        <v>38</v>
      </c>
      <c r="B5" s="62">
        <v>1</v>
      </c>
    </row>
    <row r="6" spans="1:11">
      <c r="A6" s="62">
        <v>1</v>
      </c>
      <c r="B6" s="62" t="s">
        <v>39</v>
      </c>
      <c r="C6" s="62" t="s">
        <v>43</v>
      </c>
      <c r="D6" s="62" t="s">
        <v>40</v>
      </c>
      <c r="E6" s="62">
        <v>10</v>
      </c>
      <c r="G6" s="62">
        <v>1197261567</v>
      </c>
    </row>
    <row r="7" spans="1:11">
      <c r="A7" s="62" t="s">
        <v>41</v>
      </c>
      <c r="B7" s="62" t="s">
        <v>32</v>
      </c>
      <c r="C7" s="62" t="s">
        <v>19</v>
      </c>
      <c r="D7" s="62" t="s">
        <v>3</v>
      </c>
      <c r="E7" s="62" t="s">
        <v>5</v>
      </c>
      <c r="F7" s="62" t="s">
        <v>7</v>
      </c>
      <c r="G7" s="62" t="s">
        <v>8</v>
      </c>
      <c r="H7" s="62" t="s">
        <v>9</v>
      </c>
      <c r="I7" s="62" t="s">
        <v>21</v>
      </c>
      <c r="J7" s="62" t="s">
        <v>33</v>
      </c>
      <c r="K7" s="62" t="s">
        <v>20</v>
      </c>
    </row>
    <row r="8" spans="1:11">
      <c r="A8" s="62" t="s">
        <v>42</v>
      </c>
      <c r="B8" s="63" t="str">
        <f>Facture!$L$4</f>
        <v/>
      </c>
      <c r="C8" s="64" t="str">
        <f>Facture!$K$22</f>
        <v>Date</v>
      </c>
      <c r="D8" s="65" t="str">
        <f>Facture!$D$22</f>
        <v>MOHAMED HAMMAMIY</v>
      </c>
      <c r="E8" s="62">
        <f>Facture!$D$23</f>
        <v>0</v>
      </c>
      <c r="F8" s="62">
        <f>Facture!$D$24</f>
        <v>0</v>
      </c>
      <c r="G8" s="65">
        <f>Facture!$F$24</f>
        <v>0</v>
      </c>
      <c r="H8" s="65" t="str">
        <f>Facture!$I$24</f>
        <v>TN</v>
      </c>
      <c r="I8" s="62">
        <f>Facture!$D$25</f>
        <v>0</v>
      </c>
      <c r="J8" s="66">
        <f>Facture!$L$47</f>
        <v>19933.5</v>
      </c>
      <c r="K8" s="62" t="str">
        <f>Facture!$K$24</f>
        <v>Responsable</v>
      </c>
    </row>
    <row r="9" spans="1:11">
      <c r="A9" s="62" t="s">
        <v>31</v>
      </c>
    </row>
    <row r="10" spans="1:11">
      <c r="G10" s="62">
        <v>733575679</v>
      </c>
    </row>
    <row r="14" spans="1:11">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2025-10-21T13:03:39Z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MOHAMED HAMMAMIY</vt:lpwstr>
  </property>
  <property fmtid="{D5CDD505-2E9C-101B-9397-08002B2CF9AE}" pid="11" name="Montant de la facture" linkTarget="TOT">
    <vt:r8>19933.5</vt:r8>
  </property>
</Properties>
</file>