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Facture!$J$49</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Facture!$J$19</definedName>
    <definedName name="data10">Facture!$D$22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Facture!$D$20</definedName>
    <definedName name="data60">Facture!#REF!</definedName>
    <definedName name="data61">Facture!#REF!</definedName>
    <definedName name="data62">Facture!$C$47</definedName>
    <definedName name="data63">Facture!$C$48</definedName>
    <definedName name="data64">Facture!$C$49</definedName>
    <definedName name="data65">Facture!$F$50</definedName>
    <definedName name="data66">Facture!#REF!</definedName>
    <definedName name="data67">Facture!#REF!</definedName>
    <definedName name="data68">Facture!#REF!</definedName>
    <definedName name="data69">Facture!#REF!</definedName>
    <definedName name="data7">Facture!$F$21</definedName>
    <definedName name="data70">Facture!#REF!</definedName>
    <definedName name="data8">Facture!$H$21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Facture!$C$19:$H$19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Facture!$J$19:$K$19</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Facture!$D$51:$G$51</definedName>
    <definedName name="qzqzqz29">Facture!$J$51:$K$51</definedName>
    <definedName name="qzqzqz3">Facture!$C$20:$H$20</definedName>
    <definedName name="qzqzqz30">Facture!#REF!</definedName>
    <definedName name="qzqzqz31">Facture!#REF!</definedName>
    <definedName name="qzqzqz32">Facture!$J$51:$K$51</definedName>
    <definedName name="qzqzqz4">Facture!$E$21:$F$21</definedName>
    <definedName name="qzqzqz5">Facture!$J$21:$K$21</definedName>
    <definedName name="qzqzqz6">Facture!$C$22:$H$22</definedName>
    <definedName name="qzqzqz7">Facture!$J$22:$K$22</definedName>
    <definedName name="qzqzqz8">Facture!$D$24:$I$24</definedName>
    <definedName name="qzqzqz9">Facture!#REF!</definedName>
    <definedName name="SS">'Personnaliser votre facture'!$E$48</definedName>
    <definedName name="TOT">Facture!$K$50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Facture!$B$1:$L$64</definedName>
  </definedNames>
  <calcPr calcId="152511"/>
</workbook>
</file>

<file path=xl/calcChain.xml><?xml version="1.0" encoding="utf-8"?>
<calcChain xmlns="http://schemas.openxmlformats.org/spreadsheetml/2006/main">
  <c r="K37" i="3" l="1"/>
  <c r="K35" i="3"/>
  <c r="K39" i="3"/>
  <c r="K41" i="3"/>
  <c r="K43" i="3"/>
  <c r="K45" i="3"/>
  <c r="K33" i="3"/>
  <c r="K47" i="3" l="1"/>
  <c r="K49" i="3" s="1"/>
  <c r="K50"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<sst xmlns="http://schemas.openxmlformats.org/spreadsheetml/2006/main" count="94" uniqueCount="84">
  <si>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</si>
  <si>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</si>
  <si>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</si>
  <si>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</si>
  <si>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</si>
  <si>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</si>
  <si>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</si>
  <si>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</si>
  <si>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</si>
  <si>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</si>
  <si>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</si>
  <si>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</si>
  <si>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</si>
  <si>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</si>
  <si>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</si>
  <si>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</si>
  <si>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</si>
  <si>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</si>
  <si>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</si>
  <si>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</si>
  <si>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</si>
  <si>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</si>
  <si>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</si>
  <si>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</si>
  <si>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</si>
  <si>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</si>
  <si>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</si>
  <si>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</si>
  <si>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</si>
  <si>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</si>
  <si>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</si>
  <si>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</si>
  <si>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</si>
  <si>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</si>
  <si>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</si>
  <si>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</si>
  <si>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</si>
  <si>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</si>
  <si>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</si>
  <si>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</si>
  <si>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</si>
  <si>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</si>
  <si>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</si>
  <si>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</si>
  <si>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</si>
  <si>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</si>
  <si>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</si>
  <si>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</si>
  <si>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</si>
  <si>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</si>
  <si>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</si>
  <si>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</si>
  <si>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</si>
  <si>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</si>
  <si>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</si>
  <si>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</si>
  <si>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</si>
  <si>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</si>
  <si>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</si>
  <si>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</si>
  <si>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</si>
  <si>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</si>
  <si>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</si>
  <si>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</si>
  <si>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</si>
  <si>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</si>
  <si>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</si>
  <si>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</si>
  <si>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</si>
  <si>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Responsable:Mme feryel </t>
  </si>
  <si>
    <t xml:space="preserve">Chèque </t>
  </si>
  <si>
    <t>4 RUE DU CAIRE 1001 TUNIS TEL:  71 258108 FAX : 71 259346 RC:B161701999  MF:645 267 KMA 000</t>
  </si>
  <si>
    <t>Site web:www.acrobatsolution.com</t>
  </si>
  <si>
    <t>MAIL: gamestream@plane.tn///////gamestream.formation@gmail.com</t>
  </si>
  <si>
    <t xml:space="preserve">LIGNE DE VIE 10 M </t>
  </si>
  <si>
    <t xml:space="preserve">LIGNE DE VIE 36 M </t>
  </si>
  <si>
    <t xml:space="preserve">Consultation: </t>
  </si>
  <si>
    <t xml:space="preserve">LIGNE DE VIE 16 M </t>
  </si>
  <si>
    <t xml:space="preserve">LIGNE DE VIE 19 M </t>
  </si>
  <si>
    <t xml:space="preserve">LIGNE DE VIE 25 M </t>
  </si>
  <si>
    <t xml:space="preserve">LIGNE DE VIE 46 M </t>
  </si>
  <si>
    <t xml:space="preserve">LIGNE DE VIE 66 M </t>
  </si>
  <si>
    <t>Date :07/10/2025</t>
  </si>
  <si>
    <t>DEVIS 2025-483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</si>
</sst>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6"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4" borderId="0" xfId="0" applyFont="1" applyFill="1" applyBorder="1" applyAlignment="1"/>
    <xf numFmtId="0" fontId="3" fillId="3" borderId="0" xfId="0" applyFont="1" applyFill="1" applyBorder="1"/>
    <xf numFmtId="0" fontId="19" fillId="3" borderId="0" xfId="0" applyFont="1" applyFill="1" applyBorder="1"/>
    <xf numFmtId="0" fontId="3" fillId="0" borderId="0" xfId="0" applyFont="1" applyFill="1" applyBorder="1"/>
    <xf numFmtId="0" fontId="16" fillId="0" borderId="0" xfId="0" applyFont="1" applyFill="1" applyBorder="1"/>
    <xf numFmtId="0" fontId="16"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7" fillId="0" borderId="0" xfId="0" applyNumberFormat="1" applyFont="1" applyFill="1" applyBorder="1"/>
    <xf numFmtId="0" fontId="18" fillId="0" borderId="0" xfId="0" applyFont="1" applyFill="1" applyBorder="1"/>
    <xf numFmtId="0" fontId="16" fillId="0" borderId="0" xfId="0" applyFont="1" applyFill="1" applyBorder="1" applyAlignment="1">
      <alignment vertical="top"/>
    </xf>
    <xf numFmtId="0" fontId="16" fillId="0" borderId="0" xfId="0" applyFont="1" applyFill="1" applyBorder="1" applyAlignment="1">
      <alignment wrapText="1"/>
    </xf>
    <xf numFmtId="0" fontId="18" fillId="3" borderId="31" xfId="0" applyFont="1" applyFill="1" applyBorder="1" applyAlignment="1">
      <alignment horizontal="center"/>
    </xf>
    <xf numFmtId="0" fontId="18" fillId="3" borderId="33" xfId="0" applyFont="1" applyFill="1" applyBorder="1" applyAlignment="1">
      <alignment horizontal="center"/>
    </xf>
    <xf numFmtId="0" fontId="20" fillId="3" borderId="0" xfId="0" applyNumberFormat="1" applyFont="1" applyFill="1" applyBorder="1" applyAlignment="1"/>
    <xf numFmtId="0" fontId="17" fillId="0" borderId="0" xfId="0" applyFont="1" applyFill="1" applyBorder="1"/>
    <xf numFmtId="0" fontId="17" fillId="0" borderId="0" xfId="0" applyFont="1" applyFill="1"/>
    <xf numFmtId="0" fontId="5" fillId="3" borderId="0" xfId="0" applyNumberFormat="1" applyFont="1" applyFill="1" applyBorder="1" applyAlignment="1"/>
    <xf numFmtId="167" fontId="20" fillId="0" borderId="0" xfId="0" quotePrefix="1" applyNumberFormat="1" applyFont="1" applyFill="1" applyBorder="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49" fontId="22" fillId="3" borderId="34" xfId="0" applyNumberFormat="1" applyFont="1" applyFill="1" applyBorder="1" applyAlignment="1">
      <alignment horizontal="left"/>
    </xf>
    <xf numFmtId="0" fontId="22" fillId="3" borderId="0" xfId="0" applyFont="1" applyFill="1" applyBorder="1" applyAlignment="1">
      <alignment horizontal="right"/>
    </xf>
    <xf numFmtId="49" fontId="22" fillId="3" borderId="0" xfId="0" applyNumberFormat="1" applyFont="1" applyFill="1" applyBorder="1" applyAlignment="1">
      <alignment horizontal="left"/>
    </xf>
    <xf numFmtId="49" fontId="21" fillId="3" borderId="34" xfId="0" applyNumberFormat="1" applyFont="1" applyFill="1" applyBorder="1" applyAlignment="1">
      <alignment horizontal="left"/>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6" fillId="0" borderId="29" xfId="0" applyNumberFormat="1" applyFont="1" applyFill="1" applyBorder="1" applyAlignment="1">
      <alignment horizontal="center"/>
    </xf>
    <xf numFmtId="168" fontId="26" fillId="0" borderId="29" xfId="0" applyNumberFormat="1" applyFont="1" applyFill="1" applyBorder="1" applyAlignment="1">
      <alignment shrinkToFit="1"/>
    </xf>
    <xf numFmtId="168" fontId="26" fillId="0" borderId="29" xfId="0" applyNumberFormat="1" applyFont="1" applyFill="1" applyBorder="1" applyAlignment="1"/>
    <xf numFmtId="0" fontId="29" fillId="3" borderId="0" xfId="0" applyFont="1" applyFill="1" applyBorder="1"/>
    <xf numFmtId="0" fontId="16" fillId="6" borderId="0" xfId="0" applyFont="1" applyFill="1" applyBorder="1" applyAlignment="1">
      <alignment vertical="top"/>
    </xf>
    <xf numFmtId="0" fontId="18"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3" fillId="6" borderId="0" xfId="0" applyFont="1" applyFill="1" applyBorder="1"/>
    <xf numFmtId="0" fontId="16" fillId="6" borderId="0" xfId="0" applyFont="1" applyFill="1" applyBorder="1"/>
    <xf numFmtId="0" fontId="17" fillId="6" borderId="0" xfId="0" applyFont="1" applyFill="1" applyBorder="1"/>
    <xf numFmtId="49" fontId="27" fillId="6" borderId="0" xfId="0" applyNumberFormat="1" applyFont="1" applyFill="1" applyBorder="1" applyAlignment="1"/>
    <xf numFmtId="0" fontId="24" fillId="0" borderId="45" xfId="0" applyFont="1" applyFill="1" applyBorder="1" applyAlignment="1">
      <alignment horizontal="right"/>
    </xf>
    <xf numFmtId="0" fontId="24" fillId="0" borderId="45" xfId="0" quotePrefix="1" applyFont="1" applyFill="1" applyBorder="1" applyAlignment="1">
      <alignment horizontal="right"/>
    </xf>
    <xf numFmtId="10" fontId="24" fillId="0" borderId="46" xfId="0" quotePrefix="1" applyNumberFormat="1" applyFont="1" applyFill="1" applyBorder="1" applyAlignment="1">
      <alignment horizontal="center"/>
    </xf>
    <xf numFmtId="0" fontId="4"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6" fillId="6" borderId="0" xfId="0" applyFont="1" applyFill="1" applyAlignment="1">
      <alignment vertical="top"/>
    </xf>
    <xf numFmtId="0" fontId="16" fillId="6" borderId="51" xfId="0" applyFont="1" applyFill="1" applyBorder="1" applyAlignment="1">
      <alignment vertical="top"/>
    </xf>
    <xf numFmtId="0" fontId="17" fillId="0" borderId="0" xfId="0" applyFont="1" applyFill="1" applyBorder="1" applyAlignment="1"/>
    <xf numFmtId="49" fontId="36" fillId="0" borderId="48" xfId="5" applyNumberFormat="1" applyFill="1" applyBorder="1" applyAlignment="1"/>
    <xf numFmtId="49" fontId="36" fillId="0" borderId="49" xfId="5" applyNumberFormat="1" applyFill="1" applyBorder="1" applyAlignment="1"/>
    <xf numFmtId="49" fontId="36" fillId="0" borderId="50"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1" fontId="28" fillId="0" borderId="47" xfId="0" applyNumberFormat="1" applyFont="1" applyFill="1" applyBorder="1" applyAlignment="1">
      <alignment horizontal="center"/>
    </xf>
    <xf numFmtId="49" fontId="32" fillId="0" borderId="52" xfId="0" applyNumberFormat="1" applyFont="1" applyFill="1" applyBorder="1" applyAlignment="1"/>
    <xf numFmtId="168" fontId="26" fillId="0" borderId="47" xfId="0" applyNumberFormat="1" applyFont="1" applyFill="1" applyBorder="1" applyAlignment="1"/>
    <xf numFmtId="168" fontId="29" fillId="0" borderId="47" xfId="0" applyNumberFormat="1" applyFont="1" applyFill="1" applyBorder="1" applyAlignment="1">
      <alignment horizontal="center" vertical="center" shrinkToFit="1"/>
    </xf>
    <xf numFmtId="0" fontId="20" fillId="0" borderId="28" xfId="0" applyFont="1" applyFill="1" applyBorder="1" applyAlignment="1">
      <alignment horizontal="center"/>
    </xf>
    <xf numFmtId="1" fontId="32" fillId="0" borderId="29" xfId="0" applyNumberFormat="1" applyFont="1" applyFill="1" applyBorder="1" applyAlignment="1">
      <alignment horizontal="center"/>
    </xf>
    <xf numFmtId="0" fontId="20" fillId="0" borderId="47" xfId="0"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49" fontId="38" fillId="0" borderId="28" xfId="0" applyNumberFormat="1" applyFont="1" applyFill="1" applyBorder="1" applyAlignment="1"/>
    <xf numFmtId="49" fontId="39" fillId="3" borderId="0" xfId="0" applyNumberFormat="1" applyFont="1" applyFill="1" applyBorder="1" applyAlignment="1"/>
    <xf numFmtId="49" fontId="40" fillId="3" borderId="0" xfId="0" applyNumberFormat="1" applyFont="1" applyFill="1" applyBorder="1" applyAlignment="1"/>
    <xf numFmtId="0" fontId="16" fillId="3" borderId="0" xfId="0" applyFont="1" applyFill="1" applyBorder="1" applyAlignment="1"/>
    <xf numFmtId="0" fontId="1" fillId="6" borderId="0" xfId="0" applyFont="1" applyFill="1" applyBorder="1"/>
    <xf numFmtId="0" fontId="20" fillId="6" borderId="0" xfId="0" applyFont="1" applyFill="1" applyBorder="1"/>
    <xf numFmtId="49" fontId="41" fillId="3" borderId="28" xfId="0" applyNumberFormat="1" applyFont="1" applyFill="1" applyBorder="1" applyAlignment="1"/>
    <xf numFmtId="49" fontId="42" fillId="0" borderId="28" xfId="0" applyNumberFormat="1" applyFont="1" applyFill="1" applyBorder="1" applyAlignment="1"/>
    <xf numFmtId="49" fontId="43" fillId="3" borderId="28" xfId="0" applyNumberFormat="1" applyFont="1" applyFill="1" applyBorder="1" applyAlignment="1"/>
    <xf numFmtId="0" fontId="28" fillId="3" borderId="0" xfId="0" applyFont="1" applyFill="1" applyBorder="1" applyAlignment="1"/>
    <xf numFmtId="0" fontId="31" fillId="3" borderId="0" xfId="0" applyFont="1" applyFill="1" applyBorder="1" applyAlignment="1">
      <alignment horizontal="left"/>
    </xf>
    <xf numFmtId="0" fontId="1" fillId="6" borderId="29" xfId="0" applyFont="1" applyFill="1" applyBorder="1"/>
    <xf numFmtId="0" fontId="1" fillId="3" borderId="0" xfId="0" quotePrefix="1" applyFont="1" applyFill="1" applyBorder="1" applyAlignment="1">
      <alignment horizontal="center"/>
    </xf>
    <xf numFmtId="0" fontId="37" fillId="6" borderId="0" xfId="0" applyFont="1" applyFill="1" applyBorder="1" applyAlignment="1">
      <alignment horizontal="center" vertical="top"/>
    </xf>
    <xf numFmtId="0" fontId="1" fillId="3" borderId="0" xfId="0" quotePrefix="1" applyFont="1" applyFill="1" applyBorder="1" applyAlignment="1">
      <alignment horizontal="center" vertical="center"/>
    </xf>
    <xf numFmtId="0" fontId="16" fillId="3" borderId="0" xfId="0" applyNumberFormat="1" applyFont="1" applyFill="1" applyBorder="1" applyAlignment="1">
      <alignment horizontal="center" vertical="center"/>
    </xf>
    <xf numFmtId="0" fontId="16" fillId="3" borderId="7" xfId="0" applyFont="1" applyFill="1" applyBorder="1" applyAlignment="1">
      <alignment horizontal="center" vertical="center"/>
    </xf>
    <xf numFmtId="0" fontId="34" fillId="3" borderId="0" xfId="0" quotePrefix="1" applyFont="1" applyFill="1" applyBorder="1" applyAlignment="1"/>
    <xf numFmtId="0" fontId="14" fillId="6" borderId="0" xfId="0" applyFont="1" applyFill="1" applyBorder="1" applyAlignment="1">
      <alignment vertical="top"/>
    </xf>
    <xf numFmtId="49" fontId="34" fillId="3" borderId="0" xfId="0" applyNumberFormat="1" applyFont="1" applyFill="1" applyBorder="1" applyAlignment="1">
      <alignment horizontal="center" vertical="center"/>
    </xf>
    <xf numFmtId="0" fontId="14" fillId="6" borderId="0" xfId="0" applyFont="1" applyFill="1" applyBorder="1" applyAlignment="1">
      <alignment horizontal="center" vertical="top"/>
    </xf>
    <xf numFmtId="0" fontId="34" fillId="3" borderId="0" xfId="0" applyNumberFormat="1" applyFont="1" applyFill="1" applyBorder="1" applyAlignment="1"/>
    <xf numFmtId="49" fontId="34" fillId="3" borderId="0" xfId="0" applyNumberFormat="1" applyFont="1" applyFill="1" applyBorder="1" applyAlignment="1">
      <alignment vertical="center"/>
    </xf>
    <xf numFmtId="0" fontId="34" fillId="3" borderId="0" xfId="0" applyNumberFormat="1" applyFont="1" applyFill="1" applyBorder="1" applyAlignment="1">
      <alignment horizontal="center" vertical="center"/>
    </xf>
    <xf numFmtId="0" fontId="34" fillId="3" borderId="7" xfId="0" applyFont="1" applyFill="1" applyBorder="1" applyAlignment="1">
      <alignment horizontal="center" vertical="center"/>
    </xf>
    <xf numFmtId="0" fontId="34" fillId="3" borderId="0" xfId="0" applyFont="1" applyFill="1" applyBorder="1" applyAlignment="1"/>
    <xf numFmtId="0" fontId="34" fillId="3" borderId="7" xfId="0" applyFont="1" applyFill="1" applyBorder="1" applyAlignment="1"/>
    <xf numFmtId="0" fontId="11" fillId="3" borderId="36" xfId="0" applyFont="1" applyFill="1" applyBorder="1" applyAlignment="1"/>
    <xf numFmtId="0" fontId="0" fillId="2" borderId="36"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30" fillId="3" borderId="0" xfId="0" quotePrefix="1" applyFont="1" applyFill="1" applyBorder="1" applyAlignment="1">
      <alignment horizontal="center" vertical="center"/>
    </xf>
    <xf numFmtId="0" fontId="30" fillId="3" borderId="0" xfId="0" applyFont="1" applyFill="1" applyBorder="1" applyAlignment="1">
      <alignment horizontal="center" vertical="center"/>
    </xf>
    <xf numFmtId="49" fontId="30" fillId="3" borderId="0" xfId="0" applyNumberFormat="1" applyFont="1" applyFill="1" applyBorder="1" applyAlignment="1">
      <alignment horizontal="left" vertical="center"/>
    </xf>
    <xf numFmtId="0" fontId="18" fillId="3" borderId="0" xfId="0" applyFont="1" applyFill="1" applyBorder="1" applyAlignment="1">
      <alignment vertical="center"/>
    </xf>
    <xf numFmtId="49" fontId="21" fillId="3" borderId="35" xfId="0" applyNumberFormat="1" applyFont="1" applyFill="1" applyBorder="1" applyAlignment="1">
      <alignment horizontal="left"/>
    </xf>
    <xf numFmtId="0" fontId="18" fillId="3" borderId="31" xfId="0" applyFont="1" applyFill="1" applyBorder="1" applyAlignment="1"/>
    <xf numFmtId="0" fontId="18" fillId="3" borderId="32" xfId="0" applyFont="1" applyFill="1" applyBorder="1" applyAlignment="1"/>
    <xf numFmtId="0" fontId="18" fillId="3" borderId="44" xfId="0" applyFont="1" applyFill="1" applyBorder="1" applyAlignment="1"/>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0" fontId="23" fillId="3" borderId="43" xfId="0" applyFont="1" applyFill="1" applyBorder="1" applyAlignment="1">
      <alignment horizontal="center" vertical="center" wrapText="1" shrinkToFit="1"/>
    </xf>
    <xf numFmtId="14" fontId="22" fillId="3" borderId="34" xfId="0" applyNumberFormat="1" applyFont="1" applyFill="1" applyBorder="1" applyAlignment="1">
      <alignment horizontal="left"/>
    </xf>
    <xf numFmtId="0" fontId="22" fillId="3" borderId="35" xfId="0" applyFont="1" applyFill="1" applyBorder="1" applyAlignment="1">
      <alignment horizontal="left"/>
    </xf>
    <xf numFmtId="49" fontId="24"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8</xdr:row>
      <xdr:rowOff>28202</xdr:rowOff>
    </xdr:from>
    <xdr:to>
      <xdr:col>3</xdr:col>
      <xdr:colOff>731418</xdr:colOff>
      <xdr:row>14</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48</xdr:row>
          <xdr:rowOff>114300</xdr:rowOff>
        </xdr:from>
        <xdr:to>
          <xdr:col>1</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47</xdr:row>
          <xdr:rowOff>95250</xdr:rowOff>
        </xdr:from>
        <xdr:to>
          <xdr:col>1</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18</xdr:row>
      <xdr:rowOff>0</xdr:rowOff>
    </xdr:from>
    <xdr:to>
      <xdr:col>11</xdr:col>
      <xdr:colOff>95250</xdr:colOff>
      <xdr:row>22</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2365375</xdr:colOff>
      <xdr:row>6</xdr:row>
      <xdr:rowOff>47625</xdr:rowOff>
    </xdr:from>
    <xdr:to>
      <xdr:col>10</xdr:col>
      <xdr:colOff>722219</xdr:colOff>
      <xdr:row>9</xdr:row>
      <xdr:rowOff>47625</xdr:rowOff>
    </xdr:to>
    <xdr:pic>
      <xdr:nvPicPr>
        <xdr:cNvPr id="10" name="Image 9"/>
        <xdr:cNvPicPr>
          <a:picLocks noChangeAspect="1"/>
        </xdr:cNvPicPr>
      </xdr:nvPicPr>
      <xdr:blipFill>
        <a:blip xmlns:r="http://schemas.openxmlformats.org/officeDocument/2006/relationships" r:embed="rId1"/>
        <a:stretch>
          <a:fillRect/>
        </a:stretch>
      </xdr:blipFill>
      <xdr:spPr>
        <a:xfrm>
          <a:off x="11049000" y="1031875"/>
          <a:ext cx="1341344" cy="666750"/>
        </a:xfrm>
        <a:prstGeom prst="rect">
          <a:avLst/>
        </a:prstGeom>
      </xdr:spPr>
    </xdr:pic>
    <xdr:clientData/>
  </xdr:twoCellAnchor>
  <xdr:twoCellAnchor editAs="oneCell">
    <xdr:from>
      <xdr:col>10</xdr:col>
      <xdr:colOff>825500</xdr:colOff>
      <xdr:row>4</xdr:row>
      <xdr:rowOff>47625</xdr:rowOff>
    </xdr:from>
    <xdr:to>
      <xdr:col>10</xdr:col>
      <xdr:colOff>2109576</xdr:colOff>
      <xdr:row>8</xdr:row>
      <xdr:rowOff>206375</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3625" y="587375"/>
          <a:ext cx="1284076" cy="1047750"/>
        </a:xfrm>
        <a:prstGeom prst="rect">
          <a:avLst/>
        </a:prstGeom>
      </xdr:spPr>
    </xdr:pic>
    <xdr:clientData/>
  </xdr:twoCellAnchor>
  <xdr:twoCellAnchor editAs="oneCell">
    <xdr:from>
      <xdr:col>1</xdr:col>
      <xdr:colOff>190500</xdr:colOff>
      <xdr:row>0</xdr:row>
      <xdr:rowOff>63499</xdr:rowOff>
    </xdr:from>
    <xdr:to>
      <xdr:col>5</xdr:col>
      <xdr:colOff>412750</xdr:colOff>
      <xdr:row>8</xdr:row>
      <xdr:rowOff>47624</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3750" y="63499"/>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9" t="s">
        <v>0</v>
      </c>
      <c r="E4" s="170"/>
      <c r="F4" s="170"/>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43</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71" t="s">
        <v>2</v>
      </c>
      <c r="E10" s="172"/>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47</v>
      </c>
      <c r="F12" s="60" t="s">
        <v>4</v>
      </c>
      <c r="G12" s="16"/>
      <c r="H12" s="24"/>
      <c r="I12" s="3"/>
      <c r="J12" s="8"/>
    </row>
    <row r="13" spans="2:10" ht="13.5" thickBot="1" x14ac:dyDescent="0.25">
      <c r="B13" s="7"/>
      <c r="C13" s="3"/>
      <c r="D13" s="31" t="s">
        <v>5</v>
      </c>
      <c r="E13" s="13" t="s">
        <v>46</v>
      </c>
      <c r="F13" s="60" t="s">
        <v>6</v>
      </c>
      <c r="G13" s="17"/>
      <c r="H13" s="24"/>
      <c r="I13" s="3"/>
      <c r="J13" s="8"/>
    </row>
    <row r="14" spans="2:10" x14ac:dyDescent="0.2">
      <c r="B14" s="7"/>
      <c r="C14" s="3"/>
      <c r="D14" s="31" t="s">
        <v>7</v>
      </c>
      <c r="E14" s="14" t="s">
        <v>48</v>
      </c>
      <c r="F14" s="25"/>
      <c r="G14" s="26"/>
      <c r="H14" s="24"/>
      <c r="I14" s="3"/>
      <c r="J14" s="8"/>
    </row>
    <row r="15" spans="2:10" x14ac:dyDescent="0.2">
      <c r="B15" s="7"/>
      <c r="C15" s="3"/>
      <c r="D15" s="31" t="s">
        <v>8</v>
      </c>
      <c r="E15" s="13" t="s">
        <v>49</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73" t="s">
        <v>44</v>
      </c>
      <c r="E19" s="172"/>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32</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45</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74" t="str">
        <f>LOWER(TemplateInformation!B3)</f>
        <v>c:\program files\microsoft office\office\macrolib\factbd.xls</v>
      </c>
      <c r="G33" s="175"/>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71" t="s">
        <v>16</v>
      </c>
      <c r="E36" s="172"/>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6"/>
  <sheetViews>
    <sheetView showGridLines="0" showRowColHeaders="0" tabSelected="1" topLeftCell="A49" zoomScale="60" zoomScaleNormal="60" workbookViewId="0">
      <selection activeCell="K55" sqref="K55"/>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37"/>
    </row>
    <row r="2" spans="1:13" ht="0.95" customHeight="1" thickTop="1" x14ac:dyDescent="0.25">
      <c r="A2" s="137"/>
      <c r="B2" s="5"/>
      <c r="C2" s="5"/>
      <c r="D2" s="5"/>
      <c r="E2" s="5"/>
      <c r="F2" s="5"/>
      <c r="G2" s="5"/>
      <c r="H2" s="5"/>
      <c r="I2" s="5"/>
      <c r="J2" s="5"/>
      <c r="K2" s="5"/>
      <c r="L2" s="5"/>
      <c r="M2" s="6"/>
    </row>
    <row r="3" spans="1:13" ht="18" x14ac:dyDescent="0.25">
      <c r="A3" s="137"/>
      <c r="B3" s="3"/>
      <c r="C3" s="3"/>
      <c r="D3" s="3"/>
      <c r="E3" s="3"/>
      <c r="F3" s="3"/>
      <c r="G3" s="3"/>
      <c r="H3" s="3"/>
      <c r="I3" s="3"/>
      <c r="J3" s="3"/>
      <c r="K3" s="3"/>
      <c r="L3" s="3"/>
      <c r="M3" s="8"/>
    </row>
    <row r="4" spans="1:13" ht="18" x14ac:dyDescent="0.25">
      <c r="A4" s="137"/>
      <c r="B4" s="3"/>
      <c r="C4" s="3"/>
      <c r="D4" s="3"/>
      <c r="E4" s="3"/>
      <c r="F4" s="3"/>
      <c r="G4" s="3"/>
      <c r="H4" s="3"/>
      <c r="I4" s="3"/>
      <c r="J4" s="3"/>
      <c r="K4" s="3"/>
      <c r="L4" s="3"/>
      <c r="M4" s="8"/>
    </row>
    <row r="5" spans="1:13" ht="18" x14ac:dyDescent="0.25">
      <c r="A5" s="137"/>
      <c r="B5" s="3"/>
      <c r="C5" s="3"/>
      <c r="D5" s="3"/>
      <c r="E5" s="3"/>
      <c r="F5" s="3"/>
      <c r="G5" s="3"/>
      <c r="H5" s="3"/>
      <c r="I5" s="3"/>
      <c r="J5" s="3"/>
      <c r="K5" s="3"/>
      <c r="L5" s="3"/>
      <c r="M5" s="8"/>
    </row>
    <row r="6" spans="1:13" ht="18" x14ac:dyDescent="0.25">
      <c r="A6" s="137"/>
      <c r="B6" s="3"/>
      <c r="C6" s="3"/>
      <c r="D6" s="3"/>
      <c r="E6" s="3"/>
      <c r="F6" s="3"/>
      <c r="G6" s="3"/>
      <c r="H6" s="106"/>
      <c r="I6" s="106"/>
      <c r="J6" s="3"/>
      <c r="K6" s="3"/>
      <c r="L6" s="3"/>
      <c r="M6" s="8"/>
    </row>
    <row r="7" spans="1:13" ht="18" x14ac:dyDescent="0.25">
      <c r="A7" s="137"/>
      <c r="B7" s="3"/>
      <c r="C7" s="3"/>
      <c r="D7" s="3"/>
      <c r="E7" s="3"/>
      <c r="F7" s="3"/>
      <c r="G7" s="3"/>
      <c r="H7" s="3"/>
      <c r="I7" s="3"/>
      <c r="J7" s="3"/>
      <c r="K7" s="3"/>
      <c r="L7" s="3"/>
      <c r="M7" s="8"/>
    </row>
    <row r="8" spans="1:13" ht="18" x14ac:dyDescent="0.25">
      <c r="A8" s="137"/>
      <c r="B8" s="3"/>
      <c r="C8" s="3"/>
      <c r="D8" s="3"/>
      <c r="E8" s="3"/>
      <c r="F8" s="3"/>
      <c r="G8" s="3"/>
      <c r="H8" s="3"/>
      <c r="I8" s="3"/>
      <c r="J8" s="3"/>
      <c r="K8" s="3"/>
      <c r="L8" s="3"/>
      <c r="M8" s="8"/>
    </row>
    <row r="9" spans="1:13" ht="18" x14ac:dyDescent="0.25">
      <c r="A9" s="137"/>
      <c r="B9" s="3"/>
      <c r="C9" s="3"/>
      <c r="D9" s="3"/>
      <c r="E9" s="3"/>
      <c r="F9" s="3"/>
      <c r="G9" s="3"/>
      <c r="H9" s="3"/>
      <c r="I9" s="3"/>
      <c r="J9" s="3"/>
      <c r="K9" s="3"/>
      <c r="L9" s="3"/>
      <c r="M9" s="8"/>
    </row>
    <row r="10" spans="1:13" ht="18" x14ac:dyDescent="0.25">
      <c r="A10" s="137"/>
      <c r="B10" s="3"/>
      <c r="C10" s="3"/>
      <c r="D10" s="3"/>
      <c r="E10" s="3"/>
      <c r="F10" s="3"/>
      <c r="G10" s="3"/>
      <c r="H10" s="3"/>
      <c r="I10" s="3"/>
      <c r="J10" s="3"/>
      <c r="K10" s="3"/>
      <c r="L10" s="3"/>
      <c r="M10" s="8"/>
    </row>
    <row r="11" spans="1:13" ht="18" x14ac:dyDescent="0.25">
      <c r="A11" s="137"/>
      <c r="B11" s="3"/>
      <c r="C11" s="3"/>
      <c r="D11" s="3"/>
      <c r="E11" s="3"/>
      <c r="F11" s="3"/>
      <c r="G11" s="3"/>
      <c r="H11" s="3"/>
      <c r="I11" s="3"/>
      <c r="J11" s="3"/>
      <c r="K11" s="3"/>
      <c r="L11" s="3"/>
      <c r="M11" s="8"/>
    </row>
    <row r="12" spans="1:13" ht="18" x14ac:dyDescent="0.25">
      <c r="A12" s="137"/>
      <c r="B12" s="3"/>
      <c r="C12" s="3"/>
      <c r="D12" s="3"/>
      <c r="E12" s="3"/>
      <c r="F12" s="3"/>
      <c r="G12" s="3"/>
      <c r="H12" s="3"/>
      <c r="I12" s="3"/>
      <c r="J12" s="3"/>
      <c r="K12" s="3"/>
      <c r="L12" s="3"/>
      <c r="M12" s="8"/>
    </row>
    <row r="13" spans="1:13" ht="18" x14ac:dyDescent="0.25">
      <c r="A13" s="137"/>
      <c r="B13" s="3"/>
      <c r="C13" s="3"/>
      <c r="D13" s="3"/>
      <c r="E13" s="3"/>
      <c r="F13" s="3"/>
      <c r="G13" s="3"/>
      <c r="H13" s="3"/>
      <c r="I13" s="3"/>
      <c r="J13" s="3"/>
      <c r="K13" s="3"/>
      <c r="L13" s="3"/>
      <c r="M13" s="8"/>
    </row>
    <row r="14" spans="1:13" ht="18.75" thickBot="1" x14ac:dyDescent="0.3">
      <c r="A14" s="137"/>
      <c r="B14" s="3"/>
      <c r="C14" s="3"/>
      <c r="D14" s="3"/>
      <c r="E14" s="3"/>
      <c r="F14" s="3"/>
      <c r="G14" s="3"/>
      <c r="H14" s="3"/>
      <c r="I14" s="3"/>
      <c r="J14" s="3"/>
      <c r="K14" s="3"/>
      <c r="L14" s="3"/>
      <c r="M14" s="8"/>
    </row>
    <row r="15" spans="1:13" ht="27.75" thickTop="1" thickBot="1" x14ac:dyDescent="0.45">
      <c r="A15" s="137"/>
      <c r="B15" s="104" t="s">
        <v>58</v>
      </c>
      <c r="C15" s="71"/>
      <c r="D15" s="71"/>
      <c r="E15" s="71"/>
      <c r="F15" s="3"/>
      <c r="G15" s="3"/>
      <c r="H15" s="3"/>
      <c r="I15" s="3"/>
      <c r="J15" s="184" t="s">
        <v>83</v>
      </c>
      <c r="K15" s="3"/>
      <c r="L15" s="3"/>
      <c r="M15" s="8"/>
    </row>
    <row r="16" spans="1:13" ht="21.95" customHeight="1" thickTop="1" x14ac:dyDescent="0.3">
      <c r="A16" s="137"/>
      <c r="B16" s="53"/>
      <c r="C16" s="53"/>
      <c r="D16" s="53"/>
      <c r="E16" s="53"/>
      <c r="F16" s="53"/>
      <c r="G16" s="53"/>
      <c r="H16" s="54"/>
      <c r="I16" s="54"/>
      <c r="J16" s="185"/>
      <c r="K16" s="54"/>
      <c r="L16" s="18"/>
      <c r="M16" s="8"/>
    </row>
    <row r="17" spans="1:13" ht="21.95" customHeight="1" thickBot="1" x14ac:dyDescent="0.3">
      <c r="A17" s="137"/>
      <c r="B17" s="3"/>
      <c r="C17" s="3"/>
      <c r="D17" s="3"/>
      <c r="E17" s="3"/>
      <c r="F17" s="3"/>
      <c r="G17" s="3"/>
      <c r="H17" s="3"/>
      <c r="I17" s="3"/>
      <c r="J17" s="186"/>
      <c r="K17" s="3"/>
      <c r="L17" s="3"/>
      <c r="M17" s="8"/>
    </row>
    <row r="18" spans="1:13" ht="18.75" thickTop="1" x14ac:dyDescent="0.25">
      <c r="A18" s="137"/>
      <c r="B18" s="3"/>
      <c r="C18" s="3"/>
      <c r="D18" s="3"/>
      <c r="E18" s="3"/>
      <c r="F18" s="3"/>
      <c r="G18" s="3"/>
      <c r="H18" s="3"/>
      <c r="I18" s="3"/>
      <c r="J18" s="3"/>
      <c r="K18" s="3"/>
      <c r="L18" s="3"/>
      <c r="M18" s="8"/>
    </row>
    <row r="19" spans="1:13" ht="35.25" x14ac:dyDescent="0.5">
      <c r="A19" s="137"/>
      <c r="B19" s="93" t="s">
        <v>50</v>
      </c>
      <c r="C19" s="189" t="s">
        <v>60</v>
      </c>
      <c r="D19" s="189"/>
      <c r="E19" s="189"/>
      <c r="F19" s="189"/>
      <c r="G19" s="189"/>
      <c r="H19" s="189"/>
      <c r="I19" s="94"/>
      <c r="J19" s="187" t="s">
        <v>82</v>
      </c>
      <c r="K19" s="187"/>
      <c r="L19" s="50"/>
      <c r="M19" s="8"/>
    </row>
    <row r="20" spans="1:13" ht="33.75" x14ac:dyDescent="0.5">
      <c r="A20" s="137"/>
      <c r="B20" s="93" t="s">
        <v>51</v>
      </c>
      <c r="C20" s="179" t="s">
        <v>62</v>
      </c>
      <c r="D20" s="179"/>
      <c r="E20" s="179"/>
      <c r="F20" s="179"/>
      <c r="G20" s="179"/>
      <c r="H20" s="179"/>
      <c r="I20" s="179"/>
      <c r="J20" s="95" t="s">
        <v>76</v>
      </c>
      <c r="K20" s="95"/>
      <c r="L20" s="51"/>
      <c r="M20" s="8"/>
    </row>
    <row r="21" spans="1:13" ht="33.75" x14ac:dyDescent="0.5">
      <c r="A21" s="137"/>
      <c r="B21" s="93" t="s">
        <v>52</v>
      </c>
      <c r="C21" s="107"/>
      <c r="D21" s="96" t="s">
        <v>8</v>
      </c>
      <c r="E21" s="180"/>
      <c r="F21" s="180"/>
      <c r="G21" s="97" t="s">
        <v>9</v>
      </c>
      <c r="H21" s="98" t="s">
        <v>55</v>
      </c>
      <c r="I21" s="94"/>
      <c r="J21" s="188" t="s">
        <v>69</v>
      </c>
      <c r="K21" s="188"/>
      <c r="L21" s="3"/>
      <c r="M21" s="8"/>
    </row>
    <row r="22" spans="1:13" ht="33.75" x14ac:dyDescent="0.5">
      <c r="A22" s="137"/>
      <c r="B22" s="93" t="s">
        <v>53</v>
      </c>
      <c r="C22" s="190"/>
      <c r="D22" s="190"/>
      <c r="E22" s="190"/>
      <c r="F22" s="190"/>
      <c r="G22" s="190"/>
      <c r="H22" s="190"/>
      <c r="I22" s="94"/>
      <c r="J22" s="188" t="s">
        <v>61</v>
      </c>
      <c r="K22" s="188"/>
      <c r="L22" s="3"/>
      <c r="M22" s="8"/>
    </row>
    <row r="23" spans="1:13" ht="18" x14ac:dyDescent="0.25">
      <c r="A23" s="137"/>
      <c r="B23" s="70"/>
      <c r="C23" s="70"/>
      <c r="D23" s="70"/>
      <c r="E23" s="70"/>
      <c r="F23" s="70"/>
      <c r="G23" s="70"/>
      <c r="H23" s="70"/>
      <c r="I23" s="70"/>
      <c r="J23" s="70"/>
      <c r="K23" s="70"/>
      <c r="L23" s="3"/>
      <c r="M23" s="8"/>
    </row>
    <row r="24" spans="1:13" ht="18" x14ac:dyDescent="0.25">
      <c r="A24" s="137"/>
      <c r="B24" s="81" t="s">
        <v>33</v>
      </c>
      <c r="C24" s="81" t="s">
        <v>21</v>
      </c>
      <c r="D24" s="181" t="s">
        <v>22</v>
      </c>
      <c r="E24" s="182"/>
      <c r="F24" s="182"/>
      <c r="G24" s="182"/>
      <c r="H24" s="182"/>
      <c r="I24" s="183"/>
      <c r="J24" s="81" t="s">
        <v>23</v>
      </c>
      <c r="K24" s="82" t="s">
        <v>24</v>
      </c>
      <c r="L24" s="83"/>
      <c r="M24" s="8"/>
    </row>
    <row r="25" spans="1:13" ht="30" x14ac:dyDescent="0.4">
      <c r="A25" s="137"/>
      <c r="B25" s="137"/>
      <c r="C25" s="138"/>
      <c r="D25" s="142"/>
      <c r="E25" s="130"/>
      <c r="F25" s="130"/>
      <c r="G25" s="130"/>
      <c r="H25" s="131"/>
      <c r="I25" s="132"/>
      <c r="J25" s="102"/>
      <c r="K25" s="108"/>
      <c r="L25" s="52"/>
      <c r="M25" s="8"/>
    </row>
    <row r="26" spans="1:13" ht="27" x14ac:dyDescent="0.35">
      <c r="A26" s="137"/>
      <c r="B26" s="137"/>
      <c r="C26" s="138"/>
      <c r="D26" s="150" t="s">
        <v>63</v>
      </c>
      <c r="E26" s="143"/>
      <c r="F26" s="143"/>
      <c r="G26" s="143"/>
      <c r="H26" s="143"/>
      <c r="I26" s="143"/>
      <c r="J26" s="153"/>
      <c r="K26" s="108"/>
      <c r="L26" s="52"/>
      <c r="M26" s="8"/>
    </row>
    <row r="27" spans="1:13" ht="26.25" x14ac:dyDescent="0.35">
      <c r="A27" s="137"/>
      <c r="B27" s="137"/>
      <c r="C27" s="138"/>
      <c r="D27" s="148" t="s">
        <v>64</v>
      </c>
      <c r="E27" s="144"/>
      <c r="F27" s="144"/>
      <c r="G27" s="144"/>
      <c r="H27" s="144"/>
      <c r="I27" s="144"/>
      <c r="J27" s="153"/>
      <c r="K27" s="108"/>
      <c r="L27" s="52"/>
      <c r="M27" s="8"/>
    </row>
    <row r="28" spans="1:13" ht="30" x14ac:dyDescent="0.4">
      <c r="A28" s="137"/>
      <c r="B28" s="137"/>
      <c r="C28" s="101"/>
      <c r="D28" s="149" t="s">
        <v>65</v>
      </c>
      <c r="E28" s="115"/>
      <c r="F28" s="145"/>
      <c r="G28" s="146"/>
      <c r="H28" s="146"/>
      <c r="I28" s="145"/>
      <c r="J28" s="153"/>
      <c r="K28" s="108"/>
      <c r="L28" s="52"/>
      <c r="M28" s="8"/>
    </row>
    <row r="29" spans="1:13" ht="30" x14ac:dyDescent="0.4">
      <c r="A29" s="137"/>
      <c r="B29" s="137"/>
      <c r="C29" s="101"/>
      <c r="D29" s="149" t="s">
        <v>66</v>
      </c>
      <c r="E29" s="115"/>
      <c r="F29" s="145"/>
      <c r="G29" s="146"/>
      <c r="H29" s="146"/>
      <c r="I29" s="145"/>
      <c r="J29" s="153"/>
      <c r="K29" s="102"/>
      <c r="L29" s="52"/>
      <c r="M29" s="8"/>
    </row>
    <row r="30" spans="1:13" ht="30" x14ac:dyDescent="0.4">
      <c r="A30" s="137"/>
      <c r="B30" s="137"/>
      <c r="C30" s="101"/>
      <c r="D30" s="149" t="s">
        <v>67</v>
      </c>
      <c r="E30" s="115"/>
      <c r="F30" s="145"/>
      <c r="G30" s="146"/>
      <c r="H30" s="146"/>
      <c r="I30" s="145"/>
      <c r="J30" s="153"/>
      <c r="K30" s="108"/>
      <c r="L30" s="52"/>
      <c r="M30" s="8"/>
    </row>
    <row r="31" spans="1:13" ht="30" x14ac:dyDescent="0.4">
      <c r="A31" s="137"/>
      <c r="B31" s="137"/>
      <c r="C31" s="101">
        <v>1</v>
      </c>
      <c r="D31" s="151" t="s">
        <v>74</v>
      </c>
      <c r="E31" s="115"/>
      <c r="F31" s="145"/>
      <c r="G31" s="146"/>
      <c r="H31" s="145"/>
      <c r="I31" s="145"/>
      <c r="J31" s="102">
        <v>1480</v>
      </c>
      <c r="K31" s="102">
        <v>1480</v>
      </c>
      <c r="L31" s="52"/>
      <c r="M31" s="8"/>
    </row>
    <row r="32" spans="1:13" ht="30" x14ac:dyDescent="0.4">
      <c r="A32" s="137"/>
      <c r="B32" s="137"/>
      <c r="C32" s="101"/>
      <c r="D32" s="151"/>
      <c r="E32" s="147"/>
      <c r="F32" s="145"/>
      <c r="G32" s="146"/>
      <c r="H32" s="145"/>
      <c r="I32" s="145"/>
      <c r="J32" s="102"/>
      <c r="K32" s="102"/>
      <c r="L32" s="86"/>
      <c r="M32" s="8"/>
    </row>
    <row r="33" spans="1:13" ht="30" x14ac:dyDescent="0.4">
      <c r="A33" s="137"/>
      <c r="B33" s="137"/>
      <c r="C33" s="101">
        <v>1</v>
      </c>
      <c r="D33" s="151" t="s">
        <v>68</v>
      </c>
      <c r="E33" s="147"/>
      <c r="F33" s="145"/>
      <c r="G33" s="146"/>
      <c r="H33" s="145"/>
      <c r="I33" s="145"/>
      <c r="J33" s="102">
        <v>1692</v>
      </c>
      <c r="K33" s="102">
        <f>J33*C33</f>
        <v>1692</v>
      </c>
      <c r="L33" s="86"/>
      <c r="M33" s="8"/>
    </row>
    <row r="34" spans="1:13" ht="30" x14ac:dyDescent="0.4">
      <c r="A34" s="137"/>
      <c r="B34" s="137"/>
      <c r="C34" s="101"/>
      <c r="D34" s="151"/>
      <c r="E34" s="147"/>
      <c r="F34" s="145"/>
      <c r="G34" s="146"/>
      <c r="H34" s="145"/>
      <c r="I34" s="145"/>
      <c r="J34" s="102"/>
      <c r="K34" s="102"/>
      <c r="L34" s="86"/>
      <c r="M34" s="8"/>
    </row>
    <row r="35" spans="1:13" ht="30" x14ac:dyDescent="0.4">
      <c r="A35" s="137"/>
      <c r="B35" s="137"/>
      <c r="C35" s="101">
        <v>1</v>
      </c>
      <c r="D35" s="151" t="s">
        <v>77</v>
      </c>
      <c r="E35" s="147"/>
      <c r="F35" s="145"/>
      <c r="G35" s="146"/>
      <c r="H35" s="145"/>
      <c r="I35" s="145"/>
      <c r="J35" s="102">
        <v>1839</v>
      </c>
      <c r="K35" s="102">
        <f t="shared" ref="K35:K45" si="0">J35*C35</f>
        <v>1839</v>
      </c>
      <c r="L35" s="86"/>
      <c r="M35" s="8"/>
    </row>
    <row r="36" spans="1:13" ht="30" x14ac:dyDescent="0.4">
      <c r="A36" s="137"/>
      <c r="B36" s="137"/>
      <c r="C36" s="101"/>
      <c r="D36" s="151"/>
      <c r="E36" s="147"/>
      <c r="F36" s="145"/>
      <c r="G36" s="146"/>
      <c r="H36" s="145"/>
      <c r="I36" s="145"/>
      <c r="J36" s="102"/>
      <c r="K36" s="102"/>
      <c r="L36" s="86"/>
      <c r="M36" s="8"/>
    </row>
    <row r="37" spans="1:13" ht="30" x14ac:dyDescent="0.4">
      <c r="A37" s="137"/>
      <c r="B37" s="137"/>
      <c r="C37" s="101">
        <v>1</v>
      </c>
      <c r="D37" s="151" t="s">
        <v>78</v>
      </c>
      <c r="E37" s="147"/>
      <c r="F37" s="145"/>
      <c r="G37" s="146"/>
      <c r="H37" s="145"/>
      <c r="I37" s="145"/>
      <c r="J37" s="102">
        <v>2085</v>
      </c>
      <c r="K37" s="102">
        <f t="shared" si="0"/>
        <v>2085</v>
      </c>
      <c r="L37" s="86"/>
      <c r="M37" s="8"/>
    </row>
    <row r="38" spans="1:13" ht="30" x14ac:dyDescent="0.4">
      <c r="A38" s="137"/>
      <c r="B38" s="137"/>
      <c r="C38" s="101"/>
      <c r="D38" s="151"/>
      <c r="E38" s="147"/>
      <c r="F38" s="145"/>
      <c r="G38" s="146"/>
      <c r="H38" s="145"/>
      <c r="I38" s="145"/>
      <c r="J38" s="102"/>
      <c r="K38" s="102"/>
      <c r="L38" s="86"/>
      <c r="M38" s="8"/>
    </row>
    <row r="39" spans="1:13" ht="30" x14ac:dyDescent="0.4">
      <c r="A39" s="137"/>
      <c r="B39" s="137"/>
      <c r="C39" s="101">
        <v>1</v>
      </c>
      <c r="D39" s="151" t="s">
        <v>79</v>
      </c>
      <c r="E39" s="131"/>
      <c r="F39" s="131"/>
      <c r="G39" s="131"/>
      <c r="H39" s="131"/>
      <c r="I39" s="132"/>
      <c r="J39" s="103">
        <v>2584</v>
      </c>
      <c r="K39" s="102">
        <f t="shared" si="0"/>
        <v>2584</v>
      </c>
      <c r="L39" s="86"/>
      <c r="M39" s="8"/>
    </row>
    <row r="40" spans="1:13" ht="30" x14ac:dyDescent="0.4">
      <c r="A40" s="137"/>
      <c r="B40" s="137"/>
      <c r="C40" s="101"/>
      <c r="D40" s="151"/>
      <c r="E40" s="131"/>
      <c r="F40" s="131"/>
      <c r="G40" s="131"/>
      <c r="H40" s="131"/>
      <c r="I40" s="131"/>
      <c r="J40" s="103"/>
      <c r="K40" s="102"/>
      <c r="L40" s="86"/>
      <c r="M40" s="8"/>
    </row>
    <row r="41" spans="1:13" ht="30" x14ac:dyDescent="0.4">
      <c r="A41" s="137"/>
      <c r="B41" s="137"/>
      <c r="C41" s="101">
        <v>1</v>
      </c>
      <c r="D41" s="151" t="s">
        <v>75</v>
      </c>
      <c r="E41" s="131"/>
      <c r="F41" s="131"/>
      <c r="G41" s="131"/>
      <c r="H41" s="131"/>
      <c r="I41" s="131"/>
      <c r="J41" s="103">
        <v>3492</v>
      </c>
      <c r="K41" s="102">
        <f t="shared" si="0"/>
        <v>3492</v>
      </c>
      <c r="L41" s="86"/>
      <c r="M41" s="8"/>
    </row>
    <row r="42" spans="1:13" ht="30" x14ac:dyDescent="0.4">
      <c r="A42" s="137"/>
      <c r="B42" s="137"/>
      <c r="C42" s="101"/>
      <c r="D42" s="151"/>
      <c r="E42" s="131"/>
      <c r="F42" s="131"/>
      <c r="G42" s="131"/>
      <c r="H42" s="131"/>
      <c r="I42" s="131"/>
      <c r="J42" s="103"/>
      <c r="K42" s="102"/>
      <c r="L42" s="86"/>
      <c r="M42" s="8"/>
    </row>
    <row r="43" spans="1:13" ht="30" x14ac:dyDescent="0.4">
      <c r="A43" s="137"/>
      <c r="B43" s="137"/>
      <c r="C43" s="101">
        <v>1</v>
      </c>
      <c r="D43" s="151" t="s">
        <v>80</v>
      </c>
      <c r="E43" s="147"/>
      <c r="F43" s="145"/>
      <c r="G43" s="146"/>
      <c r="H43" s="145"/>
      <c r="I43" s="145"/>
      <c r="J43" s="102">
        <v>4319</v>
      </c>
      <c r="K43" s="102">
        <f t="shared" si="0"/>
        <v>4319</v>
      </c>
      <c r="L43" s="52"/>
      <c r="M43" s="8"/>
    </row>
    <row r="44" spans="1:13" ht="30" x14ac:dyDescent="0.4">
      <c r="A44" s="137"/>
      <c r="B44" s="137"/>
      <c r="C44" s="101"/>
      <c r="D44" s="112"/>
      <c r="E44" s="131"/>
      <c r="F44" s="131"/>
      <c r="G44" s="131"/>
      <c r="H44" s="131"/>
      <c r="I44" s="132"/>
      <c r="J44" s="103"/>
      <c r="K44" s="102"/>
      <c r="L44" s="52"/>
      <c r="M44" s="8"/>
    </row>
    <row r="45" spans="1:13" ht="30" x14ac:dyDescent="0.4">
      <c r="A45" s="137"/>
      <c r="B45" s="137"/>
      <c r="C45" s="101">
        <v>1</v>
      </c>
      <c r="D45" s="151" t="s">
        <v>81</v>
      </c>
      <c r="E45" s="131"/>
      <c r="F45" s="131"/>
      <c r="G45" s="131"/>
      <c r="H45" s="131"/>
      <c r="I45" s="132"/>
      <c r="J45" s="103">
        <v>5973</v>
      </c>
      <c r="K45" s="102">
        <f t="shared" si="0"/>
        <v>5973</v>
      </c>
      <c r="L45" s="52"/>
      <c r="M45" s="8"/>
    </row>
    <row r="46" spans="1:13" ht="30" x14ac:dyDescent="0.4">
      <c r="A46" s="137"/>
      <c r="B46" s="139"/>
      <c r="C46" s="133"/>
      <c r="D46" s="134"/>
      <c r="E46" s="128"/>
      <c r="F46" s="128"/>
      <c r="G46" s="128"/>
      <c r="H46" s="128"/>
      <c r="I46" s="129"/>
      <c r="J46" s="135"/>
      <c r="K46" s="136"/>
      <c r="L46" s="52"/>
      <c r="M46" s="8"/>
    </row>
    <row r="47" spans="1:13" ht="35.25" x14ac:dyDescent="0.5">
      <c r="A47" s="137"/>
      <c r="B47" s="78"/>
      <c r="C47" s="87"/>
      <c r="D47" s="117"/>
      <c r="E47" s="114"/>
      <c r="F47" s="114"/>
      <c r="G47" s="114"/>
      <c r="H47" s="115"/>
      <c r="I47" s="116"/>
      <c r="J47" s="119" t="s">
        <v>25</v>
      </c>
      <c r="K47" s="124">
        <f>SUM(K25:K46)</f>
        <v>23464</v>
      </c>
      <c r="L47" s="52"/>
      <c r="M47" s="8"/>
    </row>
    <row r="48" spans="1:13" ht="35.25" x14ac:dyDescent="0.5">
      <c r="A48" s="137"/>
      <c r="B48" s="92"/>
      <c r="C48" s="89" t="s">
        <v>54</v>
      </c>
      <c r="D48" s="72"/>
      <c r="E48" s="72"/>
      <c r="F48" s="72"/>
      <c r="G48" s="72"/>
      <c r="H48" s="73"/>
      <c r="I48" s="84"/>
      <c r="J48" s="118" t="s">
        <v>45</v>
      </c>
      <c r="K48" s="99">
        <v>1</v>
      </c>
      <c r="L48" s="52"/>
      <c r="M48" s="8"/>
    </row>
    <row r="49" spans="1:13" ht="35.25" x14ac:dyDescent="0.5">
      <c r="A49" s="137"/>
      <c r="B49" s="90"/>
      <c r="C49" s="152" t="s">
        <v>70</v>
      </c>
      <c r="D49" s="72"/>
      <c r="E49" s="72"/>
      <c r="F49" s="72"/>
      <c r="G49" s="72"/>
      <c r="H49" s="74"/>
      <c r="I49" s="85"/>
      <c r="J49" s="120">
        <v>0.19</v>
      </c>
      <c r="K49" s="99">
        <f>(K47)*0.19</f>
        <v>4458.16</v>
      </c>
      <c r="L49" s="52"/>
      <c r="M49" s="8"/>
    </row>
    <row r="50" spans="1:13" ht="35.25" x14ac:dyDescent="0.5">
      <c r="A50" s="137"/>
      <c r="B50" s="78"/>
      <c r="C50" s="91"/>
      <c r="D50" s="88"/>
      <c r="E50" s="76"/>
      <c r="F50" s="75"/>
      <c r="G50" s="72"/>
      <c r="H50" s="77"/>
      <c r="I50" s="84"/>
      <c r="J50" s="100" t="s">
        <v>26</v>
      </c>
      <c r="K50" s="99">
        <f>+K47+K48+K49</f>
        <v>27923.16</v>
      </c>
      <c r="L50" s="52"/>
      <c r="M50" s="8"/>
    </row>
    <row r="51" spans="1:13" ht="26.25" x14ac:dyDescent="0.4">
      <c r="A51" s="137"/>
      <c r="B51" s="113"/>
      <c r="C51" s="113"/>
      <c r="D51" s="123"/>
      <c r="E51" s="127"/>
      <c r="F51" s="127"/>
      <c r="G51" s="127"/>
      <c r="H51" s="73"/>
      <c r="I51" s="111"/>
      <c r="J51" s="140" t="s">
        <v>59</v>
      </c>
      <c r="K51" s="140"/>
      <c r="L51" s="105"/>
      <c r="M51" s="8"/>
    </row>
    <row r="52" spans="1:13" ht="18" x14ac:dyDescent="0.25">
      <c r="A52" s="137"/>
      <c r="B52" s="113"/>
      <c r="C52" s="113"/>
      <c r="D52" s="73"/>
      <c r="E52" s="73"/>
      <c r="F52" s="73"/>
      <c r="G52" s="73"/>
      <c r="H52" s="73"/>
      <c r="I52" s="105"/>
      <c r="J52" s="105"/>
      <c r="K52" s="105"/>
      <c r="L52" s="52"/>
      <c r="M52" s="125"/>
    </row>
    <row r="53" spans="1:13" ht="20.25" x14ac:dyDescent="0.3">
      <c r="A53" s="137"/>
      <c r="B53" s="109" t="s">
        <v>56</v>
      </c>
      <c r="C53" s="141"/>
      <c r="D53" s="73"/>
      <c r="E53" s="73"/>
      <c r="F53" s="73"/>
      <c r="G53" s="73"/>
      <c r="H53" s="73"/>
      <c r="I53" s="79"/>
      <c r="J53" s="79"/>
      <c r="K53" s="80"/>
      <c r="L53" s="52"/>
      <c r="M53" s="126"/>
    </row>
    <row r="54" spans="1:13" ht="20.25" x14ac:dyDescent="0.3">
      <c r="A54" s="137"/>
      <c r="B54" s="110" t="s">
        <v>57</v>
      </c>
      <c r="C54" s="110"/>
      <c r="D54" s="73"/>
      <c r="E54" s="73"/>
      <c r="F54" s="73"/>
      <c r="G54" s="73"/>
      <c r="H54" s="74"/>
      <c r="I54" s="79"/>
      <c r="J54" s="79"/>
      <c r="K54" s="79"/>
      <c r="L54" s="83"/>
      <c r="M54" s="8"/>
    </row>
    <row r="55" spans="1:13" ht="18" customHeight="1" x14ac:dyDescent="0.25">
      <c r="A55" s="137"/>
      <c r="B55" s="156"/>
      <c r="C55" s="154"/>
      <c r="D55" s="154"/>
      <c r="E55" s="154"/>
      <c r="F55" s="154"/>
      <c r="G55" s="154"/>
      <c r="H55" s="154"/>
      <c r="I55" s="154"/>
      <c r="J55" s="154"/>
      <c r="K55" s="155"/>
      <c r="L55" s="83"/>
      <c r="M55" s="8"/>
    </row>
    <row r="56" spans="1:13" ht="15" customHeight="1" x14ac:dyDescent="0.25">
      <c r="A56" s="137"/>
      <c r="B56" s="176" t="s">
        <v>71</v>
      </c>
      <c r="C56" s="176"/>
      <c r="D56" s="176"/>
      <c r="E56" s="176"/>
      <c r="F56" s="176"/>
      <c r="G56" s="176"/>
      <c r="H56" s="176"/>
      <c r="I56" s="176"/>
      <c r="J56" s="176"/>
      <c r="K56" s="176"/>
      <c r="L56" s="157"/>
      <c r="M56" s="158"/>
    </row>
    <row r="57" spans="1:13" ht="20.100000000000001" customHeight="1" x14ac:dyDescent="0.25">
      <c r="A57" s="137"/>
      <c r="B57" s="176"/>
      <c r="C57" s="176"/>
      <c r="D57" s="176"/>
      <c r="E57" s="176"/>
      <c r="F57" s="176"/>
      <c r="G57" s="176"/>
      <c r="H57" s="176"/>
      <c r="I57" s="176"/>
      <c r="J57" s="176"/>
      <c r="K57" s="176"/>
      <c r="L57" s="165"/>
      <c r="M57" s="166"/>
    </row>
    <row r="58" spans="1:13" ht="15.75" customHeight="1" x14ac:dyDescent="0.3">
      <c r="A58" s="137"/>
      <c r="B58" s="177" t="s">
        <v>72</v>
      </c>
      <c r="C58" s="177"/>
      <c r="D58" s="177"/>
      <c r="E58" s="177"/>
      <c r="F58" s="177"/>
      <c r="G58" s="177"/>
      <c r="H58" s="177"/>
      <c r="I58" s="177"/>
      <c r="J58" s="177"/>
      <c r="K58" s="177"/>
      <c r="L58" s="159"/>
      <c r="M58" s="160"/>
    </row>
    <row r="59" spans="1:13" ht="15.75" customHeight="1" x14ac:dyDescent="0.25">
      <c r="A59" s="137"/>
      <c r="B59" s="177"/>
      <c r="C59" s="177"/>
      <c r="D59" s="177"/>
      <c r="E59" s="177"/>
      <c r="F59" s="177"/>
      <c r="G59" s="177"/>
      <c r="H59" s="177"/>
      <c r="I59" s="177"/>
      <c r="J59" s="177"/>
      <c r="K59" s="177"/>
      <c r="L59" s="160"/>
      <c r="M59" s="160"/>
    </row>
    <row r="60" spans="1:13" ht="15.75" customHeight="1" x14ac:dyDescent="0.3">
      <c r="A60" s="137"/>
      <c r="B60" s="167"/>
      <c r="C60" s="178" t="s">
        <v>73</v>
      </c>
      <c r="D60" s="178"/>
      <c r="E60" s="178"/>
      <c r="F60" s="178"/>
      <c r="G60" s="178"/>
      <c r="H60" s="178"/>
      <c r="I60" s="178"/>
      <c r="J60" s="178"/>
      <c r="K60" s="178"/>
      <c r="L60" s="164"/>
      <c r="M60" s="160"/>
    </row>
    <row r="61" spans="1:13" ht="15.75" customHeight="1" x14ac:dyDescent="0.3">
      <c r="A61" s="137"/>
      <c r="B61" s="167"/>
      <c r="C61" s="178"/>
      <c r="D61" s="178"/>
      <c r="E61" s="178"/>
      <c r="F61" s="178"/>
      <c r="G61" s="178"/>
      <c r="H61" s="178"/>
      <c r="I61" s="178"/>
      <c r="J61" s="178"/>
      <c r="K61" s="178"/>
      <c r="L61" s="164"/>
      <c r="M61" s="160"/>
    </row>
    <row r="62" spans="1:13" ht="15.75" customHeight="1" x14ac:dyDescent="0.3">
      <c r="A62" s="137"/>
      <c r="B62" s="161"/>
      <c r="C62" s="161"/>
      <c r="D62" s="161"/>
      <c r="E62" s="161"/>
      <c r="F62" s="161"/>
      <c r="G62" s="161"/>
      <c r="H62" s="161"/>
      <c r="I62" s="161"/>
      <c r="J62" s="161"/>
      <c r="K62" s="162"/>
      <c r="L62" s="163"/>
      <c r="M62" s="168"/>
    </row>
    <row r="63" spans="1:13" ht="13.5" customHeight="1" thickBot="1" x14ac:dyDescent="0.3">
      <c r="A63" s="137"/>
      <c r="B63" s="3"/>
      <c r="C63" s="3"/>
      <c r="D63" s="3"/>
      <c r="E63" s="3"/>
      <c r="F63" s="3"/>
      <c r="G63" s="3"/>
      <c r="H63" s="3"/>
      <c r="I63" s="3"/>
      <c r="J63" s="3"/>
      <c r="K63" s="3"/>
      <c r="L63" s="52"/>
      <c r="M63" s="8"/>
    </row>
    <row r="64" spans="1:13" ht="13.5" customHeight="1" thickTop="1" x14ac:dyDescent="0.25">
      <c r="A64" s="137"/>
      <c r="B64" s="53"/>
      <c r="C64" s="53"/>
      <c r="D64" s="53"/>
      <c r="E64" s="53"/>
      <c r="F64" s="53"/>
      <c r="G64" s="53"/>
      <c r="H64" s="53"/>
      <c r="I64" s="53"/>
      <c r="J64" s="53"/>
      <c r="K64" s="53"/>
      <c r="L64" s="52"/>
      <c r="M64" s="8"/>
    </row>
    <row r="65" spans="1:12" ht="12.75" customHeight="1" x14ac:dyDescent="0.25">
      <c r="A65" s="137"/>
      <c r="B65" s="121"/>
      <c r="C65" s="121"/>
      <c r="D65" s="121"/>
      <c r="E65" s="121"/>
      <c r="F65" s="121"/>
      <c r="G65" s="121"/>
      <c r="H65" s="121"/>
      <c r="I65" s="121"/>
      <c r="J65" s="121"/>
      <c r="K65" s="122"/>
      <c r="L65" s="52"/>
    </row>
    <row r="66" spans="1:12"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J15:J17"/>
    <mergeCell ref="J19:K19"/>
    <mergeCell ref="J21:K21"/>
    <mergeCell ref="J22:K22"/>
    <mergeCell ref="C19:H19"/>
    <mergeCell ref="C22:H22"/>
    <mergeCell ref="B56:K57"/>
    <mergeCell ref="B58:K59"/>
    <mergeCell ref="C60:K61"/>
    <mergeCell ref="C20:I20"/>
    <mergeCell ref="E21:F21"/>
    <mergeCell ref="D24:I24"/>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9">
      <formula1>0</formula1>
      <formula2>0</formula2>
    </dataValidation>
    <dataValidation allowBlank="1" showErrorMessage="1" sqref="E21:F21"/>
    <dataValidation type="textLength" errorStyle="warning" allowBlank="1" showErrorMessage="1" errorTitle="Sous-total" error="Les cellules ombrées contiennent des formules et sont calculées automatiquement par Excel. N'y tapez aucune information." promptTitle="Sous-total" sqref="K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5:J65"/>
    <dataValidation type="textLength" errorStyle="warning" allowBlank="1" showErrorMessage="1" errorTitle="Total" error="Les cellules ombrées contiennent des formules et sont calculées automatiquement par Excel. N'y tapez aucune information." promptTitle="Total" sqref="K50">
      <formula1>0</formula1>
      <formula2>0</formula2>
    </dataValidation>
    <dataValidation type="decimal" allowBlank="1" showErrorMessage="1" errorTitle="Prix unitaire" error="Tapez un nombre dans cette cellule." promptTitle="Prix unitaire" sqref="K29 J25 J31:J46 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5:K28 K30 K46">
      <formula1>0</formula1>
      <formula2>0</formula2>
    </dataValidation>
    <dataValidation type="list" allowBlank="1" showInputMessage="1" showErrorMessage="1" errorTitle="Code TVA" error="Tapez 1, 2, ou 3." sqref="J26:J27 J29:J30">
      <formula1>"1,2,3"</formula1>
    </dataValidation>
    <dataValidation type="whole" errorStyle="warning" allowBlank="1" showErrorMessage="1" errorTitle="Quantité" error="Tapez un nombre dans cette cellule." promptTitle="Quantité" sqref="C25:C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48</xdr:row>
                    <xdr:rowOff>114300</xdr:rowOff>
                  </from>
                  <to>
                    <xdr:col>1</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47</xdr:row>
                    <xdr:rowOff>95250</xdr:rowOff>
                  </from>
                  <to>
                    <xdr:col>1</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27</v>
      </c>
    </row>
    <row r="2" spans="1:11" x14ac:dyDescent="0.2">
      <c r="A2" s="62" t="s">
        <v>34</v>
      </c>
      <c r="B2" s="62" t="s">
        <v>28</v>
      </c>
    </row>
    <row r="3" spans="1:11" x14ac:dyDescent="0.2">
      <c r="A3" s="62" t="s">
        <v>35</v>
      </c>
      <c r="B3" s="62" t="s">
        <v>42</v>
      </c>
    </row>
    <row r="4" spans="1:11" x14ac:dyDescent="0.2">
      <c r="A4" s="62" t="s">
        <v>29</v>
      </c>
    </row>
    <row r="5" spans="1:11" x14ac:dyDescent="0.2">
      <c r="A5" s="62" t="s">
        <v>36</v>
      </c>
      <c r="B5" s="62">
        <v>1</v>
      </c>
    </row>
    <row r="6" spans="1:11" x14ac:dyDescent="0.2">
      <c r="A6" s="62">
        <v>1</v>
      </c>
      <c r="B6" s="62" t="s">
        <v>37</v>
      </c>
      <c r="C6" s="62" t="s">
        <v>41</v>
      </c>
      <c r="D6" s="62" t="s">
        <v>38</v>
      </c>
      <c r="E6" s="62">
        <v>10</v>
      </c>
      <c r="G6" s="62">
        <v>1197261567</v>
      </c>
    </row>
    <row r="7" spans="1:11" x14ac:dyDescent="0.2">
      <c r="A7" s="62" t="s">
        <v>39</v>
      </c>
      <c r="B7" s="62" t="s">
        <v>30</v>
      </c>
      <c r="C7" s="62" t="s">
        <v>18</v>
      </c>
      <c r="D7" s="62" t="s">
        <v>3</v>
      </c>
      <c r="E7" s="62" t="s">
        <v>5</v>
      </c>
      <c r="F7" s="62" t="s">
        <v>7</v>
      </c>
      <c r="G7" s="62" t="s">
        <v>8</v>
      </c>
      <c r="H7" s="62" t="s">
        <v>9</v>
      </c>
      <c r="I7" s="62" t="s">
        <v>20</v>
      </c>
      <c r="J7" s="62" t="s">
        <v>31</v>
      </c>
      <c r="K7" s="62" t="s">
        <v>19</v>
      </c>
    </row>
    <row r="8" spans="1:11" x14ac:dyDescent="0.2">
      <c r="A8" s="62" t="s">
        <v>40</v>
      </c>
      <c r="B8" s="63" t="e">
        <f>Facture!#REF!</f>
        <v>#REF!</v>
      </c>
      <c r="C8" s="64" t="str">
        <f>Facture!$J$19</f>
        <v>Date :07/10/2025</v>
      </c>
      <c r="D8" s="65" t="str">
        <f>Facture!$C$19</f>
        <v xml:space="preserve">3 ETEL </v>
      </c>
      <c r="E8" s="62" t="str">
        <f>Facture!$C$20</f>
        <v>ROGBA TATAOUINE 3293</v>
      </c>
      <c r="F8" s="62">
        <f>Facture!$C$21</f>
        <v>0</v>
      </c>
      <c r="G8" s="65">
        <f>Facture!$E$21</f>
        <v>0</v>
      </c>
      <c r="H8" s="65" t="str">
        <f>Facture!$H$21</f>
        <v>TN</v>
      </c>
      <c r="I8" s="62">
        <f>Facture!$C$22</f>
        <v>0</v>
      </c>
      <c r="J8" s="66">
        <f>Facture!$K$50</f>
        <v>27923.16</v>
      </c>
      <c r="K8" s="62" t="str">
        <f>Facture!$J$21</f>
        <v xml:space="preserve">Responsable:Mme feryel </v>
      </c>
    </row>
    <row r="9" spans="1:11" x14ac:dyDescent="0.2">
      <c r="A9" s="62" t="s">
        <v>29</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2025-10-07T13:27:32Z</cp:lastPrinted>
  <dcterms:created xsi:type="dcterms:W3CDTF">1995-05-29T15:50:39Z</dcterms:created>
  <dcterms:modified xsi:type="dcterms:W3CDTF">2025-10-07T13:27:39Z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27923.16</vt:r8>
  </property>
</Properties>
</file>