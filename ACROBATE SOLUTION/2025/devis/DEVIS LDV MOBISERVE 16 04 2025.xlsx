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Facture!$L$61</definedName>
    <definedName name="_Tax3">Facture!#REF!</definedName>
    <definedName name="_tax4">Facture!#REF!</definedName>
    <definedName name="_xlnm.Auto_Open21">'AutoOpen Stub Data'!$A$1</definedName>
    <definedName name="boxes">Facture!$E$59:$E$60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Facture!$E$59</definedName>
    <definedName name="data63">Facture!$E$60</definedName>
    <definedName name="data64">Facture!$E$61</definedName>
    <definedName name="data65">Facture!$H$62</definedName>
    <definedName name="data66">Facture!#REF!</definedName>
    <definedName name="data67">Facture!$F$68</definedName>
    <definedName name="data68">Facture!$G$68</definedName>
    <definedName name="data69">Facture!$K$68</definedName>
    <definedName name="data7">Facture!$H$24</definedName>
    <definedName name="data70">Facture!$K$69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Facture!$F$64:$I$64</definedName>
    <definedName name="qzqzqz27">Facture!#REF!</definedName>
    <definedName name="qzqzqz28">Facture!$F$67:$I$67</definedName>
    <definedName name="qzqzqz29">Facture!$L$67:$M$69</definedName>
    <definedName name="qzqzqz3">Facture!$E$23:$J$23</definedName>
    <definedName name="qzqzqz30">Facture!$G$68:$I$68</definedName>
    <definedName name="qzqzqz31">Facture!$G$68:$H$68</definedName>
    <definedName name="qzqzqz32">Facture!$L$66:$M$68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Facture!$A$1:$N$79</definedName>
  </definedNames>
  <calcPr calcId="152511"/>
</workbook>
</file>

<file path=xl/calcChain.xml><?xml version="1.0" encoding="utf-8"?>
<calcChain xmlns="http://schemas.openxmlformats.org/spreadsheetml/2006/main">
  <c r="M34" i="3" l="1"/>
  <c r="M52" i="3"/>
  <c r="M46" i="3" l="1"/>
  <c r="M44" i="3"/>
  <c r="M42" i="3"/>
  <c r="M38" i="3" l="1"/>
  <c r="M40" i="3"/>
  <c r="M48" i="3"/>
  <c r="M50" i="3"/>
  <c r="M36" i="3"/>
  <c r="M59" i="3" l="1"/>
  <c r="M58" i="3" l="1"/>
  <c r="M28" i="3" l="1"/>
  <c r="F33" i="2" l="1"/>
  <c r="K8" i="8"/>
  <c r="I8" i="8"/>
  <c r="H8" i="8"/>
  <c r="G8" i="8"/>
  <c r="F8" i="8"/>
  <c r="E8" i="8"/>
  <c r="D8" i="8"/>
  <c r="C8" i="8"/>
  <c r="B8" i="8"/>
  <c r="M61" i="3" l="1"/>
  <c r="M62"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<sst xmlns="http://schemas.openxmlformats.org/spreadsheetml/2006/main" count="103" uniqueCount="95">
  <si>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</si>
  <si>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</si>
  <si>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</si>
  <si>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</si>
  <si>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</si>
  <si>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</si>
  <si>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</si>
  <si>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</si>
  <si>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</si>
  <si>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</si>
  <si>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</si>
  <si>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</si>
  <si>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</si>
  <si>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</si>
  <si>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</si>
  <si>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</si>
  <si>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</si>
  <si>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</si>
  <si>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</si>
  <si>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</si>
  <si>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</si>
  <si>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</si>
  <si>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</si>
  <si>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</si>
  <si>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</si>
  <si>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</si>
  <si>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</si>
  <si>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</si>
  <si>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</si>
  <si>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</si>
  <si>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</si>
  <si>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</si>
  <si>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</si>
  <si>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</si>
  <si>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</si>
  <si>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</si>
  <si>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</si>
  <si>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</si>
  <si>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</si>
  <si>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</si>
  <si>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</si>
  <si>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</si>
  <si>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</si>
  <si>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</si>
  <si>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</si>
  <si>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</si>
  <si>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</si>
  <si>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</si>
  <si>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</si>
  <si>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</si>
  <si>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</si>
  <si>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</si>
  <si>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</si>
  <si>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</si>
  <si>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</si>
  <si>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</si>
  <si>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</si>
  <si>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</si>
  <si>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</si>
  <si>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</si>
  <si>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</si>
  <si>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</si>
  <si>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</si>
  <si>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</si>
  <si>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</si>
  <si>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</si>
  <si>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</si>
  <si>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</si>
  <si>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LDV09M</t>
  </si>
  <si>
    <t>LONGUEUR  9 M</t>
  </si>
  <si>
    <t>LDV12M</t>
  </si>
  <si>
    <t>LONGUEUR  12 M</t>
  </si>
  <si>
    <t>LDV15M</t>
  </si>
  <si>
    <t>LONGUEUR  15M</t>
  </si>
  <si>
    <t>LDV25M</t>
  </si>
  <si>
    <t>LONGUEUR  25M</t>
  </si>
  <si>
    <t>LDV35M</t>
  </si>
  <si>
    <t>LONGUEUR  35M</t>
  </si>
  <si>
    <t>LDV45M</t>
  </si>
  <si>
    <t>LONGUEUR 45 M</t>
  </si>
  <si>
    <t>LDV18M</t>
  </si>
  <si>
    <t>LONGUEUR  18M</t>
  </si>
  <si>
    <t>LDV30M</t>
  </si>
  <si>
    <t>LONGUEUR 30M</t>
  </si>
  <si>
    <t>LDV65</t>
  </si>
  <si>
    <t xml:space="preserve">LONGUEUR 65 M </t>
  </si>
  <si>
    <t>LDV06M</t>
  </si>
  <si>
    <t>LONGUEUR  6 M</t>
  </si>
  <si>
    <t>MF:1150711S/A/M/000</t>
  </si>
  <si>
    <t>MOBISERVE</t>
  </si>
  <si>
    <t>IMMEUBLE LE PALMIER CENTRE BABEL BERG DU LAC TUNIS</t>
  </si>
  <si>
    <t xml:space="preserve">Responsable :service achat </t>
  </si>
  <si>
    <t>Réf commande:</t>
  </si>
  <si>
    <t>Date: 16/04/2025</t>
  </si>
  <si>
    <t>DEVIS   N° 2025-298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</si>
</sst>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0" fontId="23" fillId="6" borderId="28" xfId="0" applyFont="1" applyFill="1" applyBorder="1" applyAlignment="1">
      <alignment horizontal="center"/>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center" wrapText="1"/>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60</xdr:row>
          <xdr:rowOff>114300</xdr:rowOff>
        </xdr:from>
        <xdr:to>
          <xdr:col>3</xdr:col>
          <xdr:colOff>1838325</xdr:colOff>
          <xdr:row>60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59</xdr:row>
          <xdr:rowOff>95250</xdr:rowOff>
        </xdr:from>
        <xdr:to>
          <xdr:col>3</xdr:col>
          <xdr:colOff>1885950</xdr:colOff>
          <xdr:row>59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9"/>
  <sheetViews>
    <sheetView showGridLines="0" showRowColHeaders="0" tabSelected="1" topLeftCell="C16"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6" t="s">
        <v>94</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89</v>
      </c>
      <c r="F22" s="191"/>
      <c r="G22" s="191"/>
      <c r="H22" s="191"/>
      <c r="I22" s="191"/>
      <c r="J22" s="191"/>
      <c r="K22" s="104"/>
      <c r="L22" s="189" t="s">
        <v>93</v>
      </c>
      <c r="M22" s="189"/>
      <c r="N22" s="52"/>
      <c r="O22" s="9"/>
    </row>
    <row r="23" spans="2:15" ht="33.75" x14ac:dyDescent="0.5">
      <c r="B23" s="7"/>
      <c r="C23" s="3"/>
      <c r="D23" s="103" t="s">
        <v>52</v>
      </c>
      <c r="E23" s="194" t="s">
        <v>90</v>
      </c>
      <c r="F23" s="194"/>
      <c r="G23" s="194"/>
      <c r="H23" s="194"/>
      <c r="I23" s="194"/>
      <c r="J23" s="194"/>
      <c r="K23" s="194"/>
      <c r="L23" s="105" t="s">
        <v>92</v>
      </c>
      <c r="M23" s="105"/>
      <c r="N23" s="53"/>
      <c r="O23" s="9"/>
    </row>
    <row r="24" spans="2:15" ht="33.75" x14ac:dyDescent="0.5">
      <c r="B24" s="7"/>
      <c r="C24" s="3"/>
      <c r="D24" s="103" t="s">
        <v>53</v>
      </c>
      <c r="E24" s="166"/>
      <c r="F24" s="106"/>
      <c r="G24" s="195"/>
      <c r="H24" s="195"/>
      <c r="I24" s="107"/>
      <c r="J24" s="108"/>
      <c r="K24" s="104"/>
      <c r="L24" s="190" t="s">
        <v>91</v>
      </c>
      <c r="M24" s="190"/>
      <c r="N24" s="3"/>
      <c r="O24" s="9"/>
    </row>
    <row r="25" spans="2:15" ht="33.75" x14ac:dyDescent="0.5">
      <c r="B25" s="7"/>
      <c r="C25" s="3"/>
      <c r="D25" s="103" t="s">
        <v>54</v>
      </c>
      <c r="E25" s="192"/>
      <c r="F25" s="193"/>
      <c r="G25" s="193"/>
      <c r="H25" s="193"/>
      <c r="I25" s="193"/>
      <c r="J25" s="193"/>
      <c r="K25" s="104"/>
      <c r="L25" s="190" t="s">
        <v>88</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8" t="s">
        <v>23</v>
      </c>
      <c r="G27" s="199"/>
      <c r="H27" s="199"/>
      <c r="I27" s="199"/>
      <c r="J27" s="199"/>
      <c r="K27" s="200"/>
      <c r="L27" s="90" t="s">
        <v>60</v>
      </c>
      <c r="M27" s="91" t="s">
        <v>24</v>
      </c>
      <c r="N27" s="92"/>
      <c r="O27" s="9"/>
    </row>
    <row r="28" spans="2:15" ht="30" x14ac:dyDescent="0.4">
      <c r="B28" s="7"/>
      <c r="C28" s="3"/>
      <c r="D28" s="150"/>
      <c r="E28" s="148"/>
      <c r="F28" s="168" t="s">
        <v>67</v>
      </c>
      <c r="G28" s="169"/>
      <c r="H28" s="169"/>
      <c r="I28" s="169"/>
      <c r="J28" s="170"/>
      <c r="K28" s="171"/>
      <c r="L28" s="111"/>
      <c r="M28" s="111" t="str">
        <f>IF(E28&lt;&gt;"",E28*L28,"")</f>
        <v/>
      </c>
      <c r="N28" s="54"/>
      <c r="O28" s="9"/>
    </row>
    <row r="29" spans="2:15" ht="30" x14ac:dyDescent="0.4">
      <c r="B29" s="7"/>
      <c r="C29" s="3"/>
      <c r="D29" s="151"/>
      <c r="E29" s="148"/>
      <c r="F29" s="172" t="s">
        <v>64</v>
      </c>
      <c r="G29" s="173"/>
      <c r="H29" s="173"/>
      <c r="I29" s="173"/>
      <c r="J29" s="174"/>
      <c r="K29" s="175"/>
      <c r="L29" s="156"/>
      <c r="M29" s="156"/>
      <c r="N29" s="54"/>
      <c r="O29" s="9"/>
    </row>
    <row r="30" spans="2:15" ht="30" x14ac:dyDescent="0.4">
      <c r="B30" s="7"/>
      <c r="C30" s="3"/>
      <c r="D30" s="167"/>
      <c r="E30" s="148"/>
      <c r="F30" s="212" t="s">
        <v>65</v>
      </c>
      <c r="G30" s="213"/>
      <c r="H30" s="213"/>
      <c r="I30" s="213"/>
      <c r="J30" s="213"/>
      <c r="K30" s="214"/>
      <c r="L30" s="156"/>
      <c r="M30" s="156"/>
      <c r="N30" s="54"/>
      <c r="O30" s="9"/>
    </row>
    <row r="31" spans="2:15" ht="30" x14ac:dyDescent="0.4">
      <c r="B31" s="7"/>
      <c r="C31" s="3"/>
      <c r="D31" s="167"/>
      <c r="E31" s="148"/>
      <c r="F31" s="215" t="s">
        <v>63</v>
      </c>
      <c r="G31" s="216"/>
      <c r="H31" s="216"/>
      <c r="I31" s="216"/>
      <c r="J31" s="216"/>
      <c r="K31" s="217"/>
      <c r="L31" s="156"/>
      <c r="M31" s="156"/>
      <c r="N31" s="54"/>
      <c r="O31" s="9"/>
    </row>
    <row r="32" spans="2:15" ht="30" x14ac:dyDescent="0.4">
      <c r="B32" s="7"/>
      <c r="C32" s="3"/>
      <c r="D32" s="167"/>
      <c r="E32" s="148"/>
      <c r="F32" s="215" t="s">
        <v>66</v>
      </c>
      <c r="G32" s="216"/>
      <c r="H32" s="216"/>
      <c r="I32" s="216"/>
      <c r="J32" s="216"/>
      <c r="K32" s="217"/>
      <c r="L32" s="156"/>
      <c r="M32" s="156"/>
      <c r="N32" s="54"/>
      <c r="O32" s="9"/>
    </row>
    <row r="33" spans="2:15" ht="30" x14ac:dyDescent="0.4">
      <c r="B33" s="7"/>
      <c r="C33" s="3"/>
      <c r="D33" s="167"/>
      <c r="E33" s="148"/>
      <c r="F33" s="176"/>
      <c r="G33" s="177"/>
      <c r="H33" s="177"/>
      <c r="I33" s="177"/>
      <c r="J33" s="177"/>
      <c r="K33" s="178"/>
      <c r="L33" s="156"/>
      <c r="M33" s="156"/>
      <c r="N33" s="54"/>
      <c r="O33" s="9"/>
    </row>
    <row r="34" spans="2:15" ht="30" x14ac:dyDescent="0.4">
      <c r="B34" s="7"/>
      <c r="C34" s="3"/>
      <c r="D34" s="159" t="s">
        <v>86</v>
      </c>
      <c r="E34" s="160">
        <v>1</v>
      </c>
      <c r="F34" s="152" t="s">
        <v>87</v>
      </c>
      <c r="G34" s="161"/>
      <c r="H34" s="161"/>
      <c r="I34" s="161"/>
      <c r="J34" s="161"/>
      <c r="K34" s="162"/>
      <c r="L34" s="156">
        <v>1132</v>
      </c>
      <c r="M34" s="156">
        <f>L34*E34</f>
        <v>1132</v>
      </c>
      <c r="N34" s="54"/>
      <c r="O34" s="9"/>
    </row>
    <row r="35" spans="2:15" ht="30" x14ac:dyDescent="0.4">
      <c r="B35" s="7"/>
      <c r="C35" s="3"/>
      <c r="D35" s="159"/>
      <c r="E35" s="160"/>
      <c r="F35" s="209"/>
      <c r="G35" s="210"/>
      <c r="H35" s="210"/>
      <c r="I35" s="210"/>
      <c r="J35" s="210"/>
      <c r="K35" s="211"/>
      <c r="L35" s="156"/>
      <c r="M35" s="156"/>
      <c r="N35" s="54"/>
      <c r="O35" s="9"/>
    </row>
    <row r="36" spans="2:15" ht="30" x14ac:dyDescent="0.4">
      <c r="B36" s="7"/>
      <c r="C36" s="3"/>
      <c r="D36" s="159" t="s">
        <v>68</v>
      </c>
      <c r="E36" s="160">
        <v>1</v>
      </c>
      <c r="F36" s="152" t="s">
        <v>69</v>
      </c>
      <c r="G36" s="161"/>
      <c r="H36" s="161"/>
      <c r="I36" s="161"/>
      <c r="J36" s="161"/>
      <c r="K36" s="162"/>
      <c r="L36" s="156">
        <v>1380</v>
      </c>
      <c r="M36" s="156">
        <f>L36*E36</f>
        <v>1380</v>
      </c>
      <c r="N36" s="54"/>
      <c r="O36" s="9"/>
    </row>
    <row r="37" spans="2:15" ht="30" x14ac:dyDescent="0.4">
      <c r="B37" s="7"/>
      <c r="C37" s="3"/>
      <c r="D37" s="159"/>
      <c r="E37" s="160"/>
      <c r="F37" s="152"/>
      <c r="G37" s="161"/>
      <c r="H37" s="161"/>
      <c r="I37" s="161"/>
      <c r="J37" s="161"/>
      <c r="K37" s="162"/>
      <c r="L37" s="156"/>
      <c r="M37" s="156"/>
      <c r="N37" s="54"/>
      <c r="O37" s="9"/>
    </row>
    <row r="38" spans="2:15" ht="30" x14ac:dyDescent="0.4">
      <c r="B38" s="7"/>
      <c r="C38" s="3"/>
      <c r="D38" s="159" t="s">
        <v>70</v>
      </c>
      <c r="E38" s="160">
        <v>1</v>
      </c>
      <c r="F38" s="152" t="s">
        <v>71</v>
      </c>
      <c r="G38" s="161"/>
      <c r="H38" s="161"/>
      <c r="I38" s="161"/>
      <c r="J38" s="161"/>
      <c r="K38" s="162"/>
      <c r="L38" s="156">
        <v>1610</v>
      </c>
      <c r="M38" s="156">
        <f t="shared" ref="M38:M52" si="0">L38*E38</f>
        <v>1610</v>
      </c>
      <c r="N38" s="54"/>
      <c r="O38" s="9"/>
    </row>
    <row r="39" spans="2:15" ht="30" x14ac:dyDescent="0.4">
      <c r="B39" s="7"/>
      <c r="C39" s="3"/>
      <c r="D39" s="159"/>
      <c r="E39" s="160"/>
      <c r="F39" s="152"/>
      <c r="G39" s="161"/>
      <c r="H39" s="161"/>
      <c r="I39" s="161"/>
      <c r="J39" s="161"/>
      <c r="K39" s="162"/>
      <c r="L39" s="156"/>
      <c r="M39" s="156"/>
      <c r="N39" s="54"/>
      <c r="O39" s="9"/>
    </row>
    <row r="40" spans="2:15" ht="30" x14ac:dyDescent="0.4">
      <c r="B40" s="7"/>
      <c r="C40" s="3"/>
      <c r="D40" s="159" t="s">
        <v>72</v>
      </c>
      <c r="E40" s="160">
        <v>1</v>
      </c>
      <c r="F40" s="152" t="s">
        <v>73</v>
      </c>
      <c r="G40" s="161"/>
      <c r="H40" s="161"/>
      <c r="I40" s="161"/>
      <c r="J40" s="161"/>
      <c r="K40" s="162"/>
      <c r="L40" s="156">
        <v>1757</v>
      </c>
      <c r="M40" s="156">
        <f t="shared" si="0"/>
        <v>1757</v>
      </c>
      <c r="N40" s="54"/>
      <c r="O40" s="9"/>
    </row>
    <row r="41" spans="2:15" ht="30" x14ac:dyDescent="0.4">
      <c r="B41" s="7"/>
      <c r="C41" s="3"/>
      <c r="D41" s="159"/>
      <c r="E41" s="160"/>
      <c r="F41" s="152"/>
      <c r="G41" s="161"/>
      <c r="H41" s="161"/>
      <c r="I41" s="161"/>
      <c r="J41" s="161"/>
      <c r="K41" s="162"/>
      <c r="L41" s="156"/>
      <c r="M41" s="156"/>
      <c r="N41" s="54"/>
      <c r="O41" s="9"/>
    </row>
    <row r="42" spans="2:15" ht="30" x14ac:dyDescent="0.4">
      <c r="B42" s="7"/>
      <c r="C42" s="3"/>
      <c r="D42" s="159" t="s">
        <v>80</v>
      </c>
      <c r="E42" s="160">
        <v>1</v>
      </c>
      <c r="F42" s="152" t="s">
        <v>81</v>
      </c>
      <c r="G42" s="161"/>
      <c r="H42" s="161"/>
      <c r="I42" s="161"/>
      <c r="J42" s="161"/>
      <c r="K42" s="162"/>
      <c r="L42" s="156">
        <v>2000</v>
      </c>
      <c r="M42" s="156">
        <f t="shared" ref="M42" si="1">L42*E42</f>
        <v>2000</v>
      </c>
      <c r="N42" s="54"/>
      <c r="O42" s="9"/>
    </row>
    <row r="43" spans="2:15" ht="30" x14ac:dyDescent="0.4">
      <c r="B43" s="7"/>
      <c r="C43" s="3"/>
      <c r="D43" s="159"/>
      <c r="E43" s="160"/>
      <c r="F43" s="152"/>
      <c r="G43" s="161"/>
      <c r="H43" s="161"/>
      <c r="I43" s="161"/>
      <c r="J43" s="161"/>
      <c r="K43" s="162"/>
      <c r="L43" s="156"/>
      <c r="M43" s="156"/>
      <c r="N43" s="54"/>
      <c r="O43" s="9"/>
    </row>
    <row r="44" spans="2:15" ht="30" x14ac:dyDescent="0.4">
      <c r="B44" s="7"/>
      <c r="C44" s="3"/>
      <c r="D44" s="159" t="s">
        <v>74</v>
      </c>
      <c r="E44" s="160">
        <v>1</v>
      </c>
      <c r="F44" s="152" t="s">
        <v>75</v>
      </c>
      <c r="G44" s="161"/>
      <c r="H44" s="161"/>
      <c r="I44" s="161"/>
      <c r="J44" s="161"/>
      <c r="K44" s="162"/>
      <c r="L44" s="156">
        <v>2584</v>
      </c>
      <c r="M44" s="156">
        <f t="shared" ref="M44:M46" si="2">L44*E44</f>
        <v>2584</v>
      </c>
      <c r="N44" s="54"/>
      <c r="O44" s="9"/>
    </row>
    <row r="45" spans="2:15" ht="30" x14ac:dyDescent="0.4">
      <c r="B45" s="7"/>
      <c r="C45" s="3"/>
      <c r="D45" s="159"/>
      <c r="E45" s="160"/>
      <c r="F45" s="152"/>
      <c r="G45" s="161"/>
      <c r="H45" s="161"/>
      <c r="I45" s="161"/>
      <c r="J45" s="161"/>
      <c r="K45" s="162"/>
      <c r="L45" s="156"/>
      <c r="M45" s="156"/>
      <c r="N45" s="54"/>
      <c r="O45" s="9"/>
    </row>
    <row r="46" spans="2:15" ht="30" x14ac:dyDescent="0.4">
      <c r="B46" s="7"/>
      <c r="C46" s="3"/>
      <c r="D46" s="159" t="s">
        <v>82</v>
      </c>
      <c r="E46" s="160">
        <v>1</v>
      </c>
      <c r="F46" s="152" t="s">
        <v>83</v>
      </c>
      <c r="G46" s="161"/>
      <c r="H46" s="161"/>
      <c r="I46" s="161"/>
      <c r="J46" s="161"/>
      <c r="K46" s="162"/>
      <c r="L46" s="156">
        <v>2997</v>
      </c>
      <c r="M46" s="156">
        <f t="shared" si="2"/>
        <v>2997</v>
      </c>
      <c r="N46" s="54"/>
      <c r="O46" s="9"/>
    </row>
    <row r="47" spans="2:15" ht="30" x14ac:dyDescent="0.4">
      <c r="B47" s="7"/>
      <c r="C47" s="3"/>
      <c r="D47" s="159"/>
      <c r="E47" s="163"/>
      <c r="F47" s="203"/>
      <c r="G47" s="204"/>
      <c r="H47" s="204"/>
      <c r="I47" s="204"/>
      <c r="J47" s="204"/>
      <c r="K47" s="205"/>
      <c r="L47" s="156"/>
      <c r="M47" s="156"/>
      <c r="N47" s="54"/>
      <c r="O47" s="9"/>
    </row>
    <row r="48" spans="2:15" ht="30" x14ac:dyDescent="0.4">
      <c r="B48" s="7"/>
      <c r="C48" s="3"/>
      <c r="D48" s="164" t="s">
        <v>76</v>
      </c>
      <c r="E48" s="160">
        <v>1</v>
      </c>
      <c r="F48" s="206" t="s">
        <v>77</v>
      </c>
      <c r="G48" s="207"/>
      <c r="H48" s="207"/>
      <c r="I48" s="207"/>
      <c r="J48" s="207"/>
      <c r="K48" s="208"/>
      <c r="L48" s="156">
        <v>3410</v>
      </c>
      <c r="M48" s="156">
        <f t="shared" si="0"/>
        <v>3410</v>
      </c>
      <c r="N48" s="54"/>
      <c r="O48" s="9"/>
    </row>
    <row r="49" spans="2:15" ht="30" x14ac:dyDescent="0.4">
      <c r="B49" s="7"/>
      <c r="C49" s="3"/>
      <c r="D49" s="164"/>
      <c r="E49" s="160"/>
      <c r="F49" s="117"/>
      <c r="G49" s="140"/>
      <c r="H49" s="140"/>
      <c r="I49" s="140"/>
      <c r="J49" s="140"/>
      <c r="K49" s="141"/>
      <c r="L49" s="156"/>
      <c r="M49" s="156"/>
      <c r="N49" s="54"/>
      <c r="O49" s="9"/>
    </row>
    <row r="50" spans="2:15" ht="30" x14ac:dyDescent="0.4">
      <c r="B50" s="7"/>
      <c r="C50" s="3"/>
      <c r="D50" s="164" t="s">
        <v>78</v>
      </c>
      <c r="E50" s="160">
        <v>1</v>
      </c>
      <c r="F50" s="206" t="s">
        <v>79</v>
      </c>
      <c r="G50" s="207"/>
      <c r="H50" s="207"/>
      <c r="I50" s="207"/>
      <c r="J50" s="207"/>
      <c r="K50" s="208"/>
      <c r="L50" s="156">
        <v>4237</v>
      </c>
      <c r="M50" s="156">
        <f t="shared" si="0"/>
        <v>4237</v>
      </c>
      <c r="N50" s="54"/>
      <c r="O50" s="9"/>
    </row>
    <row r="51" spans="2:15" ht="30" x14ac:dyDescent="0.4">
      <c r="B51" s="7"/>
      <c r="C51" s="3"/>
      <c r="D51" s="164"/>
      <c r="E51" s="160"/>
      <c r="F51" s="165"/>
      <c r="G51" s="140"/>
      <c r="H51" s="140"/>
      <c r="I51" s="140"/>
      <c r="J51" s="140"/>
      <c r="K51" s="141"/>
      <c r="L51" s="156"/>
      <c r="M51" s="156"/>
      <c r="N51" s="54"/>
      <c r="O51" s="9"/>
    </row>
    <row r="52" spans="2:15" ht="30" x14ac:dyDescent="0.4">
      <c r="B52" s="7"/>
      <c r="C52" s="3"/>
      <c r="D52" s="164" t="s">
        <v>84</v>
      </c>
      <c r="E52" s="160">
        <v>1</v>
      </c>
      <c r="F52" s="206" t="s">
        <v>85</v>
      </c>
      <c r="G52" s="207"/>
      <c r="H52" s="207"/>
      <c r="I52" s="207"/>
      <c r="J52" s="207"/>
      <c r="K52" s="208"/>
      <c r="L52" s="156">
        <v>5891</v>
      </c>
      <c r="M52" s="156">
        <f t="shared" si="0"/>
        <v>5891</v>
      </c>
      <c r="N52" s="95"/>
      <c r="O52" s="9"/>
    </row>
    <row r="53" spans="2:15" ht="30" x14ac:dyDescent="0.4">
      <c r="B53" s="7"/>
      <c r="C53" s="3"/>
      <c r="D53" s="164"/>
      <c r="E53" s="160"/>
      <c r="F53" s="206"/>
      <c r="G53" s="207"/>
      <c r="H53" s="207"/>
      <c r="I53" s="207"/>
      <c r="J53" s="207"/>
      <c r="K53" s="208"/>
      <c r="L53" s="156"/>
      <c r="M53" s="156"/>
      <c r="N53" s="95"/>
      <c r="O53" s="9"/>
    </row>
    <row r="54" spans="2:15" ht="30" x14ac:dyDescent="0.4">
      <c r="B54" s="7"/>
      <c r="C54" s="3"/>
      <c r="D54" s="159"/>
      <c r="E54" s="160"/>
      <c r="F54" s="152"/>
      <c r="G54" s="161"/>
      <c r="H54" s="161"/>
      <c r="I54" s="161"/>
      <c r="J54" s="161"/>
      <c r="K54" s="162"/>
      <c r="L54" s="156"/>
      <c r="M54" s="156"/>
      <c r="N54" s="54"/>
      <c r="O54" s="9"/>
    </row>
    <row r="55" spans="2:15" ht="30" x14ac:dyDescent="0.4">
      <c r="B55" s="7"/>
      <c r="C55" s="3"/>
      <c r="D55" s="159"/>
      <c r="E55" s="163"/>
      <c r="F55" s="203"/>
      <c r="G55" s="204"/>
      <c r="H55" s="204"/>
      <c r="I55" s="204"/>
      <c r="J55" s="204"/>
      <c r="K55" s="205"/>
      <c r="L55" s="156"/>
      <c r="M55" s="156"/>
      <c r="N55" s="54"/>
      <c r="O55" s="9"/>
    </row>
    <row r="56" spans="2:15" ht="30" x14ac:dyDescent="0.4">
      <c r="B56" s="7"/>
      <c r="C56" s="3"/>
      <c r="D56" s="159"/>
      <c r="E56" s="160"/>
      <c r="F56" s="152"/>
      <c r="G56" s="161"/>
      <c r="H56" s="161"/>
      <c r="I56" s="161"/>
      <c r="J56" s="161"/>
      <c r="K56" s="162"/>
      <c r="L56" s="156"/>
      <c r="M56" s="156"/>
      <c r="N56" s="54"/>
      <c r="O56" s="9"/>
    </row>
    <row r="57" spans="2:15" ht="30" x14ac:dyDescent="0.4">
      <c r="B57" s="7"/>
      <c r="C57" s="3"/>
      <c r="D57" s="159"/>
      <c r="E57" s="160"/>
      <c r="F57" s="152"/>
      <c r="G57" s="161"/>
      <c r="H57" s="161"/>
      <c r="I57" s="161"/>
      <c r="J57" s="161"/>
      <c r="K57" s="162"/>
      <c r="L57" s="156"/>
      <c r="M57" s="156"/>
      <c r="N57" s="54"/>
      <c r="O57" s="9"/>
    </row>
    <row r="58" spans="2:15" ht="30" x14ac:dyDescent="0.4">
      <c r="B58" s="7"/>
      <c r="C58" s="3"/>
      <c r="D58" s="137"/>
      <c r="E58" s="144"/>
      <c r="F58" s="145"/>
      <c r="G58" s="138"/>
      <c r="H58" s="138"/>
      <c r="I58" s="138"/>
      <c r="J58" s="138"/>
      <c r="K58" s="139"/>
      <c r="L58" s="146"/>
      <c r="M58" s="147" t="str">
        <f t="shared" ref="M58" si="3">IF(E58&lt;&gt;"",E58*L58,"")</f>
        <v/>
      </c>
      <c r="N58" s="54"/>
      <c r="O58" s="9"/>
    </row>
    <row r="59" spans="2:15" ht="35.25" x14ac:dyDescent="0.5">
      <c r="B59" s="7"/>
      <c r="C59" s="3"/>
      <c r="D59" s="85"/>
      <c r="E59" s="96"/>
      <c r="F59" s="123"/>
      <c r="G59" s="120"/>
      <c r="H59" s="120"/>
      <c r="I59" s="120"/>
      <c r="J59" s="121"/>
      <c r="K59" s="122"/>
      <c r="L59" s="125" t="s">
        <v>25</v>
      </c>
      <c r="M59" s="130">
        <f>SUM(M32:M53)</f>
        <v>26998</v>
      </c>
      <c r="N59" s="54"/>
      <c r="O59" s="9"/>
    </row>
    <row r="60" spans="2:15" ht="35.25" x14ac:dyDescent="0.5">
      <c r="B60" s="7"/>
      <c r="C60" s="3"/>
      <c r="D60" s="102"/>
      <c r="E60" s="98" t="s">
        <v>62</v>
      </c>
      <c r="F60" s="77"/>
      <c r="G60" s="77"/>
      <c r="H60" s="77"/>
      <c r="I60" s="77"/>
      <c r="J60" s="78"/>
      <c r="K60" s="93"/>
      <c r="L60" s="124" t="s">
        <v>46</v>
      </c>
      <c r="M60" s="109">
        <v>1</v>
      </c>
      <c r="N60" s="54"/>
      <c r="O60" s="9"/>
    </row>
    <row r="61" spans="2:15" ht="35.25" x14ac:dyDescent="0.5">
      <c r="B61" s="7"/>
      <c r="C61" s="3"/>
      <c r="D61" s="99"/>
      <c r="E61" s="98" t="s">
        <v>55</v>
      </c>
      <c r="F61" s="153"/>
      <c r="G61" s="77"/>
      <c r="H61" s="77"/>
      <c r="I61" s="77"/>
      <c r="J61" s="80"/>
      <c r="K61" s="94"/>
      <c r="L61" s="126">
        <v>0.19</v>
      </c>
      <c r="M61" s="109">
        <f>(M59)*0.19</f>
        <v>5129.62</v>
      </c>
      <c r="N61" s="54"/>
      <c r="O61" s="9"/>
    </row>
    <row r="62" spans="2:15" ht="35.25" x14ac:dyDescent="0.5">
      <c r="B62" s="7"/>
      <c r="C62" s="3"/>
      <c r="D62" s="85"/>
      <c r="E62" s="101"/>
      <c r="F62" s="97"/>
      <c r="G62" s="82"/>
      <c r="H62" s="81"/>
      <c r="I62" s="77"/>
      <c r="J62" s="83"/>
      <c r="K62" s="93"/>
      <c r="L62" s="110" t="s">
        <v>27</v>
      </c>
      <c r="M62" s="109">
        <f>+M59+M60+M61</f>
        <v>32128.62</v>
      </c>
      <c r="N62" s="54"/>
      <c r="O62" s="9"/>
    </row>
    <row r="63" spans="2:15" ht="18" x14ac:dyDescent="0.2">
      <c r="B63" s="7"/>
      <c r="C63" s="3"/>
      <c r="D63" s="76"/>
      <c r="E63" s="86"/>
      <c r="F63" s="100"/>
      <c r="G63" s="77"/>
      <c r="H63" s="64"/>
      <c r="I63" s="77"/>
      <c r="J63" s="84" t="s">
        <v>26</v>
      </c>
      <c r="K63" s="78"/>
      <c r="L63" s="142"/>
      <c r="M63" s="142"/>
      <c r="N63" s="54"/>
      <c r="O63" s="9"/>
    </row>
    <row r="64" spans="2:15" ht="35.25" x14ac:dyDescent="0.5">
      <c r="B64" s="7"/>
      <c r="C64" s="3"/>
      <c r="D64" s="119"/>
      <c r="E64" s="119"/>
      <c r="F64" s="101"/>
      <c r="G64" s="118"/>
      <c r="H64" s="118"/>
      <c r="I64" s="118"/>
      <c r="J64" s="87"/>
      <c r="K64" s="87"/>
      <c r="L64" s="110"/>
      <c r="M64" s="143"/>
      <c r="N64" s="54"/>
      <c r="O64" s="9"/>
    </row>
    <row r="65" spans="1:16" ht="15.75" x14ac:dyDescent="0.25">
      <c r="B65" s="7"/>
      <c r="C65" s="3"/>
      <c r="D65" s="201"/>
      <c r="E65" s="201"/>
      <c r="F65" s="201"/>
      <c r="G65" s="201"/>
      <c r="H65" s="201"/>
      <c r="I65" s="201"/>
      <c r="J65" s="201"/>
      <c r="K65" s="201"/>
      <c r="L65" s="201"/>
      <c r="M65" s="119"/>
      <c r="N65" s="54"/>
      <c r="O65" s="9"/>
    </row>
    <row r="66" spans="1:16" ht="26.25" x14ac:dyDescent="0.4">
      <c r="B66" s="7"/>
      <c r="C66" s="3"/>
      <c r="D66" s="202"/>
      <c r="E66" s="202"/>
      <c r="F66" s="202"/>
      <c r="G66" s="202"/>
      <c r="H66" s="202"/>
      <c r="I66" s="202"/>
      <c r="J66" s="202"/>
      <c r="K66" s="202"/>
      <c r="L66" s="202"/>
      <c r="M66" s="129"/>
      <c r="N66" s="54"/>
      <c r="O66" s="9"/>
    </row>
    <row r="67" spans="1:16" ht="26.25" x14ac:dyDescent="0.4">
      <c r="B67" s="7"/>
      <c r="C67" s="3"/>
      <c r="D67" s="119"/>
      <c r="E67" s="119"/>
      <c r="F67" s="129"/>
      <c r="G67" s="135"/>
      <c r="H67" s="135"/>
      <c r="I67" s="135"/>
      <c r="J67" s="78"/>
      <c r="K67" s="116"/>
      <c r="L67" s="154" t="s">
        <v>59</v>
      </c>
      <c r="M67" s="154"/>
      <c r="N67" s="113"/>
      <c r="O67" s="9"/>
    </row>
    <row r="68" spans="1:16" ht="23.25" x14ac:dyDescent="0.25">
      <c r="B68" s="7"/>
      <c r="C68" s="3"/>
      <c r="D68" s="119"/>
      <c r="E68" s="119"/>
      <c r="F68" s="136"/>
      <c r="G68" s="197"/>
      <c r="H68" s="197"/>
      <c r="I68" s="197"/>
      <c r="J68" s="78"/>
      <c r="K68" s="116"/>
      <c r="L68" s="113"/>
      <c r="M68" s="113"/>
      <c r="N68" s="113"/>
      <c r="O68" s="9"/>
    </row>
    <row r="69" spans="1:16" ht="23.25" x14ac:dyDescent="0.2">
      <c r="B69" s="7"/>
      <c r="C69" s="3"/>
      <c r="D69" s="119"/>
      <c r="E69" s="119"/>
      <c r="F69" s="79"/>
      <c r="G69" s="78"/>
      <c r="H69" s="78"/>
      <c r="I69" s="78"/>
      <c r="J69" s="78"/>
      <c r="K69" s="116"/>
      <c r="L69" s="113"/>
      <c r="M69" s="113"/>
      <c r="N69" s="113"/>
      <c r="O69" s="9"/>
    </row>
    <row r="70" spans="1:16" ht="15" x14ac:dyDescent="0.2">
      <c r="B70" s="7"/>
      <c r="C70" s="3"/>
      <c r="D70" s="119"/>
      <c r="E70" s="119"/>
      <c r="F70" s="78"/>
      <c r="G70" s="78"/>
      <c r="H70" s="78"/>
      <c r="I70" s="78"/>
      <c r="J70" s="78"/>
      <c r="K70" s="113"/>
      <c r="L70" s="113"/>
      <c r="M70" s="113"/>
      <c r="N70" s="54"/>
      <c r="O70" s="9"/>
    </row>
    <row r="71" spans="1:16" ht="23.25" x14ac:dyDescent="0.35">
      <c r="B71" s="7"/>
      <c r="C71" s="3"/>
      <c r="D71" s="157" t="s">
        <v>56</v>
      </c>
      <c r="E71" s="155"/>
      <c r="F71" s="78"/>
      <c r="G71" s="78"/>
      <c r="H71" s="78"/>
      <c r="I71" s="78"/>
      <c r="J71" s="78"/>
      <c r="K71" s="88"/>
      <c r="L71" s="88"/>
      <c r="M71" s="89"/>
      <c r="N71" s="54"/>
      <c r="O71" s="131"/>
      <c r="P71" s="132"/>
    </row>
    <row r="72" spans="1:16" ht="23.25" x14ac:dyDescent="0.35">
      <c r="B72" s="7"/>
      <c r="C72" s="3"/>
      <c r="D72" s="158" t="s">
        <v>57</v>
      </c>
      <c r="E72" s="115"/>
      <c r="F72" s="78"/>
      <c r="G72" s="78"/>
      <c r="H72" s="78"/>
      <c r="I72" s="78"/>
      <c r="J72" s="80"/>
      <c r="K72" s="88"/>
      <c r="L72" s="88"/>
      <c r="M72" s="88"/>
      <c r="N72" s="92"/>
      <c r="O72" s="133"/>
      <c r="P72" s="134"/>
    </row>
    <row r="73" spans="1:16" ht="18" x14ac:dyDescent="0.25">
      <c r="B73" s="7"/>
      <c r="C73" s="3"/>
      <c r="D73" s="76"/>
      <c r="E73" s="76"/>
      <c r="F73" s="78"/>
      <c r="G73" s="78"/>
      <c r="H73" s="78"/>
      <c r="I73" s="78"/>
      <c r="J73" s="80"/>
      <c r="K73" s="88"/>
      <c r="L73" s="88"/>
      <c r="M73" s="88"/>
      <c r="N73" s="92"/>
      <c r="O73" s="9"/>
    </row>
    <row r="74" spans="1:16" ht="18" customHeight="1" x14ac:dyDescent="0.25">
      <c r="B74" s="7"/>
      <c r="C74" s="3"/>
      <c r="D74" s="196" t="s">
        <v>61</v>
      </c>
      <c r="E74" s="196"/>
      <c r="F74" s="196"/>
      <c r="G74" s="196"/>
      <c r="H74" s="196"/>
      <c r="I74" s="196"/>
      <c r="J74" s="196"/>
      <c r="K74" s="196"/>
      <c r="L74" s="196"/>
      <c r="M74" s="88"/>
      <c r="N74" s="92"/>
      <c r="O74" s="9"/>
    </row>
    <row r="75" spans="1:16" ht="15" customHeight="1" x14ac:dyDescent="0.2">
      <c r="B75" s="7"/>
      <c r="C75" s="3"/>
      <c r="D75" s="196"/>
      <c r="E75" s="196"/>
      <c r="F75" s="196"/>
      <c r="G75" s="196"/>
      <c r="H75" s="196"/>
      <c r="I75" s="196"/>
      <c r="J75" s="196"/>
      <c r="K75" s="196"/>
      <c r="L75" s="196"/>
      <c r="M75" s="89"/>
      <c r="N75" s="54"/>
      <c r="O75" s="9"/>
    </row>
    <row r="76" spans="1:16" ht="20.100000000000001" customHeight="1" x14ac:dyDescent="0.2">
      <c r="B76" s="7"/>
      <c r="C76" s="3"/>
      <c r="D76" s="196"/>
      <c r="E76" s="196"/>
      <c r="F76" s="196"/>
      <c r="G76" s="196"/>
      <c r="H76" s="196"/>
      <c r="I76" s="196"/>
      <c r="J76" s="196"/>
      <c r="K76" s="196"/>
      <c r="L76" s="196"/>
      <c r="M76" s="89"/>
      <c r="N76" s="54"/>
      <c r="O76" s="9"/>
    </row>
    <row r="77" spans="1:16" ht="13.5" thickBot="1" x14ac:dyDescent="0.25">
      <c r="B77" s="7"/>
      <c r="C77" s="3"/>
      <c r="D77" s="3"/>
      <c r="E77" s="3"/>
      <c r="F77" s="3"/>
      <c r="G77" s="3"/>
      <c r="H77" s="3"/>
      <c r="I77" s="3"/>
      <c r="J77" s="3"/>
      <c r="K77" s="3"/>
      <c r="L77" s="3"/>
      <c r="M77" s="3"/>
      <c r="N77" s="54"/>
      <c r="O77" s="9"/>
    </row>
    <row r="78" spans="1:16" ht="13.5" thickTop="1" x14ac:dyDescent="0.2">
      <c r="B78" s="7"/>
      <c r="C78" s="3"/>
      <c r="D78" s="55"/>
      <c r="E78" s="55"/>
      <c r="F78" s="55"/>
      <c r="G78" s="55"/>
      <c r="H78" s="55"/>
      <c r="I78" s="55"/>
      <c r="J78" s="55"/>
      <c r="K78" s="55"/>
      <c r="L78" s="55"/>
      <c r="M78" s="55"/>
      <c r="N78" s="54"/>
      <c r="O78" s="9"/>
    </row>
    <row r="79" spans="1:16" x14ac:dyDescent="0.2">
      <c r="A79" s="127"/>
      <c r="B79" s="127"/>
      <c r="C79" s="127"/>
      <c r="D79" s="127"/>
      <c r="E79" s="127"/>
      <c r="F79" s="127"/>
      <c r="G79" s="127"/>
      <c r="H79" s="127"/>
      <c r="I79" s="127"/>
      <c r="J79" s="127"/>
      <c r="K79" s="127"/>
      <c r="L79" s="127"/>
      <c r="M79" s="128"/>
      <c r="N79" s="54"/>
      <c r="O7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3">
    <mergeCell ref="D74:L76"/>
    <mergeCell ref="G68:I68"/>
    <mergeCell ref="F27:K27"/>
    <mergeCell ref="D65:L65"/>
    <mergeCell ref="D66:L66"/>
    <mergeCell ref="F47:K47"/>
    <mergeCell ref="F48:K48"/>
    <mergeCell ref="F50:K50"/>
    <mergeCell ref="F52:K52"/>
    <mergeCell ref="F53:K53"/>
    <mergeCell ref="F55:K55"/>
    <mergeCell ref="F35:K35"/>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7:M68"/>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9:L79"/>
    <dataValidation type="textLength" errorStyle="warning" allowBlank="1" showErrorMessage="1" errorTitle="Total" error="Les cellules ombrées contiennent des formules et sont calculées automatiquement par Excel. N'y tapez aucune information." promptTitle="Total" sqref="M64 M62">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58 M28:M33">
      <formula1>0</formula1>
      <formula2>0</formula2>
    </dataValidation>
    <dataValidation type="decimal" allowBlank="1" showErrorMessage="1" errorTitle="Prix unitaire" error="Tapez un nombre dans cette cellule." promptTitle="Prix unitaire" sqref="M34:M57 L28:L58">
      <formula1>0</formula1>
      <formula2>1000000000</formula2>
    </dataValidation>
    <dataValidation type="whole" errorStyle="warning" allowBlank="1" showErrorMessage="1" errorTitle="Quantité" error="Tapez un nombre dans cette cellule." promptTitle="Quantité" sqref="E28:E5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60</xdr:row>
                    <xdr:rowOff>114300</xdr:rowOff>
                  </from>
                  <to>
                    <xdr:col>3</xdr:col>
                    <xdr:colOff>1838325</xdr:colOff>
                    <xdr:row>60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59</xdr:row>
                    <xdr:rowOff>95250</xdr:rowOff>
                  </from>
                  <to>
                    <xdr:col>3</xdr:col>
                    <xdr:colOff>1885950</xdr:colOff>
                    <xdr:row>59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16/04/2025</v>
      </c>
      <c r="D8" s="67" t="str">
        <f>Facture!$E$22</f>
        <v>MOBISERVE</v>
      </c>
      <c r="E8" s="64" t="str">
        <f>Facture!$E$23</f>
        <v>IMMEUBLE LE PALMIER CENTRE BABEL BERG DU LAC TUNIS</v>
      </c>
      <c r="F8" s="64">
        <f>Facture!$E$24</f>
        <v>0</v>
      </c>
      <c r="G8" s="67">
        <f>Facture!$G$24</f>
        <v>0</v>
      </c>
      <c r="H8" s="67">
        <f>Facture!$J$24</f>
        <v>0</v>
      </c>
      <c r="I8" s="64">
        <f>Facture!$E$25</f>
        <v>0</v>
      </c>
      <c r="J8" s="68">
        <f>Facture!$M$62</f>
        <v>32128.62</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2025-04-16T15:23:37Z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32128.62</vt:r8>
  </property>
</Properties>
</file>