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Facture!$L$49</definedName>
    <definedName name="_tax4">Facture!$L$49</definedName>
    <definedName name="_xlnm.Auto_Open21">'AutoOpen Stub Data'!$A$1</definedName>
    <definedName name="boxes">Facture!$D$47:$D$48</definedName>
    <definedName name="CC">'Personnaliser votre facture'!$G$22:$G$25</definedName>
    <definedName name="CCT">Facture!$G$49</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Facture!$D$44</definedName>
    <definedName name="data6">Facture!$E$22</definedName>
    <definedName name="data60">Facture!$E$44</definedName>
    <definedName name="data61">Facture!$L$44</definedName>
    <definedName name="data62">Facture!$D$47</definedName>
    <definedName name="data63">Facture!$D$48</definedName>
    <definedName name="data64">Facture!$D$49</definedName>
    <definedName name="data65">Facture!$G$48</definedName>
    <definedName name="data66">Facture!$E$55</definedName>
    <definedName name="data67">Facture!$E$56</definedName>
    <definedName name="data68">Facture!$F$60</definedName>
    <definedName name="data69">Facture!$J$60</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Facture!$E$44:$J$44</definedName>
    <definedName name="qzqzqz26">Facture!$E$55:$H$55</definedName>
    <definedName name="qzqzqz27">Facture!#REF!</definedName>
    <definedName name="qzqzqz28">Facture!$E$56:$H$56</definedName>
    <definedName name="qzqzqz29">Facture!$J$60:$M$60</definedName>
    <definedName name="qzqzqz3">Facture!$D$22:$I$22</definedName>
    <definedName name="qzqzqz30">Facture!$F$60:$H$60</definedName>
    <definedName name="qzqzqz31">Facture!$F$60:$G$60</definedName>
    <definedName name="qzqzqz32">Facture!$J$56:$M$60</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Facture!$B$3:$N$65</definedName>
  </definedNames>
  <calcPr calcId="152511"/>
</workbook>
</file>

<file path=xl/calcChain.xml><?xml version="1.0" encoding="utf-8"?>
<calcChain xmlns="http://schemas.openxmlformats.org/spreadsheetml/2006/main">
  <c r="M29" i="3" l="1"/>
  <c r="K8" i="8" l="1"/>
  <c r="I8" i="8"/>
  <c r="H8" i="8"/>
  <c r="G8" i="8"/>
  <c r="F8" i="8"/>
  <c r="E8" i="8"/>
  <c r="D8" i="8"/>
  <c r="C8" i="8"/>
  <c r="B8" i="8"/>
  <c r="F33" i="2"/>
  <c r="M45" i="3" l="1"/>
  <c r="M47" i="3" s="1"/>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6"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<sst xmlns="http://schemas.openxmlformats.org/spreadsheetml/2006/main" count="84" uniqueCount="68">
  <si>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</si>
  <si>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</si>
  <si>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</si>
  <si>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</si>
  <si>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</si>
  <si>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</si>
  <si>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</si>
  <si>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</si>
  <si>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</si>
  <si>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</si>
  <si>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</si>
  <si>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</si>
  <si>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</si>
  <si>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</si>
  <si>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</si>
  <si>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</si>
  <si>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</si>
  <si>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</si>
  <si>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</si>
  <si>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</si>
  <si>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</si>
  <si>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</si>
  <si>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</si>
  <si>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</si>
  <si>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</si>
  <si>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</si>
  <si>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</si>
  <si>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</si>
  <si>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</si>
  <si>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</si>
  <si>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</si>
  <si>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</si>
  <si>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</si>
  <si>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</si>
  <si>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</si>
  <si>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</si>
  <si>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</si>
  <si>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</si>
  <si>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</si>
  <si>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</si>
  <si>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</si>
  <si>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</si>
  <si>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</si>
  <si>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</si>
  <si>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</si>
  <si>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</si>
  <si>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</si>
  <si>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</si>
  <si>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</si>
  <si>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</si>
  <si>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</si>
  <si>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</si>
  <si>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</si>
  <si>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</si>
  <si>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</si>
  <si>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</si>
  <si>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</si>
  <si>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</si>
  <si>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SIGNATURE &amp; CACHET  </t>
  </si>
  <si>
    <t>NXT</t>
  </si>
  <si>
    <t>AV MOSBAH JARBOU EL MANAR II</t>
  </si>
  <si>
    <t xml:space="preserve">     71882832       Fax: </t>
  </si>
  <si>
    <t>0808707E/A/M/000</t>
  </si>
  <si>
    <t xml:space="preserve"> Mme Najoua chaabani
Najoua chaabani</t>
  </si>
  <si>
    <t xml:space="preserve">Chèque </t>
  </si>
  <si>
    <t>TOOLS BAG</t>
  </si>
  <si>
    <t>https://www.camp.it/d/fr/fr/work/product/885</t>
  </si>
  <si>
    <t>OFFRE DE PRIX  N°2025-1250</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</si>
</sst>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70" formatCode="0.000"/>
  </numFmts>
  <fonts count="3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0"/>
      <color theme="1"/>
      <name val="Arial"/>
      <family val="2"/>
    </font>
    <font>
      <u/>
      <sz val="11"/>
      <color theme="10"/>
      <name val="Arial"/>
      <family val="2"/>
    </font>
    <font>
      <b/>
      <sz val="11"/>
      <name val="Arial"/>
      <family val="2"/>
    </font>
    <font>
      <b/>
      <sz val="11"/>
      <color theme="1"/>
      <name val="Arial"/>
      <family val="2"/>
    </font>
    <font>
      <b/>
      <u/>
      <sz val="11"/>
      <color rgb="FFFF0000"/>
      <name val="Arial"/>
      <family val="2"/>
    </font>
    <font>
      <sz val="11"/>
      <color rgb="FF000000"/>
      <name val="Arial"/>
      <family val="2"/>
    </font>
    <font>
      <b/>
      <sz val="11"/>
      <color rgb="FF000000"/>
      <name val="Arial"/>
      <family val="2"/>
    </font>
    <font>
      <sz val="11"/>
      <color theme="1"/>
      <name val="Arial"/>
      <family val="2"/>
    </font>
    <font>
      <b/>
      <u/>
      <sz val="12"/>
      <color rgb="FFC00000"/>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
      <left style="thin">
        <color rgb="FF000000"/>
      </left>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9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8"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0" fontId="2" fillId="6" borderId="55" xfId="0" applyFont="1" applyFill="1" applyBorder="1"/>
    <xf numFmtId="0" fontId="2" fillId="3" borderId="0" xfId="0" applyFont="1" applyFill="1" applyBorder="1"/>
    <xf numFmtId="0" fontId="4" fillId="3" borderId="0" xfId="0" applyFont="1" applyFill="1" applyBorder="1" applyAlignment="1">
      <alignment horizontal="center"/>
    </xf>
    <xf numFmtId="0" fontId="29" fillId="3" borderId="0" xfId="0" applyFont="1" applyFill="1" applyBorder="1" applyAlignment="1">
      <alignment horizontal="left"/>
    </xf>
    <xf numFmtId="0" fontId="19" fillId="3" borderId="0" xfId="0" applyFont="1" applyFill="1" applyBorder="1" applyAlignment="1">
      <alignment horizontal="left"/>
    </xf>
    <xf numFmtId="49" fontId="30" fillId="0" borderId="0" xfId="5" applyNumberFormat="1" applyFont="1" applyFill="1" applyBorder="1" applyAlignment="1" applyProtection="1"/>
    <xf numFmtId="0" fontId="31" fillId="3" borderId="0" xfId="0" applyFont="1" applyFill="1" applyBorder="1" applyAlignment="1"/>
    <xf numFmtId="0" fontId="32" fillId="7" borderId="56" xfId="0" applyFont="1" applyFill="1" applyBorder="1"/>
    <xf numFmtId="0" fontId="31" fillId="6" borderId="0" xfId="0" applyFont="1" applyFill="1"/>
    <xf numFmtId="0" fontId="7" fillId="6" borderId="0" xfId="0" applyFont="1" applyFill="1" applyBorder="1" applyAlignment="1">
      <alignment horizontal="left"/>
    </xf>
    <xf numFmtId="0" fontId="7" fillId="3" borderId="0" xfId="0" applyFont="1" applyFill="1" applyBorder="1" applyAlignment="1"/>
    <xf numFmtId="49" fontId="33" fillId="0" borderId="32" xfId="0" applyNumberFormat="1" applyFont="1" applyFill="1" applyBorder="1" applyAlignment="1"/>
    <xf numFmtId="0" fontId="7" fillId="6" borderId="0" xfId="0" applyFont="1" applyFill="1" applyBorder="1"/>
    <xf numFmtId="0" fontId="7" fillId="7" borderId="0" xfId="0" applyFont="1" applyFill="1"/>
    <xf numFmtId="0" fontId="34" fillId="7" borderId="0" xfId="0" applyFont="1" applyFill="1" applyAlignment="1"/>
    <xf numFmtId="0" fontId="35" fillId="7" borderId="56" xfId="0" applyFont="1" applyFill="1" applyBorder="1"/>
    <xf numFmtId="49" fontId="7" fillId="0" borderId="32" xfId="0" applyNumberFormat="1" applyFont="1" applyFill="1" applyBorder="1" applyAlignment="1"/>
    <xf numFmtId="49" fontId="31" fillId="0" borderId="32" xfId="0" applyNumberFormat="1" applyFont="1" applyFill="1" applyBorder="1" applyAlignment="1"/>
    <xf numFmtId="49" fontId="36" fillId="0" borderId="32" xfId="5" applyNumberFormat="1" applyFont="1" applyFill="1" applyBorder="1" applyAlignment="1" applyProtection="1"/>
    <xf numFmtId="49" fontId="7" fillId="3" borderId="32" xfId="0" applyNumberFormat="1" applyFont="1" applyFill="1" applyBorder="1" applyAlignment="1">
      <alignment horizontal="left"/>
    </xf>
    <xf numFmtId="49" fontId="37" fillId="0" borderId="32"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xf numFmtId="0" fontId="28"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left" vertical="top" wrapText="1"/>
    </xf>
    <xf numFmtId="0" fontId="4" fillId="3" borderId="38" xfId="0" applyFont="1" applyFill="1" applyBorder="1" applyAlignment="1">
      <alignment horizontal="left" vertical="top"/>
    </xf>
    <xf numFmtId="0" fontId="2" fillId="3" borderId="38" xfId="0" applyFont="1" applyFill="1" applyBorder="1" applyAlignment="1">
      <alignment horizontal="center"/>
    </xf>
    <xf numFmtId="0" fontId="4"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7" fillId="3" borderId="43" xfId="0" applyNumberFormat="1" applyFont="1" applyFill="1" applyBorder="1" applyAlignment="1"/>
    <xf numFmtId="49" fontId="27" fillId="3" borderId="44" xfId="0" applyNumberFormat="1" applyFont="1" applyFill="1"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170" fontId="16" fillId="0" borderId="34" xfId="0" applyNumberFormat="1" applyFont="1" applyFill="1" applyBorder="1"/>
    <xf numFmtId="0" fontId="2" fillId="6" borderId="34" xfId="0" applyFont="1"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9"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201028</xdr:colOff>
      <xdr:row>19</xdr:row>
      <xdr:rowOff>76702</xdr:rowOff>
    </xdr:from>
    <xdr:to>
      <xdr:col>13</xdr:col>
      <xdr:colOff>134353</xdr:colOff>
      <xdr:row>24</xdr:row>
      <xdr:rowOff>67177</xdr:rowOff>
    </xdr:to>
    <xdr:sp macro="" textlink="">
      <xdr:nvSpPr>
        <xdr:cNvPr id="2115" name="INVB2"/>
        <xdr:cNvSpPr>
          <a:spLocks noChangeArrowheads="1"/>
        </xdr:cNvSpPr>
      </xdr:nvSpPr>
      <xdr:spPr bwMode="auto">
        <a:xfrm>
          <a:off x="4963528"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45</xdr:row>
          <xdr:rowOff>152400</xdr:rowOff>
        </xdr:from>
        <xdr:to>
          <xdr:col>3</xdr:col>
          <xdr:colOff>695325</xdr:colOff>
          <xdr:row>46</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47</xdr:row>
          <xdr:rowOff>0</xdr:rowOff>
        </xdr:from>
        <xdr:to>
          <xdr:col>3</xdr:col>
          <xdr:colOff>704850</xdr:colOff>
          <xdr:row>48</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48</xdr:row>
          <xdr:rowOff>28575</xdr:rowOff>
        </xdr:from>
        <xdr:to>
          <xdr:col>3</xdr:col>
          <xdr:colOff>714375</xdr:colOff>
          <xdr:row>49</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10</xdr:col>
      <xdr:colOff>40107</xdr:colOff>
      <xdr:row>7</xdr:row>
      <xdr:rowOff>80212</xdr:rowOff>
    </xdr:from>
    <xdr:to>
      <xdr:col>11</xdr:col>
      <xdr:colOff>852237</xdr:colOff>
      <xdr:row>12</xdr:row>
      <xdr:rowOff>80212</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932949" y="972554"/>
          <a:ext cx="1614235" cy="802105"/>
        </a:xfrm>
        <a:prstGeom prst="rect">
          <a:avLst/>
        </a:prstGeom>
        <a:noFill/>
        <a:ln>
          <a:noFill/>
        </a:ln>
      </xdr:spPr>
    </xdr:pic>
    <xdr:clientData/>
  </xdr:twoCellAnchor>
  <xdr:twoCellAnchor editAs="oneCell">
    <xdr:from>
      <xdr:col>11</xdr:col>
      <xdr:colOff>832184</xdr:colOff>
      <xdr:row>7</xdr:row>
      <xdr:rowOff>30079</xdr:rowOff>
    </xdr:from>
    <xdr:to>
      <xdr:col>12</xdr:col>
      <xdr:colOff>711869</xdr:colOff>
      <xdr:row>12</xdr:row>
      <xdr:rowOff>26069</xdr:rowOff>
    </xdr:to>
    <xdr:pic>
      <xdr:nvPicPr>
        <xdr:cNvPr id="2" name="Image 1"/>
        <xdr:cNvPicPr>
          <a:picLocks noChangeAspect="1"/>
        </xdr:cNvPicPr>
      </xdr:nvPicPr>
      <xdr:blipFill>
        <a:blip xmlns:r="http://schemas.openxmlformats.org/officeDocument/2006/relationships" r:embed="rId3"/>
        <a:stretch>
          <a:fillRect/>
        </a:stretch>
      </xdr:blipFill>
      <xdr:spPr>
        <a:xfrm>
          <a:off x="6527131" y="922421"/>
          <a:ext cx="862264" cy="7980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9" t="s">
        <v>0</v>
      </c>
      <c r="E4" s="140"/>
      <c r="F4" s="140"/>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1" t="s">
        <v>2</v>
      </c>
      <c r="E10" s="142"/>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3" t="s">
        <v>45</v>
      </c>
      <c r="E19" s="142"/>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4" t="str">
        <f>LOWER(TemplateInformation!B3)</f>
        <v>c:\program files\microsoft office\office\macrolib\factbd.xls</v>
      </c>
      <c r="G33" s="145"/>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1" t="s">
        <v>16</v>
      </c>
      <c r="E36" s="142"/>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1"/>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5"/>
  <sheetViews>
    <sheetView showGridLines="0" showRowColHeaders="0" tabSelected="1" zoomScale="95" workbookViewId="0">
      <selection activeCell="L31" sqref="L31"/>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62"/>
      <c r="M9" s="163"/>
      <c r="N9" s="3"/>
      <c r="O9" s="8"/>
    </row>
    <row r="10" spans="1:15" x14ac:dyDescent="0.2">
      <c r="A10" s="7"/>
      <c r="B10" s="3"/>
      <c r="C10" s="3"/>
      <c r="D10" s="3"/>
      <c r="E10" s="3"/>
      <c r="F10" s="3"/>
      <c r="G10" s="3"/>
      <c r="H10" s="3"/>
      <c r="I10" s="3"/>
      <c r="J10" s="3"/>
      <c r="K10" s="3"/>
      <c r="L10" s="96"/>
      <c r="M10" s="96"/>
      <c r="N10" s="3"/>
      <c r="O10" s="8"/>
    </row>
    <row r="11" spans="1:15" x14ac:dyDescent="0.2">
      <c r="A11" s="7"/>
      <c r="B11" s="3"/>
      <c r="C11" s="3"/>
      <c r="D11" s="3"/>
      <c r="E11" s="3"/>
      <c r="F11" s="3"/>
      <c r="G11" s="3"/>
      <c r="H11" s="3"/>
      <c r="I11" s="3"/>
      <c r="J11" s="3"/>
      <c r="K11" s="3"/>
      <c r="L11" s="106"/>
      <c r="M11" s="107"/>
      <c r="N11" s="3"/>
      <c r="O11" s="8"/>
    </row>
    <row r="12" spans="1:15" x14ac:dyDescent="0.2">
      <c r="A12" s="7"/>
      <c r="B12" s="3"/>
      <c r="C12" s="3"/>
      <c r="D12" s="3"/>
      <c r="E12" s="3"/>
      <c r="F12" s="3"/>
      <c r="G12" s="3"/>
      <c r="H12" s="3"/>
      <c r="I12" s="3"/>
      <c r="J12" s="3"/>
      <c r="K12" s="3"/>
      <c r="L12" s="106"/>
      <c r="M12" s="107"/>
      <c r="N12" s="3"/>
      <c r="O12" s="8"/>
    </row>
    <row r="13" spans="1:15" x14ac:dyDescent="0.2">
      <c r="A13" s="7"/>
      <c r="B13" s="3"/>
      <c r="C13" s="3"/>
      <c r="D13" s="3"/>
      <c r="E13" s="3"/>
      <c r="F13" s="3"/>
      <c r="G13" s="3"/>
      <c r="H13" s="3"/>
      <c r="I13" s="3"/>
      <c r="J13" s="3"/>
      <c r="K13" s="3"/>
      <c r="L13" s="172"/>
      <c r="M13" s="173"/>
      <c r="N13" s="3"/>
      <c r="O13" s="8"/>
    </row>
    <row r="14" spans="1:15" x14ac:dyDescent="0.2">
      <c r="A14" s="7"/>
      <c r="B14" s="3"/>
      <c r="C14" s="3"/>
      <c r="D14" s="3"/>
      <c r="E14" s="3"/>
      <c r="F14" s="3"/>
      <c r="G14" s="161"/>
      <c r="H14" s="161"/>
      <c r="I14" s="161"/>
      <c r="J14" s="161"/>
      <c r="K14" s="161"/>
      <c r="L14" s="3"/>
      <c r="M14" s="3"/>
      <c r="N14" s="3"/>
      <c r="O14" s="8"/>
    </row>
    <row r="15" spans="1:15" ht="20.100000000000001" customHeight="1" x14ac:dyDescent="0.2">
      <c r="A15" s="7"/>
      <c r="B15" s="3"/>
      <c r="C15" s="3"/>
      <c r="D15" s="3"/>
      <c r="E15" s="3"/>
      <c r="F15" s="3"/>
      <c r="G15" s="161"/>
      <c r="H15" s="161"/>
      <c r="I15" s="161"/>
      <c r="J15" s="161"/>
      <c r="K15" s="161"/>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5"/>
      <c r="H17" s="3"/>
      <c r="I17" s="96"/>
      <c r="J17" s="3"/>
      <c r="K17" s="3"/>
      <c r="L17" s="149" t="s">
        <v>67</v>
      </c>
      <c r="M17" s="150"/>
      <c r="N17" s="3"/>
      <c r="O17" s="8"/>
    </row>
    <row r="18" spans="1:15" ht="19.5" thickTop="1" x14ac:dyDescent="0.3">
      <c r="A18" s="7"/>
      <c r="B18" s="3"/>
      <c r="C18" s="58"/>
      <c r="D18" s="58"/>
      <c r="E18" s="58"/>
      <c r="F18" s="58"/>
      <c r="G18" s="58"/>
      <c r="H18" s="58"/>
      <c r="I18" s="59"/>
      <c r="J18" s="59"/>
      <c r="K18" s="59"/>
      <c r="L18" s="151"/>
      <c r="M18" s="152"/>
      <c r="N18" s="19"/>
      <c r="O18" s="8"/>
    </row>
    <row r="19" spans="1:15" ht="13.5" thickBot="1" x14ac:dyDescent="0.25">
      <c r="A19" s="7"/>
      <c r="B19" s="3"/>
      <c r="C19" s="3"/>
      <c r="D19" s="3"/>
      <c r="E19" s="3"/>
      <c r="F19" s="3"/>
      <c r="G19" s="3"/>
      <c r="H19" s="3"/>
      <c r="I19" s="3"/>
      <c r="J19" s="3"/>
      <c r="K19" s="3"/>
      <c r="L19" s="153"/>
      <c r="M19" s="154"/>
      <c r="N19" s="3"/>
      <c r="O19" s="8"/>
    </row>
    <row r="20" spans="1:15" x14ac:dyDescent="0.2">
      <c r="A20" s="7"/>
      <c r="B20" s="3"/>
      <c r="C20" s="3"/>
      <c r="D20" s="3"/>
      <c r="E20" s="3"/>
      <c r="F20" s="3"/>
      <c r="G20" s="3"/>
      <c r="H20" s="3"/>
      <c r="I20" s="3"/>
      <c r="J20" s="3"/>
      <c r="K20" s="3"/>
      <c r="L20" s="119"/>
      <c r="M20" s="3"/>
      <c r="N20" s="3"/>
      <c r="O20" s="8"/>
    </row>
    <row r="21" spans="1:15" ht="18" x14ac:dyDescent="0.25">
      <c r="A21" s="7"/>
      <c r="B21" s="3"/>
      <c r="C21" s="81" t="s">
        <v>3</v>
      </c>
      <c r="D21" s="178" t="s">
        <v>59</v>
      </c>
      <c r="E21" s="179"/>
      <c r="F21" s="179"/>
      <c r="G21" s="179"/>
      <c r="H21" s="179"/>
      <c r="I21" s="179"/>
      <c r="J21" s="81"/>
      <c r="K21" s="120" t="s">
        <v>18</v>
      </c>
      <c r="L21" s="166">
        <v>46000</v>
      </c>
      <c r="M21" s="167"/>
      <c r="N21" s="55"/>
      <c r="O21" s="8"/>
    </row>
    <row r="22" spans="1:15" ht="14.25" x14ac:dyDescent="0.2">
      <c r="A22" s="7"/>
      <c r="B22" s="3"/>
      <c r="C22" s="81" t="s">
        <v>5</v>
      </c>
      <c r="D22" s="176" t="s">
        <v>60</v>
      </c>
      <c r="E22" s="177"/>
      <c r="F22" s="177"/>
      <c r="G22" s="177"/>
      <c r="H22" s="177"/>
      <c r="I22" s="177"/>
      <c r="J22" s="81"/>
      <c r="K22" s="114"/>
      <c r="L22" s="159"/>
      <c r="M22" s="160"/>
      <c r="N22" s="56"/>
      <c r="O22" s="8"/>
    </row>
    <row r="23" spans="1:15" x14ac:dyDescent="0.2">
      <c r="A23" s="7"/>
      <c r="B23" s="3"/>
      <c r="C23" s="81" t="s">
        <v>7</v>
      </c>
      <c r="D23" s="88"/>
      <c r="E23" s="89" t="s">
        <v>8</v>
      </c>
      <c r="F23" s="174"/>
      <c r="G23" s="175"/>
      <c r="H23" s="90" t="s">
        <v>9</v>
      </c>
      <c r="I23" s="87" t="s">
        <v>51</v>
      </c>
      <c r="J23" s="81"/>
      <c r="K23" s="83" t="s">
        <v>19</v>
      </c>
      <c r="L23" s="168" t="s">
        <v>63</v>
      </c>
      <c r="M23" s="169"/>
      <c r="N23" s="3"/>
      <c r="O23" s="8"/>
    </row>
    <row r="24" spans="1:15" x14ac:dyDescent="0.2">
      <c r="A24" s="7"/>
      <c r="B24" s="3"/>
      <c r="C24" s="81" t="s">
        <v>20</v>
      </c>
      <c r="D24" s="180" t="s">
        <v>61</v>
      </c>
      <c r="E24" s="181"/>
      <c r="F24" s="181"/>
      <c r="G24" s="181"/>
      <c r="H24" s="181"/>
      <c r="I24" s="181"/>
      <c r="J24" s="81"/>
      <c r="K24" s="120" t="s">
        <v>47</v>
      </c>
      <c r="L24" s="170" t="s">
        <v>62</v>
      </c>
      <c r="M24" s="171"/>
      <c r="N24" s="3"/>
      <c r="O24" s="8"/>
    </row>
    <row r="25" spans="1:15" x14ac:dyDescent="0.2">
      <c r="A25" s="7"/>
      <c r="B25" s="3"/>
      <c r="C25" s="81"/>
      <c r="D25" s="81"/>
      <c r="E25" s="81"/>
      <c r="F25" s="81"/>
      <c r="G25" s="81"/>
      <c r="H25" s="81"/>
      <c r="I25" s="81"/>
      <c r="J25" s="81"/>
      <c r="K25" s="81"/>
      <c r="L25" s="81"/>
      <c r="M25" s="81"/>
      <c r="N25" s="3"/>
      <c r="O25" s="8"/>
    </row>
    <row r="26" spans="1:15" x14ac:dyDescent="0.2">
      <c r="A26" s="7"/>
      <c r="B26" s="3"/>
      <c r="C26" s="67" t="s">
        <v>34</v>
      </c>
      <c r="D26" s="51" t="s">
        <v>21</v>
      </c>
      <c r="E26" s="155" t="s">
        <v>22</v>
      </c>
      <c r="F26" s="156"/>
      <c r="G26" s="156"/>
      <c r="H26" s="156"/>
      <c r="I26" s="156"/>
      <c r="J26" s="156"/>
      <c r="K26" s="157"/>
      <c r="L26" s="52" t="s">
        <v>53</v>
      </c>
      <c r="M26" s="108" t="s">
        <v>23</v>
      </c>
      <c r="N26" s="57"/>
      <c r="O26" s="8"/>
    </row>
    <row r="27" spans="1:15" ht="15.75" x14ac:dyDescent="0.25">
      <c r="A27" s="7"/>
      <c r="B27" s="3"/>
      <c r="C27" s="92"/>
      <c r="D27" s="75"/>
      <c r="E27" s="182"/>
      <c r="F27" s="183"/>
      <c r="G27" s="183"/>
      <c r="H27" s="183"/>
      <c r="I27" s="183"/>
      <c r="J27" s="183"/>
      <c r="K27" s="118"/>
      <c r="L27" s="190"/>
      <c r="M27" s="190"/>
      <c r="N27" s="57"/>
      <c r="O27" s="8"/>
    </row>
    <row r="28" spans="1:15" ht="15.75" x14ac:dyDescent="0.25">
      <c r="A28" s="7"/>
      <c r="B28" s="3"/>
      <c r="C28" s="92"/>
      <c r="D28" s="75"/>
      <c r="E28" s="129"/>
      <c r="F28" s="123"/>
      <c r="G28" s="123"/>
      <c r="H28" s="124"/>
      <c r="I28" s="124"/>
      <c r="J28" s="128"/>
      <c r="K28" s="191"/>
      <c r="L28" s="190"/>
      <c r="M28" s="190"/>
      <c r="N28" s="57"/>
      <c r="O28" s="8"/>
    </row>
    <row r="29" spans="1:15" ht="15.75" x14ac:dyDescent="0.25">
      <c r="A29" s="7"/>
      <c r="B29" s="3"/>
      <c r="C29" s="92"/>
      <c r="D29" s="75">
        <v>1</v>
      </c>
      <c r="E29" s="125" t="s">
        <v>65</v>
      </c>
      <c r="F29" s="131"/>
      <c r="G29" s="132"/>
      <c r="H29" s="131"/>
      <c r="I29" s="131"/>
      <c r="J29" s="132"/>
      <c r="K29" s="191"/>
      <c r="L29" s="190">
        <v>50</v>
      </c>
      <c r="M29" s="190">
        <f>L29*D29</f>
        <v>50</v>
      </c>
      <c r="N29" s="57"/>
      <c r="O29" s="8"/>
    </row>
    <row r="30" spans="1:15" ht="15.75" x14ac:dyDescent="0.25">
      <c r="A30" s="7"/>
      <c r="B30" s="3"/>
      <c r="C30" s="104"/>
      <c r="D30" s="75"/>
      <c r="E30" s="133" t="s">
        <v>66</v>
      </c>
      <c r="F30" s="131"/>
      <c r="G30" s="132"/>
      <c r="H30" s="131"/>
      <c r="I30" s="131"/>
      <c r="J30" s="132"/>
      <c r="K30" s="191"/>
      <c r="L30" s="190"/>
      <c r="M30" s="190"/>
      <c r="N30" s="57"/>
      <c r="O30" s="8"/>
    </row>
    <row r="31" spans="1:15" ht="15.75" x14ac:dyDescent="0.25">
      <c r="A31" s="7"/>
      <c r="B31" s="3"/>
      <c r="C31" s="104"/>
      <c r="D31" s="75"/>
      <c r="E31" s="134"/>
      <c r="F31" s="123"/>
      <c r="G31" s="124"/>
      <c r="H31" s="124"/>
      <c r="I31" s="124"/>
      <c r="J31" s="128"/>
      <c r="K31" s="191"/>
      <c r="L31" s="190"/>
      <c r="M31" s="190"/>
      <c r="N31" s="57"/>
      <c r="O31" s="8"/>
    </row>
    <row r="32" spans="1:15" ht="15.75" x14ac:dyDescent="0.25">
      <c r="A32" s="7"/>
      <c r="B32" s="3"/>
      <c r="C32" s="104"/>
      <c r="D32" s="75"/>
      <c r="E32" s="135"/>
      <c r="F32" s="123"/>
      <c r="G32" s="124"/>
      <c r="H32" s="124"/>
      <c r="I32" s="124"/>
      <c r="J32" s="128"/>
      <c r="K32" s="191"/>
      <c r="L32" s="190"/>
      <c r="M32" s="190"/>
      <c r="N32" s="57"/>
      <c r="O32" s="8"/>
    </row>
    <row r="33" spans="1:15" ht="15" x14ac:dyDescent="0.2">
      <c r="A33" s="7"/>
      <c r="B33" s="3"/>
      <c r="C33" s="104"/>
      <c r="D33" s="75"/>
      <c r="E33" s="136"/>
      <c r="F33" s="123"/>
      <c r="G33" s="123"/>
      <c r="H33" s="123"/>
      <c r="I33" s="123"/>
      <c r="J33" s="128"/>
      <c r="K33" s="191"/>
      <c r="L33" s="190"/>
      <c r="M33" s="190"/>
      <c r="N33" s="57"/>
      <c r="O33" s="8"/>
    </row>
    <row r="34" spans="1:15" ht="15.75" x14ac:dyDescent="0.25">
      <c r="A34" s="7"/>
      <c r="B34" s="3"/>
      <c r="C34" s="104"/>
      <c r="D34" s="75"/>
      <c r="E34" s="135"/>
      <c r="F34" s="123"/>
      <c r="G34" s="123"/>
      <c r="H34" s="123"/>
      <c r="I34" s="123"/>
      <c r="J34" s="127"/>
      <c r="K34" s="191"/>
      <c r="L34" s="190"/>
      <c r="M34" s="190"/>
      <c r="N34" s="57"/>
      <c r="O34" s="8"/>
    </row>
    <row r="35" spans="1:15" ht="15" x14ac:dyDescent="0.2">
      <c r="A35" s="7"/>
      <c r="B35" s="3"/>
      <c r="C35" s="104"/>
      <c r="D35" s="75"/>
      <c r="E35" s="134"/>
      <c r="F35" s="123"/>
      <c r="G35" s="123"/>
      <c r="H35" s="123"/>
      <c r="I35" s="123"/>
      <c r="J35" s="127"/>
      <c r="K35" s="191"/>
      <c r="L35" s="190"/>
      <c r="M35" s="190"/>
      <c r="N35" s="57"/>
      <c r="O35" s="8"/>
    </row>
    <row r="36" spans="1:15" ht="17.100000000000001" customHeight="1" x14ac:dyDescent="0.25">
      <c r="A36" s="7"/>
      <c r="B36" s="3"/>
      <c r="C36" s="104"/>
      <c r="D36" s="75"/>
      <c r="E36" s="126"/>
      <c r="F36" s="127"/>
      <c r="G36" s="127"/>
      <c r="H36" s="127"/>
      <c r="I36" s="127"/>
      <c r="J36" s="127"/>
      <c r="K36" s="191"/>
      <c r="L36" s="190"/>
      <c r="M36" s="190"/>
      <c r="N36" s="57"/>
      <c r="O36" s="8"/>
    </row>
    <row r="37" spans="1:15" ht="17.100000000000001" customHeight="1" x14ac:dyDescent="0.25">
      <c r="A37" s="7"/>
      <c r="B37" s="3"/>
      <c r="C37" s="104"/>
      <c r="D37" s="53"/>
      <c r="E37" s="138"/>
      <c r="F37" s="130"/>
      <c r="G37" s="128"/>
      <c r="H37" s="130"/>
      <c r="I37" s="130"/>
      <c r="J37" s="128"/>
      <c r="K37" s="191"/>
      <c r="L37" s="190"/>
      <c r="M37" s="190"/>
      <c r="N37" s="57"/>
      <c r="O37" s="8"/>
    </row>
    <row r="38" spans="1:15" ht="15" x14ac:dyDescent="0.2">
      <c r="A38" s="7"/>
      <c r="B38" s="3"/>
      <c r="C38" s="92"/>
      <c r="D38" s="53"/>
      <c r="E38" s="137"/>
      <c r="F38" s="127"/>
      <c r="G38" s="127"/>
      <c r="H38" s="130"/>
      <c r="I38" s="130"/>
      <c r="J38" s="128"/>
      <c r="K38" s="191"/>
      <c r="L38" s="190"/>
      <c r="M38" s="190"/>
      <c r="N38" s="57"/>
      <c r="O38" s="8"/>
    </row>
    <row r="39" spans="1:15" ht="15" x14ac:dyDescent="0.2">
      <c r="A39" s="7"/>
      <c r="B39" s="3"/>
      <c r="C39" s="92"/>
      <c r="D39" s="53"/>
      <c r="E39" s="137"/>
      <c r="F39" s="127"/>
      <c r="G39" s="127"/>
      <c r="H39" s="130"/>
      <c r="I39" s="130"/>
      <c r="J39" s="128"/>
      <c r="K39" s="191"/>
      <c r="L39" s="190"/>
      <c r="M39" s="190"/>
      <c r="N39" s="57"/>
      <c r="O39" s="8"/>
    </row>
    <row r="40" spans="1:15" ht="15" x14ac:dyDescent="0.2">
      <c r="A40" s="7"/>
      <c r="B40" s="3"/>
      <c r="C40" s="92"/>
      <c r="D40" s="53"/>
      <c r="E40" s="137"/>
      <c r="F40" s="127"/>
      <c r="G40" s="127"/>
      <c r="H40" s="130"/>
      <c r="I40" s="130"/>
      <c r="J40" s="128"/>
      <c r="K40" s="191"/>
      <c r="L40" s="190"/>
      <c r="M40" s="190"/>
      <c r="N40" s="57"/>
      <c r="O40" s="8"/>
    </row>
    <row r="41" spans="1:15" ht="15" x14ac:dyDescent="0.2">
      <c r="A41" s="7"/>
      <c r="B41" s="3"/>
      <c r="C41" s="92"/>
      <c r="D41" s="53"/>
      <c r="E41" s="137"/>
      <c r="F41" s="127"/>
      <c r="G41" s="127"/>
      <c r="H41" s="130"/>
      <c r="I41" s="130"/>
      <c r="J41" s="128"/>
      <c r="K41" s="191"/>
      <c r="L41" s="190"/>
      <c r="M41" s="190"/>
      <c r="N41" s="57"/>
      <c r="O41" s="8"/>
    </row>
    <row r="42" spans="1:15" ht="15" x14ac:dyDescent="0.2">
      <c r="A42" s="7"/>
      <c r="B42" s="3"/>
      <c r="C42" s="92"/>
      <c r="D42" s="53"/>
      <c r="E42" s="137"/>
      <c r="F42" s="127"/>
      <c r="G42" s="127"/>
      <c r="H42" s="130"/>
      <c r="I42" s="130"/>
      <c r="J42" s="128"/>
      <c r="K42" s="191"/>
      <c r="L42" s="190"/>
      <c r="M42" s="190"/>
      <c r="N42" s="57"/>
      <c r="O42" s="8"/>
    </row>
    <row r="43" spans="1:15" ht="15" x14ac:dyDescent="0.2">
      <c r="A43" s="7"/>
      <c r="B43" s="3"/>
      <c r="C43" s="92"/>
      <c r="D43" s="53"/>
      <c r="E43" s="137"/>
      <c r="F43" s="127"/>
      <c r="G43" s="127"/>
      <c r="H43" s="130"/>
      <c r="I43" s="130"/>
      <c r="J43" s="128"/>
      <c r="K43" s="191"/>
      <c r="L43" s="190"/>
      <c r="M43" s="190"/>
      <c r="N43" s="57"/>
      <c r="O43" s="8"/>
    </row>
    <row r="44" spans="1:15" ht="15" customHeight="1" x14ac:dyDescent="0.2">
      <c r="A44" s="7"/>
      <c r="B44" s="3"/>
      <c r="C44" s="93"/>
      <c r="D44" s="54"/>
      <c r="E44" s="164"/>
      <c r="F44" s="165"/>
      <c r="G44" s="165"/>
      <c r="H44" s="165"/>
      <c r="I44" s="165"/>
      <c r="J44" s="165"/>
      <c r="K44" s="191"/>
      <c r="L44" s="190"/>
      <c r="M44" s="190"/>
      <c r="N44" s="57"/>
      <c r="O44" s="8"/>
    </row>
    <row r="45" spans="1:15" ht="15" customHeight="1" x14ac:dyDescent="0.25">
      <c r="A45" s="7"/>
      <c r="B45" s="3"/>
      <c r="C45" s="3"/>
      <c r="D45" s="81"/>
      <c r="E45" s="81"/>
      <c r="F45" s="81"/>
      <c r="G45" s="81"/>
      <c r="H45" s="81"/>
      <c r="I45" s="76"/>
      <c r="J45" s="76"/>
      <c r="K45" s="76"/>
      <c r="L45" s="99" t="s">
        <v>24</v>
      </c>
      <c r="M45" s="94">
        <f>SUM(M27:M44)</f>
        <v>50</v>
      </c>
      <c r="N45" s="57"/>
      <c r="O45" s="8"/>
    </row>
    <row r="46" spans="1:15" ht="15" customHeight="1" x14ac:dyDescent="0.2">
      <c r="A46" s="7"/>
      <c r="B46" s="3"/>
      <c r="C46" s="3"/>
      <c r="D46" s="81"/>
      <c r="E46" s="81"/>
      <c r="F46" s="81"/>
      <c r="G46" s="81"/>
      <c r="H46" s="81"/>
      <c r="I46" s="76"/>
      <c r="J46" s="76"/>
      <c r="K46" s="76"/>
      <c r="L46" s="102" t="s">
        <v>46</v>
      </c>
      <c r="M46" s="100">
        <v>1</v>
      </c>
      <c r="N46" s="57"/>
      <c r="O46" s="8"/>
    </row>
    <row r="47" spans="1:15" ht="18" x14ac:dyDescent="0.25">
      <c r="A47" s="7"/>
      <c r="B47" s="3"/>
      <c r="C47" s="3"/>
      <c r="D47" s="82"/>
      <c r="E47" s="122" t="s">
        <v>25</v>
      </c>
      <c r="F47" s="81"/>
      <c r="G47" s="81"/>
      <c r="H47" s="81"/>
      <c r="I47" s="78"/>
      <c r="J47" s="78"/>
      <c r="K47" s="77"/>
      <c r="L47" s="101">
        <v>0.19</v>
      </c>
      <c r="M47" s="100">
        <f>M45*0.19</f>
        <v>9.5</v>
      </c>
      <c r="N47" s="57"/>
      <c r="O47" s="8"/>
    </row>
    <row r="48" spans="1:15" ht="15.75" x14ac:dyDescent="0.25">
      <c r="A48" s="7"/>
      <c r="B48" s="3"/>
      <c r="C48" s="3"/>
      <c r="D48" s="84"/>
      <c r="E48" s="121" t="s">
        <v>64</v>
      </c>
      <c r="F48" s="86"/>
      <c r="G48" s="84"/>
      <c r="H48" s="81"/>
      <c r="I48" s="79"/>
      <c r="J48" s="76"/>
      <c r="K48" s="76"/>
      <c r="L48" s="146" t="s">
        <v>27</v>
      </c>
      <c r="M48" s="147">
        <f>+M45+M46+M47</f>
        <v>60.5</v>
      </c>
      <c r="N48" s="57"/>
      <c r="O48" s="8"/>
    </row>
    <row r="49" spans="1:15" ht="15" x14ac:dyDescent="0.2">
      <c r="A49" s="7"/>
      <c r="B49" s="3"/>
      <c r="C49" s="3"/>
      <c r="D49" s="84">
        <v>1</v>
      </c>
      <c r="E49" s="103" t="s">
        <v>55</v>
      </c>
      <c r="F49" s="81"/>
      <c r="G49" s="85"/>
      <c r="H49" s="81"/>
      <c r="I49" s="80" t="s">
        <v>26</v>
      </c>
      <c r="J49" s="76"/>
      <c r="K49" s="76"/>
      <c r="L49" s="146"/>
      <c r="M49" s="148"/>
      <c r="N49" s="57"/>
      <c r="O49" s="8"/>
    </row>
    <row r="50" spans="1:15" ht="15" customHeight="1" x14ac:dyDescent="0.2">
      <c r="A50" s="7"/>
      <c r="B50" s="3"/>
      <c r="C50" s="3"/>
      <c r="D50" s="84"/>
      <c r="E50" s="103"/>
      <c r="F50" s="81"/>
      <c r="G50" s="85"/>
      <c r="H50" s="81"/>
      <c r="I50" s="80"/>
      <c r="J50" s="76"/>
      <c r="K50" s="76"/>
      <c r="L50" s="96"/>
      <c r="M50" s="97"/>
      <c r="N50" s="57"/>
      <c r="O50" s="8"/>
    </row>
    <row r="51" spans="1:15" ht="15" customHeight="1" x14ac:dyDescent="0.2">
      <c r="A51" s="7"/>
      <c r="B51" s="115"/>
      <c r="C51" s="115"/>
      <c r="D51" s="115"/>
      <c r="E51" s="115"/>
      <c r="F51" s="115"/>
      <c r="G51" s="115"/>
      <c r="H51" s="115"/>
      <c r="I51" s="115"/>
      <c r="J51" s="115"/>
      <c r="K51" s="115"/>
      <c r="L51" s="116"/>
      <c r="M51" s="117"/>
      <c r="N51" s="57"/>
      <c r="O51" s="8"/>
    </row>
    <row r="52" spans="1:15" ht="12.75" customHeight="1" x14ac:dyDescent="0.2">
      <c r="A52" s="7"/>
      <c r="B52" s="114"/>
      <c r="C52" s="114"/>
      <c r="D52" s="114"/>
      <c r="E52" s="114"/>
      <c r="F52" s="114"/>
      <c r="G52" s="114"/>
      <c r="H52" s="114"/>
      <c r="I52" s="114"/>
      <c r="J52" s="114"/>
      <c r="K52" s="114"/>
      <c r="L52" s="95" t="s">
        <v>58</v>
      </c>
      <c r="M52" s="98"/>
      <c r="N52" s="57"/>
      <c r="O52" s="8"/>
    </row>
    <row r="53" spans="1:15" ht="3" customHeight="1" x14ac:dyDescent="0.2">
      <c r="A53" s="7"/>
      <c r="B53" s="114"/>
      <c r="C53" s="114"/>
      <c r="D53" s="114"/>
      <c r="E53" s="114"/>
      <c r="F53" s="114"/>
      <c r="G53" s="114"/>
      <c r="H53" s="114"/>
      <c r="I53" s="114"/>
      <c r="J53" s="114"/>
      <c r="K53" s="114"/>
      <c r="L53" s="98"/>
      <c r="M53" s="98"/>
      <c r="N53" s="57"/>
      <c r="O53" s="8"/>
    </row>
    <row r="54" spans="1:15" x14ac:dyDescent="0.2">
      <c r="A54" s="7"/>
      <c r="B54" s="114"/>
      <c r="C54" s="114"/>
      <c r="D54" s="114"/>
      <c r="E54" s="114"/>
      <c r="F54" s="114"/>
      <c r="G54" s="114"/>
      <c r="H54" s="114"/>
      <c r="I54" s="114"/>
      <c r="J54" s="114"/>
      <c r="K54" s="114"/>
      <c r="L54" s="98"/>
      <c r="M54" s="98"/>
      <c r="N54" s="57"/>
      <c r="O54" s="8"/>
    </row>
    <row r="55" spans="1:15" ht="15.75" customHeight="1" x14ac:dyDescent="0.2">
      <c r="A55" s="7"/>
      <c r="B55" s="158"/>
      <c r="C55" s="158"/>
      <c r="D55" s="158"/>
      <c r="E55" s="158"/>
      <c r="F55" s="158"/>
      <c r="G55" s="158"/>
      <c r="H55" s="158"/>
      <c r="I55" s="158"/>
      <c r="J55" s="158"/>
      <c r="K55" s="158"/>
      <c r="L55" s="96"/>
      <c r="M55" s="97"/>
      <c r="N55" s="57"/>
      <c r="O55" s="8"/>
    </row>
    <row r="56" spans="1:15" ht="15.75" customHeight="1" x14ac:dyDescent="0.2">
      <c r="A56" s="7"/>
      <c r="B56" s="3"/>
      <c r="C56" s="3"/>
      <c r="D56" s="188" t="s">
        <v>57</v>
      </c>
      <c r="E56" s="189"/>
      <c r="F56" s="189"/>
      <c r="G56" s="189"/>
      <c r="H56" s="189"/>
      <c r="I56" s="189"/>
      <c r="J56" s="189"/>
      <c r="K56" s="189"/>
      <c r="L56" s="189"/>
      <c r="M56" s="189"/>
      <c r="N56" s="57"/>
      <c r="O56" s="8"/>
    </row>
    <row r="57" spans="1:15" ht="0.95" customHeight="1" x14ac:dyDescent="0.2">
      <c r="A57" s="7"/>
      <c r="B57" s="3"/>
      <c r="C57" s="3"/>
      <c r="D57" s="189"/>
      <c r="E57" s="189"/>
      <c r="F57" s="189"/>
      <c r="G57" s="189"/>
      <c r="H57" s="189"/>
      <c r="I57" s="189"/>
      <c r="J57" s="189"/>
      <c r="K57" s="189"/>
      <c r="L57" s="189"/>
      <c r="M57" s="189"/>
      <c r="N57" s="57"/>
      <c r="O57" s="8"/>
    </row>
    <row r="58" spans="1:15" ht="6" customHeight="1" x14ac:dyDescent="0.2">
      <c r="A58" s="7"/>
      <c r="B58" s="3"/>
      <c r="C58" s="3"/>
      <c r="D58" s="111"/>
      <c r="E58" s="111"/>
      <c r="F58" s="111"/>
      <c r="G58" s="111"/>
      <c r="H58" s="111"/>
      <c r="I58" s="111"/>
      <c r="J58" s="111"/>
      <c r="K58" s="111"/>
      <c r="L58" s="111"/>
      <c r="M58" s="95"/>
      <c r="N58" s="57"/>
      <c r="O58" s="8"/>
    </row>
    <row r="59" spans="1:15" ht="16.5" thickBot="1" x14ac:dyDescent="0.25">
      <c r="A59" s="7"/>
      <c r="B59" s="3"/>
      <c r="C59" s="3"/>
      <c r="D59" s="18"/>
      <c r="E59" s="186" t="s">
        <v>54</v>
      </c>
      <c r="F59" s="186"/>
      <c r="G59" s="186"/>
      <c r="H59" s="186"/>
      <c r="I59" s="186"/>
      <c r="J59" s="186"/>
      <c r="K59" s="186"/>
      <c r="L59" s="95"/>
      <c r="M59" s="95"/>
      <c r="N59" s="57"/>
      <c r="O59" s="8"/>
    </row>
    <row r="60" spans="1:15" ht="16.5" thickTop="1" x14ac:dyDescent="0.2">
      <c r="A60" s="58"/>
      <c r="B60" s="3"/>
      <c r="C60" s="3"/>
      <c r="D60" s="187" t="s">
        <v>56</v>
      </c>
      <c r="E60" s="187"/>
      <c r="F60" s="187"/>
      <c r="G60" s="187"/>
      <c r="H60" s="187"/>
      <c r="I60" s="187"/>
      <c r="J60" s="187"/>
      <c r="K60" s="187"/>
      <c r="L60" s="187"/>
      <c r="M60" s="95"/>
      <c r="N60" s="57"/>
    </row>
    <row r="61" spans="1:15" ht="15.75" x14ac:dyDescent="0.2">
      <c r="A61" s="113"/>
      <c r="B61" s="3"/>
      <c r="C61" s="3"/>
      <c r="D61" s="187"/>
      <c r="E61" s="187"/>
      <c r="F61" s="187"/>
      <c r="G61" s="187"/>
      <c r="H61" s="187"/>
      <c r="I61" s="187"/>
      <c r="J61" s="187"/>
      <c r="K61" s="187"/>
      <c r="L61" s="187"/>
      <c r="M61" s="95"/>
      <c r="N61" s="57"/>
    </row>
    <row r="62" spans="1:15" ht="12.75" customHeight="1" thickBot="1" x14ac:dyDescent="0.25">
      <c r="A62" s="112"/>
      <c r="B62" s="109"/>
      <c r="C62" s="109"/>
      <c r="D62" s="110"/>
      <c r="E62" s="110"/>
      <c r="F62" s="110"/>
      <c r="G62" s="185"/>
      <c r="H62" s="185"/>
      <c r="I62" s="185"/>
      <c r="J62" s="185"/>
      <c r="K62" s="185"/>
      <c r="L62" s="110"/>
      <c r="M62" s="110"/>
      <c r="N62" s="109"/>
    </row>
    <row r="63" spans="1:15" ht="13.5" thickTop="1" x14ac:dyDescent="0.2">
      <c r="B63" s="58"/>
      <c r="C63" s="58"/>
      <c r="D63" s="58"/>
      <c r="E63" s="58"/>
      <c r="F63" s="58"/>
      <c r="G63" s="58"/>
      <c r="H63" s="58"/>
      <c r="I63" s="58"/>
      <c r="J63" s="58"/>
      <c r="K63" s="58"/>
      <c r="L63" s="58"/>
      <c r="M63" s="58"/>
      <c r="N63" s="58"/>
    </row>
    <row r="64" spans="1:15" x14ac:dyDescent="0.2">
      <c r="B64" s="113"/>
      <c r="C64" s="113"/>
      <c r="D64" s="113"/>
      <c r="E64" s="113"/>
      <c r="F64" s="113"/>
      <c r="G64" s="113"/>
      <c r="H64" s="113"/>
      <c r="I64" s="113"/>
      <c r="J64" s="184"/>
      <c r="K64" s="184"/>
      <c r="L64" s="184"/>
      <c r="M64" s="184"/>
      <c r="N64" s="184"/>
    </row>
    <row r="65" spans="2:14" x14ac:dyDescent="0.2">
      <c r="B65" s="112"/>
      <c r="C65" s="112"/>
      <c r="D65" s="112"/>
      <c r="E65" s="112"/>
      <c r="F65" s="112"/>
      <c r="G65" s="112"/>
      <c r="H65" s="112"/>
      <c r="I65" s="112"/>
      <c r="J65" s="185"/>
      <c r="K65" s="185"/>
      <c r="L65" s="185"/>
      <c r="M65" s="185"/>
      <c r="N65" s="185"/>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3">
    <mergeCell ref="J64:N65"/>
    <mergeCell ref="E59:K59"/>
    <mergeCell ref="G62:K62"/>
    <mergeCell ref="D60:L61"/>
    <mergeCell ref="D56:M57"/>
    <mergeCell ref="G14:K15"/>
    <mergeCell ref="L9:M9"/>
    <mergeCell ref="E44:J44"/>
    <mergeCell ref="L21:M21"/>
    <mergeCell ref="L23:M23"/>
    <mergeCell ref="L24:M24"/>
    <mergeCell ref="L13:M13"/>
    <mergeCell ref="F23:G23"/>
    <mergeCell ref="D22:I22"/>
    <mergeCell ref="D21:I21"/>
    <mergeCell ref="D24:I24"/>
    <mergeCell ref="E27:J27"/>
    <mergeCell ref="L48:L49"/>
    <mergeCell ref="M48:M49"/>
    <mergeCell ref="L17:M19"/>
    <mergeCell ref="E26:K26"/>
    <mergeCell ref="B55:K55"/>
    <mergeCell ref="L22:M22"/>
  </mergeCells>
  <phoneticPr fontId="0" type="noConversion"/>
  <dataValidations xWindow="376" yWindow="615" count="11">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M50">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5 M48">
      <formula1>0</formula1>
      <formula2>0</formula2>
    </dataValidation>
    <dataValidation type="list" allowBlank="1" showInputMessage="1" showErrorMessage="1" errorTitle="Code TVA" error="Tapez 1, 2, ou 3." sqref="K27:K44">
      <formula1>"1,2,3"</formula1>
    </dataValidation>
    <dataValidation errorStyle="warning" allowBlank="1" showInputMessage="1" errorTitle="Numéro de carte de crédit" promptTitle="Numéro de carte de crédit" prompt="Tapez ici le numéro de carte de crédit du client" sqref="E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2"/>
    <dataValidation type="decimal" allowBlank="1" showErrorMessage="1" errorTitle="Prix unitaire" error="Tapez un nombre dans cette cellule." promptTitle="Prix unitaire" sqref="L27:M44">
      <formula1>0</formula1>
      <formula2>1000000000</formula2>
    </dataValidation>
    <dataValidation type="whole" errorStyle="warning" allowBlank="1" showErrorMessage="1" errorTitle="Quantité" error="Tapez un nombre dans cette cellule." promptTitle="Quantité" sqref="D27:D44">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9"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45</xdr:row>
                    <xdr:rowOff>152400</xdr:rowOff>
                  </from>
                  <to>
                    <xdr:col>3</xdr:col>
                    <xdr:colOff>695325</xdr:colOff>
                    <xdr:row>46</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47</xdr:row>
                    <xdr:rowOff>0</xdr:rowOff>
                  </from>
                  <to>
                    <xdr:col>3</xdr:col>
                    <xdr:colOff>704850</xdr:colOff>
                    <xdr:row>48</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3</xdr:col>
                    <xdr:colOff>409575</xdr:colOff>
                    <xdr:row>48</xdr:row>
                    <xdr:rowOff>28575</xdr:rowOff>
                  </from>
                  <to>
                    <xdr:col>3</xdr:col>
                    <xdr:colOff>714375</xdr:colOff>
                    <xdr:row>49</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46000</v>
      </c>
      <c r="D8" s="71" t="str">
        <f>Facture!$D$21</f>
        <v>NXT</v>
      </c>
      <c r="E8" s="68" t="str">
        <f>Facture!$D$22</f>
        <v>AV MOSBAH JARBOU EL MANAR II</v>
      </c>
      <c r="F8" s="68">
        <f>Facture!$D$23</f>
        <v>0</v>
      </c>
      <c r="G8" s="71">
        <f>Facture!$F$23</f>
        <v>0</v>
      </c>
      <c r="H8" s="71" t="str">
        <f>Facture!$I$23</f>
        <v>TN</v>
      </c>
      <c r="I8" s="68" t="str">
        <f>Facture!$D$24</f>
        <v xml:space="preserve">     71882832       Fax: </v>
      </c>
      <c r="J8" s="72">
        <f>Facture!$M$48</f>
        <v>60.5</v>
      </c>
      <c r="K8" s="68" t="str">
        <f>Facture!$L$23</f>
        <v xml:space="preserve"> Mme Najoua chaabani
Najoua chaabani</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2021-06-09T10:28:26Z</cp:lastPrinted>
  <dcterms:created xsi:type="dcterms:W3CDTF">1995-05-29T15:50:39Z</dcterms:created>
  <dcterms:modified xsi:type="dcterms:W3CDTF">2025-12-09T09:40:10Z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r8>60.5</vt:r8>
  </property>
</Properties>
</file>