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emf" ContentType="image/x-emf"/>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trlProps/ctrlProp8.xml" ContentType="application/vnd.ms-excel.controlproperties+xml"/>
  <Override PartName="/xl/comments2.xml" ContentType="application/vnd.openxmlformats-officedocument.spreadsheetml.comment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ACROBATE SOLUTION\2025\devis\"/>
    </mc:Choice>
  </mc:AlternateContent>
  <bookViews>
    <workbookView xWindow="0" yWindow="0" windowWidth="19200" windowHeight="1159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Facture!#REF!</definedName>
    <definedName name="_Tax2">Facture!$M$39</definedName>
    <definedName name="_Tax3">Facture!$M$41</definedName>
    <definedName name="_tax4">Facture!$M$41</definedName>
    <definedName name="_xlnm.Auto_Open21">'AutoOpen Stub Data'!$A$1</definedName>
    <definedName name="boxes">Facture!$E$39:$E$40</definedName>
    <definedName name="CC">'Personnaliser votre facture'!$G$22:$G$25</definedName>
    <definedName name="CCT">Facture!$H$41</definedName>
    <definedName name="CDB">'Personnaliser votre facture'!$E$50</definedName>
    <definedName name="Country">33</definedName>
    <definedName name="CS">'Personnaliser votre facture'!$E$51</definedName>
    <definedName name="data1">Facture!$M$21</definedName>
    <definedName name="data10">Facture!$F$24</definedName>
    <definedName name="data11">Facture!#REF!</definedName>
    <definedName name="data12">Facture!#REF!</definedName>
    <definedName name="data13">Facture!#REF!</definedName>
    <definedName name="data14">Facture!#REF!</definedName>
    <definedName name="data15">Facture!#REF!</definedName>
    <definedName name="data16">Facture!#REF!</definedName>
    <definedName name="data17">Facture!#REF!</definedName>
    <definedName name="data18">Facture!#REF!</definedName>
    <definedName name="data19">Facture!#REF!</definedName>
    <definedName name="data2">Facture!$N$22</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Facture!$N$23</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Facture!$N$24</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Facture!#REF!</definedName>
    <definedName name="data48">Facture!#REF!</definedName>
    <definedName name="data49">Facture!#REF!</definedName>
    <definedName name="data5">Facture!$E$21</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Facture!$E$36</definedName>
    <definedName name="data6">Facture!$F$22</definedName>
    <definedName name="data60">Facture!$F$36</definedName>
    <definedName name="data61">Facture!$M$36</definedName>
    <definedName name="data62">Facture!$E$39</definedName>
    <definedName name="data63">Facture!$E$40</definedName>
    <definedName name="data64">Facture!$E$41</definedName>
    <definedName name="data65">Facture!$H$40</definedName>
    <definedName name="data66">Facture!$F$44</definedName>
    <definedName name="data67">Facture!$F$45</definedName>
    <definedName name="data68">Facture!$G$49</definedName>
    <definedName name="data69">Facture!$K$49</definedName>
    <definedName name="data7">Facture!$H$23</definedName>
    <definedName name="data70">Facture!#REF!</definedName>
    <definedName name="data8">Facture!$J$23</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Facture!$C$3:$O$52</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Facture!#REF!</definedName>
    <definedName name="NS">'Personnaliser votre facture'!$E$49</definedName>
    <definedName name="qzqzqz1">Facture!$E$21:$J$21</definedName>
    <definedName name="qzqzqz10">Facture!#REF!</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Facture!$M$21:$N$21</definedName>
    <definedName name="qzqzqz20">Facture!#REF!</definedName>
    <definedName name="qzqzqz21">Facture!#REF!</definedName>
    <definedName name="qzqzqz22">Facture!#REF!</definedName>
    <definedName name="qzqzqz23">Facture!#REF!</definedName>
    <definedName name="qzqzqz24">Facture!#REF!</definedName>
    <definedName name="qzqzqz25">Facture!$F$36:$K$36</definedName>
    <definedName name="qzqzqz26">Facture!$F$44:$I$44</definedName>
    <definedName name="qzqzqz27">Facture!#REF!</definedName>
    <definedName name="qzqzqz28">Facture!$F$45:$I$45</definedName>
    <definedName name="qzqzqz29">Facture!$K$49:$N$49</definedName>
    <definedName name="qzqzqz3">Facture!$E$22:$J$22</definedName>
    <definedName name="qzqzqz30">Facture!$G$49:$I$49</definedName>
    <definedName name="qzqzqz31">Facture!$G$49:$H$49</definedName>
    <definedName name="qzqzqz32">Facture!$K$45:$N$49</definedName>
    <definedName name="qzqzqz4">Facture!$G$23:$H$23</definedName>
    <definedName name="qzqzqz5">Facture!$M$23:$N$23</definedName>
    <definedName name="qzqzqz6">Facture!$E$24:$J$24</definedName>
    <definedName name="qzqzqz7">Facture!$M$24:$N$24</definedName>
    <definedName name="qzqzqz8">Facture!$F$26:$K$26</definedName>
    <definedName name="qzqzqz9">Facture!#REF!</definedName>
    <definedName name="SS">'Personnaliser votre facture'!$E$48</definedName>
    <definedName name="TOT">Facture!$N$40</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Facture!$C$3:$O$52</definedName>
  </definedNames>
  <calcPr calcId="152511"/>
</workbook>
</file>

<file path=xl/calcChain.xml><?xml version="1.0" encoding="utf-8"?>
<calcChain xmlns="http://schemas.openxmlformats.org/spreadsheetml/2006/main">
  <c r="N30" i="3" l="1"/>
  <c r="K8" i="8" l="1"/>
  <c r="I8" i="8"/>
  <c r="H8" i="8"/>
  <c r="G8" i="8"/>
  <c r="F8" i="8"/>
  <c r="E8" i="8"/>
  <c r="D8" i="8"/>
  <c r="C8" i="8"/>
  <c r="B8" i="8"/>
  <c r="F33" i="2"/>
  <c r="N37" i="3" l="1"/>
  <c r="N39" i="3" s="1"/>
  <c r="N40" i="3" l="1"/>
  <c r="J8" i="8" s="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comments2.xml><?xml version="1.0" encoding="utf-8"?>
<comments xmlns="http://schemas.openxmlformats.org/spreadsheetml/2006/main">
  <authors>
    <author>Un utilisateur satisfait de Microsoft Office</author>
  </authors>
  <commentList>
    <comment ref="C3" authorId="0" shapeId="0">
      <text>
        <r>
          <rPr>
            <sz val="8"/>
            <color indexed="81"/>
            <rFont val="Tahoma"/>
            <family val="2"/>
          </rPr>
          <t>Si vous n'avez pas inséré de logo dans votre modèle de facture personnalisé, cette zone n'apparaîtra pas sur vos documents imprimés.</t>
        </r>
      </text>
    </comment>
    <comment ref="M14" authorId="0" shapeId="0">
      <text>
        <r>
          <rPr>
            <sz val="8"/>
            <color indexed="81"/>
            <rFont val="Tahoma"/>
            <family val="2"/>
          </rPr>
          <t>Cliquez sur ce bouton pour retourner à la feuille Personnaliser vos frais et modifier vos informations personnelles.</t>
        </r>
      </text>
    </comment>
    <comment ref="L24" authorId="0" shapeId="0">
      <text>
        <r>
          <rPr>
            <sz val="8"/>
            <color indexed="81"/>
            <rFont val="Tahoma"/>
            <family val="2"/>
          </rPr>
          <t>FAB signifie franco à bord. Il s'agit du lieu de chargement: par exemple, si vous passez une commande en Inde, mais que le chargement a lieu à Boston, vous taperez Boston.</t>
        </r>
      </text>
    </comment>
    <comment ref="G38" authorId="0" shapeId="0">
      <text>
        <r>
          <rPr>
            <sz val="8"/>
            <color indexed="81"/>
            <rFont val="Tahoma"/>
            <family val="2"/>
          </rPr>
          <t xml:space="preserve">DÉTAILS DE PAIEMENT
Sélectionnez une option de paiement. Si vous choisissez la carte de crédit, sélectionnez le type de carte et tapez l'information correspondante.
</t>
        </r>
      </text>
    </comment>
  </commentList>
</comments>
</file>

<file path=xl/sharedStrings.xml><?xml version="1.0" encoding="utf-8"?>
<sst xmlns="http://schemas.openxmlformats.org/spreadsheetml/2006/main" count="84" uniqueCount="67">
  <si>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</si>
  <si>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</si>
  <si>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</si>
  <si>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</si>
  <si>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</si>
  <si>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</si>
  <si>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</si>
  <si>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</si>
  <si>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</si>
  <si>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</si>
  <si>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</si>
  <si>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</si>
  <si>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</si>
  <si>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</si>
  <si>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</si>
  <si>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</si>
  <si>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</si>
  <si>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</si>
  <si>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Date</t>
  </si>
  <si>
    <t>Responsable</t>
  </si>
  <si>
    <t>Téléphone</t>
  </si>
  <si>
    <t>Quantité</t>
  </si>
  <si>
    <t>Description</t>
  </si>
  <si>
    <t>Montant</t>
  </si>
  <si>
    <t>Comptant</t>
  </si>
  <si>
    <t>Chèque</t>
  </si>
  <si>
    <t xml:space="preserve"> </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</si>
  <si>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</si>
  <si>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</si>
  <si>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</si>
  <si>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</si>
  <si>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</si>
  <si>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</si>
  <si>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</si>
  <si>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</si>
  <si>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</si>
  <si>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</si>
  <si>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</si>
  <si>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</si>
  <si>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</si>
  <si>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</si>
  <si>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</si>
  <si>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</si>
  <si>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</si>
  <si>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</si>
  <si>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</si>
  <si>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</si>
  <si>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MF</t>
  </si>
  <si>
    <t>4 RUE DU CAIRE 1001 TUNIS</t>
  </si>
  <si>
    <t>TEL:  71 258108</t>
  </si>
  <si>
    <t>FAX : 71 259346</t>
  </si>
  <si>
    <t>TN</t>
  </si>
  <si>
    <t xml:space="preserve">GAMESTREAM ATLAS  ORGANISME DE FORMATION N° D'AGREMENT : 01 069 11 </t>
  </si>
  <si>
    <t>P.U</t>
  </si>
  <si>
    <t>Site web:www.acrobatsolution.com</t>
  </si>
  <si>
    <t xml:space="preserve">Virement </t>
  </si>
  <si>
    <t>SIGNATURE &amp; CACHET  :</t>
  </si>
  <si>
    <t>MAIL: gamestream@plane.tn///////gamestream.formation@gmail.com</t>
  </si>
  <si>
    <t>4 RUE DU CAIRE 1001 TUNIS TEL:  71 258108 FAX : 71 259346 RC:B161701999  MF:645 267 KMA 000</t>
  </si>
  <si>
    <t xml:space="preserve">Commande N°:                   </t>
  </si>
  <si>
    <t xml:space="preserve">Chaussures de sécurité DIKE </t>
  </si>
  <si>
    <t>29016</t>
  </si>
  <si>
    <t>DEVIS N° 2025-709</t>
  </si>
  <si>
    <t>COMOD</t>
  </si>
  <si>
    <t>552691J/A/M/000</t>
  </si>
  <si>
    <t xml:space="preserve">service achat </t>
  </si>
  <si>
    <t>CROSS S1P SRC ESD</t>
  </si>
</sst>
</file>

<file path=xl/styles.xml><?xml version="1.0" encoding="utf-8"?>
<styleSheet xmlns="http://schemas.openxmlformats.org/spreadsheetml/2006/main" xmlns:mc="http://schemas.openxmlformats.org/markup-compatibility/2006" xmlns:x14ac="http://schemas.microsoft.com/office/spreadsheetml/2009/9/ac" mc:Ignorable="x14ac">
  <numFmts count="5">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200\ &quot;DT&quot;"/>
  </numFmts>
  <fonts count="34"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sz val="12"/>
      <color indexed="8"/>
      <name val="Arial"/>
      <family val="2"/>
    </font>
    <font>
      <sz val="12"/>
      <name val="Arial"/>
      <family val="2"/>
    </font>
    <font>
      <b/>
      <sz val="12"/>
      <name val="Arial"/>
      <family val="2"/>
    </font>
    <font>
      <i/>
      <sz val="10"/>
      <color indexed="63"/>
      <name val="Times New Roman CE"/>
      <family val="1"/>
      <charset val="238"/>
    </font>
    <font>
      <b/>
      <sz val="14"/>
      <name val="Arial"/>
      <family val="2"/>
    </font>
    <font>
      <b/>
      <u/>
      <sz val="12"/>
      <name val="Arial"/>
      <family val="2"/>
    </font>
    <font>
      <b/>
      <sz val="9"/>
      <name val="Arial"/>
      <family val="2"/>
    </font>
    <font>
      <b/>
      <sz val="12"/>
      <color indexed="8"/>
      <name val="Arial"/>
      <family val="2"/>
    </font>
    <font>
      <sz val="9"/>
      <name val="Arial"/>
      <family val="2"/>
    </font>
    <font>
      <sz val="10"/>
      <color rgb="FF000000"/>
      <name val="Arial"/>
      <family val="2"/>
    </font>
    <font>
      <b/>
      <sz val="10"/>
      <name val="Britannic Bold"/>
      <family val="2"/>
    </font>
    <font>
      <u/>
      <sz val="9.5"/>
      <color theme="10"/>
      <name val="Arial"/>
      <family val="2"/>
    </font>
    <font>
      <b/>
      <sz val="10"/>
      <color rgb="FFFF0000"/>
      <name val="Arial"/>
      <family val="2"/>
    </font>
    <font>
      <sz val="11"/>
      <name val="Calibri"/>
      <family val="2"/>
    </font>
    <font>
      <sz val="10"/>
      <color theme="1"/>
      <name val="Arial"/>
      <family val="2"/>
    </font>
    <font>
      <b/>
      <sz val="11"/>
      <name val="Arial"/>
      <family val="2"/>
    </font>
    <font>
      <sz val="8"/>
      <name val="Open Sans"/>
    </font>
    <font>
      <b/>
      <sz val="12"/>
      <color theme="9" tint="-0.499984740745262"/>
      <name val="Arial"/>
      <family val="2"/>
    </font>
    <font>
      <b/>
      <sz val="14"/>
      <color theme="1"/>
      <name val="Arial"/>
      <family val="2"/>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49">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style="hair">
        <color indexed="64"/>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style="hair">
        <color indexed="64"/>
      </left>
      <right style="hair">
        <color indexed="64"/>
      </right>
      <top/>
      <bottom/>
      <diagonal/>
    </border>
    <border>
      <left style="hair">
        <color indexed="64"/>
      </left>
      <right style="hair">
        <color indexed="64"/>
      </right>
      <top/>
      <bottom style="hair">
        <color indexed="64"/>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top/>
      <bottom style="hair">
        <color indexed="64"/>
      </bottom>
      <diagonal/>
    </border>
    <border>
      <left/>
      <right/>
      <top style="hair">
        <color indexed="64"/>
      </top>
      <bottom style="hair">
        <color indexed="64"/>
      </bottom>
      <diagonal/>
    </border>
    <border>
      <left/>
      <right/>
      <top/>
      <bottom style="hair">
        <color indexed="64"/>
      </bottom>
      <diagonal/>
    </border>
    <border>
      <left/>
      <right/>
      <top/>
      <bottom style="hair">
        <color indexed="22"/>
      </bottom>
      <diagonal/>
    </border>
    <border>
      <left/>
      <right/>
      <top style="hair">
        <color indexed="22"/>
      </top>
      <bottom style="hair">
        <color indexed="22"/>
      </bottom>
      <diagonal/>
    </border>
    <border>
      <left style="thin">
        <color indexed="64"/>
      </left>
      <right style="thin">
        <color indexed="64"/>
      </right>
      <top style="thin">
        <color indexed="64"/>
      </top>
      <bottom style="thin">
        <color indexed="64"/>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right style="hair">
        <color indexed="64"/>
      </right>
      <top style="hair">
        <color indexed="64"/>
      </top>
      <bottom style="hair">
        <color indexed="64"/>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s>
  <cellStyleXfs count="6">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xf numFmtId="0" fontId="26" fillId="0" borderId="0" applyNumberFormat="0" applyFill="0" applyBorder="0" applyAlignment="0" applyProtection="0">
      <alignment vertical="top"/>
      <protection locked="0"/>
    </xf>
  </cellStyleXfs>
  <cellXfs count="175">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0" fontId="0" fillId="3" borderId="0" xfId="0" quotePrefix="1" applyFill="1" applyBorder="1" applyAlignment="1">
      <alignment horizontal="right"/>
    </xf>
    <xf numFmtId="0" fontId="3" fillId="3" borderId="0" xfId="0" applyFont="1" applyFill="1" applyBorder="1"/>
    <xf numFmtId="0" fontId="9" fillId="3" borderId="0" xfId="0" applyFont="1" applyFill="1" applyBorder="1"/>
    <xf numFmtId="0" fontId="8" fillId="3" borderId="7" xfId="0" applyFont="1" applyFill="1" applyBorder="1" applyAlignment="1"/>
    <xf numFmtId="0" fontId="7"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8" fillId="4" borderId="23" xfId="0" applyFont="1" applyFill="1" applyBorder="1" applyAlignment="1"/>
    <xf numFmtId="0" fontId="8" fillId="4" borderId="0" xfId="0" applyFont="1" applyFill="1" applyBorder="1" applyAlignment="1"/>
    <xf numFmtId="0" fontId="8" fillId="4" borderId="19" xfId="0" applyFont="1" applyFill="1" applyBorder="1" applyAlignment="1"/>
    <xf numFmtId="0" fontId="11" fillId="4" borderId="0" xfId="0" applyFont="1" applyFill="1" applyBorder="1" applyAlignment="1"/>
    <xf numFmtId="0" fontId="8" fillId="4" borderId="20" xfId="0" applyFont="1" applyFill="1" applyBorder="1" applyAlignment="1"/>
    <xf numFmtId="0" fontId="8" fillId="4" borderId="21" xfId="0" applyFont="1" applyFill="1" applyBorder="1" applyAlignment="1"/>
    <xf numFmtId="0" fontId="8" fillId="4" borderId="13" xfId="0" applyFont="1" applyFill="1" applyBorder="1" applyAlignment="1"/>
    <xf numFmtId="0" fontId="1" fillId="3" borderId="25" xfId="0" applyFont="1" applyFill="1" applyBorder="1" applyAlignment="1">
      <alignment horizontal="center"/>
    </xf>
    <xf numFmtId="0" fontId="1" fillId="3" borderId="26" xfId="0" applyFont="1" applyFill="1" applyBorder="1" applyAlignment="1">
      <alignment horizontal="center"/>
    </xf>
    <xf numFmtId="0" fontId="0" fillId="3" borderId="27" xfId="0" applyFill="1" applyBorder="1" applyAlignment="1">
      <alignment horizontal="center"/>
    </xf>
    <xf numFmtId="0" fontId="0" fillId="3" borderId="28" xfId="0" applyFill="1" applyBorder="1" applyAlignment="1">
      <alignment horizontal="center"/>
    </xf>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9" xfId="0" applyFill="1" applyBorder="1"/>
    <xf numFmtId="0" fontId="3" fillId="3" borderId="29" xfId="0" applyFont="1" applyFill="1" applyBorder="1"/>
    <xf numFmtId="0" fontId="8" fillId="3" borderId="0" xfId="0" applyFont="1" applyFill="1" applyBorder="1" applyAlignment="1"/>
    <xf numFmtId="0" fontId="0" fillId="3" borderId="30" xfId="0" applyNumberFormat="1" applyFill="1" applyBorder="1" applyAlignment="1">
      <alignment horizontal="left"/>
    </xf>
    <xf numFmtId="10" fontId="0" fillId="3" borderId="31" xfId="0" applyNumberFormat="1" applyFill="1" applyBorder="1" applyAlignment="1">
      <alignment horizontal="left"/>
    </xf>
    <xf numFmtId="167" fontId="0" fillId="2" borderId="0" xfId="0" applyNumberFormat="1" applyProtection="1">
      <protection locked="0"/>
    </xf>
    <xf numFmtId="0" fontId="10"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6" fillId="3" borderId="25" xfId="0" applyFont="1" applyFill="1" applyBorder="1" applyAlignment="1">
      <alignment horizontal="center"/>
    </xf>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8" fontId="0" fillId="3" borderId="30" xfId="0" applyNumberFormat="1" applyFill="1" applyBorder="1" applyAlignment="1">
      <alignment horizontal="left"/>
    </xf>
    <xf numFmtId="0" fontId="16" fillId="3" borderId="27" xfId="0" applyFont="1" applyFill="1" applyBorder="1" applyAlignment="1">
      <alignment horizontal="center"/>
    </xf>
    <xf numFmtId="0" fontId="16" fillId="3" borderId="0" xfId="0" applyFont="1" applyFill="1" applyBorder="1"/>
    <xf numFmtId="0" fontId="16" fillId="3" borderId="0" xfId="0" quotePrefix="1" applyFont="1" applyFill="1" applyBorder="1" applyAlignment="1">
      <alignment horizontal="right"/>
    </xf>
    <xf numFmtId="0" fontId="16" fillId="3" borderId="0" xfId="0" applyFont="1" applyFill="1"/>
    <xf numFmtId="9" fontId="17" fillId="3" borderId="0" xfId="0" applyNumberFormat="1" applyFont="1" applyFill="1" applyBorder="1"/>
    <xf numFmtId="0" fontId="16" fillId="3" borderId="0" xfId="0" quotePrefix="1" applyFont="1" applyFill="1" applyBorder="1"/>
    <xf numFmtId="0" fontId="16" fillId="3" borderId="0" xfId="0" applyFont="1" applyFill="1" applyBorder="1" applyAlignment="1"/>
    <xf numFmtId="0" fontId="4" fillId="3" borderId="0" xfId="0" applyFont="1" applyFill="1" applyBorder="1"/>
    <xf numFmtId="0" fontId="4" fillId="3" borderId="0" xfId="0" applyFont="1" applyFill="1"/>
    <xf numFmtId="167" fontId="4" fillId="3" borderId="0" xfId="0" quotePrefix="1" applyNumberFormat="1" applyFont="1" applyFill="1" applyBorder="1"/>
    <xf numFmtId="0" fontId="4" fillId="3" borderId="0" xfId="0" applyFont="1" applyFill="1" applyBorder="1" applyAlignment="1">
      <alignment horizontal="left"/>
    </xf>
    <xf numFmtId="167" fontId="4" fillId="3" borderId="0" xfId="0" applyNumberFormat="1" applyFont="1" applyFill="1" applyBorder="1"/>
    <xf numFmtId="0" fontId="4" fillId="3" borderId="0" xfId="0" applyNumberFormat="1" applyFont="1" applyFill="1" applyBorder="1"/>
    <xf numFmtId="0" fontId="4" fillId="3" borderId="0" xfId="0" applyFont="1" applyFill="1" applyBorder="1" applyAlignment="1">
      <alignment vertical="top"/>
    </xf>
    <xf numFmtId="49" fontId="4" fillId="3" borderId="36" xfId="0" applyNumberFormat="1" applyFont="1" applyFill="1" applyBorder="1" applyAlignment="1">
      <alignment horizontal="left"/>
    </xf>
    <xf numFmtId="0" fontId="4" fillId="3" borderId="37" xfId="0" applyFont="1" applyFill="1" applyBorder="1"/>
    <xf numFmtId="0" fontId="4" fillId="3" borderId="0" xfId="0" applyFont="1" applyFill="1" applyBorder="1" applyAlignment="1">
      <alignment horizontal="right"/>
    </xf>
    <xf numFmtId="49" fontId="4" fillId="3" borderId="0" xfId="0" applyNumberFormat="1" applyFont="1" applyFill="1" applyBorder="1" applyAlignment="1">
      <alignment horizontal="left"/>
    </xf>
    <xf numFmtId="0" fontId="18" fillId="4" borderId="0" xfId="0" applyFont="1" applyFill="1" applyBorder="1" applyAlignment="1"/>
    <xf numFmtId="0" fontId="23" fillId="3" borderId="32" xfId="0" applyFont="1" applyFill="1" applyBorder="1" applyAlignment="1">
      <alignment horizontal="left"/>
    </xf>
    <xf numFmtId="0" fontId="23" fillId="3" borderId="33" xfId="0" applyFont="1" applyFill="1" applyBorder="1" applyAlignment="1">
      <alignment horizontal="left"/>
    </xf>
    <xf numFmtId="168" fontId="16" fillId="0" borderId="27" xfId="0" applyNumberFormat="1" applyFont="1" applyFill="1" applyBorder="1"/>
    <xf numFmtId="168" fontId="22" fillId="0" borderId="38" xfId="0" applyNumberFormat="1" applyFont="1" applyFill="1" applyBorder="1"/>
    <xf numFmtId="0" fontId="20" fillId="6" borderId="0" xfId="0" applyFont="1" applyFill="1" applyBorder="1" applyAlignment="1">
      <alignment vertical="top"/>
    </xf>
    <xf numFmtId="0" fontId="0" fillId="6" borderId="0" xfId="0" applyFill="1"/>
    <xf numFmtId="10" fontId="16" fillId="6" borderId="0" xfId="0" quotePrefix="1" applyNumberFormat="1" applyFont="1" applyFill="1" applyBorder="1" applyAlignment="1">
      <alignment horizontal="center"/>
    </xf>
    <xf numFmtId="168" fontId="15" fillId="6" borderId="0" xfId="0" applyNumberFormat="1" applyFont="1" applyFill="1" applyBorder="1"/>
    <xf numFmtId="0" fontId="0" fillId="6" borderId="0" xfId="0" applyFill="1" applyBorder="1"/>
    <xf numFmtId="0" fontId="16" fillId="3" borderId="38" xfId="0" quotePrefix="1" applyFont="1" applyFill="1" applyBorder="1" applyAlignment="1">
      <alignment horizontal="right"/>
    </xf>
    <xf numFmtId="168" fontId="15" fillId="0" borderId="38" xfId="0" applyNumberFormat="1" applyFont="1" applyFill="1" applyBorder="1"/>
    <xf numFmtId="10" fontId="16" fillId="0" borderId="38" xfId="0" quotePrefix="1" applyNumberFormat="1" applyFont="1" applyFill="1" applyBorder="1" applyAlignment="1">
      <alignment horizontal="center"/>
    </xf>
    <xf numFmtId="0" fontId="17" fillId="3" borderId="38" xfId="0" applyFont="1" applyFill="1" applyBorder="1" applyAlignment="1">
      <alignment horizontal="right"/>
    </xf>
    <xf numFmtId="0" fontId="23" fillId="3" borderId="38" xfId="0" applyFont="1" applyFill="1" applyBorder="1" applyAlignment="1">
      <alignment horizontal="right"/>
    </xf>
    <xf numFmtId="0" fontId="2" fillId="3" borderId="0" xfId="0" applyFont="1" applyFill="1" applyBorder="1" applyAlignment="1">
      <alignment horizontal="left"/>
    </xf>
    <xf numFmtId="49" fontId="4" fillId="3" borderId="36" xfId="0" applyNumberFormat="1" applyFont="1" applyFill="1" applyBorder="1" applyAlignment="1">
      <alignment horizontal="center"/>
    </xf>
    <xf numFmtId="0" fontId="23" fillId="3" borderId="32" xfId="0" applyFont="1" applyFill="1" applyBorder="1" applyAlignment="1">
      <alignment horizontal="center"/>
    </xf>
    <xf numFmtId="0" fontId="2" fillId="6" borderId="0" xfId="0" applyFont="1" applyFill="1" applyBorder="1"/>
    <xf numFmtId="0" fontId="27" fillId="3" borderId="0" xfId="0" applyFont="1" applyFill="1" applyBorder="1"/>
    <xf numFmtId="0" fontId="26" fillId="3" borderId="0" xfId="5" applyFill="1" applyBorder="1" applyAlignment="1" applyProtection="1">
      <alignment horizontal="center"/>
    </xf>
    <xf numFmtId="0" fontId="0" fillId="3" borderId="0" xfId="0" applyFill="1" applyBorder="1" applyAlignment="1">
      <alignment horizontal="center"/>
    </xf>
    <xf numFmtId="0" fontId="1" fillId="3" borderId="25" xfId="0" applyFont="1" applyFill="1" applyBorder="1" applyAlignment="1"/>
    <xf numFmtId="0" fontId="0" fillId="6" borderId="29" xfId="0" applyFill="1" applyBorder="1"/>
    <xf numFmtId="0" fontId="2" fillId="6" borderId="32" xfId="0" applyFont="1" applyFill="1" applyBorder="1"/>
    <xf numFmtId="0" fontId="0" fillId="6" borderId="0" xfId="0" applyFill="1" applyBorder="1" applyAlignment="1">
      <alignment horizontal="left"/>
    </xf>
    <xf numFmtId="0" fontId="16" fillId="3" borderId="35" xfId="0" applyFont="1" applyFill="1" applyBorder="1" applyAlignment="1"/>
    <xf numFmtId="0" fontId="0" fillId="3" borderId="0" xfId="0" applyFill="1" applyBorder="1" applyAlignment="1"/>
    <xf numFmtId="0" fontId="5" fillId="6" borderId="0" xfId="0" applyFont="1" applyFill="1" applyBorder="1" applyAlignment="1">
      <alignment vertical="center" wrapText="1"/>
    </xf>
    <xf numFmtId="0" fontId="2" fillId="3" borderId="0" xfId="0" quotePrefix="1" applyFont="1" applyFill="1" applyBorder="1" applyAlignment="1"/>
    <xf numFmtId="0" fontId="28" fillId="6" borderId="0" xfId="0" applyFont="1" applyFill="1" applyAlignment="1">
      <alignment vertical="center"/>
    </xf>
    <xf numFmtId="49" fontId="16" fillId="3" borderId="0" xfId="0" applyNumberFormat="1" applyFont="1" applyFill="1" applyBorder="1" applyAlignment="1"/>
    <xf numFmtId="0" fontId="30" fillId="6" borderId="32" xfId="0" applyFont="1" applyFill="1" applyBorder="1"/>
    <xf numFmtId="0" fontId="30" fillId="6" borderId="0" xfId="0" applyFont="1" applyFill="1"/>
    <xf numFmtId="0" fontId="29" fillId="3" borderId="0" xfId="0" applyFont="1" applyFill="1" applyBorder="1" applyAlignment="1">
      <alignment horizontal="left"/>
    </xf>
    <xf numFmtId="0" fontId="23" fillId="3" borderId="32" xfId="0" applyFont="1" applyFill="1" applyBorder="1" applyAlignment="1">
      <alignment horizontal="center" vertical="center"/>
    </xf>
    <xf numFmtId="0" fontId="17" fillId="3" borderId="0" xfId="0" applyFont="1" applyFill="1" applyBorder="1" applyAlignment="1"/>
    <xf numFmtId="49" fontId="31" fillId="6" borderId="0" xfId="0" applyNumberFormat="1" applyFont="1" applyFill="1" applyAlignment="1">
      <alignment horizontal="center" vertical="center"/>
    </xf>
    <xf numFmtId="0" fontId="2" fillId="6" borderId="0" xfId="0" applyFont="1" applyFill="1"/>
    <xf numFmtId="0" fontId="1" fillId="3" borderId="0" xfId="0" applyFont="1" applyFill="1" applyBorder="1" applyAlignment="1">
      <alignment horizontal="left"/>
    </xf>
    <xf numFmtId="0" fontId="12" fillId="3" borderId="39" xfId="0" applyFont="1" applyFill="1" applyBorder="1" applyAlignment="1"/>
    <xf numFmtId="0" fontId="0" fillId="2" borderId="39" xfId="0" applyBorder="1" applyAlignment="1"/>
    <xf numFmtId="0" fontId="6" fillId="3" borderId="21" xfId="0" applyFont="1" applyFill="1" applyBorder="1" applyAlignment="1"/>
    <xf numFmtId="0" fontId="0" fillId="2" borderId="21" xfId="0" applyBorder="1" applyAlignment="1"/>
    <xf numFmtId="0" fontId="6" fillId="3" borderId="21" xfId="0" quotePrefix="1" applyFont="1" applyFill="1" applyBorder="1" applyAlignment="1"/>
    <xf numFmtId="0" fontId="0" fillId="5" borderId="40" xfId="0" applyNumberFormat="1" applyFill="1" applyBorder="1" applyAlignment="1"/>
    <xf numFmtId="0" fontId="0" fillId="2" borderId="41" xfId="0" applyBorder="1" applyAlignment="1"/>
    <xf numFmtId="0" fontId="27" fillId="3" borderId="0" xfId="0" applyFont="1" applyFill="1" applyBorder="1" applyAlignment="1">
      <alignment horizontal="center"/>
    </xf>
    <xf numFmtId="0" fontId="25" fillId="3" borderId="0" xfId="0" applyFont="1" applyFill="1" applyBorder="1" applyAlignment="1">
      <alignment horizontal="center" vertical="center"/>
    </xf>
    <xf numFmtId="0" fontId="1" fillId="3" borderId="0" xfId="0" applyFont="1" applyFill="1" applyBorder="1" applyAlignment="1">
      <alignment horizontal="center" vertical="center"/>
    </xf>
    <xf numFmtId="49" fontId="21" fillId="3" borderId="33" xfId="0" applyNumberFormat="1" applyFont="1" applyFill="1" applyBorder="1" applyAlignment="1">
      <alignment horizontal="center"/>
    </xf>
    <xf numFmtId="49" fontId="21" fillId="3" borderId="35" xfId="0" applyNumberFormat="1" applyFont="1" applyFill="1" applyBorder="1" applyAlignment="1">
      <alignment horizontal="center"/>
    </xf>
    <xf numFmtId="14" fontId="16" fillId="3" borderId="36" xfId="0" applyNumberFormat="1" applyFont="1" applyFill="1" applyBorder="1" applyAlignment="1">
      <alignment horizontal="center"/>
    </xf>
    <xf numFmtId="14" fontId="16" fillId="3" borderId="36" xfId="0" quotePrefix="1" applyNumberFormat="1" applyFont="1" applyFill="1" applyBorder="1" applyAlignment="1">
      <alignment horizontal="center"/>
    </xf>
    <xf numFmtId="0" fontId="1" fillId="3" borderId="37" xfId="0" applyFont="1" applyFill="1" applyBorder="1" applyAlignment="1">
      <alignment horizontal="center"/>
    </xf>
    <xf numFmtId="0" fontId="4" fillId="3" borderId="37" xfId="0" applyFont="1" applyFill="1" applyBorder="1" applyAlignment="1">
      <alignment horizontal="center"/>
    </xf>
    <xf numFmtId="0" fontId="2" fillId="3" borderId="37" xfId="0" applyFont="1" applyFill="1" applyBorder="1" applyAlignment="1">
      <alignment horizontal="center"/>
    </xf>
    <xf numFmtId="0" fontId="26" fillId="3" borderId="0" xfId="5" applyFill="1" applyBorder="1" applyAlignment="1" applyProtection="1">
      <alignment horizontal="center"/>
    </xf>
    <xf numFmtId="0" fontId="0" fillId="3" borderId="0" xfId="0" applyFill="1" applyBorder="1" applyAlignment="1">
      <alignment horizontal="center"/>
    </xf>
    <xf numFmtId="49" fontId="10" fillId="3" borderId="37" xfId="0" applyNumberFormat="1" applyFont="1" applyFill="1" applyBorder="1" applyAlignment="1">
      <alignment horizontal="left"/>
    </xf>
    <xf numFmtId="49" fontId="4" fillId="3" borderId="37" xfId="0" applyNumberFormat="1" applyFont="1" applyFill="1" applyBorder="1" applyAlignment="1">
      <alignment horizontal="left"/>
    </xf>
    <xf numFmtId="0" fontId="23" fillId="3" borderId="37" xfId="0" applyFont="1" applyFill="1" applyBorder="1" applyAlignment="1"/>
    <xf numFmtId="0" fontId="23" fillId="2" borderId="37" xfId="0" applyFont="1" applyBorder="1" applyAlignment="1"/>
    <xf numFmtId="49" fontId="19" fillId="3" borderId="36" xfId="0" applyNumberFormat="1" applyFont="1" applyFill="1" applyBorder="1" applyAlignment="1"/>
    <xf numFmtId="0" fontId="19" fillId="2" borderId="36" xfId="0" applyFont="1" applyBorder="1" applyAlignment="1"/>
    <xf numFmtId="3" fontId="2" fillId="3" borderId="36" xfId="0" applyNumberFormat="1" applyFont="1" applyFill="1" applyBorder="1" applyAlignment="1"/>
    <xf numFmtId="0" fontId="4" fillId="2" borderId="36" xfId="0" applyFont="1" applyBorder="1" applyAlignment="1"/>
    <xf numFmtId="49" fontId="16" fillId="3" borderId="0" xfId="0" applyNumberFormat="1" applyFont="1" applyFill="1" applyBorder="1" applyAlignment="1"/>
    <xf numFmtId="0" fontId="16" fillId="3" borderId="0" xfId="0" quotePrefix="1" applyFont="1" applyFill="1" applyBorder="1" applyAlignment="1">
      <alignment horizontal="center"/>
    </xf>
    <xf numFmtId="0" fontId="5" fillId="6" borderId="0" xfId="0" applyFont="1" applyFill="1" applyBorder="1" applyAlignment="1">
      <alignment horizontal="center" vertical="center" wrapText="1"/>
    </xf>
    <xf numFmtId="2" fontId="1" fillId="3" borderId="43" xfId="0" applyNumberFormat="1" applyFont="1" applyFill="1" applyBorder="1" applyAlignment="1">
      <alignment horizontal="center" vertical="center" wrapText="1"/>
    </xf>
    <xf numFmtId="2" fontId="1" fillId="3" borderId="44" xfId="0" applyNumberFormat="1" applyFont="1" applyFill="1" applyBorder="1" applyAlignment="1">
      <alignment horizontal="center" vertical="center" wrapText="1"/>
    </xf>
    <xf numFmtId="2" fontId="1" fillId="3" borderId="45" xfId="0" applyNumberFormat="1" applyFont="1" applyFill="1" applyBorder="1" applyAlignment="1">
      <alignment horizontal="center" vertical="center" wrapText="1"/>
    </xf>
    <xf numFmtId="2" fontId="1" fillId="3" borderId="46" xfId="0" applyNumberFormat="1" applyFont="1" applyFill="1" applyBorder="1" applyAlignment="1">
      <alignment horizontal="center" vertical="center" wrapText="1"/>
    </xf>
    <xf numFmtId="2" fontId="1" fillId="3" borderId="47" xfId="0" applyNumberFormat="1" applyFont="1" applyFill="1" applyBorder="1" applyAlignment="1">
      <alignment horizontal="center" vertical="center" wrapText="1"/>
    </xf>
    <xf numFmtId="2" fontId="1" fillId="3" borderId="48" xfId="0" applyNumberFormat="1" applyFont="1" applyFill="1" applyBorder="1" applyAlignment="1">
      <alignment horizontal="center" vertical="center" wrapText="1"/>
    </xf>
    <xf numFmtId="0" fontId="1" fillId="3" borderId="25" xfId="0" applyFont="1" applyFill="1" applyBorder="1" applyAlignment="1">
      <alignment horizontal="center"/>
    </xf>
    <xf numFmtId="0" fontId="1" fillId="3" borderId="34" xfId="0" applyFont="1" applyFill="1" applyBorder="1" applyAlignment="1">
      <alignment horizontal="center"/>
    </xf>
    <xf numFmtId="0" fontId="1" fillId="3" borderId="42" xfId="0" applyFont="1" applyFill="1" applyBorder="1" applyAlignment="1">
      <alignment horizontal="center"/>
    </xf>
    <xf numFmtId="0" fontId="10" fillId="6" borderId="0" xfId="0" applyFont="1" applyFill="1" applyBorder="1" applyAlignment="1">
      <alignment horizontal="left"/>
    </xf>
    <xf numFmtId="0" fontId="32" fillId="6" borderId="32" xfId="0" applyFont="1" applyFill="1" applyBorder="1"/>
    <xf numFmtId="0" fontId="33" fillId="6" borderId="32" xfId="0" applyFont="1" applyFill="1" applyBorder="1"/>
  </cellXfs>
  <cellStyles count="6">
    <cellStyle name="Lien hypertexte" xfId="5" builtinId="8"/>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microsoft.com/office/2006/relationships/attachedToolbars" Target="attachedToolbars.bin"/></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Button" lockText="1"/>
</file>

<file path=xl/ctrlProps/ctrlProp6.xml><?xml version="1.0" encoding="utf-8"?>
<formControlPr xmlns="http://schemas.microsoft.com/office/spreadsheetml/2009/9/main" objectType="Radio" checked="Checked" firstButton="1" fmlaLink="E41" lockText="1"/>
</file>

<file path=xl/ctrlProps/ctrlProp7.xml><?xml version="1.0" encoding="utf-8"?>
<formControlPr xmlns="http://schemas.microsoft.com/office/spreadsheetml/2009/9/main" objectType="Radio" lockText="1"/>
</file>

<file path=xl/ctrlProps/ctrlProp8.xml><?xml version="1.0" encoding="utf-8"?>
<formControlPr xmlns="http://schemas.microsoft.com/office/spreadsheetml/2009/9/main" objectType="Radio"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3" Type="http://schemas.openxmlformats.org/officeDocument/2006/relationships/image" Target="../media/image3.jpeg"/><Relationship Id="rId2" Type="http://schemas.openxmlformats.org/officeDocument/2006/relationships/image" Target="../media/image2.jpeg"/><Relationship Id="rId1" Type="http://schemas.openxmlformats.org/officeDocument/2006/relationships/image" Target="../media/image1.png"/><Relationship Id="rId4" Type="http://schemas.openxmlformats.org/officeDocument/2006/relationships/image" Target="../media/image4.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5.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6.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990600"/>
        </a:xfrm>
        <a:prstGeom prst="rect">
          <a:avLst/>
        </a:prstGeom>
        <a:solidFill>
          <a:srgbClr val="FFFFFF"/>
        </a:solidFill>
        <a:ln w="1">
          <a:solidFill>
            <a:srgbClr val="000000"/>
          </a:solidFill>
          <a:miter lim="800000"/>
          <a:headEnd/>
          <a:tailEnd/>
        </a:ln>
      </xdr:spPr>
      <xdr:txBody>
        <a:bodyPr vertOverflow="clip" wrap="square" lIns="45720" tIns="41148" rIns="0" bIns="0" anchor="t" upright="1"/>
        <a:lstStyle/>
        <a:p>
          <a:pPr algn="l" rtl="0">
            <a:defRPr sz="1000"/>
          </a:pPr>
          <a:r>
            <a:rPr lang="fr-FR" sz="2000" b="0" i="1" u="none" strike="noStrike" baseline="0">
              <a:solidFill>
                <a:srgbClr val="424242"/>
              </a:solidFill>
              <a:latin typeface="Times New Roman CE"/>
              <a:cs typeface="Times New Roman CE"/>
            </a:rPr>
            <a:t>GAMESTREAM ATLAS  ORGANISME DE FORMATION N° D'AGREMENT : 01 069 11 </a:t>
          </a:r>
          <a:endParaRPr lang="fr-FR" sz="1000" b="0" i="1" u="none" strike="noStrike" baseline="0">
            <a:solidFill>
              <a:srgbClr val="424242"/>
            </a:solidFill>
            <a:latin typeface="Times New Roman CE"/>
            <a:cs typeface="Times New Roman CE"/>
          </a:endParaRPr>
        </a:p>
        <a:p>
          <a:pPr algn="l" rtl="0">
            <a:defRPr sz="1000"/>
          </a:pPr>
          <a:r>
            <a:rPr lang="fr-FR" sz="1000" b="0" i="1" u="none" strike="noStrike" baseline="0">
              <a:solidFill>
                <a:srgbClr val="424242"/>
              </a:solidFill>
              <a:latin typeface="Times New Roman CE"/>
              <a:cs typeface="Times New Roman CE"/>
            </a:rPr>
            <a:t>4 RUE DU CAIRE 1001 TUNIS</a:t>
          </a:r>
        </a:p>
        <a:p>
          <a:pPr algn="l" rtl="0">
            <a:defRPr sz="1000"/>
          </a:pPr>
          <a:r>
            <a:rPr lang="fr-FR" sz="1000" b="0" i="1" u="none" strike="noStrike" baseline="0">
              <a:solidFill>
                <a:srgbClr val="424242"/>
              </a:solidFill>
              <a:latin typeface="Times New Roman CE"/>
              <a:cs typeface="Times New Roman CE"/>
            </a:rPr>
            <a:t>TEL:  71 258108 FAX : 71 259346</a:t>
          </a:r>
        </a:p>
        <a:p>
          <a:pPr algn="l" rtl="0">
            <a:defRPr sz="1000"/>
          </a:pPr>
          <a:endParaRPr lang="fr-FR" sz="1000" b="0" i="1" u="none" strike="noStrike" baseline="0">
            <a:solidFill>
              <a:srgbClr val="424242"/>
            </a:solidFill>
            <a:latin typeface="Times New Roman CE"/>
            <a:cs typeface="Times New Roman CE"/>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4772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u="none" strike="noStrike" baseline="0">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3</xdr:col>
      <xdr:colOff>0</xdr:colOff>
      <xdr:row>14</xdr:row>
      <xdr:rowOff>20052</xdr:rowOff>
    </xdr:from>
    <xdr:to>
      <xdr:col>3</xdr:col>
      <xdr:colOff>360947</xdr:colOff>
      <xdr:row>15</xdr:row>
      <xdr:rowOff>70184</xdr:rowOff>
    </xdr:to>
    <xdr:sp macro="[0]!Nada" textlink="">
      <xdr:nvSpPr>
        <xdr:cNvPr id="2052" name="LT"/>
        <xdr:cNvSpPr txBox="1">
          <a:spLocks noChangeArrowheads="1"/>
        </xdr:cNvSpPr>
      </xdr:nvSpPr>
      <xdr:spPr bwMode="auto">
        <a:xfrm flipV="1">
          <a:off x="370974" y="1814763"/>
          <a:ext cx="360947" cy="210553"/>
        </a:xfrm>
        <a:prstGeom prst="rect">
          <a:avLst/>
        </a:prstGeom>
        <a:solidFill>
          <a:srgbClr val="FFFFFF"/>
        </a:solidFill>
        <a:ln w="1">
          <a:noFill/>
          <a:miter lim="800000"/>
          <a:headEnd/>
          <a:tailEnd/>
        </a:ln>
      </xdr:spPr>
      <xdr:txBody>
        <a:bodyPr vertOverflow="clip" wrap="square" lIns="27432" tIns="22860" rIns="0" bIns="0" anchor="t" upright="1"/>
        <a:lstStyle/>
        <a:p>
          <a:pPr algn="l" rtl="0">
            <a:defRPr sz="1000"/>
          </a:pPr>
          <a:endParaRPr lang="fr-FR" sz="1000" b="0" i="1" u="none" strike="noStrike" baseline="0">
            <a:solidFill>
              <a:srgbClr val="424242"/>
            </a:solidFill>
            <a:latin typeface="Times New Roman CE"/>
            <a:cs typeface="Times New Roman CE"/>
          </a:endParaRPr>
        </a:p>
      </xdr:txBody>
    </xdr:sp>
    <xdr:clientData/>
  </xdr:twoCellAnchor>
  <xdr:twoCellAnchor>
    <xdr:from>
      <xdr:col>2</xdr:col>
      <xdr:colOff>161925</xdr:colOff>
      <xdr:row>19</xdr:row>
      <xdr:rowOff>66675</xdr:rowOff>
    </xdr:from>
    <xdr:to>
      <xdr:col>10</xdr:col>
      <xdr:colOff>76200</xdr:colOff>
      <xdr:row>24</xdr:row>
      <xdr:rowOff>57150</xdr:rowOff>
    </xdr:to>
    <xdr:sp macro="" textlink="">
      <xdr:nvSpPr>
        <xdr:cNvPr id="2114" name="INVB1"/>
        <xdr:cNvSpPr>
          <a:spLocks noChangeArrowheads="1"/>
        </xdr:cNvSpPr>
      </xdr:nvSpPr>
      <xdr:spPr bwMode="auto">
        <a:xfrm>
          <a:off x="276225" y="2647950"/>
          <a:ext cx="4562475" cy="866775"/>
        </a:xfrm>
        <a:prstGeom prst="roundRect">
          <a:avLst>
            <a:gd name="adj" fmla="val 16667"/>
          </a:avLst>
        </a:prstGeom>
        <a:noFill/>
        <a:ln w="9525">
          <a:solidFill>
            <a:srgbClr val="000080"/>
          </a:solidFill>
          <a:round/>
          <a:headEnd/>
          <a:tailEnd/>
        </a:ln>
      </xdr:spPr>
    </xdr:sp>
    <xdr:clientData/>
  </xdr:twoCellAnchor>
  <xdr:twoCellAnchor>
    <xdr:from>
      <xdr:col>11</xdr:col>
      <xdr:colOff>501</xdr:colOff>
      <xdr:row>19</xdr:row>
      <xdr:rowOff>56649</xdr:rowOff>
    </xdr:from>
    <xdr:to>
      <xdr:col>14</xdr:col>
      <xdr:colOff>154405</xdr:colOff>
      <xdr:row>24</xdr:row>
      <xdr:rowOff>47124</xdr:rowOff>
    </xdr:to>
    <xdr:sp macro="" textlink="">
      <xdr:nvSpPr>
        <xdr:cNvPr id="2115" name="INVB2"/>
        <xdr:cNvSpPr>
          <a:spLocks noChangeArrowheads="1"/>
        </xdr:cNvSpPr>
      </xdr:nvSpPr>
      <xdr:spPr bwMode="auto">
        <a:xfrm>
          <a:off x="4983580" y="2633412"/>
          <a:ext cx="2991351" cy="862765"/>
        </a:xfrm>
        <a:prstGeom prst="roundRect">
          <a:avLst>
            <a:gd name="adj" fmla="val 16667"/>
          </a:avLst>
        </a:prstGeom>
        <a:noFill/>
        <a:ln w="9525">
          <a:solidFill>
            <a:srgbClr val="000080"/>
          </a:solidFill>
          <a:round/>
          <a:headEnd/>
          <a:tailEnd/>
        </a:ln>
      </xdr:spPr>
    </xdr:sp>
    <xdr:clientData/>
  </xdr:twoCellAnchor>
  <xdr:twoCellAnchor>
    <xdr:from>
      <xdr:col>4</xdr:col>
      <xdr:colOff>85725</xdr:colOff>
      <xdr:row>18</xdr:row>
      <xdr:rowOff>152400</xdr:rowOff>
    </xdr:from>
    <xdr:to>
      <xdr:col>6</xdr:col>
      <xdr:colOff>3008</xdr:colOff>
      <xdr:row>20</xdr:row>
      <xdr:rowOff>0</xdr:rowOff>
    </xdr:to>
    <xdr:sp macro="[0]!Nada" textlink="">
      <xdr:nvSpPr>
        <xdr:cNvPr id="2058" name="INV1"/>
        <xdr:cNvSpPr txBox="1">
          <a:spLocks noChangeArrowheads="1"/>
        </xdr:cNvSpPr>
      </xdr:nvSpPr>
      <xdr:spPr bwMode="auto">
        <a:xfrm>
          <a:off x="1168567" y="2378242"/>
          <a:ext cx="1210678" cy="138363"/>
        </a:xfrm>
        <a:prstGeom prst="rect">
          <a:avLst/>
        </a:prstGeom>
        <a:solidFill>
          <a:srgbClr val="FFFFFF"/>
        </a:solidFill>
        <a:ln w="1">
          <a:noFill/>
          <a:miter lim="800000"/>
          <a:headEnd/>
          <a:tailEnd/>
        </a:ln>
      </xdr:spPr>
      <xdr:txBody>
        <a:bodyPr vertOverflow="clip" wrap="square" lIns="27432" tIns="22860" rIns="27432" bIns="0" anchor="t" upright="1"/>
        <a:lstStyle/>
        <a:p>
          <a:pPr algn="ctr" rtl="0">
            <a:defRPr sz="1000"/>
          </a:pPr>
          <a:r>
            <a:rPr lang="fr-FR" sz="1000" b="1" i="0" u="none" strike="noStrike" baseline="0">
              <a:solidFill>
                <a:srgbClr val="000000"/>
              </a:solidFill>
              <a:latin typeface="Arial"/>
              <a:cs typeface="Arial"/>
            </a:rPr>
            <a:t>Adressé à</a:t>
          </a:r>
        </a:p>
      </xdr:txBody>
    </xdr:sp>
    <xdr:clientData/>
  </xdr:twoCellAnchor>
  <mc:AlternateContent xmlns:mc="http://schemas.openxmlformats.org/markup-compatibility/2006">
    <mc:Choice xmlns:a14="http://schemas.microsoft.com/office/drawing/2010/main" Requires="a14">
      <xdr:twoCellAnchor>
        <xdr:from>
          <xdr:col>12</xdr:col>
          <xdr:colOff>485775</xdr:colOff>
          <xdr:row>14</xdr:row>
          <xdr:rowOff>0</xdr:rowOff>
        </xdr:from>
        <xdr:to>
          <xdr:col>13</xdr:col>
          <xdr:colOff>714375</xdr:colOff>
          <xdr:row>15</xdr:row>
          <xdr:rowOff>47625</xdr:rowOff>
        </xdr:to>
        <xdr:sp macro="" textlink="">
          <xdr:nvSpPr>
            <xdr:cNvPr id="2059" name="CUST" hidden="1">
              <a:extLst>
                <a:ext uri="{63B3BB69-23CF-44E3-9099-C40C66FF867C}">
                  <a14:compatExt spid="_x0000_s2059"/>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Personnaliser...</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4</xdr:col>
          <xdr:colOff>400050</xdr:colOff>
          <xdr:row>37</xdr:row>
          <xdr:rowOff>152400</xdr:rowOff>
        </xdr:from>
        <xdr:to>
          <xdr:col>4</xdr:col>
          <xdr:colOff>695325</xdr:colOff>
          <xdr:row>38</xdr:row>
          <xdr:rowOff>152399</xdr:rowOff>
        </xdr:to>
        <xdr:sp macro="" textlink="">
          <xdr:nvSpPr>
            <xdr:cNvPr id="2061" name="pd1" hidden="1">
              <a:extLst>
                <a:ext uri="{63B3BB69-23CF-44E3-9099-C40C66FF867C}">
                  <a14:compatExt spid="_x0000_s206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400050</xdr:colOff>
          <xdr:row>39</xdr:row>
          <xdr:rowOff>0</xdr:rowOff>
        </xdr:from>
        <xdr:to>
          <xdr:col>4</xdr:col>
          <xdr:colOff>704850</xdr:colOff>
          <xdr:row>40</xdr:row>
          <xdr:rowOff>19049</xdr:rowOff>
        </xdr:to>
        <xdr:sp macro="" textlink="">
          <xdr:nvSpPr>
            <xdr:cNvPr id="2062" name="pd3" hidden="1">
              <a:extLst>
                <a:ext uri="{63B3BB69-23CF-44E3-9099-C40C66FF867C}">
                  <a14:compatExt spid="_x0000_s2062"/>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409575</xdr:colOff>
          <xdr:row>40</xdr:row>
          <xdr:rowOff>28575</xdr:rowOff>
        </xdr:from>
        <xdr:to>
          <xdr:col>4</xdr:col>
          <xdr:colOff>714375</xdr:colOff>
          <xdr:row>41</xdr:row>
          <xdr:rowOff>57150</xdr:rowOff>
        </xdr:to>
        <xdr:sp macro="" textlink="">
          <xdr:nvSpPr>
            <xdr:cNvPr id="2071" name="pd2" hidden="1">
              <a:extLst>
                <a:ext uri="{63B3BB69-23CF-44E3-9099-C40C66FF867C}">
                  <a14:compatExt spid="_x0000_s207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2</xdr:col>
      <xdr:colOff>220577</xdr:colOff>
      <xdr:row>6</xdr:row>
      <xdr:rowOff>10026</xdr:rowOff>
    </xdr:from>
    <xdr:to>
      <xdr:col>7</xdr:col>
      <xdr:colOff>621631</xdr:colOff>
      <xdr:row>12</xdr:row>
      <xdr:rowOff>110290</xdr:rowOff>
    </xdr:to>
    <xdr:pic>
      <xdr:nvPicPr>
        <xdr:cNvPr id="13" name="Image 12" descr="C:\Users\User\Desktop\sigle acrobat.png"/>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40893" y="741947"/>
          <a:ext cx="3268580" cy="1062790"/>
        </a:xfrm>
        <a:prstGeom prst="rect">
          <a:avLst/>
        </a:prstGeom>
        <a:noFill/>
        <a:ln>
          <a:noFill/>
        </a:ln>
      </xdr:spPr>
    </xdr:pic>
    <xdr:clientData/>
  </xdr:twoCellAnchor>
  <xdr:twoCellAnchor editAs="oneCell">
    <xdr:from>
      <xdr:col>10</xdr:col>
      <xdr:colOff>160424</xdr:colOff>
      <xdr:row>5</xdr:row>
      <xdr:rowOff>90237</xdr:rowOff>
    </xdr:from>
    <xdr:to>
      <xdr:col>12</xdr:col>
      <xdr:colOff>751975</xdr:colOff>
      <xdr:row>10</xdr:row>
      <xdr:rowOff>90237</xdr:rowOff>
    </xdr:to>
    <xdr:pic>
      <xdr:nvPicPr>
        <xdr:cNvPr id="12" name="Image 11" descr="Résultat de recherche d'images pour &quot;FALLPROTEC&quot;"/>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4922924" y="661737"/>
          <a:ext cx="1614235" cy="802105"/>
        </a:xfrm>
        <a:prstGeom prst="rect">
          <a:avLst/>
        </a:prstGeom>
        <a:noFill/>
        <a:ln>
          <a:noFill/>
        </a:ln>
      </xdr:spPr>
    </xdr:pic>
    <xdr:clientData/>
  </xdr:twoCellAnchor>
  <xdr:twoCellAnchor editAs="oneCell">
    <xdr:from>
      <xdr:col>7</xdr:col>
      <xdr:colOff>591554</xdr:colOff>
      <xdr:row>30</xdr:row>
      <xdr:rowOff>1</xdr:rowOff>
    </xdr:from>
    <xdr:to>
      <xdr:col>11</xdr:col>
      <xdr:colOff>661739</xdr:colOff>
      <xdr:row>35</xdr:row>
      <xdr:rowOff>126865</xdr:rowOff>
    </xdr:to>
    <xdr:pic>
      <xdr:nvPicPr>
        <xdr:cNvPr id="14" name="Image 13"/>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3579396" y="4872790"/>
          <a:ext cx="2065422" cy="111947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12</xdr:col>
      <xdr:colOff>792079</xdr:colOff>
      <xdr:row>5</xdr:row>
      <xdr:rowOff>30079</xdr:rowOff>
    </xdr:from>
    <xdr:to>
      <xdr:col>13</xdr:col>
      <xdr:colOff>821979</xdr:colOff>
      <xdr:row>10</xdr:row>
      <xdr:rowOff>100264</xdr:rowOff>
    </xdr:to>
    <xdr:pic>
      <xdr:nvPicPr>
        <xdr:cNvPr id="16" name="Image 15"/>
        <xdr:cNvPicPr>
          <a:picLocks noChangeAspect="1"/>
        </xdr:cNvPicPr>
      </xdr:nvPicPr>
      <xdr:blipFill>
        <a:blip xmlns:r="http://schemas.openxmlformats.org/officeDocument/2006/relationships" r:embed="rId4"/>
        <a:stretch>
          <a:fillRect/>
        </a:stretch>
      </xdr:blipFill>
      <xdr:spPr>
        <a:xfrm>
          <a:off x="6577263" y="601579"/>
          <a:ext cx="1012479" cy="872290"/>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8" Type="http://schemas.openxmlformats.org/officeDocument/2006/relationships/comments" Target="../comments2.xml"/><Relationship Id="rId3" Type="http://schemas.openxmlformats.org/officeDocument/2006/relationships/vmlDrawing" Target="../drawings/vmlDrawing2.vml"/><Relationship Id="rId7" Type="http://schemas.openxmlformats.org/officeDocument/2006/relationships/ctrlProp" Target="../ctrlProps/ctrlProp8.xml"/><Relationship Id="rId2" Type="http://schemas.openxmlformats.org/officeDocument/2006/relationships/drawing" Target="../drawings/drawing2.xml"/><Relationship Id="rId1" Type="http://schemas.openxmlformats.org/officeDocument/2006/relationships/printerSettings" Target="../printerSettings/printerSettings2.bin"/><Relationship Id="rId6" Type="http://schemas.openxmlformats.org/officeDocument/2006/relationships/ctrlProp" Target="../ctrlProps/ctrlProp7.xml"/><Relationship Id="rId5" Type="http://schemas.openxmlformats.org/officeDocument/2006/relationships/ctrlProp" Target="../ctrlProps/ctrlProp6.xml"/><Relationship Id="rId4" Type="http://schemas.openxmlformats.org/officeDocument/2006/relationships/ctrlProp" Target="../ctrlProps/ctrlProp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95" workbookViewId="0"/>
  </sheetViews>
  <sheetFormatPr baseColWidth="10"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95" workbookViewId="0">
      <selection activeCell="E13" sqref="E13"/>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8"/>
    </row>
    <row r="4" spans="2:10" ht="24" thickBot="1" x14ac:dyDescent="0.4">
      <c r="B4" s="7"/>
      <c r="C4" s="3"/>
      <c r="D4" s="133" t="s">
        <v>0</v>
      </c>
      <c r="E4" s="134"/>
      <c r="F4" s="134"/>
      <c r="G4" s="3"/>
      <c r="H4" s="3"/>
      <c r="I4" s="3"/>
      <c r="J4" s="8"/>
    </row>
    <row r="5" spans="2:10" ht="3" customHeight="1" thickTop="1" x14ac:dyDescent="0.2">
      <c r="B5" s="2"/>
      <c r="C5" s="58"/>
      <c r="D5" s="58"/>
      <c r="E5" s="58"/>
      <c r="F5" s="58"/>
      <c r="G5" s="58"/>
      <c r="H5" s="58"/>
      <c r="I5" s="58"/>
      <c r="J5" s="1"/>
    </row>
    <row r="6" spans="2:10" ht="12.75" customHeight="1" x14ac:dyDescent="0.3">
      <c r="B6" s="7"/>
      <c r="C6" s="3"/>
      <c r="D6" s="19"/>
      <c r="E6" s="3"/>
      <c r="F6" s="3"/>
      <c r="G6" s="3"/>
      <c r="H6" s="3"/>
      <c r="I6" s="3"/>
      <c r="J6" s="8"/>
    </row>
    <row r="7" spans="2:10" x14ac:dyDescent="0.2">
      <c r="B7" s="7"/>
      <c r="C7" s="3"/>
      <c r="D7" s="3"/>
      <c r="E7" s="3"/>
      <c r="F7" s="3"/>
      <c r="G7" s="64" t="s">
        <v>44</v>
      </c>
      <c r="H7" s="3"/>
      <c r="I7" s="3"/>
      <c r="J7" s="8"/>
    </row>
    <row r="8" spans="2:10" x14ac:dyDescent="0.2">
      <c r="B8" s="7"/>
      <c r="C8" s="3"/>
      <c r="D8" s="3"/>
      <c r="E8" s="3"/>
      <c r="F8" s="3"/>
      <c r="G8" s="64" t="s">
        <v>1</v>
      </c>
      <c r="H8" s="3"/>
      <c r="I8" s="3"/>
      <c r="J8" s="8"/>
    </row>
    <row r="9" spans="2:10" x14ac:dyDescent="0.2">
      <c r="B9" s="7"/>
      <c r="C9" s="3"/>
      <c r="D9" s="20"/>
      <c r="E9" s="3"/>
      <c r="F9" s="3"/>
      <c r="G9" s="42"/>
      <c r="H9" s="3"/>
      <c r="I9" s="3"/>
      <c r="J9" s="8"/>
    </row>
    <row r="10" spans="2:10" ht="13.5" thickBot="1" x14ac:dyDescent="0.25">
      <c r="B10" s="7"/>
      <c r="C10" s="3"/>
      <c r="D10" s="135" t="s">
        <v>2</v>
      </c>
      <c r="E10" s="136"/>
      <c r="F10" s="3"/>
      <c r="G10" s="3"/>
      <c r="H10" s="3"/>
      <c r="I10" s="3"/>
      <c r="J10" s="8"/>
    </row>
    <row r="11" spans="2:10" ht="5.25" customHeight="1" thickBot="1" x14ac:dyDescent="0.25">
      <c r="B11" s="7"/>
      <c r="C11" s="3"/>
      <c r="D11" s="22"/>
      <c r="E11" s="23"/>
      <c r="F11" s="23"/>
      <c r="G11" s="23"/>
      <c r="H11" s="24"/>
      <c r="I11" s="3"/>
      <c r="J11" s="8"/>
    </row>
    <row r="12" spans="2:10" x14ac:dyDescent="0.2">
      <c r="B12" s="7"/>
      <c r="C12" s="3"/>
      <c r="D12" s="32" t="s">
        <v>3</v>
      </c>
      <c r="E12" s="12" t="s">
        <v>52</v>
      </c>
      <c r="F12" s="65" t="s">
        <v>4</v>
      </c>
      <c r="G12" s="16"/>
      <c r="H12" s="25"/>
      <c r="I12" s="3"/>
      <c r="J12" s="8"/>
    </row>
    <row r="13" spans="2:10" ht="13.5" thickBot="1" x14ac:dyDescent="0.25">
      <c r="B13" s="7"/>
      <c r="C13" s="3"/>
      <c r="D13" s="32" t="s">
        <v>5</v>
      </c>
      <c r="E13" s="13" t="s">
        <v>48</v>
      </c>
      <c r="F13" s="65" t="s">
        <v>6</v>
      </c>
      <c r="G13" s="17"/>
      <c r="H13" s="25"/>
      <c r="I13" s="3"/>
      <c r="J13" s="8"/>
    </row>
    <row r="14" spans="2:10" x14ac:dyDescent="0.2">
      <c r="B14" s="7"/>
      <c r="C14" s="3"/>
      <c r="D14" s="32" t="s">
        <v>7</v>
      </c>
      <c r="E14" s="14" t="s">
        <v>49</v>
      </c>
      <c r="F14" s="26"/>
      <c r="G14" s="27"/>
      <c r="H14" s="25"/>
      <c r="I14" s="3"/>
      <c r="J14" s="8"/>
    </row>
    <row r="15" spans="2:10" x14ac:dyDescent="0.2">
      <c r="B15" s="7"/>
      <c r="C15" s="3"/>
      <c r="D15" s="32" t="s">
        <v>8</v>
      </c>
      <c r="E15" s="13" t="s">
        <v>50</v>
      </c>
      <c r="F15" s="39"/>
      <c r="G15" s="27"/>
      <c r="H15" s="25"/>
      <c r="I15" s="3"/>
      <c r="J15" s="8"/>
    </row>
    <row r="16" spans="2:10" ht="13.5" thickBot="1" x14ac:dyDescent="0.25">
      <c r="B16" s="7"/>
      <c r="C16" s="3"/>
      <c r="D16" s="32" t="s">
        <v>9</v>
      </c>
      <c r="E16" s="15"/>
      <c r="F16" s="39"/>
      <c r="G16" s="27"/>
      <c r="H16" s="25"/>
      <c r="I16" s="3"/>
      <c r="J16" s="8"/>
    </row>
    <row r="17" spans="2:10" ht="6" customHeight="1" thickBot="1" x14ac:dyDescent="0.25">
      <c r="B17" s="7"/>
      <c r="C17" s="3"/>
      <c r="D17" s="28"/>
      <c r="E17" s="29"/>
      <c r="F17" s="29"/>
      <c r="G17" s="29"/>
      <c r="H17" s="30"/>
      <c r="I17" s="3"/>
      <c r="J17" s="8"/>
    </row>
    <row r="18" spans="2:10" ht="6" customHeight="1" x14ac:dyDescent="0.2">
      <c r="B18" s="7"/>
      <c r="C18" s="3"/>
      <c r="D18" s="3"/>
      <c r="E18" s="3"/>
      <c r="F18" s="3"/>
      <c r="G18" s="3"/>
      <c r="H18" s="3"/>
      <c r="I18" s="3"/>
      <c r="J18" s="8"/>
    </row>
    <row r="19" spans="2:10" ht="13.5" thickBot="1" x14ac:dyDescent="0.25">
      <c r="B19" s="7"/>
      <c r="C19" s="3"/>
      <c r="D19" s="137" t="s">
        <v>45</v>
      </c>
      <c r="E19" s="136"/>
      <c r="F19" s="3"/>
      <c r="G19" s="3"/>
      <c r="H19" s="3"/>
      <c r="I19" s="3"/>
      <c r="J19" s="8"/>
    </row>
    <row r="20" spans="2:10" ht="5.25" customHeight="1" x14ac:dyDescent="0.2">
      <c r="B20" s="7"/>
      <c r="C20" s="3"/>
      <c r="D20" s="31"/>
      <c r="E20" s="23"/>
      <c r="F20" s="23"/>
      <c r="G20" s="23"/>
      <c r="H20" s="24"/>
      <c r="I20" s="3"/>
      <c r="J20" s="8"/>
    </row>
    <row r="21" spans="2:10" ht="13.5" thickBot="1" x14ac:dyDescent="0.25">
      <c r="B21" s="7"/>
      <c r="C21" s="3"/>
      <c r="D21" s="40"/>
      <c r="E21" s="39" t="s">
        <v>33</v>
      </c>
      <c r="F21" s="33"/>
      <c r="G21" s="41" t="s">
        <v>10</v>
      </c>
      <c r="H21" s="25"/>
      <c r="I21" s="3"/>
      <c r="J21" s="8"/>
    </row>
    <row r="22" spans="2:10" x14ac:dyDescent="0.2">
      <c r="B22" s="7"/>
      <c r="C22" s="3"/>
      <c r="D22" s="32">
        <v>1</v>
      </c>
      <c r="E22" s="73">
        <v>0.1</v>
      </c>
      <c r="F22" s="33"/>
      <c r="G22" s="36"/>
      <c r="H22" s="25"/>
      <c r="I22" s="3"/>
      <c r="J22" s="8"/>
    </row>
    <row r="23" spans="2:10" x14ac:dyDescent="0.2">
      <c r="B23" s="7"/>
      <c r="C23" s="3"/>
      <c r="D23" s="34">
        <v>2</v>
      </c>
      <c r="E23" s="66">
        <v>0.18</v>
      </c>
      <c r="F23" s="33"/>
      <c r="G23" s="37"/>
      <c r="H23" s="25"/>
      <c r="I23" s="3"/>
      <c r="J23" s="8"/>
    </row>
    <row r="24" spans="2:10" ht="13.5" thickBot="1" x14ac:dyDescent="0.25">
      <c r="B24" s="7"/>
      <c r="C24" s="3"/>
      <c r="D24" s="34">
        <v>3</v>
      </c>
      <c r="E24" s="62">
        <v>0.28999999999999998</v>
      </c>
      <c r="F24" s="33"/>
      <c r="G24" s="35"/>
      <c r="H24" s="25"/>
      <c r="I24" s="3"/>
      <c r="J24" s="8"/>
    </row>
    <row r="25" spans="2:10" ht="13.5" thickBot="1" x14ac:dyDescent="0.25">
      <c r="B25" s="7"/>
      <c r="C25" s="3"/>
      <c r="D25" s="40"/>
      <c r="E25" s="39"/>
      <c r="F25" s="33"/>
      <c r="G25" s="38"/>
      <c r="H25" s="25"/>
      <c r="I25" s="3"/>
      <c r="J25" s="8"/>
    </row>
    <row r="26" spans="2:10" ht="13.5" thickBot="1" x14ac:dyDescent="0.25">
      <c r="B26" s="7"/>
      <c r="C26" s="3"/>
      <c r="D26" s="34"/>
      <c r="E26" s="39"/>
      <c r="F26" s="33"/>
      <c r="G26" s="33"/>
      <c r="H26" s="25"/>
      <c r="I26" s="3"/>
      <c r="J26" s="8"/>
    </row>
    <row r="27" spans="2:10" ht="13.5" thickBot="1" x14ac:dyDescent="0.25">
      <c r="B27" s="7"/>
      <c r="C27" s="3"/>
      <c r="D27" s="34"/>
      <c r="E27" s="27"/>
      <c r="F27" s="26" t="s">
        <v>46</v>
      </c>
      <c r="G27" s="74">
        <v>0.2</v>
      </c>
      <c r="H27" s="25"/>
      <c r="I27" s="3"/>
      <c r="J27" s="8"/>
    </row>
    <row r="28" spans="2:10" x14ac:dyDescent="0.2">
      <c r="B28" s="7"/>
      <c r="C28" s="3"/>
      <c r="D28" s="43"/>
      <c r="E28" s="39"/>
      <c r="F28" s="33"/>
      <c r="G28" s="33"/>
      <c r="H28" s="25"/>
      <c r="I28" s="3"/>
      <c r="J28" s="8"/>
    </row>
    <row r="29" spans="2:10" ht="13.5" thickBot="1" x14ac:dyDescent="0.25">
      <c r="B29" s="7"/>
      <c r="C29" s="3"/>
      <c r="D29" s="43"/>
      <c r="E29" s="39"/>
      <c r="F29" s="33"/>
      <c r="G29" s="33"/>
      <c r="H29" s="25"/>
      <c r="I29" s="3"/>
      <c r="J29" s="8"/>
    </row>
    <row r="30" spans="2:10" ht="13.5" thickBot="1" x14ac:dyDescent="0.25">
      <c r="B30" s="7"/>
      <c r="C30" s="3"/>
      <c r="D30" s="43" t="b">
        <v>0</v>
      </c>
      <c r="E30" s="39" t="s">
        <v>11</v>
      </c>
      <c r="F30" s="26" t="s">
        <v>12</v>
      </c>
      <c r="G30" s="61"/>
      <c r="H30" s="25"/>
      <c r="I30" s="3"/>
      <c r="J30" s="8"/>
    </row>
    <row r="31" spans="2:10" x14ac:dyDescent="0.2">
      <c r="B31" s="7"/>
      <c r="C31" s="3"/>
      <c r="D31" s="43"/>
      <c r="E31" s="39" t="s">
        <v>13</v>
      </c>
      <c r="F31" s="26" t="s">
        <v>14</v>
      </c>
      <c r="G31" s="39"/>
      <c r="H31" s="25"/>
      <c r="I31" s="3"/>
      <c r="J31" s="8"/>
    </row>
    <row r="32" spans="2:10" ht="13.5" thickBot="1" x14ac:dyDescent="0.25">
      <c r="B32" s="7"/>
      <c r="C32" s="3"/>
      <c r="D32" s="43"/>
      <c r="E32" s="39"/>
      <c r="F32" s="26"/>
      <c r="G32" s="39"/>
      <c r="H32" s="25"/>
      <c r="I32" s="3"/>
      <c r="J32" s="8"/>
    </row>
    <row r="33" spans="2:10" ht="13.5" thickBot="1" x14ac:dyDescent="0.25">
      <c r="B33" s="7"/>
      <c r="C33" s="3"/>
      <c r="D33" s="43"/>
      <c r="E33" s="26" t="s">
        <v>15</v>
      </c>
      <c r="F33" s="138" t="str">
        <f>LOWER(TemplateInformation!B3)</f>
        <v>c:\program files\microsoft office\office\macrolib\factbd.xls</v>
      </c>
      <c r="G33" s="139"/>
      <c r="H33" s="25"/>
      <c r="I33" s="3"/>
      <c r="J33" s="8"/>
    </row>
    <row r="34" spans="2:10" ht="13.5" thickBot="1" x14ac:dyDescent="0.25">
      <c r="B34" s="7"/>
      <c r="C34" s="3"/>
      <c r="D34" s="28"/>
      <c r="E34" s="29"/>
      <c r="F34" s="29"/>
      <c r="G34" s="29"/>
      <c r="H34" s="30"/>
      <c r="I34" s="3"/>
      <c r="J34" s="8"/>
    </row>
    <row r="35" spans="2:10" ht="6" customHeight="1" x14ac:dyDescent="0.2">
      <c r="B35" s="7"/>
      <c r="C35" s="3"/>
      <c r="D35" s="3"/>
      <c r="E35" s="3"/>
      <c r="F35" s="3"/>
      <c r="G35" s="3"/>
      <c r="H35" s="3"/>
      <c r="I35" s="3"/>
      <c r="J35" s="8"/>
    </row>
    <row r="36" spans="2:10" ht="13.5" thickBot="1" x14ac:dyDescent="0.25">
      <c r="B36" s="7"/>
      <c r="C36" s="3"/>
      <c r="D36" s="135" t="s">
        <v>16</v>
      </c>
      <c r="E36" s="136"/>
      <c r="F36" s="3"/>
      <c r="G36" s="3"/>
      <c r="H36" s="3"/>
      <c r="I36" s="3"/>
      <c r="J36" s="8"/>
    </row>
    <row r="37" spans="2:10" ht="14.25" x14ac:dyDescent="0.2">
      <c r="B37" s="7"/>
      <c r="C37" s="3"/>
      <c r="D37" s="22"/>
      <c r="E37" s="23"/>
      <c r="F37" s="23"/>
      <c r="G37" s="23"/>
      <c r="H37" s="24"/>
      <c r="I37" s="3"/>
      <c r="J37" s="8"/>
    </row>
    <row r="38" spans="2:10" ht="14.25" x14ac:dyDescent="0.2">
      <c r="B38" s="7"/>
      <c r="C38" s="3"/>
      <c r="D38" s="44"/>
      <c r="E38" s="45"/>
      <c r="F38" s="93"/>
      <c r="G38" s="45"/>
      <c r="H38" s="46"/>
      <c r="I38" s="60"/>
      <c r="J38" s="21"/>
    </row>
    <row r="39" spans="2:10" ht="14.25" x14ac:dyDescent="0.2">
      <c r="B39" s="7"/>
      <c r="C39" s="3"/>
      <c r="D39" s="44"/>
      <c r="E39" s="45"/>
      <c r="F39" s="47"/>
      <c r="G39" s="45"/>
      <c r="H39" s="46"/>
      <c r="I39" s="60"/>
      <c r="J39" s="21"/>
    </row>
    <row r="40" spans="2:10" ht="14.25" x14ac:dyDescent="0.2">
      <c r="B40" s="7"/>
      <c r="C40" s="3"/>
      <c r="D40" s="44"/>
      <c r="E40" s="45"/>
      <c r="F40" s="45"/>
      <c r="G40" s="45"/>
      <c r="H40" s="46"/>
      <c r="I40" s="60"/>
      <c r="J40" s="21"/>
    </row>
    <row r="41" spans="2:10" ht="14.25" x14ac:dyDescent="0.2">
      <c r="B41" s="7"/>
      <c r="C41" s="3"/>
      <c r="D41" s="44"/>
      <c r="E41" s="45"/>
      <c r="F41" s="45"/>
      <c r="G41" s="45"/>
      <c r="H41" s="46"/>
      <c r="I41" s="60"/>
      <c r="J41" s="21"/>
    </row>
    <row r="42" spans="2:10" ht="20.100000000000001" customHeight="1" x14ac:dyDescent="0.2">
      <c r="B42" s="7"/>
      <c r="C42" s="3"/>
      <c r="D42" s="44"/>
      <c r="E42" s="45"/>
      <c r="F42" s="45"/>
      <c r="G42" s="45"/>
      <c r="H42" s="46"/>
      <c r="I42" s="60"/>
      <c r="J42" s="21"/>
    </row>
    <row r="43" spans="2:10" ht="14.25" x14ac:dyDescent="0.2">
      <c r="B43" s="7"/>
      <c r="C43" s="3"/>
      <c r="D43" s="44"/>
      <c r="E43" s="45"/>
      <c r="F43" s="45"/>
      <c r="G43" s="45"/>
      <c r="H43" s="46"/>
      <c r="I43" s="60"/>
      <c r="J43" s="21"/>
    </row>
    <row r="44" spans="2:10" ht="26.25" customHeight="1" thickBot="1" x14ac:dyDescent="0.25">
      <c r="B44" s="7"/>
      <c r="C44" s="3"/>
      <c r="D44" s="48"/>
      <c r="E44" s="49"/>
      <c r="F44" s="49"/>
      <c r="G44" s="49"/>
      <c r="H44" s="50"/>
      <c r="I44" s="60"/>
      <c r="J44" s="21"/>
    </row>
    <row r="45" spans="2:10" x14ac:dyDescent="0.2">
      <c r="B45" s="7"/>
      <c r="C45" s="3"/>
      <c r="D45" s="3"/>
      <c r="E45" s="3"/>
      <c r="F45" s="3"/>
      <c r="G45" s="3"/>
      <c r="H45" s="3"/>
      <c r="I45" s="3"/>
      <c r="J45" s="8"/>
    </row>
    <row r="46" spans="2:10" ht="0.95" customHeight="1" thickBot="1" x14ac:dyDescent="0.25">
      <c r="B46" s="9"/>
      <c r="C46" s="10"/>
      <c r="D46" s="10"/>
      <c r="E46" s="10"/>
      <c r="F46" s="10"/>
      <c r="G46" s="10"/>
      <c r="H46" s="10"/>
      <c r="I46" s="10"/>
      <c r="J46" s="11"/>
    </row>
    <row r="47" spans="2:10" ht="13.5" thickTop="1" x14ac:dyDescent="0.2">
      <c r="E47">
        <v>33</v>
      </c>
    </row>
    <row r="48" spans="2:10" x14ac:dyDescent="0.2">
      <c r="E48" s="63">
        <v>0</v>
      </c>
    </row>
    <row r="49" spans="5:5" x14ac:dyDescent="0.2">
      <c r="E49" s="63" t="b">
        <v>0</v>
      </c>
    </row>
    <row r="50" spans="5:5" x14ac:dyDescent="0.2">
      <c r="E50" s="63" t="b">
        <v>0</v>
      </c>
    </row>
    <row r="51" spans="5:5" x14ac:dyDescent="0.2">
      <c r="E51" s="63" t="s">
        <v>17</v>
      </c>
    </row>
    <row r="52" spans="5:5" x14ac:dyDescent="0.2">
      <c r="E52" s="63"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P54"/>
  <sheetViews>
    <sheetView showGridLines="0" showRowColHeaders="0" tabSelected="1" topLeftCell="A7" zoomScale="95" workbookViewId="0">
      <selection activeCell="K38" sqref="K38"/>
    </sheetView>
  </sheetViews>
  <sheetFormatPr baseColWidth="10" defaultColWidth="9.140625" defaultRowHeight="12.75" x14ac:dyDescent="0.2"/>
  <cols>
    <col min="1" max="1" width="1.28515625" customWidth="1"/>
    <col min="2" max="2" width="0.42578125" customWidth="1"/>
    <col min="3" max="3" width="3.7109375" customWidth="1"/>
    <col min="4" max="4" width="10.7109375" customWidth="1"/>
    <col min="5" max="5" width="11.7109375" customWidth="1"/>
    <col min="6" max="6" width="7.7109375" customWidth="1"/>
    <col min="7" max="7" width="9.140625" customWidth="1"/>
    <col min="8" max="8" width="13.7109375" customWidth="1"/>
    <col min="9" max="9" width="5.7109375" customWidth="1"/>
    <col min="10" max="10" width="7.28515625" customWidth="1"/>
    <col min="11" max="11" width="3.28515625" customWidth="1"/>
    <col min="12" max="12" width="12" customWidth="1"/>
    <col min="13" max="13" width="14.7109375" customWidth="1"/>
    <col min="14" max="14" width="15.7109375" customWidth="1"/>
    <col min="15" max="15" width="3.7109375" customWidth="1"/>
    <col min="16" max="16" width="0.42578125" customWidth="1"/>
    <col min="17" max="17" width="1.7109375" customWidth="1"/>
  </cols>
  <sheetData>
    <row r="1" spans="2:16" ht="6" customHeight="1" thickBot="1" x14ac:dyDescent="0.25"/>
    <row r="2" spans="2:16" ht="0.95" customHeight="1" thickTop="1" x14ac:dyDescent="0.2">
      <c r="B2" s="4"/>
      <c r="C2" s="5"/>
      <c r="D2" s="5"/>
      <c r="E2" s="5"/>
      <c r="F2" s="5"/>
      <c r="G2" s="5"/>
      <c r="H2" s="5"/>
      <c r="I2" s="5"/>
      <c r="J2" s="5"/>
      <c r="K2" s="5"/>
      <c r="L2" s="5"/>
      <c r="M2" s="5"/>
      <c r="N2" s="5"/>
      <c r="O2" s="5"/>
      <c r="P2" s="6"/>
    </row>
    <row r="3" spans="2:16" x14ac:dyDescent="0.2">
      <c r="B3" s="7"/>
      <c r="C3" s="3"/>
      <c r="D3" s="3"/>
      <c r="E3" s="3"/>
      <c r="F3" s="3"/>
      <c r="G3" s="3"/>
      <c r="H3" s="3"/>
      <c r="I3" s="3"/>
      <c r="J3" s="3"/>
      <c r="K3" s="3"/>
      <c r="L3" s="3"/>
      <c r="M3" s="3"/>
      <c r="N3" s="3"/>
      <c r="O3" s="3"/>
      <c r="P3" s="8"/>
    </row>
    <row r="4" spans="2:16" x14ac:dyDescent="0.2">
      <c r="B4" s="7"/>
      <c r="C4" s="3"/>
      <c r="D4" s="3"/>
      <c r="E4" s="3"/>
      <c r="F4" s="3"/>
      <c r="G4" s="3"/>
      <c r="H4" s="3"/>
      <c r="I4" s="3"/>
      <c r="J4" s="3"/>
      <c r="K4" s="3"/>
      <c r="L4" s="3"/>
      <c r="M4" s="3"/>
      <c r="N4" s="3"/>
      <c r="O4" s="3"/>
      <c r="P4" s="8"/>
    </row>
    <row r="5" spans="2:16" x14ac:dyDescent="0.2">
      <c r="B5" s="7"/>
      <c r="C5" s="3"/>
      <c r="D5" s="3"/>
      <c r="E5" s="3"/>
      <c r="F5" s="3"/>
      <c r="G5" s="3"/>
      <c r="H5" s="3"/>
      <c r="I5" s="3"/>
      <c r="J5" s="3"/>
      <c r="K5" s="3"/>
      <c r="L5" s="3"/>
      <c r="M5" s="3"/>
      <c r="N5" s="3"/>
      <c r="O5" s="3"/>
      <c r="P5" s="8"/>
    </row>
    <row r="6" spans="2:16" x14ac:dyDescent="0.2">
      <c r="B6" s="7"/>
      <c r="C6" s="3"/>
      <c r="D6" s="3"/>
      <c r="E6" s="3"/>
      <c r="F6" s="3"/>
      <c r="G6" s="3"/>
      <c r="H6" s="3"/>
      <c r="I6" s="3"/>
      <c r="J6" s="3"/>
      <c r="K6" s="3"/>
      <c r="L6" s="3"/>
      <c r="M6" s="3"/>
      <c r="N6" s="3"/>
      <c r="O6" s="3"/>
      <c r="P6" s="8"/>
    </row>
    <row r="7" spans="2:16" x14ac:dyDescent="0.2">
      <c r="B7" s="7"/>
      <c r="C7" s="3"/>
      <c r="D7" s="3"/>
      <c r="E7" s="3"/>
      <c r="F7" s="3"/>
      <c r="G7" s="3"/>
      <c r="H7" s="3"/>
      <c r="I7" s="3"/>
      <c r="J7" s="3"/>
      <c r="K7" s="3"/>
      <c r="L7" s="3"/>
      <c r="M7" s="3"/>
      <c r="N7" s="3"/>
      <c r="O7" s="3"/>
      <c r="P7" s="8"/>
    </row>
    <row r="8" spans="2:16" x14ac:dyDescent="0.2">
      <c r="B8" s="7"/>
      <c r="C8" s="3"/>
      <c r="D8" s="3"/>
      <c r="E8" s="3"/>
      <c r="F8" s="3"/>
      <c r="G8" s="3"/>
      <c r="H8" s="3"/>
      <c r="I8" s="3"/>
      <c r="J8" s="3"/>
      <c r="K8" s="3"/>
      <c r="L8" s="3"/>
      <c r="M8" s="3"/>
      <c r="N8" s="3"/>
      <c r="O8" s="3"/>
      <c r="P8" s="8"/>
    </row>
    <row r="9" spans="2:16" x14ac:dyDescent="0.2">
      <c r="B9" s="7"/>
      <c r="C9" s="3"/>
      <c r="D9" s="3"/>
      <c r="E9" s="3"/>
      <c r="F9" s="3"/>
      <c r="G9" s="3"/>
      <c r="H9" s="3"/>
      <c r="I9" s="3"/>
      <c r="J9" s="3"/>
      <c r="K9" s="3"/>
      <c r="L9" s="3"/>
      <c r="M9" s="141"/>
      <c r="N9" s="142"/>
      <c r="O9" s="3"/>
      <c r="P9" s="8"/>
    </row>
    <row r="10" spans="2:16" x14ac:dyDescent="0.2">
      <c r="B10" s="7"/>
      <c r="C10" s="3"/>
      <c r="D10" s="3"/>
      <c r="E10" s="3"/>
      <c r="F10" s="3"/>
      <c r="G10" s="3"/>
      <c r="H10" s="3"/>
      <c r="I10" s="3"/>
      <c r="J10" s="3"/>
      <c r="K10" s="3"/>
      <c r="L10" s="3"/>
      <c r="M10" s="99"/>
      <c r="N10" s="99"/>
      <c r="O10" s="3"/>
      <c r="P10" s="8"/>
    </row>
    <row r="11" spans="2:16" x14ac:dyDescent="0.2">
      <c r="B11" s="7"/>
      <c r="C11" s="3"/>
      <c r="D11" s="3"/>
      <c r="E11" s="3"/>
      <c r="F11" s="3"/>
      <c r="G11" s="3"/>
      <c r="H11" s="3"/>
      <c r="I11" s="3"/>
      <c r="J11" s="3"/>
      <c r="K11" s="3"/>
      <c r="L11" s="3"/>
      <c r="M11" s="113"/>
      <c r="N11" s="114"/>
      <c r="O11" s="3"/>
      <c r="P11" s="8"/>
    </row>
    <row r="12" spans="2:16" x14ac:dyDescent="0.2">
      <c r="B12" s="7"/>
      <c r="C12" s="3"/>
      <c r="D12" s="3"/>
      <c r="E12" s="3"/>
      <c r="F12" s="3"/>
      <c r="G12" s="3"/>
      <c r="H12" s="3"/>
      <c r="I12" s="3"/>
      <c r="J12" s="3"/>
      <c r="K12" s="3"/>
      <c r="L12" s="3"/>
      <c r="M12" s="113"/>
      <c r="N12" s="114"/>
      <c r="O12" s="3"/>
      <c r="P12" s="8"/>
    </row>
    <row r="13" spans="2:16" x14ac:dyDescent="0.2">
      <c r="B13" s="7"/>
      <c r="C13" s="3"/>
      <c r="D13" s="3"/>
      <c r="E13" s="3"/>
      <c r="F13" s="3"/>
      <c r="G13" s="3"/>
      <c r="H13" s="3"/>
      <c r="I13" s="3"/>
      <c r="J13" s="3"/>
      <c r="K13" s="3"/>
      <c r="L13" s="3"/>
      <c r="M13" s="150"/>
      <c r="N13" s="151"/>
      <c r="O13" s="3"/>
      <c r="P13" s="8"/>
    </row>
    <row r="14" spans="2:16" x14ac:dyDescent="0.2">
      <c r="B14" s="7"/>
      <c r="C14" s="3"/>
      <c r="D14" s="3"/>
      <c r="E14" s="3"/>
      <c r="F14" s="3"/>
      <c r="G14" s="3"/>
      <c r="H14" s="140"/>
      <c r="I14" s="140"/>
      <c r="J14" s="140"/>
      <c r="K14" s="140"/>
      <c r="L14" s="140"/>
      <c r="M14" s="3"/>
      <c r="N14" s="3"/>
      <c r="O14" s="3"/>
      <c r="P14" s="8"/>
    </row>
    <row r="15" spans="2:16" ht="20.100000000000001" customHeight="1" x14ac:dyDescent="0.2">
      <c r="B15" s="7"/>
      <c r="C15" s="3"/>
      <c r="D15" s="3"/>
      <c r="E15" s="3"/>
      <c r="F15" s="3"/>
      <c r="G15" s="3"/>
      <c r="H15" s="140"/>
      <c r="I15" s="140"/>
      <c r="J15" s="140"/>
      <c r="K15" s="140"/>
      <c r="L15" s="140"/>
      <c r="M15" s="3"/>
      <c r="N15" s="3"/>
      <c r="O15" s="3"/>
      <c r="P15" s="8"/>
    </row>
    <row r="16" spans="2:16" ht="3" customHeight="1" thickBot="1" x14ac:dyDescent="0.25">
      <c r="B16" s="7"/>
      <c r="C16" s="3"/>
      <c r="D16" s="3"/>
      <c r="E16" s="3"/>
      <c r="F16" s="3"/>
      <c r="G16" s="3"/>
      <c r="H16" s="3"/>
      <c r="I16" s="3"/>
      <c r="J16" s="3"/>
      <c r="K16" s="3"/>
      <c r="L16" s="3"/>
      <c r="M16" s="3"/>
      <c r="N16" s="3"/>
      <c r="O16" s="3"/>
      <c r="P16" s="8"/>
    </row>
    <row r="17" spans="2:16" ht="14.1" customHeight="1" thickBot="1" x14ac:dyDescent="0.25">
      <c r="B17" s="7"/>
      <c r="C17" s="3"/>
      <c r="D17" s="3"/>
      <c r="E17" s="3"/>
      <c r="F17" s="3"/>
      <c r="G17" s="3"/>
      <c r="H17" s="112"/>
      <c r="I17" s="3"/>
      <c r="J17" s="99"/>
      <c r="K17" s="3"/>
      <c r="L17" s="3"/>
      <c r="M17" s="163" t="s">
        <v>62</v>
      </c>
      <c r="N17" s="164"/>
      <c r="O17" s="3"/>
      <c r="P17" s="8"/>
    </row>
    <row r="18" spans="2:16" ht="19.5" thickTop="1" x14ac:dyDescent="0.3">
      <c r="B18" s="7"/>
      <c r="C18" s="3"/>
      <c r="D18" s="58"/>
      <c r="E18" s="58"/>
      <c r="F18" s="58"/>
      <c r="G18" s="58"/>
      <c r="H18" s="58"/>
      <c r="I18" s="58"/>
      <c r="J18" s="59"/>
      <c r="K18" s="59"/>
      <c r="L18" s="59"/>
      <c r="M18" s="165"/>
      <c r="N18" s="166"/>
      <c r="O18" s="19"/>
      <c r="P18" s="8"/>
    </row>
    <row r="19" spans="2:16" ht="13.5" thickBot="1" x14ac:dyDescent="0.25">
      <c r="B19" s="7"/>
      <c r="C19" s="3"/>
      <c r="D19" s="3"/>
      <c r="E19" s="3"/>
      <c r="F19" s="3"/>
      <c r="G19" s="3"/>
      <c r="H19" s="3"/>
      <c r="I19" s="3"/>
      <c r="J19" s="3"/>
      <c r="K19" s="3"/>
      <c r="L19" s="3"/>
      <c r="M19" s="167"/>
      <c r="N19" s="168"/>
      <c r="O19" s="3"/>
      <c r="P19" s="8"/>
    </row>
    <row r="20" spans="2:16" x14ac:dyDescent="0.2">
      <c r="B20" s="7"/>
      <c r="C20" s="3"/>
      <c r="D20" s="3"/>
      <c r="E20" s="3"/>
      <c r="F20" s="3"/>
      <c r="G20" s="3"/>
      <c r="H20" s="3"/>
      <c r="I20" s="3"/>
      <c r="J20" s="3"/>
      <c r="K20" s="3"/>
      <c r="L20" s="3"/>
      <c r="M20" s="3"/>
      <c r="N20" s="3"/>
      <c r="O20" s="3"/>
      <c r="P20" s="8"/>
    </row>
    <row r="21" spans="2:16" ht="18" x14ac:dyDescent="0.25">
      <c r="B21" s="7"/>
      <c r="C21" s="3"/>
      <c r="D21" s="82" t="s">
        <v>3</v>
      </c>
      <c r="E21" s="156" t="s">
        <v>63</v>
      </c>
      <c r="F21" s="157"/>
      <c r="G21" s="157"/>
      <c r="H21" s="157"/>
      <c r="I21" s="157"/>
      <c r="J21" s="157"/>
      <c r="K21" s="82"/>
      <c r="L21" s="85" t="s">
        <v>18</v>
      </c>
      <c r="M21" s="145">
        <v>45785</v>
      </c>
      <c r="N21" s="146"/>
      <c r="O21" s="55"/>
      <c r="P21" s="8"/>
    </row>
    <row r="22" spans="2:16" x14ac:dyDescent="0.2">
      <c r="B22" s="7"/>
      <c r="C22" s="3"/>
      <c r="D22" s="82" t="s">
        <v>5</v>
      </c>
      <c r="E22" s="154"/>
      <c r="F22" s="155"/>
      <c r="G22" s="155"/>
      <c r="H22" s="155"/>
      <c r="I22" s="155"/>
      <c r="J22" s="155"/>
      <c r="K22" s="82"/>
      <c r="L22" s="108" t="s">
        <v>59</v>
      </c>
      <c r="M22" s="109"/>
      <c r="N22" s="89"/>
      <c r="O22" s="56"/>
      <c r="P22" s="8"/>
    </row>
    <row r="23" spans="2:16" x14ac:dyDescent="0.2">
      <c r="B23" s="7"/>
      <c r="C23" s="3"/>
      <c r="D23" s="82" t="s">
        <v>7</v>
      </c>
      <c r="E23" s="90"/>
      <c r="F23" s="91" t="s">
        <v>8</v>
      </c>
      <c r="G23" s="152"/>
      <c r="H23" s="153"/>
      <c r="I23" s="92" t="s">
        <v>9</v>
      </c>
      <c r="J23" s="89" t="s">
        <v>51</v>
      </c>
      <c r="K23" s="82"/>
      <c r="L23" s="85" t="s">
        <v>19</v>
      </c>
      <c r="M23" s="147" t="s">
        <v>65</v>
      </c>
      <c r="N23" s="148"/>
      <c r="O23" s="3"/>
      <c r="P23" s="8"/>
    </row>
    <row r="24" spans="2:16" x14ac:dyDescent="0.2">
      <c r="B24" s="7"/>
      <c r="C24" s="3"/>
      <c r="D24" s="82" t="s">
        <v>20</v>
      </c>
      <c r="E24" s="158"/>
      <c r="F24" s="159"/>
      <c r="G24" s="159"/>
      <c r="H24" s="159"/>
      <c r="I24" s="159"/>
      <c r="J24" s="159"/>
      <c r="K24" s="82"/>
      <c r="L24" s="85" t="s">
        <v>47</v>
      </c>
      <c r="M24" s="149" t="s">
        <v>64</v>
      </c>
      <c r="N24" s="148"/>
      <c r="O24" s="3"/>
      <c r="P24" s="8"/>
    </row>
    <row r="25" spans="2:16" x14ac:dyDescent="0.2">
      <c r="B25" s="7"/>
      <c r="C25" s="3"/>
      <c r="D25" s="82"/>
      <c r="E25" s="82"/>
      <c r="F25" s="82"/>
      <c r="G25" s="82"/>
      <c r="H25" s="82"/>
      <c r="I25" s="82"/>
      <c r="J25" s="82"/>
      <c r="K25" s="82"/>
      <c r="L25" s="82"/>
      <c r="M25" s="82"/>
      <c r="N25" s="82"/>
      <c r="O25" s="3"/>
      <c r="P25" s="8"/>
    </row>
    <row r="26" spans="2:16" x14ac:dyDescent="0.2">
      <c r="B26" s="7"/>
      <c r="C26" s="3"/>
      <c r="D26" s="67" t="s">
        <v>34</v>
      </c>
      <c r="E26" s="51" t="s">
        <v>21</v>
      </c>
      <c r="F26" s="169" t="s">
        <v>22</v>
      </c>
      <c r="G26" s="170"/>
      <c r="H26" s="170"/>
      <c r="I26" s="170"/>
      <c r="J26" s="170"/>
      <c r="K26" s="170"/>
      <c r="L26" s="171"/>
      <c r="M26" s="52" t="s">
        <v>53</v>
      </c>
      <c r="N26" s="115" t="s">
        <v>23</v>
      </c>
      <c r="O26" s="57"/>
      <c r="P26" s="8"/>
    </row>
    <row r="27" spans="2:16" ht="15" x14ac:dyDescent="0.2">
      <c r="B27" s="7"/>
      <c r="C27" s="3"/>
      <c r="D27" s="110"/>
      <c r="E27" s="75"/>
      <c r="F27" s="123"/>
      <c r="G27" s="111"/>
      <c r="H27" s="81"/>
      <c r="I27" s="111"/>
      <c r="J27" s="111"/>
      <c r="K27" s="81"/>
      <c r="L27" s="111"/>
      <c r="M27" s="96"/>
      <c r="N27" s="96"/>
      <c r="O27" s="57"/>
      <c r="P27" s="8"/>
    </row>
    <row r="28" spans="2:16" ht="15.75" x14ac:dyDescent="0.25">
      <c r="B28" s="7"/>
      <c r="C28" s="3"/>
      <c r="D28" s="110"/>
      <c r="E28" s="75"/>
      <c r="F28" s="125"/>
      <c r="G28" s="111"/>
      <c r="H28" s="81"/>
      <c r="I28" s="111"/>
      <c r="J28" s="111"/>
      <c r="K28" s="81"/>
      <c r="L28" s="111"/>
      <c r="M28" s="96"/>
      <c r="N28" s="96"/>
      <c r="O28" s="57"/>
      <c r="P28" s="8"/>
    </row>
    <row r="29" spans="2:16" ht="15" x14ac:dyDescent="0.2">
      <c r="B29" s="7"/>
      <c r="C29" s="3"/>
      <c r="D29" s="110"/>
      <c r="E29" s="75"/>
      <c r="F29" s="117"/>
      <c r="G29" s="111"/>
      <c r="H29" s="81"/>
      <c r="I29" s="111"/>
      <c r="J29" s="111"/>
      <c r="K29" s="81"/>
      <c r="L29" s="111"/>
      <c r="M29" s="96"/>
      <c r="N29" s="96"/>
      <c r="O29" s="57"/>
      <c r="P29" s="8"/>
    </row>
    <row r="30" spans="2:16" ht="18" x14ac:dyDescent="0.25">
      <c r="B30" s="7"/>
      <c r="C30" s="3"/>
      <c r="D30" s="130" t="s">
        <v>61</v>
      </c>
      <c r="E30" s="75">
        <v>35</v>
      </c>
      <c r="F30" s="174" t="s">
        <v>60</v>
      </c>
      <c r="G30" s="111"/>
      <c r="H30" s="81"/>
      <c r="I30" s="111"/>
      <c r="J30" s="111"/>
      <c r="K30" s="81"/>
      <c r="L30" s="111"/>
      <c r="M30" s="96">
        <v>265</v>
      </c>
      <c r="N30" s="96">
        <f t="shared" ref="N30" si="0">E30*M30</f>
        <v>9275</v>
      </c>
      <c r="O30" s="57"/>
      <c r="P30" s="8"/>
    </row>
    <row r="31" spans="2:16" ht="15.75" x14ac:dyDescent="0.25">
      <c r="B31" s="7"/>
      <c r="C31" s="3"/>
      <c r="D31" s="110"/>
      <c r="E31" s="75"/>
      <c r="F31" s="173" t="s">
        <v>66</v>
      </c>
      <c r="G31" s="111"/>
      <c r="H31" s="81"/>
      <c r="I31" s="111"/>
      <c r="J31" s="111"/>
      <c r="K31" s="81"/>
      <c r="L31" s="111"/>
      <c r="M31" s="96"/>
      <c r="N31" s="96"/>
      <c r="O31" s="57"/>
      <c r="P31" s="8"/>
    </row>
    <row r="32" spans="2:16" ht="15.75" x14ac:dyDescent="0.25">
      <c r="B32" s="7"/>
      <c r="C32" s="3"/>
      <c r="D32" s="128"/>
      <c r="E32" s="53"/>
      <c r="F32" s="126"/>
      <c r="G32" s="118"/>
      <c r="H32" s="118"/>
      <c r="I32" s="118"/>
      <c r="J32" s="118"/>
      <c r="K32" s="118"/>
      <c r="L32" s="81"/>
      <c r="M32" s="96"/>
      <c r="N32" s="96"/>
      <c r="O32" s="57"/>
      <c r="P32" s="8"/>
    </row>
    <row r="33" spans="1:16" ht="15" x14ac:dyDescent="0.2">
      <c r="B33" s="7"/>
      <c r="C33" s="3"/>
      <c r="D33" s="94"/>
      <c r="E33" s="53"/>
      <c r="F33" s="131"/>
      <c r="G33" s="118"/>
      <c r="H33" s="118"/>
      <c r="I33" s="118"/>
      <c r="J33" s="118"/>
      <c r="K33" s="118"/>
      <c r="L33" s="81"/>
      <c r="M33" s="96"/>
      <c r="N33" s="96"/>
      <c r="O33" s="57"/>
      <c r="P33" s="8"/>
    </row>
    <row r="34" spans="1:16" ht="15.75" x14ac:dyDescent="0.25">
      <c r="B34" s="7"/>
      <c r="C34" s="3"/>
      <c r="D34" s="128"/>
      <c r="E34" s="53"/>
      <c r="F34" s="126"/>
      <c r="G34" s="118"/>
      <c r="H34" s="118"/>
      <c r="I34" s="118"/>
      <c r="J34" s="118"/>
      <c r="K34" s="118"/>
      <c r="L34" s="81"/>
      <c r="M34" s="96"/>
      <c r="N34" s="96"/>
      <c r="O34" s="57"/>
      <c r="P34" s="8"/>
    </row>
    <row r="35" spans="1:16" ht="15.75" x14ac:dyDescent="0.25">
      <c r="B35" s="7"/>
      <c r="C35" s="3"/>
      <c r="D35" s="110"/>
      <c r="E35" s="75"/>
      <c r="F35" s="129"/>
      <c r="G35" s="111"/>
      <c r="H35" s="81"/>
      <c r="I35" s="111"/>
      <c r="J35" s="111"/>
      <c r="K35" s="81"/>
      <c r="L35" s="111"/>
      <c r="M35" s="96"/>
      <c r="N35" s="96"/>
      <c r="O35" s="57"/>
      <c r="P35" s="8"/>
    </row>
    <row r="36" spans="1:16" ht="15" x14ac:dyDescent="0.2">
      <c r="B36" s="7"/>
      <c r="C36" s="3"/>
      <c r="D36" s="95"/>
      <c r="E36" s="54"/>
      <c r="F36" s="143"/>
      <c r="G36" s="144"/>
      <c r="H36" s="144"/>
      <c r="I36" s="144"/>
      <c r="J36" s="144"/>
      <c r="K36" s="144"/>
      <c r="L36" s="119"/>
      <c r="M36" s="96"/>
      <c r="N36" s="96"/>
      <c r="O36" s="57"/>
      <c r="P36" s="8"/>
    </row>
    <row r="37" spans="1:16" ht="15.75" x14ac:dyDescent="0.25">
      <c r="B37" s="7"/>
      <c r="C37" s="3"/>
      <c r="D37" s="3"/>
      <c r="E37" s="82"/>
      <c r="F37" s="82"/>
      <c r="G37" s="82"/>
      <c r="H37" s="82"/>
      <c r="I37" s="82"/>
      <c r="J37" s="76"/>
      <c r="K37" s="76"/>
      <c r="L37" s="76"/>
      <c r="M37" s="103"/>
      <c r="N37" s="97">
        <f>SUM(N27:N36)</f>
        <v>9275</v>
      </c>
      <c r="O37" s="57"/>
      <c r="P37" s="8"/>
    </row>
    <row r="38" spans="1:16" ht="17.100000000000001" customHeight="1" x14ac:dyDescent="0.2">
      <c r="B38" s="7"/>
      <c r="C38" s="3"/>
      <c r="D38" s="3"/>
      <c r="E38" s="82"/>
      <c r="F38" s="82"/>
      <c r="G38" s="82"/>
      <c r="H38" s="82"/>
      <c r="I38" s="82"/>
      <c r="J38" s="76"/>
      <c r="K38" s="76"/>
      <c r="L38" s="76"/>
      <c r="M38" s="107" t="s">
        <v>46</v>
      </c>
      <c r="N38" s="104">
        <v>1</v>
      </c>
      <c r="O38" s="57"/>
      <c r="P38" s="8"/>
    </row>
    <row r="39" spans="1:16" ht="17.100000000000001" customHeight="1" x14ac:dyDescent="0.2">
      <c r="B39" s="7"/>
      <c r="C39" s="3"/>
      <c r="D39" s="3"/>
      <c r="E39" s="84"/>
      <c r="F39" s="132" t="s">
        <v>24</v>
      </c>
      <c r="G39" s="82"/>
      <c r="H39" s="82"/>
      <c r="I39" s="82"/>
      <c r="J39" s="78"/>
      <c r="K39" s="78"/>
      <c r="L39" s="77"/>
      <c r="M39" s="105">
        <v>0.19</v>
      </c>
      <c r="N39" s="104">
        <f>N37*0.19</f>
        <v>1762.25</v>
      </c>
      <c r="O39" s="57"/>
      <c r="P39" s="8"/>
    </row>
    <row r="40" spans="1:16" ht="15.75" x14ac:dyDescent="0.25">
      <c r="B40" s="7"/>
      <c r="C40" s="3"/>
      <c r="D40" s="3"/>
      <c r="E40" s="86"/>
      <c r="F40" s="127" t="s">
        <v>25</v>
      </c>
      <c r="G40" s="88"/>
      <c r="H40" s="86"/>
      <c r="I40" s="82"/>
      <c r="J40" s="79"/>
      <c r="K40" s="76"/>
      <c r="L40" s="76"/>
      <c r="M40" s="106" t="s">
        <v>27</v>
      </c>
      <c r="N40" s="97">
        <f>+N37+N38+N39</f>
        <v>11038.25</v>
      </c>
      <c r="O40" s="57"/>
      <c r="P40" s="8"/>
    </row>
    <row r="41" spans="1:16" ht="15" customHeight="1" x14ac:dyDescent="0.2">
      <c r="B41" s="7"/>
      <c r="C41" s="3"/>
      <c r="D41" s="3"/>
      <c r="E41" s="86">
        <v>1</v>
      </c>
      <c r="F41" s="108" t="s">
        <v>55</v>
      </c>
      <c r="G41" s="82"/>
      <c r="H41" s="87"/>
      <c r="I41" s="82"/>
      <c r="J41" s="80" t="s">
        <v>26</v>
      </c>
      <c r="K41" s="76"/>
      <c r="L41" s="76"/>
      <c r="M41" s="100"/>
      <c r="N41" s="101"/>
      <c r="O41" s="57"/>
      <c r="P41" s="8"/>
    </row>
    <row r="42" spans="1:16" ht="15" customHeight="1" x14ac:dyDescent="0.2">
      <c r="B42" s="7"/>
      <c r="C42" s="3"/>
      <c r="D42" s="3"/>
      <c r="E42" s="86"/>
      <c r="F42" s="108"/>
      <c r="G42" s="82"/>
      <c r="H42" s="87"/>
      <c r="I42" s="82"/>
      <c r="J42" s="80"/>
      <c r="K42" s="76"/>
      <c r="L42" s="76"/>
      <c r="M42" s="98" t="s">
        <v>56</v>
      </c>
      <c r="N42" s="101"/>
      <c r="O42" s="57"/>
      <c r="P42" s="8"/>
    </row>
    <row r="43" spans="1:16" ht="15" customHeight="1" x14ac:dyDescent="0.2">
      <c r="B43" s="7"/>
      <c r="C43" s="3"/>
      <c r="D43" s="3"/>
      <c r="E43" s="83"/>
      <c r="F43" s="83"/>
      <c r="G43" s="82"/>
      <c r="H43" s="83"/>
      <c r="I43" s="82"/>
      <c r="J43" s="80" t="s">
        <v>26</v>
      </c>
      <c r="K43" s="76"/>
      <c r="L43" s="99"/>
      <c r="M43" s="102"/>
      <c r="N43" s="102"/>
      <c r="O43" s="57"/>
      <c r="P43" s="8"/>
    </row>
    <row r="44" spans="1:16" ht="15" x14ac:dyDescent="0.2">
      <c r="B44" s="7"/>
      <c r="C44" s="172"/>
      <c r="D44" s="172"/>
      <c r="E44" s="172"/>
      <c r="F44" s="172"/>
      <c r="G44" s="172"/>
      <c r="H44" s="172"/>
      <c r="I44" s="172"/>
      <c r="J44" s="172"/>
      <c r="K44" s="172"/>
      <c r="L44" s="172"/>
      <c r="M44" s="99"/>
      <c r="N44" s="101"/>
      <c r="O44" s="57"/>
      <c r="P44" s="8"/>
    </row>
    <row r="45" spans="1:16" ht="15.75" x14ac:dyDescent="0.2">
      <c r="B45" s="7"/>
      <c r="C45" s="3"/>
      <c r="D45" s="3"/>
      <c r="E45" s="18"/>
      <c r="F45" s="160"/>
      <c r="G45" s="160"/>
      <c r="H45" s="160"/>
      <c r="I45" s="160"/>
      <c r="J45" s="78"/>
      <c r="K45" s="99"/>
      <c r="L45" s="98"/>
      <c r="M45" s="98"/>
      <c r="N45" s="98"/>
      <c r="O45" s="57"/>
      <c r="P45" s="8"/>
    </row>
    <row r="46" spans="1:16" ht="15.75" x14ac:dyDescent="0.2">
      <c r="B46" s="7"/>
      <c r="C46" s="3"/>
      <c r="D46" s="3"/>
      <c r="E46" s="18"/>
      <c r="F46" s="124" t="s">
        <v>54</v>
      </c>
      <c r="G46" s="124"/>
      <c r="H46" s="124"/>
      <c r="I46" s="124"/>
      <c r="J46" s="124"/>
      <c r="K46" s="124"/>
      <c r="L46" s="124"/>
      <c r="M46" s="98"/>
      <c r="N46" s="98"/>
      <c r="O46" s="57"/>
      <c r="P46" s="8"/>
    </row>
    <row r="47" spans="1:16" ht="15" customHeight="1" thickBot="1" x14ac:dyDescent="0.25">
      <c r="B47" s="7"/>
      <c r="C47" s="3"/>
      <c r="D47" s="3"/>
      <c r="E47" s="122" t="s">
        <v>58</v>
      </c>
      <c r="F47" s="124"/>
      <c r="G47" s="124"/>
      <c r="H47" s="124"/>
      <c r="I47" s="124"/>
      <c r="J47" s="124"/>
      <c r="K47" s="124"/>
      <c r="L47" s="124"/>
      <c r="M47" s="122"/>
      <c r="N47" s="98"/>
      <c r="O47" s="57"/>
      <c r="P47" s="8"/>
    </row>
    <row r="48" spans="1:16" ht="15" customHeight="1" thickTop="1" x14ac:dyDescent="0.2">
      <c r="A48" s="116"/>
      <c r="B48" s="7"/>
      <c r="C48" s="3"/>
      <c r="D48" s="3"/>
      <c r="E48" s="18"/>
      <c r="F48" s="124"/>
      <c r="G48" s="124"/>
      <c r="H48" s="124"/>
      <c r="I48" s="124"/>
      <c r="J48" s="124"/>
      <c r="K48" s="124"/>
      <c r="L48" s="124"/>
      <c r="M48" s="98"/>
      <c r="N48" s="98"/>
      <c r="O48" s="57"/>
      <c r="P48" s="8"/>
    </row>
    <row r="49" spans="1:16" ht="12.75" customHeight="1" x14ac:dyDescent="0.2">
      <c r="A49" s="121"/>
      <c r="B49" s="7"/>
      <c r="C49" s="3"/>
      <c r="D49" s="3"/>
      <c r="E49" s="161" t="s">
        <v>57</v>
      </c>
      <c r="F49" s="161"/>
      <c r="G49" s="161"/>
      <c r="H49" s="161"/>
      <c r="I49" s="161"/>
      <c r="J49" s="161"/>
      <c r="K49" s="161"/>
      <c r="L49" s="161"/>
      <c r="M49" s="161"/>
      <c r="N49" s="98"/>
      <c r="O49" s="57"/>
      <c r="P49" s="8"/>
    </row>
    <row r="50" spans="1:16" ht="3" customHeight="1" x14ac:dyDescent="0.2">
      <c r="A50" s="121"/>
      <c r="B50" s="7"/>
      <c r="C50" s="3"/>
      <c r="D50" s="3"/>
      <c r="E50" s="161"/>
      <c r="F50" s="161"/>
      <c r="G50" s="161"/>
      <c r="H50" s="161"/>
      <c r="I50" s="161"/>
      <c r="J50" s="161"/>
      <c r="K50" s="161"/>
      <c r="L50" s="161"/>
      <c r="M50" s="161"/>
      <c r="N50" s="98"/>
      <c r="O50" s="57"/>
      <c r="P50" s="8"/>
    </row>
    <row r="51" spans="1:16" ht="13.5" thickBot="1" x14ac:dyDescent="0.25">
      <c r="A51" s="121"/>
      <c r="B51" s="7"/>
      <c r="C51" s="120"/>
      <c r="D51" s="120"/>
      <c r="E51" s="121"/>
      <c r="F51" s="121"/>
      <c r="G51" s="121"/>
      <c r="H51" s="162"/>
      <c r="I51" s="162"/>
      <c r="J51" s="162"/>
      <c r="K51" s="162"/>
      <c r="L51" s="162"/>
      <c r="M51" s="121"/>
      <c r="N51" s="121"/>
      <c r="O51" s="57"/>
      <c r="P51" s="8"/>
    </row>
    <row r="52" spans="1:16" ht="13.5" thickTop="1" x14ac:dyDescent="0.2">
      <c r="A52" s="121"/>
      <c r="B52" s="58"/>
      <c r="C52" s="58"/>
      <c r="D52" s="58"/>
      <c r="E52" s="58"/>
      <c r="F52" s="58"/>
      <c r="G52" s="58"/>
      <c r="H52" s="58"/>
      <c r="I52" s="58"/>
      <c r="J52" s="58"/>
      <c r="K52" s="58"/>
      <c r="L52" s="58"/>
      <c r="M52" s="58"/>
      <c r="N52" s="58"/>
      <c r="O52" s="57"/>
      <c r="P52" s="8"/>
    </row>
    <row r="54" spans="1:16" ht="12.75" customHeight="1" x14ac:dyDescent="0.2"/>
  </sheetData>
  <scenarios current="0">
    <scenario name="sample1" locked="1" count="10" user="Nickte" comment="Created by Nickte on 23/10/96">
      <inputCells r="E21" val="M. Antoine CIVAUX"/>
      <inputCells r="E22" val="34, route de Marseille"/>
      <inputCells r="E23" val="84000"/>
      <inputCells r="E24" val="04.90.26.45.78"/>
      <inputCells r="G23" val="Avignon"/>
      <inputCells r="J23" val="France"/>
      <inputCells r="M21" val="35343" numFmtId="14"/>
      <inputCells r="M22" val="452"/>
      <inputCells r="M23" val="T. Farot"/>
      <inputCells r="M24" val="Le Havre"/>
    </scenario>
  </scenarios>
  <mergeCells count="17">
    <mergeCell ref="F45:I45"/>
    <mergeCell ref="E49:M50"/>
    <mergeCell ref="H51:L51"/>
    <mergeCell ref="M17:N19"/>
    <mergeCell ref="F26:L26"/>
    <mergeCell ref="C44:L44"/>
    <mergeCell ref="H14:L15"/>
    <mergeCell ref="M9:N9"/>
    <mergeCell ref="F36:K36"/>
    <mergeCell ref="M21:N21"/>
    <mergeCell ref="M23:N23"/>
    <mergeCell ref="M24:N24"/>
    <mergeCell ref="M13:N13"/>
    <mergeCell ref="G23:H23"/>
    <mergeCell ref="E22:J22"/>
    <mergeCell ref="E21:J21"/>
    <mergeCell ref="E24:J24"/>
  </mergeCells>
  <phoneticPr fontId="0" type="noConversion"/>
  <dataValidations xWindow="303" yWindow="586" count="12">
    <dataValidation type="textLength" errorStyle="warning" allowBlank="1" showErrorMessage="1" errorTitle="Sous-total" error="Les cellules ombrées contiennent des formules et sont calculées automatiquement par Excel. N'y tapez aucune information." promptTitle="Sous-total" sqref="N37">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N38">
      <formula1>0</formula1>
      <formula2>0</formula2>
    </dataValidation>
    <dataValidation allowBlank="1" showErrorMessage="1" sqref="G23:H23"/>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N39 N41:N42">
      <formula1>0</formula1>
      <formula2>0</formula2>
    </dataValidation>
    <dataValidation type="textLength" errorStyle="warning" allowBlank="1" showErrorMessage="1" errorTitle="T.V.A." error="Les cellules ombrées contiennent des formules et sont calculées automatiquement par Excel. N'y tapez aucune information." promptTitle="T.V.A." sqref="M39 M41">
      <formula1>0</formula1>
      <formula2>0</formula2>
    </dataValidation>
    <dataValidation type="textLength" errorStyle="warning" allowBlank="1" showErrorMessage="1" errorTitle="Total" error="Les cellules ombrées contiennent des formules et sont calculées automatiquement par Excel. N'y tapez aucune information." promptTitle="Total" sqref="N44 N40">
      <formula1>0</formula1>
      <formula2>0</formula2>
    </dataValidation>
    <dataValidation errorStyle="warning" allowBlank="1" showInputMessage="1" errorTitle="Numéro de carte de crédit" promptTitle="Numéro de carte de crédit" prompt="Tapez ici le numéro de carte de crédit du client" sqref="F45:F46"/>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M42"/>
    <dataValidation type="textLength" allowBlank="1" showErrorMessage="1" errorTitle="Cellules ombrées" error="Les cellules ombrées contiennent des formules et sont calculées automatiquement par Excel. N'y tapez aucune information." promptTitle="Cellules ombrées" sqref="N27">
      <formula1>0</formula1>
      <formula2>0</formula2>
    </dataValidation>
    <dataValidation type="decimal" allowBlank="1" showErrorMessage="1" errorTitle="Prix unitaire" error="Tapez un nombre dans cette cellule." promptTitle="Prix unitaire" sqref="M27:M31 N28:N31 M32:N36">
      <formula1>0</formula1>
      <formula2>1000000000</formula2>
    </dataValidation>
    <dataValidation type="list" allowBlank="1" showInputMessage="1" showErrorMessage="1" errorTitle="Code TVA" error="Tapez 1, 2, ou 3." sqref="L27:L36">
      <formula1>"1,2,3"</formula1>
    </dataValidation>
    <dataValidation type="whole" errorStyle="warning" allowBlank="1" showErrorMessage="1" errorTitle="Quantité" error="Tapez un nombre dans cette cellule." promptTitle="Quantité" sqref="E27:E36">
      <formula1>0</formula1>
      <formula2>1000000000</formula2>
    </dataValidation>
  </dataValidations>
  <printOptions horizontalCentered="1"/>
  <pageMargins left="0.51181102362204722" right="0.51181102362204722" top="0.51181102362204722" bottom="0.51181102362204722" header="0.51181102362204722" footer="0.51181102362204722"/>
  <pageSetup paperSize="9" scale="79" orientation="portrait"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2059" r:id="rId4" name="CUST">
              <controlPr defaultSize="0" print="0" autoFill="0" autoLine="0" autoPict="0" macro="[0]!Customize">
                <anchor moveWithCells="1" sizeWithCells="1">
                  <from>
                    <xdr:col>12</xdr:col>
                    <xdr:colOff>485775</xdr:colOff>
                    <xdr:row>14</xdr:row>
                    <xdr:rowOff>0</xdr:rowOff>
                  </from>
                  <to>
                    <xdr:col>13</xdr:col>
                    <xdr:colOff>714375</xdr:colOff>
                    <xdr:row>15</xdr:row>
                    <xdr:rowOff>47625</xdr:rowOff>
                  </to>
                </anchor>
              </controlPr>
            </control>
          </mc:Choice>
        </mc:AlternateContent>
        <mc:AlternateContent xmlns:mc="http://schemas.openxmlformats.org/markup-compatibility/2006">
          <mc:Choice Requires="x14">
            <control shapeId="2061" r:id="rId5" name="pd1">
              <controlPr defaultSize="0" autoFill="0" autoLine="0" autoPict="0" macro="[0]!INV_Payments">
                <anchor moveWithCells="1">
                  <from>
                    <xdr:col>4</xdr:col>
                    <xdr:colOff>400050</xdr:colOff>
                    <xdr:row>37</xdr:row>
                    <xdr:rowOff>152400</xdr:rowOff>
                  </from>
                  <to>
                    <xdr:col>4</xdr:col>
                    <xdr:colOff>695325</xdr:colOff>
                    <xdr:row>38</xdr:row>
                    <xdr:rowOff>152400</xdr:rowOff>
                  </to>
                </anchor>
              </controlPr>
            </control>
          </mc:Choice>
        </mc:AlternateContent>
        <mc:AlternateContent xmlns:mc="http://schemas.openxmlformats.org/markup-compatibility/2006">
          <mc:Choice Requires="x14">
            <control shapeId="2062" r:id="rId6" name="pd3">
              <controlPr defaultSize="0" autoFill="0" autoLine="0" autoPict="0" macro="[0]!INV_Payments">
                <anchor moveWithCells="1">
                  <from>
                    <xdr:col>4</xdr:col>
                    <xdr:colOff>400050</xdr:colOff>
                    <xdr:row>39</xdr:row>
                    <xdr:rowOff>0</xdr:rowOff>
                  </from>
                  <to>
                    <xdr:col>4</xdr:col>
                    <xdr:colOff>704850</xdr:colOff>
                    <xdr:row>40</xdr:row>
                    <xdr:rowOff>19050</xdr:rowOff>
                  </to>
                </anchor>
              </controlPr>
            </control>
          </mc:Choice>
        </mc:AlternateContent>
        <mc:AlternateContent xmlns:mc="http://schemas.openxmlformats.org/markup-compatibility/2006">
          <mc:Choice Requires="x14">
            <control shapeId="2071" r:id="rId7" name="pd2">
              <controlPr defaultSize="0" autoFill="0" autoLine="0" autoPict="0" macro="[0]!INV_Payments">
                <anchor moveWithCells="1">
                  <from>
                    <xdr:col>4</xdr:col>
                    <xdr:colOff>409575</xdr:colOff>
                    <xdr:row>40</xdr:row>
                    <xdr:rowOff>28575</xdr:rowOff>
                  </from>
                  <to>
                    <xdr:col>4</xdr:col>
                    <xdr:colOff>714375</xdr:colOff>
                    <xdr:row>41</xdr:row>
                    <xdr:rowOff>57150</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95"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95" workbookViewId="0">
      <selection activeCell="E22" sqref="E22"/>
    </sheetView>
  </sheetViews>
  <sheetFormatPr baseColWidth="10" defaultColWidth="9.140625" defaultRowHeight="12.75" x14ac:dyDescent="0.2"/>
  <cols>
    <col min="1" max="16384" width="9.140625" style="68"/>
  </cols>
  <sheetData>
    <row r="1" spans="1:11" x14ac:dyDescent="0.2">
      <c r="A1" s="68" t="s">
        <v>28</v>
      </c>
    </row>
    <row r="2" spans="1:11" x14ac:dyDescent="0.2">
      <c r="A2" s="68" t="s">
        <v>35</v>
      </c>
      <c r="B2" s="68" t="s">
        <v>29</v>
      </c>
    </row>
    <row r="3" spans="1:11" x14ac:dyDescent="0.2">
      <c r="A3" s="68" t="s">
        <v>36</v>
      </c>
      <c r="B3" s="68" t="s">
        <v>43</v>
      </c>
    </row>
    <row r="4" spans="1:11" x14ac:dyDescent="0.2">
      <c r="A4" s="68" t="s">
        <v>30</v>
      </c>
    </row>
    <row r="5" spans="1:11" x14ac:dyDescent="0.2">
      <c r="A5" s="68" t="s">
        <v>37</v>
      </c>
      <c r="B5" s="68">
        <v>1</v>
      </c>
    </row>
    <row r="6" spans="1:11" x14ac:dyDescent="0.2">
      <c r="A6" s="68">
        <v>1</v>
      </c>
      <c r="B6" s="68" t="s">
        <v>38</v>
      </c>
      <c r="C6" s="68" t="s">
        <v>42</v>
      </c>
      <c r="D6" s="68" t="s">
        <v>39</v>
      </c>
      <c r="E6" s="68">
        <v>10</v>
      </c>
      <c r="G6" s="68">
        <v>-1383939328</v>
      </c>
    </row>
    <row r="7" spans="1:11" x14ac:dyDescent="0.2">
      <c r="A7" s="68" t="s">
        <v>40</v>
      </c>
      <c r="B7" s="68" t="s">
        <v>31</v>
      </c>
      <c r="C7" s="68" t="s">
        <v>18</v>
      </c>
      <c r="D7" s="68" t="s">
        <v>3</v>
      </c>
      <c r="E7" s="68" t="s">
        <v>5</v>
      </c>
      <c r="F7" s="68" t="s">
        <v>7</v>
      </c>
      <c r="G7" s="68" t="s">
        <v>8</v>
      </c>
      <c r="H7" s="68" t="s">
        <v>9</v>
      </c>
      <c r="I7" s="68" t="s">
        <v>20</v>
      </c>
      <c r="J7" s="68" t="s">
        <v>32</v>
      </c>
      <c r="K7" s="68" t="s">
        <v>19</v>
      </c>
    </row>
    <row r="8" spans="1:11" x14ac:dyDescent="0.2">
      <c r="A8" s="68" t="s">
        <v>41</v>
      </c>
      <c r="B8" s="69" t="e">
        <f>Facture!#REF!</f>
        <v>#REF!</v>
      </c>
      <c r="C8" s="70">
        <f>Facture!$M$21</f>
        <v>45785</v>
      </c>
      <c r="D8" s="71" t="str">
        <f>Facture!$E$21</f>
        <v>COMOD</v>
      </c>
      <c r="E8" s="68">
        <f>Facture!$E$22</f>
        <v>0</v>
      </c>
      <c r="F8" s="68">
        <f>Facture!$E$23</f>
        <v>0</v>
      </c>
      <c r="G8" s="71">
        <f>Facture!$G$23</f>
        <v>0</v>
      </c>
      <c r="H8" s="71" t="str">
        <f>Facture!$J$23</f>
        <v>TN</v>
      </c>
      <c r="I8" s="68">
        <f>Facture!$E$24</f>
        <v>0</v>
      </c>
      <c r="J8" s="72">
        <f>Facture!$N$40</f>
        <v>11038.25</v>
      </c>
      <c r="K8" s="68" t="str">
        <f>Facture!$M$23</f>
        <v xml:space="preserve">service achat </v>
      </c>
    </row>
    <row r="9" spans="1:11" x14ac:dyDescent="0.2">
      <c r="A9" s="68" t="s">
        <v>30</v>
      </c>
    </row>
    <row r="10" spans="1:11" x14ac:dyDescent="0.2">
      <c r="G10" s="68">
        <v>-1261995520</v>
      </c>
    </row>
    <row r="14" spans="1:11" x14ac:dyDescent="0.2">
      <c r="G14" s="68">
        <v>-462007040</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68</vt:i4>
      </vt:variant>
    </vt:vector>
  </HeadingPairs>
  <TitlesOfParts>
    <vt:vector size="72" baseType="lpstr">
      <vt:lpstr>Personnaliser votre facture</vt:lpstr>
      <vt:lpstr>Facture</vt:lpstr>
      <vt:lpstr>Patientez un instant...</vt:lpstr>
      <vt:lpstr>TemplateInformation</vt:lpstr>
      <vt:lpstr>_SHR1</vt:lpstr>
      <vt:lpstr>_SHR2</vt:lpstr>
      <vt:lpstr>_Tax2</vt:lpstr>
      <vt:lpstr>_Tax3</vt:lpstr>
      <vt:lpstr>_tax4</vt:lpstr>
      <vt:lpstr>Auto_ouvrir21</vt:lpstr>
      <vt:lpstr>boxes</vt:lpstr>
      <vt:lpstr>CC</vt:lpstr>
      <vt:lpstr>CCT</vt:lpstr>
      <vt:lpstr>CDB</vt:lpstr>
      <vt:lpstr>CS</vt:lpstr>
      <vt:lpstr>data1</vt:lpstr>
      <vt:lpstr>data10</vt:lpstr>
      <vt:lpstr>data2</vt:lpstr>
      <vt:lpstr>data3</vt:lpstr>
      <vt:lpstr>data4</vt:lpstr>
      <vt:lpstr>data5</vt:lpstr>
      <vt:lpstr>data59</vt:lpstr>
      <vt:lpstr>data6</vt:lpstr>
      <vt:lpstr>data60</vt:lpstr>
      <vt:lpstr>data61</vt:lpstr>
      <vt:lpstr>data62</vt:lpstr>
      <vt:lpstr>data63</vt:lpstr>
      <vt:lpstr>data64</vt:lpstr>
      <vt:lpstr>data65</vt:lpstr>
      <vt:lpstr>data66</vt:lpstr>
      <vt:lpstr>data67</vt:lpstr>
      <vt:lpstr>data68</vt:lpstr>
      <vt:lpstr>data69</vt:lpstr>
      <vt:lpstr>data7</vt:lpstr>
      <vt:lpstr>data8</vt:lpstr>
      <vt:lpstr>dflt1</vt:lpstr>
      <vt:lpstr>dflt2</vt:lpstr>
      <vt:lpstr>dflt3</vt:lpstr>
      <vt:lpstr>dflt4</vt:lpstr>
      <vt:lpstr>dflt5</vt:lpstr>
      <vt:lpstr>dflt6</vt:lpstr>
      <vt:lpstr>dflt7</vt:lpstr>
      <vt:lpstr>display_area_1</vt:lpstr>
      <vt:lpstr>display_area_2</vt:lpstr>
      <vt:lpstr>LOC</vt:lpstr>
      <vt:lpstr>LTR</vt:lpstr>
      <vt:lpstr>NS</vt:lpstr>
      <vt:lpstr>qzqzqz1</vt:lpstr>
      <vt:lpstr>qzqzqz2</vt:lpstr>
      <vt:lpstr>qzqzqz25</vt:lpstr>
      <vt:lpstr>qzqzqz26</vt:lpstr>
      <vt:lpstr>qzqzqz28</vt:lpstr>
      <vt:lpstr>qzqzqz29</vt:lpstr>
      <vt:lpstr>qzqzqz3</vt:lpstr>
      <vt:lpstr>qzqzqz30</vt:lpstr>
      <vt:lpstr>qzqzqz31</vt:lpstr>
      <vt:lpstr>qzqzqz32</vt:lpstr>
      <vt:lpstr>qzqzqz4</vt:lpstr>
      <vt:lpstr>qzqzqz5</vt:lpstr>
      <vt:lpstr>qzqzqz6</vt:lpstr>
      <vt:lpstr>qzqzqz7</vt:lpstr>
      <vt:lpstr>qzqzqz8</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2022-09-15T13:33:57Z</cp:lastPrinted>
  <dcterms:created xsi:type="dcterms:W3CDTF">1995-05-29T15:50:39Z</dcterms:created>
  <dcterms:modified xsi:type="dcterms:W3CDTF">2025-05-08T09:01:59Z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#REF!</vt:lpwstr>
  </property>
  <property fmtid="{D5CDD505-2E9C-101B-9397-08002B2CF9AE}" pid="3" name="Nom de la société" linkTarget="vital1">
    <vt:lpwstr>GAMESTREAM ATLAS  ORGANISME DE FORMATION N° D'AGREMENT : 01 069 11 </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COMOD</vt:lpwstr>
  </property>
  <property fmtid="{D5CDD505-2E9C-101B-9397-08002B2CF9AE}" pid="11" name="Montant de la facture" linkTarget="TOT">
    <vt:r8>11038.25</vt:r8>
  </property>
</Properties>
</file>