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Facture!#REF!</definedName>
    <definedName name="data64">Facture!#REF!</definedName>
    <definedName name="data65">Facture!$H$43</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Facture!$F$46:$I$46</definedName>
    <definedName name="qzqzqz29">Facture!$L$48:$M$50</definedName>
    <definedName name="qzqzqz3">Facture!$E$23:$J$23</definedName>
    <definedName name="qzqzqz30">Facture!$G$47:$I$47</definedName>
    <definedName name="qzqzqz31">Facture!$G$47:$H$47</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Facture!$A$1:$N$56</definedName>
  </definedNames>
  <calcPr calcId="152511"/>
</workbook>
</file>

<file path=xl/calcChain.xml><?xml version="1.0" encoding="utf-8"?>
<calcChain xmlns="http://schemas.openxmlformats.org/spreadsheetml/2006/main">
  <c r="M45" i="3" l="1"/>
  <c r="M33" i="3"/>
  <c r="M31" i="3"/>
  <c r="M41" i="3" l="1"/>
  <c r="M42" i="3" l="1"/>
  <c r="M44"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<sst xmlns="http://schemas.openxmlformats.org/spreadsheetml/2006/main" count="85" uniqueCount="75">
  <si>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</si>
  <si>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</si>
  <si>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</si>
  <si>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</si>
  <si>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</si>
  <si>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</si>
  <si>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</si>
  <si>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</si>
  <si>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</si>
  <si>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</si>
  <si>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</si>
  <si>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</si>
  <si>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</si>
  <si>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</si>
  <si>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</si>
  <si>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</si>
  <si>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</si>
  <si>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</si>
  <si>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</si>
  <si>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</si>
  <si>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</si>
  <si>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</si>
  <si>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</si>
  <si>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</si>
  <si>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</si>
  <si>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</si>
  <si>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</si>
  <si>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</si>
  <si>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</si>
  <si>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</si>
  <si>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</si>
  <si>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</si>
  <si>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</si>
  <si>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</si>
  <si>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</si>
  <si>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</si>
  <si>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</si>
  <si>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</si>
  <si>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</si>
  <si>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</si>
  <si>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</si>
  <si>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</si>
  <si>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</si>
  <si>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</si>
  <si>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</si>
  <si>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</si>
  <si>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</si>
  <si>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</si>
  <si>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</si>
  <si>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</si>
  <si>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</si>
  <si>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</si>
  <si>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</si>
  <si>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</si>
  <si>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</si>
  <si>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</si>
  <si>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</si>
  <si>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</si>
  <si>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</si>
  <si>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</si>
  <si>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</si>
  <si>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N° Commande </t>
  </si>
  <si>
    <t>MF</t>
  </si>
  <si>
    <t xml:space="preserve">Pays      TN </t>
  </si>
  <si>
    <t xml:space="preserve">Virement </t>
  </si>
  <si>
    <t xml:space="preserve">Avenue Habib mellouli </t>
  </si>
  <si>
    <t>4586 H A M 000</t>
  </si>
  <si>
    <t>L'EPI D'OR</t>
  </si>
  <si>
    <t>Nettoyage sous-vide pâte spéciale </t>
  </si>
  <si>
    <t>MACHINE N°2 :</t>
  </si>
  <si>
    <t xml:space="preserve">MACHINE N°1 : </t>
  </si>
  <si>
    <t>le nettoyage et le montage du circuit </t>
  </si>
  <si>
    <t>NOTRE intervention comprend le démontage</t>
  </si>
  <si>
    <t>DEVIS   N°2025-397</t>
  </si>
  <si>
    <t>Mlle Fatma GHAOUI</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</si>
</sst>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b/>
      <sz val="18"/>
      <color theme="1"/>
      <name val="Arial"/>
      <family val="2"/>
    </font>
    <font>
      <b/>
      <sz val="20"/>
      <color theme="1"/>
      <name val="Arial"/>
      <family val="2"/>
    </font>
    <font>
      <sz val="11"/>
      <color rgb="FF0070C0"/>
      <name val="Arial"/>
      <family val="2"/>
    </font>
    <font>
      <b/>
      <sz val="26"/>
      <name val="Arial"/>
      <family val="2"/>
    </font>
    <font>
      <sz val="18"/>
      <name val="Arial"/>
      <family val="2"/>
    </font>
    <font>
      <b/>
      <u/>
      <sz val="16"/>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39" xfId="0" applyFont="1" applyFill="1" applyBorder="1" applyAlignment="1">
      <alignment horizontal="center" vertical="center"/>
    </xf>
    <xf numFmtId="0" fontId="29" fillId="0" borderId="0" xfId="0" applyFont="1" applyFill="1" applyBorder="1" applyAlignment="1">
      <alignment horizontal="left"/>
    </xf>
    <xf numFmtId="0" fontId="19" fillId="0" borderId="0" xfId="0" applyFont="1" applyFill="1" applyBorder="1" applyAlignment="1"/>
    <xf numFmtId="49" fontId="19" fillId="0" borderId="0" xfId="0" applyNumberFormat="1" applyFont="1" applyFill="1" applyBorder="1" applyAlignment="1"/>
    <xf numFmtId="49" fontId="35" fillId="0" borderId="0" xfId="5" applyNumberFormat="1" applyFill="1" applyBorder="1" applyAlignment="1"/>
    <xf numFmtId="49" fontId="35" fillId="0" borderId="38" xfId="5" applyNumberFormat="1" applyFill="1" applyBorder="1" applyAlignment="1"/>
    <xf numFmtId="0" fontId="0" fillId="6" borderId="0" xfId="0" applyFill="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3" xfId="0" applyNumberFormat="1" applyFont="1" applyFill="1" applyBorder="1" applyAlignment="1">
      <alignment horizontal="left"/>
    </xf>
    <xf numFmtId="0" fontId="38" fillId="3" borderId="34" xfId="0" applyFont="1" applyFill="1" applyBorder="1" applyAlignment="1">
      <alignment horizontal="left"/>
    </xf>
    <xf numFmtId="0" fontId="38" fillId="3" borderId="34" xfId="0" applyFont="1" applyFill="1" applyBorder="1" applyAlignment="1"/>
    <xf numFmtId="0" fontId="37" fillId="3" borderId="34" xfId="0" applyFont="1" applyFill="1" applyBorder="1" applyAlignment="1"/>
    <xf numFmtId="0" fontId="23" fillId="0" borderId="49" xfId="0" applyFont="1" applyFill="1" applyBorder="1" applyAlignment="1">
      <alignment horizontal="center"/>
    </xf>
    <xf numFmtId="1" fontId="27" fillId="0" borderId="44" xfId="0" applyNumberFormat="1" applyFont="1" applyFill="1" applyBorder="1" applyAlignment="1">
      <alignment horizontal="center"/>
    </xf>
    <xf numFmtId="49" fontId="35" fillId="0" borderId="46" xfId="5" applyNumberFormat="1" applyFill="1" applyBorder="1" applyAlignment="1"/>
    <xf numFmtId="49" fontId="35" fillId="0" borderId="47" xfId="5" applyNumberFormat="1" applyFill="1" applyBorder="1" applyAlignment="1"/>
    <xf numFmtId="0" fontId="39" fillId="0" borderId="0" xfId="0" applyFont="1" applyFill="1" applyBorder="1" applyAlignment="1">
      <alignment horizontal="left"/>
    </xf>
    <xf numFmtId="0" fontId="39" fillId="0" borderId="0" xfId="0" applyFont="1" applyFill="1" applyBorder="1" applyAlignment="1">
      <alignment vertical="top"/>
    </xf>
    <xf numFmtId="0" fontId="25" fillId="0" borderId="51" xfId="0" applyFont="1" applyFill="1" applyBorder="1" applyAlignment="1">
      <alignment horizontal="right"/>
    </xf>
    <xf numFmtId="10" fontId="25" fillId="0" borderId="52" xfId="0" quotePrefix="1" applyNumberFormat="1" applyFont="1" applyFill="1" applyBorder="1" applyAlignment="1">
      <alignment horizontal="center"/>
    </xf>
    <xf numFmtId="168" fontId="26" fillId="0" borderId="50" xfId="0" applyNumberFormat="1" applyFont="1" applyFill="1" applyBorder="1" applyAlignment="1">
      <alignment shrinkToFit="1"/>
    </xf>
    <xf numFmtId="168" fontId="27" fillId="0" borderId="38" xfId="0" applyNumberFormat="1" applyFont="1" applyFill="1" applyBorder="1" applyAlignment="1"/>
    <xf numFmtId="168" fontId="27" fillId="0" borderId="47" xfId="0" applyNumberFormat="1" applyFont="1" applyFill="1" applyBorder="1" applyAlignment="1"/>
    <xf numFmtId="0" fontId="0" fillId="6" borderId="46" xfId="0" applyFill="1" applyBorder="1"/>
    <xf numFmtId="49" fontId="33" fillId="0" borderId="0" xfId="0" applyNumberFormat="1" applyFont="1" applyFill="1" applyBorder="1" applyAlignment="1"/>
    <xf numFmtId="49" fontId="33" fillId="0" borderId="53" xfId="0" applyNumberFormat="1" applyFont="1" applyFill="1" applyBorder="1" applyAlignment="1">
      <alignment wrapText="1"/>
    </xf>
    <xf numFmtId="49" fontId="33" fillId="0" borderId="48" xfId="0" applyNumberFormat="1" applyFont="1" applyFill="1" applyBorder="1" applyAlignment="1">
      <alignment wrapText="1"/>
    </xf>
    <xf numFmtId="49" fontId="33" fillId="0" borderId="45" xfId="0" applyNumberFormat="1" applyFont="1" applyFill="1" applyBorder="1" applyAlignment="1">
      <alignment wrapText="1"/>
    </xf>
    <xf numFmtId="49" fontId="33" fillId="0" borderId="28" xfId="0" applyNumberFormat="1" applyFont="1" applyFill="1" applyBorder="1" applyAlignment="1">
      <alignment wrapText="1"/>
    </xf>
    <xf numFmtId="49" fontId="33" fillId="0" borderId="0" xfId="0" applyNumberFormat="1" applyFont="1" applyFill="1" applyBorder="1" applyAlignment="1">
      <alignment wrapText="1"/>
    </xf>
    <xf numFmtId="49" fontId="33" fillId="0" borderId="38" xfId="0" applyNumberFormat="1" applyFont="1" applyFill="1" applyBorder="1" applyAlignment="1">
      <alignment wrapText="1"/>
    </xf>
    <xf numFmtId="0" fontId="20" fillId="0" borderId="0" xfId="0" applyFont="1" applyFill="1" applyBorder="1" applyAlignment="1">
      <alignment horizontal="center" vertical="center" wrapText="1"/>
    </xf>
    <xf numFmtId="0" fontId="30" fillId="3" borderId="0" xfId="0" applyFont="1" applyFill="1" applyBorder="1" applyAlignment="1">
      <alignment shrinkToFit="1"/>
    </xf>
    <xf numFmtId="0" fontId="18" fillId="0" borderId="0" xfId="0" applyFont="1" applyFill="1" applyBorder="1" applyAlignment="1">
      <alignment horizontal="left"/>
    </xf>
    <xf numFmtId="49" fontId="40" fillId="0" borderId="0" xfId="5" applyNumberFormat="1" applyFont="1" applyFill="1" applyBorder="1" applyAlignment="1"/>
    <xf numFmtId="168" fontId="37" fillId="0" borderId="29" xfId="0" applyNumberFormat="1" applyFont="1" applyFill="1" applyBorder="1" applyAlignment="1">
      <alignment horizontal="center" vertical="center" shrinkToFit="1"/>
    </xf>
    <xf numFmtId="168" fontId="37" fillId="0" borderId="38" xfId="0" applyNumberFormat="1" applyFont="1" applyFill="1" applyBorder="1" applyAlignment="1">
      <alignment horizontal="right"/>
    </xf>
    <xf numFmtId="168" fontId="37" fillId="0" borderId="29" xfId="0" applyNumberFormat="1" applyFont="1" applyFill="1" applyBorder="1" applyAlignment="1">
      <alignment horizontal="right" shrinkToFit="1"/>
    </xf>
    <xf numFmtId="49" fontId="41" fillId="0" borderId="0" xfId="5" applyNumberFormat="1" applyFont="1" applyFill="1" applyBorder="1" applyAlignment="1"/>
    <xf numFmtId="168" fontId="37" fillId="0" borderId="38" xfId="0" applyNumberFormat="1" applyFont="1" applyFill="1" applyBorder="1" applyAlignment="1"/>
    <xf numFmtId="0" fontId="43" fillId="0" borderId="51" xfId="0" quotePrefix="1" applyFont="1" applyFill="1" applyBorder="1" applyAlignment="1">
      <alignment horizontal="left" vertical="top"/>
    </xf>
    <xf numFmtId="49" fontId="33" fillId="0" borderId="38" xfId="0" applyNumberFormat="1" applyFont="1" applyFill="1" applyBorder="1" applyAlignment="1"/>
    <xf numFmtId="49" fontId="44" fillId="0" borderId="28" xfId="0" applyNumberFormat="1" applyFont="1" applyFill="1" applyBorder="1" applyAlignment="1">
      <alignment wrapText="1"/>
    </xf>
    <xf numFmtId="49" fontId="29" fillId="0" borderId="28" xfId="0" applyNumberFormat="1" applyFont="1" applyFill="1" applyBorder="1" applyAlignment="1"/>
    <xf numFmtId="49" fontId="45" fillId="0" borderId="0" xfId="0"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42" fillId="0" borderId="0" xfId="0" applyFont="1" applyFill="1" applyBorder="1" applyAlignment="1">
      <alignment horizontal="center" vertical="center" wrapText="1"/>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0" fillId="3" borderId="33" xfId="0" applyNumberFormat="1" applyFont="1" applyFill="1" applyBorder="1" applyAlignment="1">
      <alignment horizontal="left"/>
    </xf>
    <xf numFmtId="14" fontId="30" fillId="3" borderId="33" xfId="0" quotePrefix="1" applyNumberFormat="1" applyFont="1" applyFill="1" applyBorder="1" applyAlignment="1">
      <alignment horizontal="left"/>
    </xf>
    <xf numFmtId="0" fontId="33" fillId="3" borderId="34" xfId="0" applyFont="1" applyFill="1" applyBorder="1" applyAlignment="1">
      <alignment horizontal="left"/>
    </xf>
    <xf numFmtId="0" fontId="30" fillId="3" borderId="34" xfId="0" applyFont="1" applyFill="1" applyBorder="1" applyAlignment="1">
      <alignment horizontal="left"/>
    </xf>
    <xf numFmtId="0" fontId="38" fillId="3" borderId="34" xfId="0" applyFont="1" applyFill="1" applyBorder="1" applyAlignment="1">
      <alignment horizontal="left"/>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3" fontId="38" fillId="3" borderId="34"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1981200</xdr:colOff>
          <xdr:row>42</xdr:row>
          <xdr:rowOff>190500</xdr:rowOff>
        </xdr:from>
        <xdr:to>
          <xdr:col>4</xdr:col>
          <xdr:colOff>47625</xdr:colOff>
          <xdr:row>42</xdr:row>
          <xdr:rowOff>438150</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857250</xdr:colOff>
      <xdr:row>5</xdr:row>
      <xdr:rowOff>15875</xdr:rowOff>
    </xdr:from>
    <xdr:to>
      <xdr:col>13</xdr:col>
      <xdr:colOff>86991</xdr:colOff>
      <xdr:row>12</xdr:row>
      <xdr:rowOff>60431</xdr:rowOff>
    </xdr:to>
    <xdr:pic>
      <xdr:nvPicPr>
        <xdr:cNvPr id="13" name="Image 12"/>
        <xdr:cNvPicPr>
          <a:picLocks noChangeAspect="1"/>
        </xdr:cNvPicPr>
      </xdr:nvPicPr>
      <xdr:blipFill>
        <a:blip xmlns:r="http://schemas.openxmlformats.org/officeDocument/2006/relationships" r:embed="rId2"/>
        <a:stretch>
          <a:fillRect/>
        </a:stretch>
      </xdr:blipFill>
      <xdr:spPr>
        <a:xfrm>
          <a:off x="12080875" y="682625"/>
          <a:ext cx="1420491" cy="1219306"/>
        </a:xfrm>
        <a:prstGeom prst="rect">
          <a:avLst/>
        </a:prstGeom>
      </xdr:spPr>
    </xdr:pic>
    <xdr:clientData/>
  </xdr:twoCellAnchor>
  <xdr:twoCellAnchor editAs="oneCell">
    <xdr:from>
      <xdr:col>11</xdr:col>
      <xdr:colOff>1714500</xdr:colOff>
      <xdr:row>6</xdr:row>
      <xdr:rowOff>47625</xdr:rowOff>
    </xdr:from>
    <xdr:to>
      <xdr:col>12</xdr:col>
      <xdr:colOff>758330</xdr:colOff>
      <xdr:row>12</xdr:row>
      <xdr:rowOff>41963</xdr:rowOff>
    </xdr:to>
    <xdr:pic>
      <xdr:nvPicPr>
        <xdr:cNvPr id="14" name="Image 13"/>
        <xdr:cNvPicPr>
          <a:picLocks noChangeAspect="1"/>
        </xdr:cNvPicPr>
      </xdr:nvPicPr>
      <xdr:blipFill>
        <a:blip xmlns:r="http://schemas.openxmlformats.org/officeDocument/2006/relationships" r:embed="rId3"/>
        <a:stretch>
          <a:fillRect/>
        </a:stretch>
      </xdr:blipFill>
      <xdr:spPr>
        <a:xfrm>
          <a:off x="9953625" y="873125"/>
          <a:ext cx="2028330" cy="10103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45</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56"/>
  <sheetViews>
    <sheetView showGridLines="0" showRowColHeaders="0" tabSelected="1" topLeftCell="C16" zoomScale="60" zoomScaleNormal="60" workbookViewId="0">
      <selection activeCell="J32" sqref="J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2"/>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69"/>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97"/>
      <c r="K9" s="97"/>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95" t="s">
        <v>59</v>
      </c>
      <c r="E18" s="73"/>
      <c r="F18" s="73"/>
      <c r="G18" s="73"/>
      <c r="H18" s="3"/>
      <c r="I18" s="3"/>
      <c r="J18" s="3"/>
      <c r="K18" s="3"/>
      <c r="L18" s="164" t="s">
        <v>73</v>
      </c>
      <c r="M18" s="3"/>
      <c r="N18" s="3"/>
    </row>
    <row r="19" spans="2:14" ht="21.95" customHeight="1" thickTop="1" x14ac:dyDescent="0.3">
      <c r="B19" s="7"/>
      <c r="C19" s="3"/>
      <c r="D19" s="53"/>
      <c r="E19" s="53"/>
      <c r="F19" s="53"/>
      <c r="G19" s="53"/>
      <c r="H19" s="53"/>
      <c r="I19" s="53"/>
      <c r="J19" s="54"/>
      <c r="K19" s="54"/>
      <c r="L19" s="165"/>
      <c r="M19" s="54"/>
      <c r="N19" s="20"/>
    </row>
    <row r="20" spans="2:14" ht="21.95" customHeight="1" thickBot="1" x14ac:dyDescent="0.25">
      <c r="B20" s="7"/>
      <c r="C20" s="3"/>
      <c r="D20" s="3"/>
      <c r="E20" s="3"/>
      <c r="F20" s="3"/>
      <c r="G20" s="3"/>
      <c r="H20" s="3"/>
      <c r="I20" s="3"/>
      <c r="J20" s="3"/>
      <c r="K20" s="3"/>
      <c r="L20" s="166"/>
      <c r="M20" s="3"/>
      <c r="N20" s="3"/>
    </row>
    <row r="21" spans="2:14" ht="13.5" thickTop="1" x14ac:dyDescent="0.2">
      <c r="B21" s="7"/>
      <c r="C21" s="3"/>
      <c r="D21" s="3"/>
      <c r="E21" s="3"/>
      <c r="F21" s="3"/>
      <c r="G21" s="3"/>
      <c r="H21" s="3"/>
      <c r="I21" s="3"/>
      <c r="J21" s="3"/>
      <c r="K21" s="3"/>
      <c r="L21" s="3"/>
      <c r="M21" s="3"/>
      <c r="N21" s="3"/>
    </row>
    <row r="22" spans="2:14" ht="27.75" x14ac:dyDescent="0.4">
      <c r="B22" s="7"/>
      <c r="C22" s="3"/>
      <c r="D22" s="118" t="s">
        <v>52</v>
      </c>
      <c r="E22" s="122" t="s">
        <v>67</v>
      </c>
      <c r="F22" s="122"/>
      <c r="G22" s="121"/>
      <c r="H22" s="121"/>
      <c r="I22" s="171"/>
      <c r="J22" s="171"/>
      <c r="K22" s="120"/>
      <c r="L22" s="118" t="s">
        <v>19</v>
      </c>
      <c r="M22" s="167">
        <v>45758</v>
      </c>
      <c r="N22" s="168"/>
    </row>
    <row r="23" spans="2:14" ht="23.25" x14ac:dyDescent="0.35">
      <c r="B23" s="7"/>
      <c r="C23" s="3"/>
      <c r="D23" s="118" t="s">
        <v>53</v>
      </c>
      <c r="E23" s="121" t="s">
        <v>65</v>
      </c>
      <c r="F23" s="121"/>
      <c r="G23" s="121"/>
      <c r="H23" s="121"/>
      <c r="I23" s="121"/>
      <c r="J23" s="121"/>
      <c r="K23" s="120"/>
      <c r="L23" s="118" t="s">
        <v>61</v>
      </c>
      <c r="M23" s="119"/>
      <c r="N23" s="119"/>
    </row>
    <row r="24" spans="2:14" ht="23.25" x14ac:dyDescent="0.35">
      <c r="B24" s="7"/>
      <c r="C24" s="3"/>
      <c r="D24" s="118" t="s">
        <v>54</v>
      </c>
      <c r="E24" s="171">
        <v>4002</v>
      </c>
      <c r="F24" s="171"/>
      <c r="G24" s="171"/>
      <c r="H24" s="171"/>
      <c r="I24" s="171" t="s">
        <v>63</v>
      </c>
      <c r="J24" s="171" t="s">
        <v>56</v>
      </c>
      <c r="K24" s="120"/>
      <c r="L24" s="118" t="s">
        <v>20</v>
      </c>
      <c r="M24" s="169" t="s">
        <v>74</v>
      </c>
      <c r="N24" s="169"/>
    </row>
    <row r="25" spans="2:14" ht="23.25" x14ac:dyDescent="0.35">
      <c r="B25" s="7"/>
      <c r="C25" s="3"/>
      <c r="D25" s="118" t="s">
        <v>55</v>
      </c>
      <c r="E25" s="176"/>
      <c r="F25" s="176"/>
      <c r="G25" s="121"/>
      <c r="H25" s="121"/>
      <c r="I25" s="121"/>
      <c r="J25" s="121"/>
      <c r="K25" s="120"/>
      <c r="L25" s="118" t="s">
        <v>62</v>
      </c>
      <c r="M25" s="170" t="s">
        <v>66</v>
      </c>
      <c r="N25" s="170"/>
    </row>
    <row r="26" spans="2:14" x14ac:dyDescent="0.2">
      <c r="B26" s="7"/>
      <c r="C26" s="3"/>
      <c r="D26" s="71"/>
      <c r="E26" s="71"/>
      <c r="F26" s="71"/>
      <c r="G26" s="71"/>
      <c r="H26" s="71"/>
      <c r="I26" s="71"/>
      <c r="J26" s="71"/>
      <c r="K26" s="71"/>
      <c r="L26" s="71"/>
      <c r="M26" s="71"/>
      <c r="N26" s="3"/>
    </row>
    <row r="27" spans="2:14" ht="18" x14ac:dyDescent="0.25">
      <c r="B27" s="7"/>
      <c r="C27" s="3"/>
      <c r="D27" s="84" t="s">
        <v>34</v>
      </c>
      <c r="E27" s="84" t="s">
        <v>22</v>
      </c>
      <c r="F27" s="173" t="s">
        <v>23</v>
      </c>
      <c r="G27" s="174"/>
      <c r="H27" s="174"/>
      <c r="I27" s="174"/>
      <c r="J27" s="174"/>
      <c r="K27" s="175"/>
      <c r="L27" s="84" t="s">
        <v>24</v>
      </c>
      <c r="M27" s="85" t="s">
        <v>25</v>
      </c>
      <c r="N27" s="86"/>
    </row>
    <row r="28" spans="2:14" ht="30" customHeight="1" x14ac:dyDescent="0.4">
      <c r="B28" s="7"/>
      <c r="C28" s="3"/>
      <c r="D28" s="114"/>
      <c r="E28" s="115"/>
      <c r="F28" s="136"/>
      <c r="G28" s="137"/>
      <c r="H28" s="137"/>
      <c r="I28" s="137"/>
      <c r="J28" s="137"/>
      <c r="K28" s="138"/>
      <c r="L28" s="94"/>
      <c r="M28" s="98"/>
      <c r="N28" s="52"/>
    </row>
    <row r="29" spans="2:14" ht="30" x14ac:dyDescent="0.4">
      <c r="B29" s="7"/>
      <c r="C29" s="3"/>
      <c r="D29" s="114"/>
      <c r="E29" s="93"/>
      <c r="F29" s="154" t="s">
        <v>68</v>
      </c>
      <c r="G29" s="135"/>
      <c r="H29" s="135"/>
      <c r="I29" s="135"/>
      <c r="J29" s="135"/>
      <c r="K29" s="152"/>
      <c r="L29" s="147"/>
      <c r="M29" s="148"/>
      <c r="N29" s="88"/>
    </row>
    <row r="30" spans="2:14" ht="30" x14ac:dyDescent="0.4">
      <c r="B30" s="7"/>
      <c r="C30" s="3"/>
      <c r="D30" s="114"/>
      <c r="E30" s="93"/>
      <c r="F30" s="139"/>
      <c r="G30" s="140"/>
      <c r="H30" s="140"/>
      <c r="I30" s="140"/>
      <c r="J30" s="140"/>
      <c r="K30" s="141"/>
      <c r="L30" s="147"/>
      <c r="M30" s="148"/>
      <c r="N30" s="88"/>
    </row>
    <row r="31" spans="2:14" ht="27.75" x14ac:dyDescent="0.4">
      <c r="B31" s="7"/>
      <c r="C31" s="3"/>
      <c r="D31" s="114"/>
      <c r="E31" s="115">
        <v>1</v>
      </c>
      <c r="F31" s="145" t="s">
        <v>70</v>
      </c>
      <c r="G31" s="140"/>
      <c r="H31" s="140"/>
      <c r="I31" s="140"/>
      <c r="J31" s="140"/>
      <c r="K31" s="141"/>
      <c r="L31" s="147">
        <v>1500</v>
      </c>
      <c r="M31" s="147">
        <f>+L31*E31</f>
        <v>1500</v>
      </c>
      <c r="N31" s="88"/>
    </row>
    <row r="32" spans="2:14" ht="27.75" x14ac:dyDescent="0.4">
      <c r="B32" s="7"/>
      <c r="C32" s="3"/>
      <c r="D32" s="114"/>
      <c r="E32" s="115"/>
      <c r="F32" s="153"/>
      <c r="G32" s="140"/>
      <c r="H32" s="140"/>
      <c r="I32" s="140"/>
      <c r="J32" s="140"/>
      <c r="K32" s="141"/>
      <c r="L32" s="147"/>
      <c r="M32" s="147"/>
      <c r="N32" s="88"/>
    </row>
    <row r="33" spans="2:14" ht="27.75" x14ac:dyDescent="0.4">
      <c r="B33" s="7"/>
      <c r="C33" s="3"/>
      <c r="D33" s="114"/>
      <c r="E33" s="115">
        <v>1</v>
      </c>
      <c r="F33" s="145" t="s">
        <v>69</v>
      </c>
      <c r="G33" s="111"/>
      <c r="H33" s="111"/>
      <c r="I33" s="111"/>
      <c r="J33" s="111"/>
      <c r="K33" s="112"/>
      <c r="L33" s="147">
        <v>4500</v>
      </c>
      <c r="M33" s="147">
        <f t="shared" ref="M33" si="0">+L33*E33</f>
        <v>4500</v>
      </c>
      <c r="N33" s="88"/>
    </row>
    <row r="34" spans="2:14" ht="30" x14ac:dyDescent="0.4">
      <c r="B34" s="7"/>
      <c r="C34" s="3"/>
      <c r="D34" s="114"/>
      <c r="E34" s="93"/>
      <c r="F34" s="149"/>
      <c r="G34" s="111"/>
      <c r="H34" s="111"/>
      <c r="I34" s="111"/>
      <c r="J34" s="111"/>
      <c r="K34" s="112"/>
      <c r="L34" s="150"/>
      <c r="M34" s="146"/>
      <c r="N34" s="88"/>
    </row>
    <row r="35" spans="2:14" ht="30" x14ac:dyDescent="0.4">
      <c r="B35" s="7"/>
      <c r="C35" s="3"/>
      <c r="D35" s="114"/>
      <c r="E35" s="93"/>
      <c r="F35" s="135"/>
      <c r="G35" s="111"/>
      <c r="H35" s="111"/>
      <c r="I35" s="111"/>
      <c r="J35" s="111"/>
      <c r="K35" s="112"/>
      <c r="L35" s="150"/>
      <c r="M35" s="146"/>
      <c r="N35" s="88"/>
    </row>
    <row r="36" spans="2:14" ht="30" x14ac:dyDescent="0.4">
      <c r="B36" s="7"/>
      <c r="C36" s="3"/>
      <c r="D36" s="114"/>
      <c r="E36" s="93"/>
      <c r="F36" s="155" t="s">
        <v>72</v>
      </c>
      <c r="G36" s="111"/>
      <c r="H36" s="111"/>
      <c r="I36" s="111"/>
      <c r="J36" s="111"/>
      <c r="K36" s="112"/>
      <c r="L36" s="132"/>
      <c r="M36" s="98"/>
      <c r="N36" s="88"/>
    </row>
    <row r="37" spans="2:14" ht="30" x14ac:dyDescent="0.4">
      <c r="B37" s="7"/>
      <c r="C37" s="3"/>
      <c r="D37" s="114"/>
      <c r="E37" s="93"/>
      <c r="F37" s="155" t="s">
        <v>71</v>
      </c>
      <c r="G37" s="111"/>
      <c r="H37" s="111"/>
      <c r="I37" s="111"/>
      <c r="J37" s="111"/>
      <c r="K37" s="112"/>
      <c r="L37" s="132"/>
      <c r="M37" s="98"/>
      <c r="N37" s="88"/>
    </row>
    <row r="38" spans="2:14" ht="30" x14ac:dyDescent="0.4">
      <c r="B38" s="7"/>
      <c r="C38" s="3"/>
      <c r="D38" s="114"/>
      <c r="E38" s="93"/>
      <c r="F38" s="135"/>
      <c r="G38" s="111"/>
      <c r="H38" s="111"/>
      <c r="I38" s="111"/>
      <c r="J38" s="111"/>
      <c r="K38" s="112"/>
      <c r="L38" s="132"/>
      <c r="M38" s="98"/>
      <c r="N38" s="88"/>
    </row>
    <row r="39" spans="2:14" ht="30" x14ac:dyDescent="0.4">
      <c r="B39" s="7"/>
      <c r="C39" s="3"/>
      <c r="D39" s="114"/>
      <c r="E39" s="93"/>
      <c r="F39" s="135"/>
      <c r="G39" s="111"/>
      <c r="H39" s="111"/>
      <c r="I39" s="111"/>
      <c r="J39" s="111"/>
      <c r="K39" s="112"/>
      <c r="L39" s="132"/>
      <c r="M39" s="98"/>
      <c r="N39" s="88"/>
    </row>
    <row r="40" spans="2:14" ht="30" x14ac:dyDescent="0.4">
      <c r="B40" s="7"/>
      <c r="C40" s="3"/>
      <c r="D40" s="114"/>
      <c r="E40" s="93"/>
      <c r="F40" s="135"/>
      <c r="G40" s="111"/>
      <c r="H40" s="111"/>
      <c r="I40" s="111"/>
      <c r="J40" s="111"/>
      <c r="K40" s="112"/>
      <c r="L40" s="132"/>
      <c r="M40" s="98"/>
      <c r="N40" s="88"/>
    </row>
    <row r="41" spans="2:14" ht="30" x14ac:dyDescent="0.4">
      <c r="B41" s="7"/>
      <c r="C41" s="3"/>
      <c r="D41" s="123"/>
      <c r="E41" s="124"/>
      <c r="F41" s="125"/>
      <c r="G41" s="134"/>
      <c r="H41" s="134"/>
      <c r="I41" s="134"/>
      <c r="J41" s="134"/>
      <c r="K41" s="126"/>
      <c r="L41" s="133"/>
      <c r="M41" s="98" t="str">
        <f t="shared" ref="M41" si="1">IF(E41&lt;&gt;"",E41*L41,"")</f>
        <v/>
      </c>
      <c r="N41" s="52"/>
    </row>
    <row r="42" spans="2:14" ht="35.25" x14ac:dyDescent="0.5">
      <c r="B42" s="7"/>
      <c r="C42" s="3"/>
      <c r="D42" s="81"/>
      <c r="E42" s="89"/>
      <c r="F42" s="106"/>
      <c r="G42" s="103"/>
      <c r="H42" s="103"/>
      <c r="I42" s="103"/>
      <c r="J42" s="104"/>
      <c r="K42" s="105"/>
      <c r="L42" s="151" t="s">
        <v>26</v>
      </c>
      <c r="M42" s="131">
        <f>SUM(M28:M41)</f>
        <v>6000</v>
      </c>
      <c r="N42" s="52"/>
    </row>
    <row r="43" spans="2:14" ht="35.25" customHeight="1" x14ac:dyDescent="0.5">
      <c r="B43" s="7"/>
      <c r="C43" s="3"/>
      <c r="D43" s="91"/>
      <c r="E43" s="90" t="s">
        <v>64</v>
      </c>
      <c r="F43" s="127"/>
      <c r="G43" s="128"/>
      <c r="H43" s="79"/>
      <c r="I43" s="75"/>
      <c r="J43" s="80"/>
      <c r="K43" s="87"/>
      <c r="L43" s="129" t="s">
        <v>46</v>
      </c>
      <c r="M43" s="131">
        <v>1</v>
      </c>
      <c r="N43" s="52"/>
    </row>
    <row r="44" spans="2:14" ht="35.25" x14ac:dyDescent="0.5">
      <c r="B44" s="7"/>
      <c r="C44" s="3"/>
      <c r="D44" s="144"/>
      <c r="E44" s="144"/>
      <c r="F44" s="144"/>
      <c r="G44" s="144"/>
      <c r="H44" s="144"/>
      <c r="I44" s="144"/>
      <c r="J44" s="144"/>
      <c r="K44" s="144"/>
      <c r="L44" s="130">
        <v>0.19</v>
      </c>
      <c r="M44" s="131">
        <f>(M42)*0.19</f>
        <v>1140</v>
      </c>
      <c r="N44" s="52"/>
    </row>
    <row r="45" spans="2:14" ht="35.25" x14ac:dyDescent="0.5">
      <c r="B45" s="7"/>
      <c r="C45" s="3"/>
      <c r="D45" s="143"/>
      <c r="E45" s="143"/>
      <c r="F45" s="143"/>
      <c r="G45" s="143"/>
      <c r="H45" s="143"/>
      <c r="I45" s="143"/>
      <c r="J45" s="143"/>
      <c r="K45" s="143"/>
      <c r="L45" s="92" t="s">
        <v>27</v>
      </c>
      <c r="M45" s="131">
        <f>SUM(M42:M44)</f>
        <v>7141</v>
      </c>
      <c r="N45" s="52"/>
    </row>
    <row r="46" spans="2:14" ht="26.25" x14ac:dyDescent="0.4">
      <c r="B46" s="7"/>
      <c r="C46" s="3"/>
      <c r="D46" s="102"/>
      <c r="E46" s="102"/>
      <c r="F46" s="108"/>
      <c r="G46" s="109"/>
      <c r="H46" s="109"/>
      <c r="I46" s="109"/>
      <c r="J46" s="76"/>
      <c r="K46" s="101"/>
      <c r="L46" s="144"/>
      <c r="M46" s="113"/>
      <c r="N46" s="52"/>
    </row>
    <row r="47" spans="2:14" ht="26.25" x14ac:dyDescent="0.4">
      <c r="B47" s="7"/>
      <c r="C47" s="3"/>
      <c r="D47" s="102"/>
      <c r="E47" s="102"/>
      <c r="F47" s="110"/>
      <c r="G47" s="172"/>
      <c r="H47" s="172"/>
      <c r="I47" s="172"/>
      <c r="J47" s="76"/>
      <c r="K47" s="101"/>
      <c r="L47" s="143"/>
      <c r="M47" s="108"/>
      <c r="N47" s="96"/>
    </row>
    <row r="48" spans="2:14" ht="23.25" x14ac:dyDescent="0.2">
      <c r="B48" s="7"/>
      <c r="C48" s="3"/>
      <c r="D48" s="102"/>
      <c r="E48" s="102"/>
      <c r="F48" s="77"/>
      <c r="G48" s="76"/>
      <c r="H48" s="76"/>
      <c r="I48" s="76"/>
      <c r="J48" s="76"/>
      <c r="K48" s="101"/>
      <c r="L48" s="116" t="s">
        <v>60</v>
      </c>
      <c r="M48" s="116"/>
      <c r="N48" s="96"/>
    </row>
    <row r="49" spans="2:14" ht="15" x14ac:dyDescent="0.2">
      <c r="B49" s="7"/>
      <c r="C49" s="3"/>
      <c r="D49" s="102"/>
      <c r="E49" s="102"/>
      <c r="F49" s="76"/>
      <c r="G49" s="76"/>
      <c r="H49" s="76"/>
      <c r="I49" s="76"/>
      <c r="J49" s="76"/>
      <c r="K49" s="96"/>
      <c r="L49" s="96"/>
      <c r="M49" s="96"/>
      <c r="N49" s="96"/>
    </row>
    <row r="50" spans="2:14" ht="20.25" x14ac:dyDescent="0.3">
      <c r="B50" s="7"/>
      <c r="C50" s="3"/>
      <c r="D50" s="99" t="s">
        <v>57</v>
      </c>
      <c r="E50" s="117"/>
      <c r="F50" s="76"/>
      <c r="G50" s="76"/>
      <c r="H50" s="76"/>
      <c r="I50" s="76"/>
      <c r="J50" s="76"/>
      <c r="K50" s="82"/>
      <c r="L50" s="96"/>
      <c r="M50" s="96"/>
      <c r="N50" s="52"/>
    </row>
    <row r="51" spans="2:14" ht="20.25" x14ac:dyDescent="0.3">
      <c r="B51" s="7"/>
      <c r="C51" s="3"/>
      <c r="D51" s="100" t="s">
        <v>58</v>
      </c>
      <c r="E51" s="100"/>
      <c r="F51" s="76"/>
      <c r="G51" s="76"/>
      <c r="H51" s="76"/>
      <c r="I51" s="76"/>
      <c r="J51" s="78"/>
      <c r="K51" s="82"/>
      <c r="L51" s="96"/>
      <c r="M51" s="96"/>
      <c r="N51" s="52"/>
    </row>
    <row r="52" spans="2:14" ht="18" x14ac:dyDescent="0.25">
      <c r="B52" s="7"/>
      <c r="C52" s="3"/>
      <c r="D52" s="74"/>
      <c r="E52" s="74"/>
      <c r="F52" s="76"/>
      <c r="G52" s="76"/>
      <c r="H52" s="76"/>
      <c r="I52" s="76"/>
      <c r="J52" s="78"/>
      <c r="K52" s="82"/>
      <c r="L52" s="82"/>
      <c r="M52" s="83"/>
      <c r="N52" s="86"/>
    </row>
    <row r="53" spans="2:14" ht="18" customHeight="1" x14ac:dyDescent="0.25">
      <c r="B53" s="7"/>
      <c r="C53" s="3"/>
      <c r="D53" s="163" t="s">
        <v>51</v>
      </c>
      <c r="E53" s="163"/>
      <c r="F53" s="163"/>
      <c r="G53" s="163"/>
      <c r="H53" s="163"/>
      <c r="I53" s="142"/>
      <c r="J53" s="142"/>
      <c r="K53" s="142"/>
      <c r="L53" s="82"/>
      <c r="M53" s="82"/>
      <c r="N53" s="86"/>
    </row>
    <row r="54" spans="2:14" ht="18.75" thickBot="1" x14ac:dyDescent="0.3">
      <c r="B54" s="7"/>
      <c r="C54" s="3"/>
      <c r="D54" s="163"/>
      <c r="E54" s="163"/>
      <c r="F54" s="163"/>
      <c r="G54" s="163"/>
      <c r="H54" s="163"/>
      <c r="I54" s="142"/>
      <c r="J54" s="142"/>
      <c r="K54" s="142"/>
      <c r="L54" s="82"/>
      <c r="M54" s="82"/>
      <c r="N54" s="86"/>
    </row>
    <row r="55" spans="2:14" ht="13.5" thickTop="1" x14ac:dyDescent="0.2">
      <c r="B55" s="7"/>
      <c r="C55" s="3"/>
      <c r="D55" s="53"/>
      <c r="E55" s="53"/>
      <c r="F55" s="53"/>
      <c r="G55" s="53"/>
      <c r="H55" s="53"/>
      <c r="I55" s="53"/>
      <c r="J55" s="53"/>
      <c r="K55" s="53"/>
      <c r="L55" s="53"/>
      <c r="M55" s="53"/>
      <c r="N55" s="53"/>
    </row>
    <row r="56" spans="2:14" x14ac:dyDescent="0.2">
      <c r="B56" s="7"/>
      <c r="C56" s="3"/>
      <c r="D56" s="107"/>
      <c r="E56" s="107"/>
      <c r="F56" s="107"/>
      <c r="G56" s="107"/>
      <c r="H56" s="107"/>
      <c r="I56" s="107"/>
      <c r="J56" s="107"/>
      <c r="K56" s="107"/>
      <c r="L56" s="3"/>
      <c r="M56" s="3"/>
      <c r="N56" s="5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53:H54"/>
    <mergeCell ref="L18:L20"/>
    <mergeCell ref="M22:N22"/>
    <mergeCell ref="M24:N24"/>
    <mergeCell ref="M25:N25"/>
    <mergeCell ref="I22:J22"/>
    <mergeCell ref="G47:I47"/>
    <mergeCell ref="G24:H24"/>
    <mergeCell ref="F27:K27"/>
    <mergeCell ref="E24:F24"/>
    <mergeCell ref="I24:J24"/>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34:M41">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K47 L48:M49"/>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6:K56"/>
    <dataValidation type="decimal" allowBlank="1" showErrorMessage="1" errorTitle="Prix unitaire" error="Tapez un nombre dans cette cellule." promptTitle="Prix unitaire" sqref="L28:L41 M31:M33">
      <formula1>0</formula1>
      <formula2>1000000000</formula2>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1981200</xdr:colOff>
                    <xdr:row>42</xdr:row>
                    <xdr:rowOff>190500</xdr:rowOff>
                  </from>
                  <to>
                    <xdr:col>4</xdr:col>
                    <xdr:colOff>47625</xdr:colOff>
                    <xdr:row>42</xdr:row>
                    <xdr:rowOff>438150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L'EPI D'OR</v>
      </c>
      <c r="E8" s="62" t="str">
        <f>Facture!$E$23</f>
        <v xml:space="preserve">Avenue Habib mellouli </v>
      </c>
      <c r="F8" s="62">
        <f>Facture!$E$24</f>
        <v>4002</v>
      </c>
      <c r="G8" s="65">
        <f>Facture!$G$24</f>
        <v>0</v>
      </c>
      <c r="H8" s="65" t="str">
        <f>Facture!$J$24</f>
        <v>TN</v>
      </c>
      <c r="I8" s="62">
        <f>Facture!$E$25</f>
        <v>0</v>
      </c>
      <c r="J8" s="66">
        <f>Facture!$M$45</f>
        <v>7141</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2025-04-11T13:50:58Z</cp:lastPrinted>
  <dcterms:created xsi:type="dcterms:W3CDTF">1995-05-29T15:50:39Z</dcterms:created>
  <dcterms:modified xsi:type="dcterms:W3CDTF">2025-04-11T13:51:07Z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7141</vt:r8>
  </property>
</Properties>
</file>