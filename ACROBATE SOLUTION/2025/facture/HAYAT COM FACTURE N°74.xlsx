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6" i="3" l="1"/>
  <c r="M43" i="3"/>
  <c r="M44" i="3"/>
  <c r="M45" i="3" s="1"/>
  <c r="M47" i="3" l="1"/>
  <c r="M48" i="3"/>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<sst xmlns="http://schemas.openxmlformats.org/spreadsheetml/2006/main" count="98" uniqueCount="82">
  <si>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</si>
  <si>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</si>
  <si>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</si>
  <si>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</si>
  <si>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</si>
  <si>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</si>
  <si>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</si>
  <si>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</si>
  <si>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</si>
  <si>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</si>
  <si>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</si>
  <si>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</si>
  <si>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</si>
  <si>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</si>
  <si>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</si>
  <si>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</si>
  <si>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</si>
  <si>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</si>
  <si>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</si>
  <si>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</si>
  <si>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</si>
  <si>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</si>
  <si>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</si>
  <si>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</si>
  <si>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</si>
  <si>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</si>
  <si>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</si>
  <si>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</si>
  <si>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</si>
  <si>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</si>
  <si>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</si>
  <si>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</si>
  <si>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</si>
  <si>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</si>
  <si>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</si>
  <si>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</si>
  <si>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</si>
  <si>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</si>
  <si>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</si>
  <si>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</si>
  <si>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</si>
  <si>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</si>
  <si>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</si>
  <si>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</si>
  <si>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</si>
  <si>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</si>
  <si>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</si>
  <si>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</si>
  <si>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</si>
  <si>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</si>
  <si>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</si>
  <si>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</si>
  <si>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</si>
  <si>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</si>
  <si>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</si>
  <si>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</si>
  <si>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</si>
  <si>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</si>
  <si>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</si>
  <si>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</si>
  <si>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</si>
  <si>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</si>
  <si>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</si>
  <si>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</si>
  <si>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</si>
  <si>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</si>
  <si>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</si>
  <si>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</si>
  <si>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</si>
  <si>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</si>
  <si>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</si>
  <si>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</si>
  <si>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</si>
  <si>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</si>
  <si>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</si>
  <si>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</si>
  <si>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 12M</t>
  </si>
  <si>
    <t xml:space="preserve">LONGEUR 12M </t>
  </si>
  <si>
    <t>ZAG_0158</t>
  </si>
  <si>
    <t xml:space="preserve">Arrete a la somme de : Mille neuf cent seize dinars et 900 millimes </t>
  </si>
  <si>
    <t>Facture  N° 2025-074</t>
  </si>
  <si>
    <t xml:space="preserve">Site Orange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</si>
</sst>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 fillId="3" borderId="0" xfId="0" applyFont="1" applyFill="1" applyBorder="1" applyAlignment="1">
      <alignment horizontal="left"/>
    </xf>
    <xf numFmtId="0" fontId="7"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792081</xdr:colOff>
      <xdr:row>5</xdr:row>
      <xdr:rowOff>140370</xdr:rowOff>
    </xdr:from>
    <xdr:to>
      <xdr:col>12</xdr:col>
      <xdr:colOff>260685</xdr:colOff>
      <xdr:row>9</xdr:row>
      <xdr:rowOff>60159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711870"/>
          <a:ext cx="1253288" cy="561473"/>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300789</xdr:colOff>
      <xdr:row>5</xdr:row>
      <xdr:rowOff>70184</xdr:rowOff>
    </xdr:from>
    <xdr:to>
      <xdr:col>12</xdr:col>
      <xdr:colOff>1022684</xdr:colOff>
      <xdr:row>9</xdr:row>
      <xdr:rowOff>17535</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78315" y="641684"/>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3" zoomScale="95" workbookViewId="0">
      <selection activeCell="I33" sqref="I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2"/>
      <c r="M9" s="17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81"/>
      <c r="M13" s="182"/>
      <c r="N13" s="3"/>
      <c r="O13" s="8"/>
    </row>
    <row r="14" spans="1:15" x14ac:dyDescent="0.2">
      <c r="A14" s="7"/>
      <c r="B14" s="3"/>
      <c r="C14" s="3"/>
      <c r="D14" s="3"/>
      <c r="E14" s="3"/>
      <c r="F14" s="3"/>
      <c r="G14" s="171"/>
      <c r="H14" s="171"/>
      <c r="I14" s="171"/>
      <c r="J14" s="171"/>
      <c r="K14" s="171"/>
      <c r="L14" s="3"/>
      <c r="M14" s="3"/>
      <c r="N14" s="3"/>
      <c r="O14" s="8"/>
    </row>
    <row r="15" spans="1:15" ht="20.100000000000001" customHeight="1" x14ac:dyDescent="0.2">
      <c r="A15" s="7"/>
      <c r="B15" s="3"/>
      <c r="C15" s="3"/>
      <c r="D15" s="3"/>
      <c r="E15" s="3"/>
      <c r="F15" s="3"/>
      <c r="G15" s="171"/>
      <c r="H15" s="171"/>
      <c r="I15" s="171"/>
      <c r="J15" s="171"/>
      <c r="K15" s="17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80</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7" t="s">
        <v>62</v>
      </c>
      <c r="E21" s="188"/>
      <c r="F21" s="188"/>
      <c r="G21" s="188"/>
      <c r="H21" s="188"/>
      <c r="I21" s="188"/>
      <c r="J21" s="82"/>
      <c r="K21" s="84" t="s">
        <v>18</v>
      </c>
      <c r="L21" s="176">
        <v>45868</v>
      </c>
      <c r="M21" s="177"/>
      <c r="N21" s="55"/>
      <c r="O21" s="8"/>
    </row>
    <row r="22" spans="1:15" ht="14.25" x14ac:dyDescent="0.2">
      <c r="A22" s="7"/>
      <c r="B22" s="3"/>
      <c r="C22" s="82" t="s">
        <v>5</v>
      </c>
      <c r="D22" s="185" t="s">
        <v>61</v>
      </c>
      <c r="E22" s="186"/>
      <c r="F22" s="186"/>
      <c r="G22" s="186"/>
      <c r="H22" s="186"/>
      <c r="I22" s="186"/>
      <c r="J22" s="82"/>
      <c r="K22" s="125" t="s">
        <v>58</v>
      </c>
      <c r="L22" s="165"/>
      <c r="M22" s="166"/>
      <c r="N22" s="56"/>
      <c r="O22" s="8"/>
    </row>
    <row r="23" spans="1:15" x14ac:dyDescent="0.2">
      <c r="A23" s="7"/>
      <c r="B23" s="3"/>
      <c r="C23" s="82" t="s">
        <v>7</v>
      </c>
      <c r="D23" s="89">
        <v>2035</v>
      </c>
      <c r="E23" s="90" t="s">
        <v>8</v>
      </c>
      <c r="F23" s="183" t="s">
        <v>63</v>
      </c>
      <c r="G23" s="184"/>
      <c r="H23" s="91" t="s">
        <v>9</v>
      </c>
      <c r="I23" s="88" t="s">
        <v>51</v>
      </c>
      <c r="J23" s="82"/>
      <c r="K23" s="84" t="s">
        <v>19</v>
      </c>
      <c r="L23" s="178" t="s">
        <v>65</v>
      </c>
      <c r="M23" s="179"/>
      <c r="N23" s="3"/>
      <c r="O23" s="8"/>
    </row>
    <row r="24" spans="1:15" x14ac:dyDescent="0.2">
      <c r="A24" s="7"/>
      <c r="B24" s="3"/>
      <c r="C24" s="82" t="s">
        <v>20</v>
      </c>
      <c r="D24" s="189" t="s">
        <v>64</v>
      </c>
      <c r="E24" s="190"/>
      <c r="F24" s="190"/>
      <c r="G24" s="190"/>
      <c r="H24" s="190"/>
      <c r="I24" s="190"/>
      <c r="J24" s="82"/>
      <c r="K24" s="84" t="s">
        <v>47</v>
      </c>
      <c r="L24" s="180" t="s">
        <v>60</v>
      </c>
      <c r="M24" s="17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67" t="s">
        <v>72</v>
      </c>
      <c r="F29" s="168"/>
      <c r="G29" s="168"/>
      <c r="H29" s="168"/>
      <c r="I29" s="168"/>
      <c r="J29" s="168"/>
      <c r="K29" s="131"/>
      <c r="L29" s="115"/>
      <c r="M29" s="96"/>
      <c r="N29" s="57"/>
      <c r="O29" s="8"/>
    </row>
    <row r="30" spans="1:15" ht="15.75" x14ac:dyDescent="0.25">
      <c r="A30" s="7"/>
      <c r="B30" s="3"/>
      <c r="C30" s="107"/>
      <c r="D30" s="75"/>
      <c r="E30" s="169" t="s">
        <v>73</v>
      </c>
      <c r="F30" s="170"/>
      <c r="G30" s="170"/>
      <c r="H30" s="170"/>
      <c r="I30" s="170"/>
      <c r="J30" s="170"/>
      <c r="K30" s="131"/>
      <c r="L30" s="115"/>
      <c r="M30" s="96"/>
      <c r="N30" s="57"/>
      <c r="O30" s="8"/>
    </row>
    <row r="31" spans="1:15" ht="15.75" x14ac:dyDescent="0.25">
      <c r="A31" s="7"/>
      <c r="B31" s="3"/>
      <c r="C31" s="107"/>
      <c r="D31" s="75"/>
      <c r="E31" s="169" t="s">
        <v>74</v>
      </c>
      <c r="F31" s="170"/>
      <c r="G31" s="170"/>
      <c r="H31" s="170"/>
      <c r="I31" s="170"/>
      <c r="J31" s="170"/>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c r="D33" s="75"/>
      <c r="E33" s="135"/>
      <c r="F33" s="137"/>
      <c r="G33" s="81"/>
      <c r="H33" s="108"/>
      <c r="I33" s="81"/>
      <c r="J33" s="81"/>
      <c r="K33" s="108"/>
      <c r="L33" s="96"/>
      <c r="M33" s="96"/>
      <c r="N33" s="57"/>
      <c r="O33" s="8"/>
    </row>
    <row r="34" spans="1:15" ht="15.75" x14ac:dyDescent="0.25">
      <c r="A34" s="7"/>
      <c r="B34" s="3"/>
      <c r="C34" s="107"/>
      <c r="D34" s="75"/>
      <c r="E34" s="135"/>
      <c r="F34" s="136"/>
      <c r="G34" s="81"/>
      <c r="H34" s="108"/>
      <c r="I34" s="108"/>
      <c r="J34" s="81"/>
      <c r="K34" s="131"/>
      <c r="L34" s="115"/>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t="s">
        <v>76</v>
      </c>
      <c r="D36" s="75">
        <v>1</v>
      </c>
      <c r="E36" s="135" t="s">
        <v>77</v>
      </c>
      <c r="F36" s="136"/>
      <c r="G36" s="81"/>
      <c r="H36" s="108"/>
      <c r="I36" s="108"/>
      <c r="J36" s="81"/>
      <c r="K36" s="131"/>
      <c r="L36" s="115">
        <v>1610</v>
      </c>
      <c r="M36" s="96">
        <f t="shared" ref="M36" si="1">L36*D36</f>
        <v>1610</v>
      </c>
      <c r="N36" s="57"/>
      <c r="O36" s="8"/>
    </row>
    <row r="37" spans="1:15" ht="15.75" x14ac:dyDescent="0.25">
      <c r="A37" s="7"/>
      <c r="B37" s="3"/>
      <c r="C37" s="107"/>
      <c r="D37" s="75"/>
      <c r="E37" s="135" t="s">
        <v>78</v>
      </c>
      <c r="F37" s="136"/>
      <c r="G37" s="81"/>
      <c r="H37" s="108"/>
      <c r="I37" s="81"/>
      <c r="J37" s="81"/>
      <c r="K37" s="131"/>
      <c r="L37" s="115"/>
      <c r="M37" s="96"/>
      <c r="N37" s="57"/>
      <c r="O37" s="8"/>
    </row>
    <row r="38" spans="1:15" ht="18" x14ac:dyDescent="0.25">
      <c r="A38" s="7"/>
      <c r="B38" s="3"/>
      <c r="C38" s="107"/>
      <c r="D38" s="75"/>
      <c r="E38" s="135" t="s">
        <v>81</v>
      </c>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4"/>
      <c r="F44" s="175"/>
      <c r="G44" s="175"/>
      <c r="H44" s="175"/>
      <c r="I44" s="175"/>
      <c r="J44" s="175"/>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1610</v>
      </c>
      <c r="N45" s="57"/>
      <c r="O45" s="8"/>
    </row>
    <row r="46" spans="1:15" ht="15" customHeight="1" x14ac:dyDescent="0.2">
      <c r="A46" s="7"/>
      <c r="B46" s="145" t="s">
        <v>79</v>
      </c>
      <c r="C46" s="3"/>
      <c r="D46" s="82"/>
      <c r="E46" s="82"/>
      <c r="F46" s="82"/>
      <c r="G46" s="82"/>
      <c r="H46" s="82"/>
      <c r="I46" s="76"/>
      <c r="J46" s="76"/>
      <c r="K46" s="76"/>
      <c r="L46" s="105" t="s">
        <v>46</v>
      </c>
      <c r="M46" s="103">
        <v>1</v>
      </c>
      <c r="N46" s="57"/>
      <c r="O46" s="8"/>
    </row>
    <row r="47" spans="1:15" ht="12.75" customHeight="1" x14ac:dyDescent="0.2">
      <c r="A47" s="7"/>
      <c r="B47" s="3"/>
      <c r="C47" s="3"/>
      <c r="D47" s="83"/>
      <c r="E47" s="144" t="s">
        <v>25</v>
      </c>
      <c r="F47" s="82"/>
      <c r="G47" s="82"/>
      <c r="H47" s="82"/>
      <c r="I47" s="78"/>
      <c r="J47" s="78"/>
      <c r="K47" s="77"/>
      <c r="L47" s="104">
        <v>0.19</v>
      </c>
      <c r="M47" s="103">
        <f>M45*0.19</f>
        <v>305.89999999999998</v>
      </c>
      <c r="N47" s="57"/>
      <c r="O47" s="8"/>
    </row>
    <row r="48" spans="1:15" ht="3" customHeight="1" x14ac:dyDescent="0.25">
      <c r="A48" s="7"/>
      <c r="B48" s="3"/>
      <c r="C48" s="3"/>
      <c r="D48" s="85"/>
      <c r="E48" s="132" t="s">
        <v>66</v>
      </c>
      <c r="F48" s="87"/>
      <c r="G48" s="85"/>
      <c r="H48" s="82"/>
      <c r="I48" s="79"/>
      <c r="J48" s="76"/>
      <c r="K48" s="76"/>
      <c r="L48" s="153" t="s">
        <v>27</v>
      </c>
      <c r="M48" s="154">
        <f>+M45+M46+M47</f>
        <v>1916.9</v>
      </c>
      <c r="N48" s="57"/>
      <c r="O48" s="8"/>
    </row>
    <row r="49" spans="1:15" ht="15" x14ac:dyDescent="0.2">
      <c r="A49" s="7"/>
      <c r="B49" s="3"/>
      <c r="C49" s="3"/>
      <c r="D49" s="85">
        <v>1</v>
      </c>
      <c r="E49" s="106" t="s">
        <v>67</v>
      </c>
      <c r="F49" s="82"/>
      <c r="G49" s="86"/>
      <c r="H49" s="82"/>
      <c r="I49" s="80" t="s">
        <v>26</v>
      </c>
      <c r="J49" s="76"/>
      <c r="K49" s="76"/>
      <c r="L49" s="153"/>
      <c r="M49" s="155"/>
      <c r="N49" s="57"/>
      <c r="O49" s="8"/>
    </row>
    <row r="50" spans="1:15" ht="15.75" customHeight="1" x14ac:dyDescent="0.2">
      <c r="A50" s="7"/>
      <c r="B50" s="3"/>
      <c r="C50" s="3"/>
      <c r="D50" s="85"/>
      <c r="E50" s="106" t="s">
        <v>55</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59</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91" t="s">
        <v>69</v>
      </c>
      <c r="C54" s="191"/>
      <c r="D54" s="191"/>
      <c r="E54" s="191"/>
      <c r="F54" s="191"/>
      <c r="G54" s="125"/>
      <c r="H54" s="125"/>
      <c r="I54" s="125"/>
      <c r="J54" s="125"/>
      <c r="K54" s="125"/>
      <c r="L54" s="133" t="s">
        <v>68</v>
      </c>
      <c r="M54" s="101"/>
      <c r="N54" s="57"/>
      <c r="O54" s="8"/>
    </row>
    <row r="55" spans="1:15" ht="15.75" x14ac:dyDescent="0.2">
      <c r="A55" s="7"/>
      <c r="B55" s="192" t="s">
        <v>70</v>
      </c>
      <c r="C55" s="192"/>
      <c r="D55" s="192"/>
      <c r="E55" s="192"/>
      <c r="F55" s="192"/>
      <c r="G55" s="134"/>
      <c r="H55" s="134"/>
      <c r="I55" s="134"/>
      <c r="J55" s="134"/>
      <c r="K55" s="134"/>
      <c r="L55" s="99"/>
      <c r="M55" s="100"/>
      <c r="N55" s="57"/>
      <c r="O55" s="8"/>
    </row>
    <row r="56" spans="1:15" ht="15.75" x14ac:dyDescent="0.2">
      <c r="A56" s="7"/>
      <c r="B56" s="3"/>
      <c r="C56" s="3"/>
      <c r="D56" s="18"/>
      <c r="E56" s="195"/>
      <c r="F56" s="195"/>
      <c r="G56" s="195"/>
      <c r="H56" s="195"/>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57</v>
      </c>
      <c r="E58" s="122"/>
      <c r="F58" s="122"/>
      <c r="G58" s="122"/>
      <c r="H58" s="122"/>
      <c r="I58" s="122"/>
      <c r="J58" s="122"/>
      <c r="K58" s="122"/>
      <c r="L58" s="122"/>
      <c r="M58" s="98"/>
      <c r="N58" s="57"/>
      <c r="O58" s="8"/>
    </row>
    <row r="59" spans="1:15" ht="16.5" thickTop="1" x14ac:dyDescent="0.2">
      <c r="A59" s="58"/>
      <c r="B59" s="3"/>
      <c r="C59" s="3"/>
      <c r="D59" s="18"/>
      <c r="E59" s="196" t="s">
        <v>54</v>
      </c>
      <c r="F59" s="196"/>
      <c r="G59" s="196"/>
      <c r="H59" s="196"/>
      <c r="I59" s="196"/>
      <c r="J59" s="196"/>
      <c r="K59" s="196"/>
      <c r="L59" s="98"/>
      <c r="M59" s="98"/>
      <c r="N59" s="57"/>
      <c r="O59" s="8"/>
    </row>
    <row r="60" spans="1:15" ht="15.75" x14ac:dyDescent="0.2">
      <c r="A60" s="124"/>
      <c r="B60" s="3"/>
      <c r="C60" s="3"/>
      <c r="D60" s="197" t="s">
        <v>56</v>
      </c>
      <c r="E60" s="197"/>
      <c r="F60" s="197"/>
      <c r="G60" s="197"/>
      <c r="H60" s="197"/>
      <c r="I60" s="197"/>
      <c r="J60" s="197"/>
      <c r="K60" s="197"/>
      <c r="L60" s="197"/>
      <c r="M60" s="98"/>
      <c r="N60" s="57"/>
      <c r="O60" s="8"/>
    </row>
    <row r="61" spans="1:15" ht="15.75" x14ac:dyDescent="0.2">
      <c r="A61" s="123"/>
      <c r="B61" s="3"/>
      <c r="C61" s="3"/>
      <c r="D61" s="197"/>
      <c r="E61" s="197"/>
      <c r="F61" s="197"/>
      <c r="G61" s="197"/>
      <c r="H61" s="197"/>
      <c r="I61" s="197"/>
      <c r="J61" s="197"/>
      <c r="K61" s="197"/>
      <c r="L61" s="197"/>
      <c r="M61" s="98"/>
      <c r="N61" s="57"/>
      <c r="O61" s="8"/>
    </row>
    <row r="62" spans="1:15" ht="13.5" thickBot="1" x14ac:dyDescent="0.25">
      <c r="B62" s="118"/>
      <c r="C62" s="118"/>
      <c r="D62" s="119"/>
      <c r="E62" s="119"/>
      <c r="F62" s="119"/>
      <c r="G62" s="194"/>
      <c r="H62" s="194"/>
      <c r="I62" s="194"/>
      <c r="J62" s="194"/>
      <c r="K62" s="194"/>
      <c r="L62" s="119"/>
      <c r="M62" s="119"/>
      <c r="N62" s="118"/>
      <c r="O62" s="8"/>
    </row>
    <row r="63" spans="1:15" ht="13.5" thickTop="1" x14ac:dyDescent="0.2">
      <c r="B63" s="58"/>
      <c r="C63" s="58"/>
      <c r="D63" s="58"/>
      <c r="E63" s="58"/>
      <c r="F63" s="58"/>
      <c r="G63" s="58"/>
      <c r="H63" s="58"/>
      <c r="I63" s="58"/>
      <c r="J63" s="58"/>
      <c r="K63" s="58"/>
      <c r="L63" s="58"/>
      <c r="M63" s="58"/>
      <c r="N63" s="58"/>
      <c r="O63" s="8"/>
    </row>
    <row r="64" spans="1:15" x14ac:dyDescent="0.2">
      <c r="B64" s="124"/>
      <c r="C64" s="124"/>
      <c r="D64" s="124"/>
      <c r="E64" s="124"/>
      <c r="F64" s="124"/>
      <c r="G64" s="124"/>
      <c r="H64" s="124"/>
      <c r="I64" s="124"/>
      <c r="J64" s="193"/>
      <c r="K64" s="193"/>
      <c r="L64" s="193"/>
      <c r="M64" s="193"/>
      <c r="N64" s="193"/>
      <c r="O64" s="8"/>
    </row>
    <row r="65" spans="2:15" x14ac:dyDescent="0.2">
      <c r="B65" s="123"/>
      <c r="C65" s="123"/>
      <c r="D65" s="123"/>
      <c r="E65" s="123"/>
      <c r="F65" s="123"/>
      <c r="G65" s="123"/>
      <c r="H65" s="123"/>
      <c r="I65" s="123"/>
      <c r="J65" s="194"/>
      <c r="K65" s="194"/>
      <c r="L65" s="194"/>
      <c r="M65" s="194"/>
      <c r="N65" s="194"/>
      <c r="O65"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45868</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1916.9</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2025-07-30T09:25:00Z</cp:lastPrinted>
  <dcterms:created xsi:type="dcterms:W3CDTF">1995-05-29T15:50:39Z</dcterms:created>
  <dcterms:modified xsi:type="dcterms:W3CDTF">2025-09-22T09:39:38Z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1916.9</vt:r8>
  </property>
</Properties>
</file>