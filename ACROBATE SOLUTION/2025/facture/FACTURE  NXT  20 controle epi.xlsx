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9" i="3" l="1"/>
  <c r="N31" i="3"/>
  <c r="N33" i="3"/>
  <c r="N35" i="3"/>
  <c r="N37" i="3"/>
  <c r="N39" i="3"/>
  <c r="N41" i="3"/>
  <c r="N46" i="3"/>
  <c r="N47" i="3" l="1"/>
  <c r="N49" i="3" s="1"/>
  <c r="N50" i="3" s="1"/>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<sst xmlns="http://schemas.openxmlformats.org/spreadsheetml/2006/main" count="96" uniqueCount="79">
  <si>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</si>
  <si>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</si>
  <si>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</si>
  <si>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</si>
  <si>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</si>
  <si>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</si>
  <si>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</si>
  <si>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</si>
  <si>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</si>
  <si>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</si>
  <si>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</si>
  <si>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</si>
  <si>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</si>
  <si>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</si>
  <si>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</si>
  <si>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</si>
  <si>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</si>
  <si>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</si>
  <si>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</si>
  <si>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</si>
  <si>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</si>
  <si>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</si>
  <si>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</si>
  <si>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</si>
  <si>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</si>
  <si>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</si>
  <si>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</si>
  <si>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</si>
  <si>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</si>
  <si>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</si>
  <si>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</si>
  <si>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</si>
  <si>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</si>
  <si>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</si>
  <si>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</si>
  <si>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</si>
  <si>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</si>
  <si>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</si>
  <si>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</si>
  <si>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</si>
  <si>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</si>
  <si>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</si>
  <si>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</si>
  <si>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</si>
  <si>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</si>
  <si>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</si>
  <si>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</si>
  <si>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</si>
  <si>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</si>
  <si>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</si>
  <si>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</si>
  <si>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</si>
  <si>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</si>
  <si>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</si>
  <si>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</si>
  <si>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</si>
  <si>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</si>
  <si>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</si>
  <si>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</si>
  <si>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</si>
  <si>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</si>
  <si>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</si>
  <si>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</si>
  <si>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</si>
  <si>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</si>
  <si>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</si>
  <si>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</si>
  <si>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NETWORK EXPERTISE TUNISIA</t>
  </si>
  <si>
    <t>808707S/A/M/000</t>
  </si>
  <si>
    <t xml:space="preserve">Contrôle visuel et fonctionnel d'un harnais </t>
  </si>
  <si>
    <t>Contrôle visuel et fonctionnel d'une corde</t>
  </si>
  <si>
    <t xml:space="preserve">Contrôle visuel et fonctionnel  d'une poulie </t>
  </si>
  <si>
    <t>contrôle visuel et fonctionnel de sangles d'ancrages</t>
  </si>
  <si>
    <t xml:space="preserve">Contrôle visuel et fonctionnel d'un  descendeur </t>
  </si>
  <si>
    <t xml:space="preserve">Contrôle visuel et fonctionnel d'une longe double </t>
  </si>
  <si>
    <t xml:space="preserve">Contrôle visuel et fonctionnel d'une longe de maintien </t>
  </si>
  <si>
    <t>FACTURE   N°2025-020</t>
  </si>
  <si>
    <t>2025/234</t>
  </si>
  <si>
    <t xml:space="preserve">Arrete a la somme de : Sept cent soixante deux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</si>
</sst>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 &quot;DT&quot;;[Red]\-#&quot; &quot;##0.0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sz val="16"/>
      <name val="Arial"/>
      <family val="2"/>
    </font>
    <font>
      <u/>
      <sz val="22"/>
      <name val="Times New Roman"/>
      <family val="1"/>
    </font>
    <font>
      <b/>
      <u/>
      <sz val="16"/>
      <color theme="9" tint="-0.499984740745262"/>
      <name val="Arial"/>
      <family val="2"/>
    </font>
    <font>
      <b/>
      <sz val="11"/>
      <color theme="1"/>
      <name val="Arial"/>
      <family val="2"/>
    </font>
    <font>
      <u/>
      <sz val="11"/>
      <color theme="10"/>
      <name val="Arial"/>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2" fillId="0" borderId="32" xfId="0" applyNumberFormat="1" applyFont="1" applyFill="1" applyBorder="1" applyAlignment="1"/>
    <xf numFmtId="49" fontId="33" fillId="3" borderId="32" xfId="0" applyNumberFormat="1" applyFont="1" applyFill="1" applyBorder="1" applyAlignment="1"/>
    <xf numFmtId="0" fontId="34" fillId="3" borderId="0" xfId="0" applyFont="1" applyFill="1" applyBorder="1" applyAlignment="1"/>
    <xf numFmtId="49" fontId="35" fillId="0" borderId="32" xfId="0" applyNumberFormat="1" applyFont="1" applyFill="1" applyBorder="1" applyAlignment="1"/>
    <xf numFmtId="49" fontId="36" fillId="0" borderId="0" xfId="5" applyNumberFormat="1" applyFont="1" applyFill="1" applyBorder="1" applyAlignment="1" applyProtection="1"/>
    <xf numFmtId="0" fontId="37" fillId="3" borderId="0" xfId="0" applyFont="1" applyFill="1" applyBorder="1" applyAlignment="1"/>
    <xf numFmtId="49" fontId="37" fillId="0" borderId="32" xfId="0" applyNumberFormat="1" applyFont="1" applyFill="1" applyBorder="1" applyAlignment="1"/>
    <xf numFmtId="49" fontId="7" fillId="0" borderId="0" xfId="0" applyNumberFormat="1" applyFont="1" applyFill="1" applyBorder="1" applyAlignment="1"/>
    <xf numFmtId="49" fontId="35" fillId="0" borderId="32" xfId="5" applyNumberFormat="1" applyFont="1" applyFill="1" applyBorder="1" applyAlignment="1" applyProtection="1"/>
    <xf numFmtId="169" fontId="32" fillId="0" borderId="27" xfId="0" applyNumberFormat="1" applyFont="1" applyFill="1" applyBorder="1" applyAlignment="1">
      <alignment shrinkToFit="1"/>
    </xf>
    <xf numFmtId="169" fontId="32" fillId="0" borderId="27" xfId="0" applyNumberFormat="1" applyFont="1" applyFill="1" applyBorder="1" applyAlignment="1"/>
    <xf numFmtId="1" fontId="7" fillId="0" borderId="32" xfId="0" applyNumberFormat="1" applyFont="1" applyFill="1" applyBorder="1" applyAlignment="1">
      <alignment horizontal="center"/>
    </xf>
    <xf numFmtId="0" fontId="37"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2" fillId="3" borderId="37" xfId="0" applyNumberFormat="1" applyFont="1" applyFill="1" applyBorder="1" applyAlignment="1">
      <alignment horizontal="center"/>
    </xf>
    <xf numFmtId="49" fontId="2"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100765</xdr:colOff>
      <xdr:row>19</xdr:row>
      <xdr:rowOff>76702</xdr:rowOff>
    </xdr:from>
    <xdr:to>
      <xdr:col>14</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701844</xdr:colOff>
      <xdr:row>6</xdr:row>
      <xdr:rowOff>110291</xdr:rowOff>
    </xdr:from>
    <xdr:to>
      <xdr:col>13</xdr:col>
      <xdr:colOff>220579</xdr:colOff>
      <xdr:row>10</xdr:row>
      <xdr:rowOff>70185</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84923" y="842212"/>
          <a:ext cx="1303419" cy="601578"/>
        </a:xfrm>
        <a:prstGeom prst="rect">
          <a:avLst/>
        </a:prstGeom>
        <a:noFill/>
        <a:ln>
          <a:noFill/>
        </a:ln>
      </xdr:spPr>
    </xdr:pic>
    <xdr:clientData/>
  </xdr:twoCellAnchor>
  <xdr:twoCellAnchor editAs="oneCell">
    <xdr:from>
      <xdr:col>13</xdr:col>
      <xdr:colOff>280737</xdr:colOff>
      <xdr:row>5</xdr:row>
      <xdr:rowOff>130341</xdr:rowOff>
    </xdr:from>
    <xdr:to>
      <xdr:col>14</xdr:col>
      <xdr:colOff>120317</xdr:colOff>
      <xdr:row>10</xdr:row>
      <xdr:rowOff>59107</xdr:rowOff>
    </xdr:to>
    <xdr:pic>
      <xdr:nvPicPr>
        <xdr:cNvPr id="2" name="Image 1"/>
        <xdr:cNvPicPr>
          <a:picLocks noChangeAspect="1"/>
        </xdr:cNvPicPr>
      </xdr:nvPicPr>
      <xdr:blipFill>
        <a:blip xmlns:r="http://schemas.openxmlformats.org/officeDocument/2006/relationships" r:embed="rId3"/>
        <a:stretch>
          <a:fillRect/>
        </a:stretch>
      </xdr:blipFill>
      <xdr:spPr>
        <a:xfrm>
          <a:off x="7048500" y="701841"/>
          <a:ext cx="892343" cy="73087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1" t="s">
        <v>0</v>
      </c>
      <c r="E4" s="152"/>
      <c r="F4" s="152"/>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3" t="s">
        <v>2</v>
      </c>
      <c r="E10" s="15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5" t="s">
        <v>45</v>
      </c>
      <c r="E19" s="15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6" t="str">
        <f>LOWER(TemplateInformation!B3)</f>
        <v>c:\program files\microsoft office\office\macrolib\factbd.xls</v>
      </c>
      <c r="G33" s="15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3" t="s">
        <v>16</v>
      </c>
      <c r="E36" s="15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17" zoomScale="95" workbookViewId="0">
      <selection activeCell="J31" sqref="J3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80"/>
      <c r="N9" s="181"/>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89"/>
      <c r="N13" s="190"/>
      <c r="O13" s="3"/>
      <c r="P13" s="8"/>
    </row>
    <row r="14" spans="2:16" x14ac:dyDescent="0.2">
      <c r="B14" s="7"/>
      <c r="C14" s="3"/>
      <c r="D14" s="3"/>
      <c r="E14" s="3"/>
      <c r="F14" s="3"/>
      <c r="G14" s="3"/>
      <c r="H14" s="179"/>
      <c r="I14" s="179"/>
      <c r="J14" s="179"/>
      <c r="K14" s="179"/>
      <c r="L14" s="179"/>
      <c r="M14" s="3"/>
      <c r="N14" s="3"/>
      <c r="O14" s="3"/>
      <c r="P14" s="8"/>
    </row>
    <row r="15" spans="2:16" ht="20.100000000000001" customHeight="1" x14ac:dyDescent="0.2">
      <c r="B15" s="7"/>
      <c r="C15" s="3"/>
      <c r="D15" s="3"/>
      <c r="E15" s="3"/>
      <c r="F15" s="3"/>
      <c r="G15" s="3"/>
      <c r="H15" s="179"/>
      <c r="I15" s="179"/>
      <c r="J15" s="179"/>
      <c r="K15" s="179"/>
      <c r="L15" s="179"/>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60" t="s">
        <v>76</v>
      </c>
      <c r="N17" s="161"/>
      <c r="O17" s="3"/>
      <c r="P17" s="8"/>
    </row>
    <row r="18" spans="1:16" ht="19.5" thickTop="1" x14ac:dyDescent="0.3">
      <c r="B18" s="7"/>
      <c r="C18" s="3"/>
      <c r="D18" s="58"/>
      <c r="E18" s="58"/>
      <c r="F18" s="58"/>
      <c r="G18" s="58"/>
      <c r="H18" s="58"/>
      <c r="I18" s="58"/>
      <c r="J18" s="59"/>
      <c r="K18" s="59"/>
      <c r="L18" s="59"/>
      <c r="M18" s="162"/>
      <c r="N18" s="163"/>
      <c r="O18" s="19"/>
      <c r="P18" s="8"/>
    </row>
    <row r="19" spans="1:16" ht="13.5" thickBot="1" x14ac:dyDescent="0.25">
      <c r="B19" s="7"/>
      <c r="C19" s="3"/>
      <c r="D19" s="3"/>
      <c r="E19" s="3"/>
      <c r="F19" s="3"/>
      <c r="G19" s="3"/>
      <c r="H19" s="3"/>
      <c r="I19" s="3"/>
      <c r="J19" s="3"/>
      <c r="K19" s="3"/>
      <c r="L19" s="3"/>
      <c r="M19" s="164"/>
      <c r="N19" s="165"/>
      <c r="O19" s="3"/>
      <c r="P19" s="8"/>
    </row>
    <row r="20" spans="1:16" x14ac:dyDescent="0.2">
      <c r="B20" s="7"/>
      <c r="C20" s="3"/>
      <c r="D20" s="3"/>
      <c r="E20" s="3"/>
      <c r="F20" s="3"/>
      <c r="G20" s="3"/>
      <c r="H20" s="3"/>
      <c r="I20" s="3"/>
      <c r="J20" s="3"/>
      <c r="K20" s="3"/>
      <c r="L20" s="3"/>
      <c r="M20" s="133"/>
      <c r="N20" s="3"/>
      <c r="O20" s="3"/>
      <c r="P20" s="8"/>
    </row>
    <row r="21" spans="1:16" ht="18" x14ac:dyDescent="0.25">
      <c r="B21" s="7"/>
      <c r="C21" s="3"/>
      <c r="D21" s="82" t="s">
        <v>3</v>
      </c>
      <c r="E21" s="195" t="s">
        <v>67</v>
      </c>
      <c r="F21" s="196"/>
      <c r="G21" s="196"/>
      <c r="H21" s="196"/>
      <c r="I21" s="196"/>
      <c r="J21" s="196"/>
      <c r="K21" s="82"/>
      <c r="L21" s="84" t="s">
        <v>18</v>
      </c>
      <c r="M21" s="184">
        <v>45726</v>
      </c>
      <c r="N21" s="185"/>
      <c r="O21" s="55"/>
      <c r="P21" s="8"/>
    </row>
    <row r="22" spans="1:16" x14ac:dyDescent="0.2">
      <c r="B22" s="7"/>
      <c r="C22" s="3"/>
      <c r="D22" s="82" t="s">
        <v>5</v>
      </c>
      <c r="E22" s="193" t="s">
        <v>62</v>
      </c>
      <c r="F22" s="194"/>
      <c r="G22" s="194"/>
      <c r="H22" s="194"/>
      <c r="I22" s="194"/>
      <c r="J22" s="194"/>
      <c r="K22" s="82"/>
      <c r="L22" s="125" t="s">
        <v>59</v>
      </c>
      <c r="M22" s="175" t="s">
        <v>77</v>
      </c>
      <c r="N22" s="176"/>
      <c r="O22" s="56"/>
      <c r="P22" s="8"/>
    </row>
    <row r="23" spans="1:16" x14ac:dyDescent="0.2">
      <c r="B23" s="7"/>
      <c r="C23" s="3"/>
      <c r="D23" s="82" t="s">
        <v>7</v>
      </c>
      <c r="E23" s="89"/>
      <c r="F23" s="90" t="s">
        <v>8</v>
      </c>
      <c r="G23" s="191"/>
      <c r="H23" s="192"/>
      <c r="I23" s="91" t="s">
        <v>9</v>
      </c>
      <c r="J23" s="88" t="s">
        <v>51</v>
      </c>
      <c r="K23" s="82"/>
      <c r="L23" s="84" t="s">
        <v>19</v>
      </c>
      <c r="M23" s="186" t="s">
        <v>60</v>
      </c>
      <c r="N23" s="187"/>
      <c r="O23" s="3"/>
      <c r="P23" s="8"/>
    </row>
    <row r="24" spans="1:16" x14ac:dyDescent="0.2">
      <c r="B24" s="7"/>
      <c r="C24" s="3"/>
      <c r="D24" s="82" t="s">
        <v>20</v>
      </c>
      <c r="E24" s="197" t="s">
        <v>63</v>
      </c>
      <c r="F24" s="198"/>
      <c r="G24" s="198"/>
      <c r="H24" s="198"/>
      <c r="I24" s="198"/>
      <c r="J24" s="198"/>
      <c r="K24" s="82"/>
      <c r="L24" s="84" t="s">
        <v>47</v>
      </c>
      <c r="M24" s="188" t="s">
        <v>68</v>
      </c>
      <c r="N24" s="187"/>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72" t="s">
        <v>22</v>
      </c>
      <c r="G26" s="173"/>
      <c r="H26" s="173"/>
      <c r="I26" s="173"/>
      <c r="J26" s="173"/>
      <c r="K26" s="173"/>
      <c r="L26" s="174"/>
      <c r="M26" s="52" t="s">
        <v>53</v>
      </c>
      <c r="N26" s="113" t="s">
        <v>23</v>
      </c>
      <c r="O26" s="57"/>
      <c r="P26" s="8"/>
    </row>
    <row r="27" spans="1:16" ht="15.75" x14ac:dyDescent="0.25">
      <c r="B27" s="7"/>
      <c r="C27" s="3"/>
      <c r="D27" s="93"/>
      <c r="E27" s="75"/>
      <c r="F27" s="199"/>
      <c r="G27" s="200"/>
      <c r="H27" s="200"/>
      <c r="I27" s="200"/>
      <c r="J27" s="200"/>
      <c r="K27" s="200"/>
      <c r="L27" s="130"/>
      <c r="M27" s="129"/>
      <c r="N27" s="96"/>
      <c r="O27" s="57"/>
      <c r="P27" s="8"/>
    </row>
    <row r="28" spans="1:16" ht="27.75" x14ac:dyDescent="0.4">
      <c r="B28" s="7"/>
      <c r="C28" s="3"/>
      <c r="D28" s="93"/>
      <c r="E28" s="75"/>
      <c r="F28" s="139"/>
      <c r="G28" s="132"/>
      <c r="H28" s="132"/>
      <c r="I28" s="132"/>
      <c r="J28" s="132"/>
      <c r="K28" s="132"/>
      <c r="L28" s="131"/>
      <c r="M28" s="129"/>
      <c r="N28" s="96"/>
      <c r="O28" s="57"/>
      <c r="P28" s="8"/>
    </row>
    <row r="29" spans="1:16" ht="20.25" x14ac:dyDescent="0.3">
      <c r="B29" s="7"/>
      <c r="C29" s="3"/>
      <c r="D29" s="93"/>
      <c r="E29" s="149">
        <v>14</v>
      </c>
      <c r="F29" s="141" t="s">
        <v>69</v>
      </c>
      <c r="G29" s="142"/>
      <c r="H29" s="142"/>
      <c r="I29" s="143"/>
      <c r="J29" s="143"/>
      <c r="K29" s="143"/>
      <c r="L29" s="131"/>
      <c r="M29" s="147">
        <v>30</v>
      </c>
      <c r="N29" s="147">
        <f>M29*E29</f>
        <v>420</v>
      </c>
      <c r="O29" s="57"/>
      <c r="P29" s="8"/>
    </row>
    <row r="30" spans="1:16" ht="20.25" x14ac:dyDescent="0.3">
      <c r="B30" s="7"/>
      <c r="C30" s="3"/>
      <c r="D30" s="108"/>
      <c r="E30" s="149"/>
      <c r="F30" s="144"/>
      <c r="G30" s="145"/>
      <c r="H30" s="145"/>
      <c r="I30" s="145"/>
      <c r="J30" s="145"/>
      <c r="K30" s="145"/>
      <c r="L30" s="131"/>
      <c r="M30" s="147"/>
      <c r="N30" s="147"/>
      <c r="O30" s="57"/>
      <c r="P30" s="8"/>
    </row>
    <row r="31" spans="1:16" ht="20.25" x14ac:dyDescent="0.3">
      <c r="A31" s="99" t="s">
        <v>54</v>
      </c>
      <c r="B31" s="7"/>
      <c r="C31" s="3"/>
      <c r="D31" s="108"/>
      <c r="E31" s="149">
        <v>4</v>
      </c>
      <c r="F31" s="144" t="s">
        <v>70</v>
      </c>
      <c r="G31" s="145"/>
      <c r="H31" s="145"/>
      <c r="I31" s="145"/>
      <c r="J31" s="145"/>
      <c r="K31" s="145"/>
      <c r="L31" s="131"/>
      <c r="M31" s="147">
        <v>10</v>
      </c>
      <c r="N31" s="147">
        <f t="shared" ref="N31:N39" si="0">M31*E31</f>
        <v>40</v>
      </c>
      <c r="O31" s="57"/>
      <c r="P31" s="8"/>
    </row>
    <row r="32" spans="1:16" ht="20.25" x14ac:dyDescent="0.3">
      <c r="A32" s="99"/>
      <c r="B32" s="7"/>
      <c r="C32" s="3"/>
      <c r="D32" s="108"/>
      <c r="E32" s="149"/>
      <c r="F32" s="144"/>
      <c r="G32" s="142"/>
      <c r="H32" s="143"/>
      <c r="I32" s="143"/>
      <c r="J32" s="143"/>
      <c r="K32" s="143"/>
      <c r="L32" s="131"/>
      <c r="M32" s="147"/>
      <c r="N32" s="147"/>
      <c r="O32" s="57"/>
      <c r="P32" s="8"/>
    </row>
    <row r="33" spans="2:16" ht="20.25" x14ac:dyDescent="0.3">
      <c r="B33" s="7"/>
      <c r="C33" s="3"/>
      <c r="D33" s="108"/>
      <c r="E33" s="149">
        <v>1</v>
      </c>
      <c r="F33" s="144" t="s">
        <v>71</v>
      </c>
      <c r="G33" s="142"/>
      <c r="H33" s="143"/>
      <c r="I33" s="143"/>
      <c r="J33" s="143"/>
      <c r="K33" s="143"/>
      <c r="L33" s="131"/>
      <c r="M33" s="147">
        <v>15</v>
      </c>
      <c r="N33" s="147">
        <f t="shared" si="0"/>
        <v>15</v>
      </c>
      <c r="O33" s="57"/>
      <c r="P33" s="8"/>
    </row>
    <row r="34" spans="2:16" ht="20.25" x14ac:dyDescent="0.3">
      <c r="B34" s="7"/>
      <c r="C34" s="3"/>
      <c r="D34" s="108"/>
      <c r="E34" s="149"/>
      <c r="F34" s="146"/>
      <c r="G34" s="142"/>
      <c r="H34" s="142"/>
      <c r="I34" s="142"/>
      <c r="J34" s="142"/>
      <c r="K34" s="142"/>
      <c r="L34" s="131"/>
      <c r="M34" s="147"/>
      <c r="N34" s="147"/>
      <c r="O34" s="57"/>
      <c r="P34" s="8"/>
    </row>
    <row r="35" spans="2:16" ht="20.25" x14ac:dyDescent="0.3">
      <c r="B35" s="7"/>
      <c r="C35" s="3"/>
      <c r="D35" s="108"/>
      <c r="E35" s="149">
        <v>3</v>
      </c>
      <c r="F35" s="146" t="s">
        <v>72</v>
      </c>
      <c r="G35" s="142"/>
      <c r="H35" s="142"/>
      <c r="I35" s="142"/>
      <c r="J35" s="142"/>
      <c r="K35" s="142"/>
      <c r="L35" s="109"/>
      <c r="M35" s="147">
        <v>15</v>
      </c>
      <c r="N35" s="147">
        <f t="shared" si="0"/>
        <v>45</v>
      </c>
      <c r="O35" s="57"/>
      <c r="P35" s="8"/>
    </row>
    <row r="36" spans="2:16" ht="20.25" x14ac:dyDescent="0.3">
      <c r="B36" s="7"/>
      <c r="C36" s="3"/>
      <c r="D36" s="108"/>
      <c r="E36" s="149"/>
      <c r="F36" s="146"/>
      <c r="G36" s="142"/>
      <c r="H36" s="142"/>
      <c r="I36" s="142"/>
      <c r="J36" s="142"/>
      <c r="K36" s="142"/>
      <c r="L36" s="109"/>
      <c r="M36" s="147"/>
      <c r="N36" s="147"/>
      <c r="O36" s="57"/>
      <c r="P36" s="8"/>
    </row>
    <row r="37" spans="2:16" ht="20.25" x14ac:dyDescent="0.3">
      <c r="B37" s="7"/>
      <c r="C37" s="3"/>
      <c r="D37" s="108"/>
      <c r="E37" s="149">
        <v>3</v>
      </c>
      <c r="F37" s="144" t="s">
        <v>73</v>
      </c>
      <c r="G37" s="142"/>
      <c r="H37" s="142"/>
      <c r="I37" s="142"/>
      <c r="J37" s="142"/>
      <c r="K37" s="142"/>
      <c r="L37" s="109"/>
      <c r="M37" s="147">
        <v>20</v>
      </c>
      <c r="N37" s="147">
        <f t="shared" si="0"/>
        <v>60</v>
      </c>
      <c r="O37" s="57"/>
      <c r="P37" s="8"/>
    </row>
    <row r="38" spans="2:16" ht="20.25" x14ac:dyDescent="0.3">
      <c r="B38" s="7"/>
      <c r="C38" s="3"/>
      <c r="D38" s="108"/>
      <c r="E38" s="149"/>
      <c r="F38" s="144"/>
      <c r="G38" s="142"/>
      <c r="H38" s="142"/>
      <c r="I38" s="142"/>
      <c r="J38" s="142"/>
      <c r="K38" s="142"/>
      <c r="L38" s="109"/>
      <c r="M38" s="148"/>
      <c r="N38" s="147"/>
      <c r="O38" s="57"/>
      <c r="P38" s="8"/>
    </row>
    <row r="39" spans="2:16" ht="20.25" x14ac:dyDescent="0.3">
      <c r="B39" s="7"/>
      <c r="C39" s="3"/>
      <c r="D39" s="108"/>
      <c r="E39" s="149">
        <v>5</v>
      </c>
      <c r="F39" s="144" t="s">
        <v>74</v>
      </c>
      <c r="G39" s="142"/>
      <c r="H39" s="142"/>
      <c r="I39" s="143"/>
      <c r="J39" s="143"/>
      <c r="K39" s="143"/>
      <c r="L39" s="109"/>
      <c r="M39" s="147">
        <v>30</v>
      </c>
      <c r="N39" s="147">
        <f t="shared" si="0"/>
        <v>150</v>
      </c>
      <c r="O39" s="57"/>
      <c r="P39" s="8"/>
    </row>
    <row r="40" spans="2:16" ht="20.25" x14ac:dyDescent="0.3">
      <c r="B40" s="7"/>
      <c r="C40" s="3"/>
      <c r="D40" s="108"/>
      <c r="E40" s="75"/>
      <c r="F40" s="140"/>
      <c r="G40" s="124"/>
      <c r="H40" s="81"/>
      <c r="I40" s="109"/>
      <c r="J40" s="109"/>
      <c r="K40" s="81"/>
      <c r="L40" s="109"/>
      <c r="M40" s="148"/>
      <c r="N40" s="116"/>
      <c r="O40" s="57"/>
      <c r="P40" s="8"/>
    </row>
    <row r="41" spans="2:16" ht="20.25" x14ac:dyDescent="0.3">
      <c r="B41" s="7"/>
      <c r="C41" s="3"/>
      <c r="D41" s="108"/>
      <c r="E41" s="149">
        <v>5</v>
      </c>
      <c r="F41" s="144" t="s">
        <v>75</v>
      </c>
      <c r="G41" s="142"/>
      <c r="H41" s="142"/>
      <c r="I41" s="143"/>
      <c r="J41" s="143"/>
      <c r="K41" s="143"/>
      <c r="L41" s="109"/>
      <c r="M41" s="147">
        <v>30</v>
      </c>
      <c r="N41" s="147">
        <f t="shared" ref="N41" si="1">M41*E41</f>
        <v>150</v>
      </c>
      <c r="O41" s="57"/>
      <c r="P41" s="8"/>
    </row>
    <row r="42" spans="2:16" ht="20.25" x14ac:dyDescent="0.3">
      <c r="B42" s="7"/>
      <c r="C42" s="3"/>
      <c r="D42" s="108"/>
      <c r="E42" s="75"/>
      <c r="F42" s="138"/>
      <c r="G42" s="109"/>
      <c r="H42" s="81"/>
      <c r="I42" s="109"/>
      <c r="J42" s="109"/>
      <c r="K42" s="81"/>
      <c r="L42" s="109"/>
      <c r="M42" s="96"/>
      <c r="N42" s="116"/>
      <c r="O42" s="57"/>
      <c r="P42" s="8"/>
    </row>
    <row r="43" spans="2:16" ht="17.100000000000001" customHeight="1" x14ac:dyDescent="0.2">
      <c r="B43" s="7"/>
      <c r="C43" s="3"/>
      <c r="D43" s="108"/>
      <c r="E43" s="75"/>
      <c r="F43" s="115"/>
      <c r="G43" s="109"/>
      <c r="H43" s="81"/>
      <c r="I43" s="109"/>
      <c r="J43" s="109"/>
      <c r="K43" s="81"/>
      <c r="L43" s="109"/>
      <c r="M43" s="96"/>
      <c r="N43" s="116"/>
      <c r="O43" s="57"/>
      <c r="P43" s="8"/>
    </row>
    <row r="44" spans="2:16" ht="17.100000000000001" customHeight="1" x14ac:dyDescent="0.3">
      <c r="B44" s="7"/>
      <c r="C44" s="3"/>
      <c r="D44" s="108"/>
      <c r="E44" s="53"/>
      <c r="F44" s="138"/>
      <c r="G44" s="109"/>
      <c r="H44" s="81"/>
      <c r="I44" s="109"/>
      <c r="J44" s="109"/>
      <c r="K44" s="81"/>
      <c r="L44" s="109"/>
      <c r="M44" s="96"/>
      <c r="N44" s="116"/>
      <c r="O44" s="57"/>
      <c r="P44" s="8"/>
    </row>
    <row r="45" spans="2:16" ht="15.75" x14ac:dyDescent="0.25">
      <c r="B45" s="7"/>
      <c r="C45" s="3"/>
      <c r="D45" s="93"/>
      <c r="E45" s="53"/>
      <c r="F45" s="95"/>
      <c r="G45" s="117"/>
      <c r="H45" s="117"/>
      <c r="I45" s="117"/>
      <c r="J45" s="117"/>
      <c r="K45" s="117"/>
      <c r="L45" s="81"/>
      <c r="M45" s="96"/>
      <c r="N45" s="96"/>
      <c r="O45" s="57"/>
      <c r="P45" s="8"/>
    </row>
    <row r="46" spans="2:16" ht="15" customHeight="1" x14ac:dyDescent="0.2">
      <c r="B46" s="7"/>
      <c r="C46" s="3"/>
      <c r="D46" s="94"/>
      <c r="E46" s="54"/>
      <c r="F46" s="182"/>
      <c r="G46" s="183"/>
      <c r="H46" s="183"/>
      <c r="I46" s="183"/>
      <c r="J46" s="183"/>
      <c r="K46" s="183"/>
      <c r="L46" s="118"/>
      <c r="M46" s="96"/>
      <c r="N46" s="96" t="str">
        <f>IF(E47&lt;&gt;"",E47*M46,"")</f>
        <v/>
      </c>
      <c r="O46" s="57"/>
      <c r="P46" s="8"/>
    </row>
    <row r="47" spans="2:16" ht="15" customHeight="1" x14ac:dyDescent="0.25">
      <c r="B47" s="7"/>
      <c r="C47" s="133" t="s">
        <v>78</v>
      </c>
      <c r="D47" s="3"/>
      <c r="E47" s="82"/>
      <c r="F47" s="82"/>
      <c r="G47" s="82"/>
      <c r="H47" s="82"/>
      <c r="I47" s="82"/>
      <c r="J47" s="76"/>
      <c r="K47" s="76"/>
      <c r="L47" s="76"/>
      <c r="M47" s="103" t="s">
        <v>24</v>
      </c>
      <c r="N47" s="97">
        <f>SUM(N28:N43)</f>
        <v>880</v>
      </c>
      <c r="O47" s="57"/>
      <c r="P47" s="8"/>
    </row>
    <row r="48" spans="2:16" ht="15" customHeight="1" x14ac:dyDescent="0.2">
      <c r="B48" s="7"/>
      <c r="C48" s="3"/>
      <c r="D48" s="3"/>
      <c r="E48" s="82"/>
      <c r="F48" s="82"/>
      <c r="G48" s="82"/>
      <c r="H48" s="82"/>
      <c r="I48" s="82"/>
      <c r="J48" s="76"/>
      <c r="K48" s="76"/>
      <c r="L48" s="76"/>
      <c r="M48" s="106" t="s">
        <v>46</v>
      </c>
      <c r="N48" s="104">
        <v>1</v>
      </c>
      <c r="O48" s="57"/>
      <c r="P48" s="8"/>
    </row>
    <row r="49" spans="1:16" ht="15.75" x14ac:dyDescent="0.25">
      <c r="B49" s="7"/>
      <c r="C49" s="3"/>
      <c r="D49" s="3"/>
      <c r="E49" s="83"/>
      <c r="F49" s="150" t="s">
        <v>25</v>
      </c>
      <c r="G49" s="82"/>
      <c r="H49" s="82"/>
      <c r="I49" s="82"/>
      <c r="J49" s="78"/>
      <c r="K49" s="78"/>
      <c r="L49" s="77"/>
      <c r="M49" s="105">
        <v>0.19</v>
      </c>
      <c r="N49" s="104">
        <f>N47*0.19</f>
        <v>167.2</v>
      </c>
      <c r="O49" s="57"/>
      <c r="P49" s="8"/>
    </row>
    <row r="50" spans="1:16" ht="15.75" x14ac:dyDescent="0.25">
      <c r="B50" s="7"/>
      <c r="C50" s="3"/>
      <c r="D50" s="3"/>
      <c r="E50" s="85"/>
      <c r="F50" s="135" t="s">
        <v>64</v>
      </c>
      <c r="G50" s="87"/>
      <c r="H50" s="85"/>
      <c r="I50" s="82"/>
      <c r="J50" s="79"/>
      <c r="K50" s="76"/>
      <c r="L50" s="76"/>
      <c r="M50" s="178" t="s">
        <v>27</v>
      </c>
      <c r="N50" s="158">
        <f>+N47+N48+N49</f>
        <v>1048.2</v>
      </c>
      <c r="O50" s="57"/>
      <c r="P50" s="8"/>
    </row>
    <row r="51" spans="1:16" ht="15" x14ac:dyDescent="0.2">
      <c r="B51" s="7"/>
      <c r="C51" s="3"/>
      <c r="D51" s="3"/>
      <c r="E51" s="85">
        <v>1</v>
      </c>
      <c r="F51" s="107" t="s">
        <v>56</v>
      </c>
      <c r="G51" s="82"/>
      <c r="H51" s="86"/>
      <c r="I51" s="82"/>
      <c r="J51" s="80" t="s">
        <v>26</v>
      </c>
      <c r="K51" s="76"/>
      <c r="L51" s="76"/>
      <c r="M51" s="178"/>
      <c r="N51" s="159"/>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6"/>
      <c r="D53" s="126"/>
      <c r="E53" s="126"/>
      <c r="F53" s="126"/>
      <c r="G53" s="126"/>
      <c r="H53" s="126"/>
      <c r="I53" s="126"/>
      <c r="J53" s="126"/>
      <c r="K53" s="126"/>
      <c r="L53" s="126"/>
      <c r="M53" s="127"/>
      <c r="N53" s="128"/>
      <c r="O53" s="57"/>
      <c r="P53" s="8"/>
    </row>
    <row r="54" spans="1:16" ht="12.75" customHeight="1" x14ac:dyDescent="0.2">
      <c r="B54" s="7"/>
      <c r="C54" s="125"/>
      <c r="D54" s="125"/>
      <c r="E54" s="125"/>
      <c r="F54" s="125"/>
      <c r="G54" s="125"/>
      <c r="H54" s="125"/>
      <c r="I54" s="125"/>
      <c r="J54" s="125"/>
      <c r="K54" s="125"/>
      <c r="L54" s="125"/>
      <c r="M54" s="98" t="s">
        <v>61</v>
      </c>
      <c r="N54" s="102"/>
      <c r="O54" s="57"/>
      <c r="P54" s="8"/>
    </row>
    <row r="55" spans="1:16" ht="3" customHeight="1" x14ac:dyDescent="0.2">
      <c r="B55" s="7"/>
      <c r="C55" s="125"/>
      <c r="D55" s="125" t="s">
        <v>65</v>
      </c>
      <c r="E55" s="125"/>
      <c r="F55" s="125"/>
      <c r="G55" s="125"/>
      <c r="H55" s="125"/>
      <c r="I55" s="125"/>
      <c r="J55" s="125"/>
      <c r="K55" s="125"/>
      <c r="L55" s="125"/>
      <c r="M55" s="102"/>
      <c r="N55" s="102"/>
      <c r="O55" s="57"/>
      <c r="P55" s="8"/>
    </row>
    <row r="56" spans="1:16" ht="15.75" x14ac:dyDescent="0.25">
      <c r="B56" s="7"/>
      <c r="C56" s="136"/>
      <c r="D56" s="137" t="s">
        <v>65</v>
      </c>
      <c r="E56" s="136"/>
      <c r="F56" s="125"/>
      <c r="G56" s="125"/>
      <c r="H56" s="125"/>
      <c r="I56" s="125"/>
      <c r="J56" s="125"/>
      <c r="K56" s="125"/>
      <c r="L56" s="125"/>
      <c r="M56" s="102"/>
      <c r="N56" s="102"/>
      <c r="O56" s="57"/>
      <c r="P56" s="8"/>
    </row>
    <row r="57" spans="1:16" ht="15.75" customHeight="1" x14ac:dyDescent="0.2">
      <c r="B57" s="7"/>
      <c r="C57" s="177" t="s">
        <v>66</v>
      </c>
      <c r="D57" s="177"/>
      <c r="E57" s="177"/>
      <c r="F57" s="134"/>
      <c r="G57" s="134"/>
      <c r="H57" s="134"/>
      <c r="I57" s="134"/>
      <c r="J57" s="134"/>
      <c r="K57" s="134"/>
      <c r="L57" s="134"/>
      <c r="M57" s="100"/>
      <c r="N57" s="101"/>
      <c r="O57" s="57"/>
      <c r="P57" s="8"/>
    </row>
    <row r="58" spans="1:16" ht="15.75" customHeight="1" x14ac:dyDescent="0.2">
      <c r="B58" s="7"/>
      <c r="C58" s="3"/>
      <c r="D58" s="3"/>
      <c r="E58" s="170" t="s">
        <v>58</v>
      </c>
      <c r="F58" s="171"/>
      <c r="G58" s="171"/>
      <c r="H58" s="171"/>
      <c r="I58" s="171"/>
      <c r="J58" s="171"/>
      <c r="K58" s="171"/>
      <c r="L58" s="171"/>
      <c r="M58" s="171"/>
      <c r="N58" s="171"/>
      <c r="O58" s="57"/>
      <c r="P58" s="8"/>
    </row>
    <row r="59" spans="1:16" ht="0.95" customHeight="1" x14ac:dyDescent="0.2">
      <c r="B59" s="7"/>
      <c r="C59" s="3"/>
      <c r="D59" s="3"/>
      <c r="E59" s="171"/>
      <c r="F59" s="171"/>
      <c r="G59" s="171"/>
      <c r="H59" s="171"/>
      <c r="I59" s="171"/>
      <c r="J59" s="171"/>
      <c r="K59" s="171"/>
      <c r="L59" s="171"/>
      <c r="M59" s="171"/>
      <c r="N59" s="171"/>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68" t="s">
        <v>55</v>
      </c>
      <c r="G61" s="168"/>
      <c r="H61" s="168"/>
      <c r="I61" s="168"/>
      <c r="J61" s="168"/>
      <c r="K61" s="168"/>
      <c r="L61" s="168"/>
      <c r="M61" s="98"/>
      <c r="N61" s="98"/>
      <c r="O61" s="57"/>
      <c r="P61" s="8"/>
    </row>
    <row r="62" spans="1:16" ht="16.5" thickTop="1" x14ac:dyDescent="0.2">
      <c r="A62" s="120"/>
      <c r="B62" s="58"/>
      <c r="C62" s="3"/>
      <c r="D62" s="3"/>
      <c r="E62" s="169" t="s">
        <v>57</v>
      </c>
      <c r="F62" s="169"/>
      <c r="G62" s="169"/>
      <c r="H62" s="169"/>
      <c r="I62" s="169"/>
      <c r="J62" s="169"/>
      <c r="K62" s="169"/>
      <c r="L62" s="169"/>
      <c r="M62" s="169"/>
      <c r="N62" s="98"/>
      <c r="O62" s="57"/>
    </row>
    <row r="63" spans="1:16" ht="15.75" x14ac:dyDescent="0.2">
      <c r="A63" s="120"/>
      <c r="B63" s="123"/>
      <c r="C63" s="3"/>
      <c r="D63" s="3"/>
      <c r="E63" s="169"/>
      <c r="F63" s="169"/>
      <c r="G63" s="169"/>
      <c r="H63" s="169"/>
      <c r="I63" s="169"/>
      <c r="J63" s="169"/>
      <c r="K63" s="169"/>
      <c r="L63" s="169"/>
      <c r="M63" s="169"/>
      <c r="N63" s="98"/>
      <c r="O63" s="57"/>
    </row>
    <row r="64" spans="1:16" ht="12.75" customHeight="1" thickBot="1" x14ac:dyDescent="0.25">
      <c r="A64" s="120"/>
      <c r="B64" s="122"/>
      <c r="C64" s="119"/>
      <c r="D64" s="119"/>
      <c r="E64" s="120"/>
      <c r="F64" s="120"/>
      <c r="G64" s="120"/>
      <c r="H64" s="167"/>
      <c r="I64" s="167"/>
      <c r="J64" s="167"/>
      <c r="K64" s="167"/>
      <c r="L64" s="167"/>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66"/>
      <c r="L66" s="166"/>
      <c r="M66" s="166"/>
      <c r="N66" s="166"/>
      <c r="O66" s="166"/>
    </row>
    <row r="67" spans="1:15" x14ac:dyDescent="0.2">
      <c r="A67" s="120"/>
      <c r="C67" s="122"/>
      <c r="D67" s="122"/>
      <c r="E67" s="122"/>
      <c r="F67" s="122"/>
      <c r="G67" s="122"/>
      <c r="H67" s="122"/>
      <c r="I67" s="122"/>
      <c r="J67" s="122"/>
      <c r="K67" s="167"/>
      <c r="L67" s="167"/>
      <c r="M67" s="167"/>
      <c r="N67" s="167"/>
      <c r="O67" s="167"/>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H14:L15"/>
    <mergeCell ref="M9:N9"/>
    <mergeCell ref="F46:K46"/>
    <mergeCell ref="M21:N21"/>
    <mergeCell ref="M23:N23"/>
    <mergeCell ref="M24:N24"/>
    <mergeCell ref="M13:N13"/>
    <mergeCell ref="G23:H23"/>
    <mergeCell ref="E22:J22"/>
    <mergeCell ref="E21:J21"/>
    <mergeCell ref="E24:J24"/>
    <mergeCell ref="F27:K27"/>
    <mergeCell ref="N50:N51"/>
    <mergeCell ref="M17:N19"/>
    <mergeCell ref="K66:O67"/>
    <mergeCell ref="F61:L61"/>
    <mergeCell ref="H64:L64"/>
    <mergeCell ref="E62:M63"/>
    <mergeCell ref="E58:N59"/>
    <mergeCell ref="F26:L26"/>
    <mergeCell ref="M22:N22"/>
    <mergeCell ref="C57:E57"/>
    <mergeCell ref="M50:M51"/>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34:M38 M27:M28 N42:N44 M40:N40 M42: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45:N46 N27:N28">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45726</v>
      </c>
      <c r="D8" s="71" t="str">
        <f>Facture!$E$21</f>
        <v>NETWORK EXPERTISE TUNISIA</v>
      </c>
      <c r="E8" s="68" t="str">
        <f>Facture!$E$22</f>
        <v>AV MOSBAH JARBOU EL MANAR II</v>
      </c>
      <c r="F8" s="68">
        <f>Facture!$E$23</f>
        <v>0</v>
      </c>
      <c r="G8" s="71">
        <f>Facture!$G$23</f>
        <v>0</v>
      </c>
      <c r="H8" s="71" t="str">
        <f>Facture!$J$23</f>
        <v>TN</v>
      </c>
      <c r="I8" s="68" t="str">
        <f>Facture!$E$24</f>
        <v xml:space="preserve">     71882832       Fax: </v>
      </c>
      <c r="J8" s="72">
        <f>Facture!$N$50</f>
        <v>1048.2</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2025-03-12T08:00:56Z</cp:lastPrinted>
  <dcterms:created xsi:type="dcterms:W3CDTF">1995-05-29T15:50:39Z</dcterms:created>
  <dcterms:modified xsi:type="dcterms:W3CDTF">2026-02-09T09:19:53Z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1048.2</vt:r8>
  </property>
</Properties>
</file>