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0" i="3" l="1"/>
  <c r="M31" i="3"/>
  <c r="M33" i="3"/>
  <c r="M46" i="3" s="1"/>
  <c r="M38" i="3"/>
  <c r="M48" i="3" l="1"/>
  <c r="M49" i="3"/>
  <c r="K8" i="8"/>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<sst xmlns="http://schemas.openxmlformats.org/spreadsheetml/2006/main" count="101" uniqueCount="83">
  <si>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</si>
  <si>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</si>
  <si>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</si>
  <si>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</si>
  <si>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</si>
  <si>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</si>
  <si>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</si>
  <si>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</si>
  <si>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</si>
  <si>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</si>
  <si>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</si>
  <si>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</si>
  <si>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</si>
  <si>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</si>
  <si>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</si>
  <si>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</si>
  <si>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</si>
  <si>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</si>
  <si>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</si>
  <si>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</si>
  <si>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</si>
  <si>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</si>
  <si>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</si>
  <si>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</si>
  <si>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</si>
  <si>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</si>
  <si>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</si>
  <si>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</si>
  <si>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</si>
  <si>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</si>
  <si>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</si>
  <si>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</si>
  <si>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</si>
  <si>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</si>
  <si>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</si>
  <si>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</si>
  <si>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</si>
  <si>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</si>
  <si>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</si>
  <si>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</si>
  <si>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</si>
  <si>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</si>
  <si>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</si>
  <si>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</si>
  <si>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</si>
  <si>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</si>
  <si>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</si>
  <si>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</si>
  <si>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</si>
  <si>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</si>
  <si>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</si>
  <si>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</si>
  <si>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</si>
  <si>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</si>
  <si>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</si>
  <si>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</si>
  <si>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</si>
  <si>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</si>
  <si>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</si>
  <si>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</si>
  <si>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</si>
  <si>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</si>
  <si>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</si>
  <si>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</si>
  <si>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</si>
  <si>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</si>
  <si>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</si>
  <si>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</si>
  <si>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t>
  </si>
  <si>
    <t>* Norme Européenne EN353-1 :2014+A1:2017</t>
  </si>
  <si>
    <t>* la réglementation nationale américaine,</t>
  </si>
  <si>
    <t>OSHA 1910</t>
  </si>
  <si>
    <t>ANSI A14 -3</t>
  </si>
  <si>
    <t>LDV 36M</t>
  </si>
  <si>
    <t xml:space="preserve">SITE ORANGE </t>
  </si>
  <si>
    <t>LONGEUR 36M</t>
  </si>
  <si>
    <t>BC2025/3688</t>
  </si>
  <si>
    <t>LDV 25M</t>
  </si>
  <si>
    <t>LONGEUR 25M</t>
  </si>
  <si>
    <t>GAB_0109</t>
  </si>
  <si>
    <t>KAI_0106</t>
  </si>
  <si>
    <t xml:space="preserve">Arrete a la somme de : sept mille cent trente-trois dinars et 860 millimes </t>
  </si>
  <si>
    <t>FACTURE  N°2025-096</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</si>
</sst>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0" fontId="1" fillId="6" borderId="32" xfId="0" applyFont="1" applyFill="1" applyBorder="1"/>
    <xf numFmtId="49" fontId="17" fillId="0" borderId="32" xfId="0" applyNumberFormat="1" applyFont="1" applyFill="1" applyBorder="1" applyAlignment="1"/>
    <xf numFmtId="49" fontId="32" fillId="0" borderId="43" xfId="0" applyNumberFormat="1" applyFont="1" applyFill="1" applyBorder="1" applyAlignment="1"/>
    <xf numFmtId="49" fontId="32" fillId="0" borderId="44" xfId="0" applyNumberFormat="1" applyFont="1" applyFill="1" applyBorder="1" applyAlignment="1"/>
    <xf numFmtId="49" fontId="33" fillId="6" borderId="44" xfId="5" applyNumberFormat="1" applyFont="1" applyFill="1" applyBorder="1" applyAlignment="1" applyProtection="1"/>
    <xf numFmtId="49" fontId="32" fillId="0" borderId="32" xfId="0" applyNumberFormat="1" applyFont="1" applyFill="1" applyBorder="1" applyAlignment="1">
      <alignment vertical="top"/>
    </xf>
    <xf numFmtId="49" fontId="32" fillId="0" borderId="0" xfId="0" applyNumberFormat="1" applyFont="1" applyFill="1" applyBorder="1" applyAlignment="1"/>
    <xf numFmtId="49" fontId="33" fillId="6" borderId="0" xfId="5" applyNumberFormat="1" applyFont="1" applyFill="1" applyBorder="1" applyAlignment="1" applyProtection="1"/>
    <xf numFmtId="0" fontId="17" fillId="6" borderId="32" xfId="0" applyFont="1" applyFill="1" applyBorder="1"/>
    <xf numFmtId="49" fontId="32"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32" fillId="0" borderId="32" xfId="0" applyNumberFormat="1" applyFont="1" applyFill="1" applyBorder="1" applyAlignment="1">
      <alignment horizontal="left" vertical="top" wrapText="1"/>
    </xf>
    <xf numFmtId="49" fontId="32" fillId="0" borderId="0" xfId="0" applyNumberFormat="1" applyFont="1" applyFill="1" applyBorder="1" applyAlignment="1">
      <alignment horizontal="left" vertical="top"/>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0" t="s">
        <v>0</v>
      </c>
      <c r="E4" s="151"/>
      <c r="F4" s="15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2" t="s">
        <v>2</v>
      </c>
      <c r="E10" s="15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4" t="s">
        <v>45</v>
      </c>
      <c r="E19" s="15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5" t="str">
        <f>LOWER(TemplateInformation!B3)</f>
        <v>c:\program files\microsoft office\office\macrolib\factbd.xls</v>
      </c>
      <c r="G33" s="15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2" t="s">
        <v>16</v>
      </c>
      <c r="E36" s="15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28" zoomScale="95" workbookViewId="0">
      <selection activeCell="B34" sqref="B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7"/>
      <c r="M9" s="17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86"/>
      <c r="M13" s="187"/>
      <c r="N13" s="3"/>
      <c r="O13" s="8"/>
    </row>
    <row r="14" spans="1:15" x14ac:dyDescent="0.2">
      <c r="A14" s="7"/>
      <c r="B14" s="3"/>
      <c r="C14" s="3"/>
      <c r="D14" s="3"/>
      <c r="E14" s="3"/>
      <c r="F14" s="3"/>
      <c r="G14" s="176"/>
      <c r="H14" s="176"/>
      <c r="I14" s="176"/>
      <c r="J14" s="176"/>
      <c r="K14" s="176"/>
      <c r="L14" s="3"/>
      <c r="M14" s="3"/>
      <c r="N14" s="3"/>
      <c r="O14" s="8"/>
    </row>
    <row r="15" spans="1:15" ht="20.100000000000001" customHeight="1" x14ac:dyDescent="0.2">
      <c r="A15" s="7"/>
      <c r="B15" s="3"/>
      <c r="C15" s="3"/>
      <c r="D15" s="3"/>
      <c r="E15" s="3"/>
      <c r="F15" s="3"/>
      <c r="G15" s="176"/>
      <c r="H15" s="176"/>
      <c r="I15" s="176"/>
      <c r="J15" s="176"/>
      <c r="K15" s="17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9" t="s">
        <v>82</v>
      </c>
      <c r="M17" s="160"/>
      <c r="N17" s="3"/>
      <c r="O17" s="8"/>
    </row>
    <row r="18" spans="1:15" ht="19.5" thickTop="1" x14ac:dyDescent="0.3">
      <c r="A18" s="7"/>
      <c r="B18" s="3"/>
      <c r="C18" s="58"/>
      <c r="D18" s="58"/>
      <c r="E18" s="58"/>
      <c r="F18" s="58"/>
      <c r="G18" s="58"/>
      <c r="H18" s="58"/>
      <c r="I18" s="59"/>
      <c r="J18" s="59"/>
      <c r="K18" s="59"/>
      <c r="L18" s="161"/>
      <c r="M18" s="162"/>
      <c r="N18" s="19"/>
      <c r="O18" s="8"/>
    </row>
    <row r="19" spans="1:15" ht="13.5" thickBot="1" x14ac:dyDescent="0.25">
      <c r="A19" s="7"/>
      <c r="B19" s="3"/>
      <c r="C19" s="3"/>
      <c r="D19" s="3"/>
      <c r="E19" s="3"/>
      <c r="F19" s="3"/>
      <c r="G19" s="3"/>
      <c r="H19" s="3"/>
      <c r="I19" s="3"/>
      <c r="J19" s="3"/>
      <c r="K19" s="3"/>
      <c r="L19" s="163"/>
      <c r="M19" s="164"/>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92" t="s">
        <v>67</v>
      </c>
      <c r="E21" s="193"/>
      <c r="F21" s="193"/>
      <c r="G21" s="193"/>
      <c r="H21" s="193"/>
      <c r="I21" s="193"/>
      <c r="J21" s="82"/>
      <c r="K21" s="84" t="s">
        <v>18</v>
      </c>
      <c r="L21" s="181">
        <v>45964</v>
      </c>
      <c r="M21" s="182"/>
      <c r="N21" s="55"/>
      <c r="O21" s="8"/>
    </row>
    <row r="22" spans="1:15" ht="15" x14ac:dyDescent="0.2">
      <c r="A22" s="7"/>
      <c r="B22" s="3"/>
      <c r="C22" s="82" t="s">
        <v>5</v>
      </c>
      <c r="D22" s="190" t="s">
        <v>61</v>
      </c>
      <c r="E22" s="191"/>
      <c r="F22" s="191"/>
      <c r="G22" s="191"/>
      <c r="H22" s="191"/>
      <c r="I22" s="191"/>
      <c r="J22" s="82"/>
      <c r="K22" s="121" t="s">
        <v>58</v>
      </c>
      <c r="L22" s="168" t="s">
        <v>76</v>
      </c>
      <c r="M22" s="169"/>
      <c r="N22" s="56"/>
      <c r="O22" s="8"/>
    </row>
    <row r="23" spans="1:15" x14ac:dyDescent="0.2">
      <c r="A23" s="7"/>
      <c r="B23" s="3"/>
      <c r="C23" s="82" t="s">
        <v>7</v>
      </c>
      <c r="D23" s="89"/>
      <c r="E23" s="90" t="s">
        <v>8</v>
      </c>
      <c r="F23" s="188"/>
      <c r="G23" s="189"/>
      <c r="H23" s="91" t="s">
        <v>9</v>
      </c>
      <c r="I23" s="88" t="s">
        <v>51</v>
      </c>
      <c r="J23" s="82"/>
      <c r="K23" s="84" t="s">
        <v>19</v>
      </c>
      <c r="L23" s="183" t="s">
        <v>59</v>
      </c>
      <c r="M23" s="184"/>
      <c r="N23" s="3"/>
      <c r="O23" s="8"/>
    </row>
    <row r="24" spans="1:15" x14ac:dyDescent="0.2">
      <c r="A24" s="7"/>
      <c r="B24" s="3"/>
      <c r="C24" s="82" t="s">
        <v>20</v>
      </c>
      <c r="D24" s="194" t="s">
        <v>62</v>
      </c>
      <c r="E24" s="195"/>
      <c r="F24" s="195"/>
      <c r="G24" s="195"/>
      <c r="H24" s="195"/>
      <c r="I24" s="195"/>
      <c r="J24" s="82"/>
      <c r="K24" s="84" t="s">
        <v>47</v>
      </c>
      <c r="L24" s="185" t="s">
        <v>66</v>
      </c>
      <c r="M24" s="18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5" t="s">
        <v>22</v>
      </c>
      <c r="F26" s="166"/>
      <c r="G26" s="166"/>
      <c r="H26" s="166"/>
      <c r="I26" s="166"/>
      <c r="J26" s="166"/>
      <c r="K26" s="167"/>
      <c r="L26" s="52" t="s">
        <v>53</v>
      </c>
      <c r="M26" s="111" t="s">
        <v>23</v>
      </c>
      <c r="N26" s="57"/>
      <c r="O26" s="8"/>
    </row>
    <row r="27" spans="1:15" ht="15.75" x14ac:dyDescent="0.25">
      <c r="A27" s="7"/>
      <c r="B27" s="3"/>
      <c r="C27" s="93"/>
      <c r="D27" s="75"/>
      <c r="E27" s="142" t="s">
        <v>68</v>
      </c>
      <c r="F27" s="143"/>
      <c r="G27" s="143"/>
      <c r="H27" s="143"/>
      <c r="I27" s="144"/>
      <c r="J27" s="144"/>
      <c r="K27" s="126"/>
      <c r="L27" s="125"/>
      <c r="M27" s="95" t="str">
        <f t="shared" ref="M27:M31" si="0">IF(D27&lt;&gt;"",D27*L27,"")</f>
        <v/>
      </c>
      <c r="N27" s="57"/>
      <c r="O27" s="8"/>
    </row>
    <row r="28" spans="1:15" ht="15.75" x14ac:dyDescent="0.25">
      <c r="A28" s="7"/>
      <c r="B28" s="3"/>
      <c r="C28" s="93"/>
      <c r="D28" s="75"/>
      <c r="E28" s="145" t="s">
        <v>69</v>
      </c>
      <c r="F28" s="146"/>
      <c r="G28" s="146"/>
      <c r="H28" s="146"/>
      <c r="I28" s="147"/>
      <c r="J28" s="147"/>
      <c r="K28" s="127"/>
      <c r="L28" s="125"/>
      <c r="M28" s="95"/>
      <c r="N28" s="57"/>
      <c r="O28" s="8"/>
    </row>
    <row r="29" spans="1:15" ht="15" customHeight="1" x14ac:dyDescent="0.2">
      <c r="A29" s="7"/>
      <c r="B29" s="3"/>
      <c r="C29" s="93"/>
      <c r="D29" s="75"/>
      <c r="E29" s="172" t="s">
        <v>70</v>
      </c>
      <c r="F29" s="173"/>
      <c r="G29" s="173"/>
      <c r="H29" s="173"/>
      <c r="I29" s="173"/>
      <c r="J29" s="173"/>
      <c r="K29" s="127"/>
      <c r="L29" s="125"/>
      <c r="M29" s="95"/>
      <c r="N29" s="57"/>
      <c r="O29" s="8"/>
    </row>
    <row r="30" spans="1:15" ht="15.75" x14ac:dyDescent="0.25">
      <c r="A30" s="7"/>
      <c r="B30" s="3"/>
      <c r="C30" s="93"/>
      <c r="D30" s="75"/>
      <c r="E30" s="174" t="s">
        <v>71</v>
      </c>
      <c r="F30" s="175"/>
      <c r="G30" s="175"/>
      <c r="H30" s="175"/>
      <c r="I30" s="175"/>
      <c r="J30" s="175"/>
      <c r="K30" s="127"/>
      <c r="L30" s="125"/>
      <c r="M30" s="95" t="str">
        <f t="shared" si="0"/>
        <v/>
      </c>
      <c r="N30" s="57"/>
      <c r="O30" s="8"/>
    </row>
    <row r="31" spans="1:15" ht="15.75" x14ac:dyDescent="0.25">
      <c r="A31" s="7"/>
      <c r="B31" s="3"/>
      <c r="C31" s="93"/>
      <c r="D31" s="75"/>
      <c r="E31" s="174" t="s">
        <v>72</v>
      </c>
      <c r="F31" s="175"/>
      <c r="G31" s="175"/>
      <c r="H31" s="175"/>
      <c r="I31" s="175"/>
      <c r="J31" s="175"/>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73</v>
      </c>
      <c r="D33" s="75">
        <v>1</v>
      </c>
      <c r="E33" s="141" t="s">
        <v>75</v>
      </c>
      <c r="F33" s="128"/>
      <c r="G33" s="81"/>
      <c r="H33" s="107"/>
      <c r="I33" s="81"/>
      <c r="J33" s="81"/>
      <c r="K33" s="127"/>
      <c r="L33" s="112">
        <v>3410</v>
      </c>
      <c r="M33" s="112">
        <f t="shared" ref="M33:M38" si="1">+L33*D33</f>
        <v>3410</v>
      </c>
      <c r="N33" s="57"/>
      <c r="O33" s="8"/>
    </row>
    <row r="34" spans="1:15" ht="15" x14ac:dyDescent="0.2">
      <c r="A34" s="7"/>
      <c r="B34" s="3"/>
      <c r="C34" s="106"/>
      <c r="D34" s="75"/>
      <c r="E34" s="138" t="s">
        <v>74</v>
      </c>
      <c r="F34" s="128"/>
      <c r="G34" s="81"/>
      <c r="H34" s="107"/>
      <c r="I34" s="81"/>
      <c r="J34" s="81"/>
      <c r="K34" s="107"/>
      <c r="L34" s="95"/>
      <c r="M34" s="112"/>
      <c r="N34" s="57"/>
      <c r="O34" s="8"/>
    </row>
    <row r="35" spans="1:15" ht="18" x14ac:dyDescent="0.25">
      <c r="A35" s="7"/>
      <c r="B35" s="3"/>
      <c r="C35" s="135"/>
      <c r="D35" s="75"/>
      <c r="E35" s="149" t="s">
        <v>80</v>
      </c>
      <c r="F35" s="120"/>
      <c r="G35" s="81"/>
      <c r="H35" s="107"/>
      <c r="I35" s="81"/>
      <c r="J35" s="81"/>
      <c r="K35" s="107"/>
      <c r="L35" s="95"/>
      <c r="M35" s="112"/>
      <c r="N35" s="57"/>
      <c r="O35" s="8"/>
    </row>
    <row r="36" spans="1:15" ht="17.100000000000001" customHeight="1" x14ac:dyDescent="0.2">
      <c r="A36" s="7"/>
      <c r="B36" s="3"/>
      <c r="C36" s="106"/>
      <c r="D36" s="53"/>
      <c r="E36" s="140"/>
      <c r="F36" s="107"/>
      <c r="G36" s="81"/>
      <c r="H36" s="107"/>
      <c r="I36" s="107"/>
      <c r="J36" s="81"/>
      <c r="K36" s="107"/>
      <c r="L36" s="95"/>
      <c r="M36" s="112"/>
      <c r="N36" s="57"/>
      <c r="O36" s="8"/>
    </row>
    <row r="37" spans="1:15" ht="17.100000000000001" customHeight="1" x14ac:dyDescent="0.2">
      <c r="A37" s="7"/>
      <c r="B37" s="3"/>
      <c r="C37" s="106"/>
      <c r="D37" s="53"/>
      <c r="E37" s="140"/>
      <c r="F37" s="107"/>
      <c r="G37" s="81"/>
      <c r="H37" s="107"/>
      <c r="I37" s="107"/>
      <c r="J37" s="81"/>
      <c r="K37" s="107"/>
      <c r="L37" s="95"/>
      <c r="M37" s="112"/>
      <c r="N37" s="57"/>
      <c r="O37" s="8"/>
    </row>
    <row r="38" spans="1:15" ht="17.100000000000001" customHeight="1" x14ac:dyDescent="0.25">
      <c r="A38" s="7"/>
      <c r="B38" s="3"/>
      <c r="C38" s="106" t="s">
        <v>77</v>
      </c>
      <c r="D38" s="53">
        <v>1</v>
      </c>
      <c r="E38" s="148" t="s">
        <v>78</v>
      </c>
      <c r="F38" s="107"/>
      <c r="G38" s="81"/>
      <c r="H38" s="107"/>
      <c r="I38" s="107"/>
      <c r="J38" s="81"/>
      <c r="K38" s="107"/>
      <c r="L38" s="95">
        <v>2584</v>
      </c>
      <c r="M38" s="112">
        <f t="shared" si="1"/>
        <v>2584</v>
      </c>
      <c r="N38" s="57"/>
      <c r="O38" s="8"/>
    </row>
    <row r="39" spans="1:15" ht="17.100000000000001" customHeight="1" x14ac:dyDescent="0.2">
      <c r="A39" s="7"/>
      <c r="B39" s="3"/>
      <c r="C39" s="106"/>
      <c r="D39" s="75"/>
      <c r="E39" s="138" t="s">
        <v>74</v>
      </c>
      <c r="F39" s="128"/>
      <c r="G39" s="81"/>
      <c r="H39" s="107"/>
      <c r="I39" s="81"/>
      <c r="J39" s="81"/>
      <c r="K39" s="127"/>
      <c r="L39" s="112"/>
      <c r="M39" s="112"/>
      <c r="N39" s="57"/>
      <c r="O39" s="8"/>
    </row>
    <row r="40" spans="1:15" ht="17.100000000000001" customHeight="1" x14ac:dyDescent="0.2">
      <c r="A40" s="7"/>
      <c r="B40" s="3"/>
      <c r="C40" s="106"/>
      <c r="D40" s="75"/>
      <c r="E40" s="140" t="s">
        <v>79</v>
      </c>
      <c r="F40" s="128"/>
      <c r="G40" s="81"/>
      <c r="H40" s="107"/>
      <c r="I40" s="81"/>
      <c r="J40" s="81"/>
      <c r="K40" s="127"/>
      <c r="L40" s="112"/>
      <c r="M40" s="112"/>
      <c r="N40" s="57"/>
      <c r="O40" s="8"/>
    </row>
    <row r="41" spans="1:15" ht="17.100000000000001" customHeight="1" x14ac:dyDescent="0.2">
      <c r="A41" s="7"/>
      <c r="B41" s="3"/>
      <c r="C41" s="106"/>
      <c r="D41" s="53"/>
      <c r="E41" s="140"/>
      <c r="F41" s="107"/>
      <c r="G41" s="81"/>
      <c r="H41" s="107"/>
      <c r="I41" s="107"/>
      <c r="J41" s="81"/>
      <c r="K41" s="107"/>
      <c r="L41" s="95"/>
      <c r="M41" s="112"/>
      <c r="N41" s="57"/>
      <c r="O41" s="8"/>
    </row>
    <row r="42" spans="1:15" ht="17.100000000000001" customHeight="1" x14ac:dyDescent="0.2">
      <c r="A42" s="7"/>
      <c r="B42" s="3"/>
      <c r="C42" s="106"/>
      <c r="D42" s="53"/>
      <c r="E42" s="137"/>
      <c r="F42" s="107"/>
      <c r="G42" s="81"/>
      <c r="H42" s="107"/>
      <c r="I42" s="107"/>
      <c r="J42" s="81"/>
      <c r="K42" s="107"/>
      <c r="L42" s="95"/>
      <c r="M42" s="112"/>
      <c r="N42" s="57"/>
      <c r="O42" s="8"/>
    </row>
    <row r="43" spans="1:15" ht="17.100000000000001" customHeight="1" x14ac:dyDescent="0.2">
      <c r="A43" s="7"/>
      <c r="B43" s="3"/>
      <c r="C43" s="106"/>
      <c r="D43" s="53"/>
      <c r="E43" s="138"/>
      <c r="F43" s="107"/>
      <c r="G43" s="81"/>
      <c r="H43" s="107"/>
      <c r="I43" s="107"/>
      <c r="J43" s="81"/>
      <c r="K43" s="107"/>
      <c r="L43" s="95"/>
      <c r="M43" s="95"/>
      <c r="N43" s="57"/>
      <c r="O43" s="8"/>
    </row>
    <row r="44" spans="1:15" ht="15" x14ac:dyDescent="0.2">
      <c r="A44" s="7"/>
      <c r="B44" s="3"/>
      <c r="C44" s="93"/>
      <c r="D44" s="53"/>
      <c r="E44" s="139"/>
      <c r="F44" s="113"/>
      <c r="G44" s="113"/>
      <c r="H44" s="113"/>
      <c r="I44" s="113"/>
      <c r="J44" s="113"/>
      <c r="K44" s="81"/>
      <c r="L44" s="95"/>
      <c r="M44" s="95"/>
      <c r="N44" s="57"/>
      <c r="O44" s="8"/>
    </row>
    <row r="45" spans="1:15" ht="15" customHeight="1" x14ac:dyDescent="0.2">
      <c r="A45" s="7"/>
      <c r="B45" s="3"/>
      <c r="C45" s="94"/>
      <c r="D45" s="54"/>
      <c r="E45" s="179"/>
      <c r="F45" s="180"/>
      <c r="G45" s="180"/>
      <c r="H45" s="180"/>
      <c r="I45" s="180"/>
      <c r="J45" s="180"/>
      <c r="K45" s="114"/>
      <c r="L45" s="95"/>
      <c r="M45" s="95"/>
      <c r="N45" s="57"/>
      <c r="O45" s="8"/>
    </row>
    <row r="46" spans="1:15" ht="15" customHeight="1" x14ac:dyDescent="0.25">
      <c r="A46" s="7"/>
      <c r="B46" s="3"/>
      <c r="C46" s="3"/>
      <c r="D46" s="82"/>
      <c r="E46" s="82"/>
      <c r="F46" s="82"/>
      <c r="G46" s="82"/>
      <c r="H46" s="82"/>
      <c r="I46" s="76"/>
      <c r="J46" s="76"/>
      <c r="K46" s="76"/>
      <c r="L46" s="101" t="s">
        <v>24</v>
      </c>
      <c r="M46" s="96">
        <f>SUM(M33:M45)</f>
        <v>5994</v>
      </c>
      <c r="N46" s="57"/>
      <c r="O46" s="8"/>
    </row>
    <row r="47" spans="1:15" ht="15" customHeight="1" x14ac:dyDescent="0.2">
      <c r="A47" s="7"/>
      <c r="B47" s="129" t="s">
        <v>81</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1138.8599999999999</v>
      </c>
      <c r="N48" s="57"/>
      <c r="O48" s="8"/>
    </row>
    <row r="49" spans="1:15" ht="15.75" x14ac:dyDescent="0.25">
      <c r="A49" s="7"/>
      <c r="B49" s="3"/>
      <c r="C49" s="3"/>
      <c r="D49" s="85"/>
      <c r="E49" s="131" t="s">
        <v>63</v>
      </c>
      <c r="F49" s="87"/>
      <c r="G49" s="85"/>
      <c r="H49" s="82"/>
      <c r="I49" s="79"/>
      <c r="J49" s="76"/>
      <c r="K49" s="76"/>
      <c r="L49" s="171" t="s">
        <v>27</v>
      </c>
      <c r="M49" s="157">
        <f>SUM(M46:M48)</f>
        <v>7133.86</v>
      </c>
      <c r="N49" s="57"/>
      <c r="O49" s="8"/>
    </row>
    <row r="50" spans="1:15" ht="15" x14ac:dyDescent="0.2">
      <c r="A50" s="7"/>
      <c r="B50" s="3"/>
      <c r="C50" s="3"/>
      <c r="D50" s="85">
        <v>1</v>
      </c>
      <c r="E50" s="105" t="s">
        <v>55</v>
      </c>
      <c r="F50" s="82"/>
      <c r="G50" s="86"/>
      <c r="H50" s="82"/>
      <c r="I50" s="80" t="s">
        <v>26</v>
      </c>
      <c r="J50" s="76"/>
      <c r="K50" s="76"/>
      <c r="L50" s="171"/>
      <c r="M50" s="158"/>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70" t="s">
        <v>65</v>
      </c>
      <c r="C56" s="170"/>
      <c r="D56" s="170"/>
      <c r="E56" s="130"/>
      <c r="F56" s="130"/>
      <c r="G56" s="130"/>
      <c r="H56" s="130"/>
      <c r="I56" s="130"/>
      <c r="J56" s="130"/>
      <c r="K56" s="130"/>
      <c r="L56" s="98"/>
      <c r="M56" s="99"/>
      <c r="N56" s="57"/>
      <c r="O56" s="8"/>
    </row>
    <row r="57" spans="1:15" ht="15.75" customHeight="1" x14ac:dyDescent="0.2">
      <c r="A57" s="7"/>
      <c r="B57" s="3"/>
      <c r="C57" s="3"/>
      <c r="D57" s="201" t="s">
        <v>57</v>
      </c>
      <c r="E57" s="201"/>
      <c r="F57" s="201"/>
      <c r="G57" s="201"/>
      <c r="H57" s="201"/>
      <c r="I57" s="201"/>
      <c r="J57" s="201"/>
      <c r="K57" s="201"/>
      <c r="L57" s="201"/>
      <c r="M57" s="201"/>
      <c r="N57" s="57"/>
      <c r="O57" s="8"/>
    </row>
    <row r="58" spans="1:15" ht="0.95" customHeight="1" x14ac:dyDescent="0.2">
      <c r="A58" s="7"/>
      <c r="B58" s="3"/>
      <c r="C58" s="3"/>
      <c r="D58" s="201"/>
      <c r="E58" s="201"/>
      <c r="F58" s="201"/>
      <c r="G58" s="201"/>
      <c r="H58" s="201"/>
      <c r="I58" s="201"/>
      <c r="J58" s="201"/>
      <c r="K58" s="201"/>
      <c r="L58" s="201"/>
      <c r="M58" s="20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200" t="s">
        <v>54</v>
      </c>
      <c r="F60" s="200"/>
      <c r="G60" s="200"/>
      <c r="H60" s="200"/>
      <c r="I60" s="200"/>
      <c r="J60" s="200"/>
      <c r="K60" s="200"/>
      <c r="L60" s="97"/>
      <c r="M60" s="97"/>
      <c r="N60" s="57"/>
      <c r="O60" s="8"/>
    </row>
    <row r="61" spans="1:15" ht="16.5" thickTop="1" x14ac:dyDescent="0.2">
      <c r="A61" s="58"/>
      <c r="B61" s="3"/>
      <c r="C61" s="3"/>
      <c r="D61" s="199" t="s">
        <v>56</v>
      </c>
      <c r="E61" s="199"/>
      <c r="F61" s="199"/>
      <c r="G61" s="199"/>
      <c r="H61" s="199"/>
      <c r="I61" s="199"/>
      <c r="J61" s="199"/>
      <c r="K61" s="199"/>
      <c r="L61" s="199"/>
      <c r="M61" s="97"/>
      <c r="N61" s="57"/>
    </row>
    <row r="62" spans="1:15" ht="15.75" x14ac:dyDescent="0.2">
      <c r="A62" s="119"/>
      <c r="B62" s="3"/>
      <c r="C62" s="3"/>
      <c r="D62" s="199"/>
      <c r="E62" s="199"/>
      <c r="F62" s="199"/>
      <c r="G62" s="199"/>
      <c r="H62" s="199"/>
      <c r="I62" s="199"/>
      <c r="J62" s="199"/>
      <c r="K62" s="199"/>
      <c r="L62" s="199"/>
      <c r="M62" s="97"/>
      <c r="N62" s="57"/>
    </row>
    <row r="63" spans="1:15" ht="12.75" customHeight="1" thickBot="1" x14ac:dyDescent="0.25">
      <c r="A63" s="118"/>
      <c r="B63" s="115"/>
      <c r="C63" s="115"/>
      <c r="D63" s="116"/>
      <c r="E63" s="116"/>
      <c r="F63" s="116"/>
      <c r="G63" s="198"/>
      <c r="H63" s="198"/>
      <c r="I63" s="198"/>
      <c r="J63" s="198"/>
      <c r="K63" s="198"/>
      <c r="L63" s="116"/>
      <c r="M63" s="116"/>
      <c r="N63" s="115"/>
    </row>
    <row r="64" spans="1:15" ht="13.5" thickTop="1" x14ac:dyDescent="0.2">
      <c r="B64" s="58"/>
      <c r="C64" s="58"/>
      <c r="D64" s="58"/>
      <c r="E64" s="58"/>
      <c r="F64" s="58"/>
      <c r="G64" s="58"/>
      <c r="H64" s="58"/>
      <c r="I64" s="58"/>
      <c r="J64" s="58"/>
      <c r="K64" s="58"/>
      <c r="L64" s="58"/>
      <c r="M64" s="58"/>
      <c r="N64" s="58"/>
    </row>
    <row r="65" spans="2:14" x14ac:dyDescent="0.2">
      <c r="B65" s="119"/>
      <c r="C65" s="119"/>
      <c r="D65" s="119"/>
      <c r="E65" s="119"/>
      <c r="F65" s="119"/>
      <c r="G65" s="119"/>
      <c r="H65" s="119"/>
      <c r="I65" s="119"/>
      <c r="J65" s="196"/>
      <c r="K65" s="196"/>
      <c r="L65" s="196"/>
      <c r="M65" s="196"/>
      <c r="N65" s="196"/>
    </row>
    <row r="66" spans="2:14" x14ac:dyDescent="0.2">
      <c r="B66" s="118"/>
      <c r="C66" s="118"/>
      <c r="D66" s="118"/>
      <c r="E66" s="118"/>
      <c r="F66" s="118"/>
      <c r="G66" s="118"/>
      <c r="H66" s="118"/>
      <c r="I66" s="118"/>
      <c r="J66" s="197"/>
      <c r="K66" s="197"/>
      <c r="L66" s="197"/>
      <c r="M66" s="197"/>
      <c r="N66" s="19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M49:M50"/>
    <mergeCell ref="L17:M19"/>
    <mergeCell ref="E26:K26"/>
    <mergeCell ref="L22:M22"/>
    <mergeCell ref="B56:D56"/>
    <mergeCell ref="L49:L50"/>
    <mergeCell ref="E29:J29"/>
    <mergeCell ref="E30:J30"/>
    <mergeCell ref="E31:J3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L27:L45 M33:M42">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45964</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7133.86</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2025-12-30T08:54:10Z</cp:lastPrinted>
  <dcterms:created xsi:type="dcterms:W3CDTF">1995-05-29T15:50:39Z</dcterms:created>
  <dcterms:modified xsi:type="dcterms:W3CDTF">2025-12-30T11:15:12Z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7133.86</vt:r8>
  </property>
</Properties>
</file>