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41" i="3" l="1"/>
  <c r="M43" i="3" s="1"/>
  <c r="M42" i="3"/>
  <c r="M45" i="3" l="1"/>
  <c r="M46" i="3"/>
  <c r="M2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<sst xmlns="http://schemas.openxmlformats.org/spreadsheetml/2006/main" count="100" uniqueCount="84">
  <si>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</si>
  <si>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</si>
  <si>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</si>
  <si>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</si>
  <si>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</si>
  <si>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</si>
  <si>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</si>
  <si>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</si>
  <si>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</si>
  <si>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</si>
  <si>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</si>
  <si>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</si>
  <si>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</si>
  <si>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</si>
  <si>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</si>
  <si>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</si>
  <si>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</si>
  <si>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</si>
  <si>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</si>
  <si>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</si>
  <si>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</si>
  <si>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</si>
  <si>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</si>
  <si>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</si>
  <si>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</si>
  <si>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</si>
  <si>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</si>
  <si>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</si>
  <si>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</si>
  <si>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</si>
  <si>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</si>
  <si>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</si>
  <si>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</si>
  <si>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</si>
  <si>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</si>
  <si>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</si>
  <si>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</si>
  <si>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</si>
  <si>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</si>
  <si>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</si>
  <si>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</si>
  <si>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</si>
  <si>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</si>
  <si>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</si>
  <si>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</si>
  <si>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</si>
  <si>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</si>
  <si>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</si>
  <si>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</si>
  <si>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</si>
  <si>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</si>
  <si>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</si>
  <si>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</si>
  <si>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</si>
  <si>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</si>
  <si>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</si>
  <si>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</si>
  <si>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</si>
  <si>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</si>
  <si>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</si>
  <si>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</si>
  <si>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</si>
  <si>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</si>
  <si>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</si>
  <si>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</si>
  <si>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xml:space="preserve">NOVA SERVICE </t>
  </si>
  <si>
    <t>1318844G/A/M/000</t>
  </si>
  <si>
    <t xml:space="preserve">MR NOOMEN </t>
  </si>
  <si>
    <t xml:space="preserve">Résidence narjes bloc B6 app2 2 étage l'aouina nord </t>
  </si>
  <si>
    <t xml:space="preserve">  tunis </t>
  </si>
  <si>
    <t>Code site</t>
  </si>
  <si>
    <t>LDV 12M</t>
  </si>
  <si>
    <t xml:space="preserve">Ligne de vie 12m </t>
  </si>
  <si>
    <t>BIZ 0164</t>
  </si>
  <si>
    <t>25/021</t>
  </si>
  <si>
    <t>Facture N° 2025-021</t>
  </si>
  <si>
    <t xml:space="preserve">ORANGE </t>
  </si>
  <si>
    <t>LIGNE DE VIE QUICKSET  conforme aux:</t>
  </si>
  <si>
    <t>* Norme Européenne EN353-1 :2014+A1:2017</t>
  </si>
  <si>
    <t>* la réglementation nationale américaine,</t>
  </si>
  <si>
    <t>OSHA 1910</t>
  </si>
  <si>
    <t>ANSI A14 -3</t>
  </si>
  <si>
    <t xml:space="preserve">Arrete a la somme de : Mille six cent soixante  dix sept   dinars  et  710 millimes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</si>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</sst>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i/>
      <sz val="10"/>
      <color indexed="63"/>
      <name val="Times New Roman CE"/>
      <family val="1"/>
      <charset val="238"/>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b/>
      <i/>
      <sz val="9"/>
      <name val="Arial"/>
      <family val="2"/>
    </font>
    <font>
      <sz val="9"/>
      <color indexed="8"/>
      <name val="Arial"/>
      <family val="2"/>
    </font>
    <font>
      <b/>
      <u/>
      <sz val="9"/>
      <name val="Arial"/>
      <family val="2"/>
    </font>
    <font>
      <u/>
      <sz val="9"/>
      <name val="Arial"/>
      <family val="2"/>
    </font>
    <font>
      <i/>
      <sz val="9"/>
      <name val="Arial"/>
      <family val="2"/>
    </font>
    <font>
      <u/>
      <sz val="10"/>
      <color theme="10"/>
      <name val="Arial"/>
      <family val="2"/>
    </font>
    <font>
      <b/>
      <i/>
      <sz val="10"/>
      <name val="Arial"/>
      <family val="2"/>
    </font>
    <font>
      <b/>
      <sz val="10"/>
      <name val="Times New Roman"/>
      <family val="1"/>
    </font>
    <font>
      <b/>
      <sz val="10"/>
      <color indexed="8"/>
      <name val="Arial"/>
      <family val="2"/>
    </font>
    <font>
      <sz val="10"/>
      <color indexed="8"/>
      <name val="Arial"/>
      <family val="2"/>
    </font>
    <font>
      <b/>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0"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9" xfId="0"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5" fillId="4" borderId="0" xfId="0" applyFont="1" applyFill="1" applyBorder="1" applyAlignment="1"/>
    <xf numFmtId="0" fontId="0" fillId="6" borderId="0" xfId="0" applyFill="1"/>
    <xf numFmtId="0" fontId="20" fillId="3" borderId="0" xfId="5" applyFill="1" applyBorder="1" applyAlignment="1" applyProtection="1">
      <alignment horizontal="center"/>
    </xf>
    <xf numFmtId="0" fontId="0" fillId="3" borderId="0" xfId="0" applyFill="1" applyBorder="1" applyAlignment="1">
      <alignment horizontal="center"/>
    </xf>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17" fillId="3" borderId="0" xfId="0" applyFont="1" applyFill="1" applyBorder="1" applyAlignment="1">
      <alignment horizontal="left"/>
    </xf>
    <xf numFmtId="0" fontId="17" fillId="3" borderId="0" xfId="0" applyFont="1" applyFill="1" applyBorder="1" applyAlignment="1"/>
    <xf numFmtId="0" fontId="17" fillId="6" borderId="0" xfId="0" applyFont="1" applyFill="1"/>
    <xf numFmtId="0" fontId="17" fillId="6" borderId="0" xfId="0" applyFont="1" applyFill="1" applyBorder="1"/>
    <xf numFmtId="0" fontId="17" fillId="3" borderId="0" xfId="0" applyFont="1" applyFill="1" applyBorder="1"/>
    <xf numFmtId="0" fontId="17" fillId="3" borderId="7" xfId="0" applyFont="1" applyFill="1" applyBorder="1"/>
    <xf numFmtId="0" fontId="17" fillId="3" borderId="29" xfId="0" applyFont="1" applyFill="1" applyBorder="1"/>
    <xf numFmtId="0" fontId="22" fillId="3" borderId="0" xfId="0" applyFont="1" applyFill="1" applyBorder="1"/>
    <xf numFmtId="14" fontId="17" fillId="3" borderId="0" xfId="0" quotePrefix="1" applyNumberFormat="1" applyFont="1" applyFill="1" applyBorder="1" applyAlignment="1">
      <alignment horizontal="left"/>
    </xf>
    <xf numFmtId="49" fontId="17" fillId="3" borderId="0" xfId="0" applyNumberFormat="1" applyFont="1" applyFill="1" applyBorder="1"/>
    <xf numFmtId="0" fontId="17" fillId="3" borderId="0" xfId="0" applyNumberFormat="1" applyFont="1" applyFill="1" applyBorder="1" applyAlignment="1"/>
    <xf numFmtId="0" fontId="17" fillId="3" borderId="0" xfId="0" applyFont="1" applyFill="1"/>
    <xf numFmtId="0" fontId="17" fillId="3" borderId="0" xfId="0" quotePrefix="1" applyFont="1" applyFill="1" applyBorder="1" applyAlignment="1">
      <alignment horizontal="right"/>
    </xf>
    <xf numFmtId="168" fontId="23" fillId="6" borderId="0" xfId="0" applyNumberFormat="1" applyFont="1" applyFill="1" applyBorder="1"/>
    <xf numFmtId="0" fontId="24" fillId="6" borderId="0" xfId="0" applyFont="1" applyFill="1" applyBorder="1" applyAlignment="1">
      <alignment vertical="top"/>
    </xf>
    <xf numFmtId="0" fontId="25" fillId="6" borderId="0" xfId="0" applyFont="1" applyFill="1" applyBorder="1"/>
    <xf numFmtId="0" fontId="17" fillId="6" borderId="0" xfId="0" applyFont="1" applyFill="1" applyBorder="1" applyAlignment="1"/>
    <xf numFmtId="49" fontId="17" fillId="3" borderId="0" xfId="0" applyNumberFormat="1" applyFont="1" applyFill="1" applyBorder="1" applyAlignment="1"/>
    <xf numFmtId="0" fontId="17" fillId="3" borderId="0" xfId="0" quotePrefix="1" applyFont="1" applyFill="1" applyBorder="1" applyAlignment="1"/>
    <xf numFmtId="0" fontId="17" fillId="2" borderId="0" xfId="0" applyFont="1"/>
    <xf numFmtId="0" fontId="26" fillId="6" borderId="0" xfId="0" applyFont="1" applyFill="1" applyBorder="1" applyAlignment="1">
      <alignment vertical="center" wrapText="1"/>
    </xf>
    <xf numFmtId="0" fontId="26" fillId="6" borderId="43" xfId="0" applyFont="1" applyFill="1" applyBorder="1" applyAlignment="1">
      <alignment horizontal="center" vertical="center" wrapText="1"/>
    </xf>
    <xf numFmtId="0" fontId="26" fillId="6" borderId="0" xfId="0" applyFont="1" applyFill="1" applyBorder="1" applyAlignment="1">
      <alignment horizontal="center" vertical="center" wrapText="1"/>
    </xf>
    <xf numFmtId="0" fontId="1" fillId="3" borderId="0" xfId="0" applyFont="1" applyFill="1" applyBorder="1" applyAlignment="1">
      <alignment horizontal="left"/>
    </xf>
    <xf numFmtId="0" fontId="2" fillId="3" borderId="6" xfId="0" applyFont="1" applyFill="1" applyBorder="1"/>
    <xf numFmtId="0" fontId="2" fillId="3" borderId="0" xfId="0" applyFont="1" applyFill="1" applyBorder="1"/>
    <xf numFmtId="0" fontId="21" fillId="3" borderId="0" xfId="0" applyFont="1" applyFill="1" applyBorder="1"/>
    <xf numFmtId="0" fontId="2" fillId="6" borderId="0" xfId="0" applyFont="1" applyFill="1"/>
    <xf numFmtId="0" fontId="2" fillId="3" borderId="29" xfId="0" applyFont="1" applyFill="1" applyBorder="1"/>
    <xf numFmtId="0" fontId="28" fillId="3" borderId="29" xfId="0" applyFont="1" applyFill="1" applyBorder="1"/>
    <xf numFmtId="0" fontId="2" fillId="3" borderId="0" xfId="0" applyFont="1" applyFill="1" applyBorder="1" applyAlignment="1">
      <alignment horizontal="left"/>
    </xf>
    <xf numFmtId="0" fontId="2" fillId="3" borderId="38" xfId="0" applyFont="1" applyFill="1" applyBorder="1"/>
    <xf numFmtId="0" fontId="2" fillId="3" borderId="0" xfId="0" applyFont="1" applyFill="1" applyBorder="1" applyAlignment="1">
      <alignment horizontal="right"/>
    </xf>
    <xf numFmtId="49" fontId="2" fillId="3" borderId="0" xfId="0" applyNumberFormat="1" applyFont="1" applyFill="1" applyBorder="1" applyAlignment="1">
      <alignment horizontal="left"/>
    </xf>
    <xf numFmtId="49" fontId="2" fillId="3" borderId="37" xfId="0" applyNumberFormat="1" applyFont="1" applyFill="1" applyBorder="1" applyAlignment="1">
      <alignment horizontal="left"/>
    </xf>
    <xf numFmtId="0" fontId="1" fillId="3" borderId="25" xfId="0" applyFont="1" applyFill="1" applyBorder="1" applyAlignment="1">
      <alignment horizontal="center"/>
    </xf>
    <xf numFmtId="0" fontId="1" fillId="3" borderId="26" xfId="0" applyFont="1" applyFill="1" applyBorder="1" applyAlignment="1">
      <alignment horizontal="center"/>
    </xf>
    <xf numFmtId="0" fontId="1" fillId="3" borderId="25" xfId="0" applyFont="1" applyFill="1" applyBorder="1" applyAlignment="1"/>
    <xf numFmtId="0" fontId="2" fillId="3" borderId="32" xfId="0" applyFont="1" applyFill="1" applyBorder="1" applyAlignment="1">
      <alignment horizontal="left"/>
    </xf>
    <xf numFmtId="0" fontId="2" fillId="3" borderId="27" xfId="0" applyFont="1" applyFill="1" applyBorder="1" applyAlignment="1">
      <alignment horizontal="center"/>
    </xf>
    <xf numFmtId="0" fontId="2" fillId="6" borderId="53" xfId="0" applyFont="1" applyFill="1" applyBorder="1"/>
    <xf numFmtId="168" fontId="2" fillId="0" borderId="34" xfId="0" applyNumberFormat="1" applyFont="1" applyFill="1" applyBorder="1"/>
    <xf numFmtId="168" fontId="2" fillId="0" borderId="27" xfId="0" applyNumberFormat="1" applyFont="1" applyFill="1" applyBorder="1"/>
    <xf numFmtId="49" fontId="1" fillId="0" borderId="0" xfId="0" applyNumberFormat="1" applyFont="1" applyFill="1" applyBorder="1" applyAlignment="1"/>
    <xf numFmtId="49" fontId="27" fillId="6" borderId="0" xfId="5" applyNumberFormat="1" applyFont="1" applyFill="1" applyBorder="1" applyAlignment="1" applyProtection="1"/>
    <xf numFmtId="0" fontId="2" fillId="6" borderId="34" xfId="0" applyFont="1" applyFill="1" applyBorder="1"/>
    <xf numFmtId="0" fontId="2" fillId="3" borderId="32" xfId="0" applyFont="1" applyFill="1" applyBorder="1" applyAlignment="1">
      <alignment horizontal="center"/>
    </xf>
    <xf numFmtId="168" fontId="2" fillId="3" borderId="34" xfId="0" applyNumberFormat="1" applyFont="1" applyFill="1" applyBorder="1" applyAlignment="1"/>
    <xf numFmtId="49" fontId="1" fillId="0" borderId="32" xfId="0" applyNumberFormat="1" applyFont="1" applyFill="1" applyBorder="1" applyAlignment="1"/>
    <xf numFmtId="0" fontId="1" fillId="6" borderId="0" xfId="0" applyFont="1" applyFill="1" applyBorder="1"/>
    <xf numFmtId="0" fontId="2" fillId="3" borderId="0" xfId="0" applyFont="1" applyFill="1" applyBorder="1" applyAlignment="1"/>
    <xf numFmtId="0" fontId="2" fillId="6" borderId="0" xfId="0" applyFont="1" applyFill="1" applyBorder="1"/>
    <xf numFmtId="49" fontId="29" fillId="3" borderId="32" xfId="0" applyNumberFormat="1" applyFont="1" applyFill="1" applyBorder="1" applyAlignment="1">
      <alignment horizontal="left"/>
    </xf>
    <xf numFmtId="0" fontId="2" fillId="6" borderId="0" xfId="0" applyFont="1" applyFill="1" applyBorder="1" applyAlignment="1">
      <alignment horizontal="left"/>
    </xf>
    <xf numFmtId="0" fontId="2" fillId="3" borderId="33" xfId="0" applyFont="1" applyFill="1" applyBorder="1" applyAlignment="1">
      <alignment horizontal="left"/>
    </xf>
    <xf numFmtId="0" fontId="2" fillId="3" borderId="28" xfId="0" applyFont="1" applyFill="1" applyBorder="1" applyAlignment="1">
      <alignment horizontal="center"/>
    </xf>
    <xf numFmtId="0" fontId="2" fillId="3" borderId="36" xfId="0" applyFont="1" applyFill="1" applyBorder="1" applyAlignment="1"/>
    <xf numFmtId="0" fontId="2" fillId="3" borderId="39" xfId="0" quotePrefix="1" applyFont="1" applyFill="1" applyBorder="1" applyAlignment="1">
      <alignment horizontal="right"/>
    </xf>
    <xf numFmtId="168" fontId="30" fillId="0" borderId="39" xfId="0" applyNumberFormat="1" applyFont="1" applyFill="1" applyBorder="1"/>
    <xf numFmtId="0" fontId="2" fillId="3" borderId="39" xfId="0" applyFont="1" applyFill="1" applyBorder="1" applyAlignment="1">
      <alignment horizontal="right"/>
    </xf>
    <xf numFmtId="168" fontId="31" fillId="0" borderId="39" xfId="0" applyNumberFormat="1" applyFont="1" applyFill="1" applyBorder="1"/>
    <xf numFmtId="167" fontId="2" fillId="3" borderId="0" xfId="0" quotePrefix="1" applyNumberFormat="1" applyFont="1" applyFill="1" applyBorder="1"/>
    <xf numFmtId="0" fontId="2" fillId="3" borderId="0" xfId="0" applyFont="1" applyFill="1"/>
    <xf numFmtId="0" fontId="2" fillId="3" borderId="0" xfId="0" quotePrefix="1" applyFont="1" applyFill="1" applyBorder="1" applyAlignment="1">
      <alignment horizontal="right"/>
    </xf>
    <xf numFmtId="10" fontId="2" fillId="0" borderId="39" xfId="0" quotePrefix="1" applyNumberFormat="1" applyFont="1" applyFill="1" applyBorder="1" applyAlignment="1">
      <alignment horizontal="center"/>
    </xf>
    <xf numFmtId="167" fontId="2" fillId="3" borderId="0" xfId="0" applyNumberFormat="1" applyFont="1" applyFill="1" applyBorder="1"/>
    <xf numFmtId="0" fontId="21" fillId="3" borderId="0" xfId="0" applyFont="1" applyFill="1" applyBorder="1" applyAlignment="1">
      <alignment horizontal="left"/>
    </xf>
    <xf numFmtId="0" fontId="2" fillId="3" borderId="0" xfId="0" applyFont="1" applyFill="1" applyBorder="1" applyAlignment="1">
      <alignment vertical="top"/>
    </xf>
    <xf numFmtId="9" fontId="1" fillId="3" borderId="0" xfId="0" applyNumberFormat="1" applyFont="1" applyFill="1" applyBorder="1"/>
    <xf numFmtId="0" fontId="2" fillId="3" borderId="0" xfId="0" applyNumberFormat="1" applyFont="1" applyFill="1" applyBorder="1"/>
    <xf numFmtId="0" fontId="2" fillId="3" borderId="0" xfId="0" quotePrefix="1" applyFont="1" applyFill="1" applyBorder="1"/>
    <xf numFmtId="168" fontId="31" fillId="6" borderId="0" xfId="0" applyNumberFormat="1" applyFont="1" applyFill="1" applyBorder="1"/>
    <xf numFmtId="49" fontId="32"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3" borderId="39" xfId="0" applyFont="1" applyFill="1" applyBorder="1" applyAlignment="1">
      <alignment horizontal="center" vertical="center"/>
    </xf>
    <xf numFmtId="168" fontId="30" fillId="0" borderId="51" xfId="0" applyNumberFormat="1" applyFont="1" applyFill="1" applyBorder="1" applyAlignment="1">
      <alignment horizontal="center" vertical="center"/>
    </xf>
    <xf numFmtId="168" fontId="30" fillId="0" borderId="52" xfId="0" applyNumberFormat="1" applyFont="1" applyFill="1" applyBorder="1" applyAlignment="1">
      <alignment horizontal="center" vertical="center"/>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2" fillId="3" borderId="37" xfId="0" applyNumberFormat="1" applyFont="1" applyFill="1" applyBorder="1" applyAlignment="1">
      <alignment horizontal="center"/>
    </xf>
    <xf numFmtId="14" fontId="2" fillId="3" borderId="37" xfId="0" quotePrefix="1" applyNumberFormat="1" applyFont="1" applyFill="1" applyBorder="1" applyAlignment="1">
      <alignment horizontal="center"/>
    </xf>
    <xf numFmtId="49" fontId="1" fillId="0" borderId="32" xfId="0" applyNumberFormat="1" applyFont="1" applyFill="1" applyBorder="1" applyAlignment="1">
      <alignment horizontal="left" wrapText="1"/>
    </xf>
    <xf numFmtId="49" fontId="1" fillId="0" borderId="0" xfId="0" applyNumberFormat="1" applyFont="1" applyFill="1" applyBorder="1" applyAlignment="1">
      <alignment horizontal="left" wrapText="1"/>
    </xf>
    <xf numFmtId="49" fontId="1" fillId="0" borderId="32" xfId="0" applyNumberFormat="1" applyFont="1" applyFill="1" applyBorder="1" applyAlignment="1">
      <alignment horizontal="left"/>
    </xf>
    <xf numFmtId="49" fontId="1" fillId="0" borderId="0" xfId="0" applyNumberFormat="1" applyFont="1" applyFill="1" applyBorder="1" applyAlignment="1">
      <alignment horizontal="left"/>
    </xf>
    <xf numFmtId="0" fontId="21" fillId="3" borderId="0" xfId="0" applyFont="1" applyFill="1" applyBorder="1" applyAlignment="1">
      <alignment horizontal="center"/>
    </xf>
    <xf numFmtId="0" fontId="19"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 fillId="3" borderId="33" xfId="0" applyNumberFormat="1" applyFont="1" applyFill="1" applyBorder="1" applyAlignment="1">
      <alignment horizontal="center"/>
    </xf>
    <xf numFmtId="49" fontId="1" fillId="3" borderId="36"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ont="1" applyFill="1" applyBorder="1" applyAlignment="1" applyProtection="1">
      <alignment horizontal="center"/>
    </xf>
    <xf numFmtId="0" fontId="2" fillId="3" borderId="0" xfId="0" applyFont="1" applyFill="1" applyBorder="1" applyAlignment="1">
      <alignment horizontal="center"/>
    </xf>
    <xf numFmtId="49" fontId="2" fillId="3" borderId="38" xfId="0" applyNumberFormat="1" applyFont="1" applyFill="1" applyBorder="1" applyAlignment="1">
      <alignment horizontal="left"/>
    </xf>
    <xf numFmtId="0" fontId="2" fillId="3" borderId="38" xfId="0" applyFont="1" applyFill="1" applyBorder="1" applyAlignment="1"/>
    <xf numFmtId="0" fontId="2" fillId="2" borderId="38" xfId="0" applyFont="1" applyBorder="1" applyAlignment="1"/>
    <xf numFmtId="49" fontId="1" fillId="3" borderId="37" xfId="0" applyNumberFormat="1" applyFont="1" applyFill="1" applyBorder="1" applyAlignment="1"/>
    <xf numFmtId="0" fontId="1" fillId="2" borderId="37" xfId="0" applyFont="1" applyBorder="1" applyAlignment="1"/>
    <xf numFmtId="3" fontId="2" fillId="3" borderId="37" xfId="0" applyNumberFormat="1" applyFont="1" applyFill="1" applyBorder="1" applyAlignment="1"/>
    <xf numFmtId="0" fontId="2" fillId="2" borderId="37" xfId="0" applyFont="1" applyBorder="1" applyAlignment="1"/>
    <xf numFmtId="0" fontId="16" fillId="3" borderId="0" xfId="0" applyFont="1" applyFill="1" applyBorder="1" applyAlignment="1">
      <alignment horizontal="center"/>
    </xf>
    <xf numFmtId="0" fontId="16" fillId="6" borderId="0" xfId="0" applyFont="1" applyFill="1" applyBorder="1" applyAlignment="1">
      <alignment horizontal="center" vertical="top"/>
    </xf>
    <xf numFmtId="0" fontId="26" fillId="6" borderId="43" xfId="0" applyFont="1" applyFill="1" applyBorder="1" applyAlignment="1">
      <alignment horizontal="center" vertical="center" wrapText="1"/>
    </xf>
    <xf numFmtId="0" fontId="26" fillId="6" borderId="0" xfId="0" applyFont="1" applyFill="1" applyBorder="1" applyAlignment="1">
      <alignment horizontal="center" vertical="center" wrapText="1"/>
    </xf>
    <xf numFmtId="49" fontId="17" fillId="3" borderId="0" xfId="0" applyNumberFormat="1" applyFont="1" applyFill="1" applyBorder="1" applyAlignment="1"/>
    <xf numFmtId="49" fontId="17" fillId="3" borderId="0" xfId="0" applyNumberFormat="1" applyFont="1" applyFill="1" applyBorder="1" applyAlignment="1">
      <alignment horizontal="center"/>
    </xf>
    <xf numFmtId="49" fontId="17"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91741</xdr:colOff>
      <xdr:row>19</xdr:row>
      <xdr:rowOff>96754</xdr:rowOff>
    </xdr:from>
    <xdr:to>
      <xdr:col>9</xdr:col>
      <xdr:colOff>6016</xdr:colOff>
      <xdr:row>24</xdr:row>
      <xdr:rowOff>87229</xdr:rowOff>
    </xdr:to>
    <xdr:sp macro="" textlink="">
      <xdr:nvSpPr>
        <xdr:cNvPr id="2114" name="INVB1"/>
        <xdr:cNvSpPr>
          <a:spLocks noChangeArrowheads="1"/>
        </xdr:cNvSpPr>
      </xdr:nvSpPr>
      <xdr:spPr bwMode="auto">
        <a:xfrm>
          <a:off x="121820" y="2994359"/>
          <a:ext cx="4556459" cy="882817"/>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0"/>
      <c r="D5" s="50"/>
      <c r="E5" s="50"/>
      <c r="F5" s="50"/>
      <c r="G5" s="50"/>
      <c r="H5" s="50"/>
      <c r="I5" s="50"/>
      <c r="J5" s="1"/>
    </row>
    <row r="6" spans="2:10" ht="12.75" customHeight="1" x14ac:dyDescent="0.3">
      <c r="B6" s="7"/>
      <c r="C6" s="3"/>
      <c r="D6" s="18"/>
      <c r="E6" s="3"/>
      <c r="F6" s="3"/>
      <c r="G6" s="3"/>
      <c r="H6" s="3"/>
      <c r="I6" s="3"/>
      <c r="J6" s="8"/>
    </row>
    <row r="7" spans="2:10" x14ac:dyDescent="0.2">
      <c r="B7" s="7"/>
      <c r="C7" s="3"/>
      <c r="D7" s="3"/>
      <c r="E7" s="3"/>
      <c r="F7" s="3"/>
      <c r="G7" s="55" t="s">
        <v>44</v>
      </c>
      <c r="H7" s="3"/>
      <c r="I7" s="3"/>
      <c r="J7" s="8"/>
    </row>
    <row r="8" spans="2:10" x14ac:dyDescent="0.2">
      <c r="B8" s="7"/>
      <c r="C8" s="3"/>
      <c r="D8" s="3"/>
      <c r="E8" s="3"/>
      <c r="F8" s="3"/>
      <c r="G8" s="55" t="s">
        <v>1</v>
      </c>
      <c r="H8" s="3"/>
      <c r="I8" s="3"/>
      <c r="J8" s="8"/>
    </row>
    <row r="9" spans="2:10" x14ac:dyDescent="0.2">
      <c r="B9" s="7"/>
      <c r="C9" s="3"/>
      <c r="D9" s="19"/>
      <c r="E9" s="3"/>
      <c r="F9" s="3"/>
      <c r="G9" s="41"/>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52</v>
      </c>
      <c r="F12" s="56" t="s">
        <v>4</v>
      </c>
      <c r="G12" s="16"/>
      <c r="H12" s="24"/>
      <c r="I12" s="3"/>
      <c r="J12" s="8"/>
    </row>
    <row r="13" spans="2:10" ht="13.5" thickBot="1" x14ac:dyDescent="0.25">
      <c r="B13" s="7"/>
      <c r="C13" s="3"/>
      <c r="D13" s="31" t="s">
        <v>5</v>
      </c>
      <c r="E13" s="13" t="s">
        <v>48</v>
      </c>
      <c r="F13" s="56"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3">
        <v>0.1</v>
      </c>
      <c r="F22" s="32"/>
      <c r="G22" s="35"/>
      <c r="H22" s="24"/>
      <c r="I22" s="3"/>
      <c r="J22" s="8"/>
    </row>
    <row r="23" spans="2:10" x14ac:dyDescent="0.2">
      <c r="B23" s="7"/>
      <c r="C23" s="3"/>
      <c r="D23" s="33">
        <v>2</v>
      </c>
      <c r="E23" s="57">
        <v>0.18</v>
      </c>
      <c r="F23" s="32"/>
      <c r="G23" s="36"/>
      <c r="H23" s="24"/>
      <c r="I23" s="3"/>
      <c r="J23" s="8"/>
    </row>
    <row r="24" spans="2:10" ht="13.5" thickBot="1" x14ac:dyDescent="0.25">
      <c r="B24" s="7"/>
      <c r="C24" s="3"/>
      <c r="D24" s="33">
        <v>3</v>
      </c>
      <c r="E24" s="53">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4">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2"/>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49" t="str">
        <f>LOWER(TemplateInformation!B3)</f>
        <v>c:\program files\microsoft office\office\macrolib\factbd.xls</v>
      </c>
      <c r="G33" s="150"/>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1"/>
      <c r="E37" s="22"/>
      <c r="F37" s="22"/>
      <c r="G37" s="22"/>
      <c r="H37" s="23"/>
      <c r="I37" s="3"/>
      <c r="J37" s="8"/>
    </row>
    <row r="38" spans="2:10" ht="14.25" x14ac:dyDescent="0.2">
      <c r="B38" s="7"/>
      <c r="C38" s="3"/>
      <c r="D38" s="43"/>
      <c r="E38" s="44"/>
      <c r="F38" s="65"/>
      <c r="G38" s="44"/>
      <c r="H38" s="45"/>
      <c r="I38" s="51"/>
      <c r="J38" s="20"/>
    </row>
    <row r="39" spans="2:10" ht="14.25" x14ac:dyDescent="0.2">
      <c r="B39" s="7"/>
      <c r="C39" s="3"/>
      <c r="D39" s="43"/>
      <c r="E39" s="44"/>
      <c r="F39" s="46"/>
      <c r="G39" s="44"/>
      <c r="H39" s="45"/>
      <c r="I39" s="51"/>
      <c r="J39" s="20"/>
    </row>
    <row r="40" spans="2:10" ht="14.25" x14ac:dyDescent="0.2">
      <c r="B40" s="7"/>
      <c r="C40" s="3"/>
      <c r="D40" s="43"/>
      <c r="E40" s="44"/>
      <c r="F40" s="44"/>
      <c r="G40" s="44"/>
      <c r="H40" s="45"/>
      <c r="I40" s="51"/>
      <c r="J40" s="20"/>
    </row>
    <row r="41" spans="2:10" ht="14.25" x14ac:dyDescent="0.2">
      <c r="B41" s="7"/>
      <c r="C41" s="3"/>
      <c r="D41" s="43"/>
      <c r="E41" s="44"/>
      <c r="F41" s="44"/>
      <c r="G41" s="44"/>
      <c r="H41" s="45"/>
      <c r="I41" s="51"/>
      <c r="J41" s="20"/>
    </row>
    <row r="42" spans="2:10" ht="20.100000000000001" customHeight="1" x14ac:dyDescent="0.2">
      <c r="B42" s="7"/>
      <c r="C42" s="3"/>
      <c r="D42" s="43"/>
      <c r="E42" s="44"/>
      <c r="F42" s="44"/>
      <c r="G42" s="44"/>
      <c r="H42" s="45"/>
      <c r="I42" s="51"/>
      <c r="J42" s="20"/>
    </row>
    <row r="43" spans="2:10" ht="14.25" x14ac:dyDescent="0.2">
      <c r="B43" s="7"/>
      <c r="C43" s="3"/>
      <c r="D43" s="43"/>
      <c r="E43" s="44"/>
      <c r="F43" s="44"/>
      <c r="G43" s="44"/>
      <c r="H43" s="45"/>
      <c r="I43" s="51"/>
      <c r="J43" s="20"/>
    </row>
    <row r="44" spans="2:10" ht="26.25" customHeight="1" thickBot="1" x14ac:dyDescent="0.25">
      <c r="B44" s="7"/>
      <c r="C44" s="3"/>
      <c r="D44" s="47"/>
      <c r="E44" s="48"/>
      <c r="F44" s="48"/>
      <c r="G44" s="48"/>
      <c r="H44" s="49"/>
      <c r="I44" s="51"/>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4">
        <v>0</v>
      </c>
    </row>
    <row r="49" spans="5:5" x14ac:dyDescent="0.2">
      <c r="E49" s="54" t="b">
        <v>0</v>
      </c>
    </row>
    <row r="50" spans="5:5" x14ac:dyDescent="0.2">
      <c r="E50" s="54" t="b">
        <v>0</v>
      </c>
    </row>
    <row r="51" spans="5:5" x14ac:dyDescent="0.2">
      <c r="E51" s="54" t="s">
        <v>17</v>
      </c>
    </row>
    <row r="52" spans="5:5" x14ac:dyDescent="0.2">
      <c r="E52" s="5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7" zoomScale="95" workbookViewId="0">
      <selection activeCell="B43" sqref="B4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66"/>
      <c r="M10" s="66"/>
      <c r="N10" s="3"/>
      <c r="O10" s="8"/>
    </row>
    <row r="11" spans="1:15" x14ac:dyDescent="0.2">
      <c r="A11" s="7"/>
      <c r="B11" s="3"/>
      <c r="C11" s="3"/>
      <c r="D11" s="3"/>
      <c r="E11" s="3"/>
      <c r="F11" s="3"/>
      <c r="G11" s="3"/>
      <c r="H11" s="3"/>
      <c r="I11" s="3"/>
      <c r="J11" s="3"/>
      <c r="K11" s="3"/>
      <c r="L11" s="67"/>
      <c r="M11" s="68"/>
      <c r="N11" s="3"/>
      <c r="O11" s="8"/>
    </row>
    <row r="12" spans="1:15" x14ac:dyDescent="0.2">
      <c r="A12" s="7"/>
      <c r="B12" s="3"/>
      <c r="C12" s="3"/>
      <c r="D12" s="3"/>
      <c r="E12" s="3"/>
      <c r="F12" s="3"/>
      <c r="G12" s="3"/>
      <c r="H12" s="3"/>
      <c r="I12" s="3"/>
      <c r="J12" s="3"/>
      <c r="K12" s="3"/>
      <c r="L12" s="67"/>
      <c r="M12" s="68"/>
      <c r="N12" s="3"/>
      <c r="O12" s="8"/>
    </row>
    <row r="13" spans="1:15" x14ac:dyDescent="0.2">
      <c r="A13" s="95"/>
      <c r="B13" s="96"/>
      <c r="C13" s="96"/>
      <c r="D13" s="96"/>
      <c r="E13" s="96"/>
      <c r="F13" s="96"/>
      <c r="G13" s="96"/>
      <c r="H13" s="96"/>
      <c r="I13" s="96"/>
      <c r="J13" s="96"/>
      <c r="K13" s="96"/>
      <c r="L13" s="176"/>
      <c r="M13" s="177"/>
      <c r="N13" s="3"/>
      <c r="O13" s="8"/>
    </row>
    <row r="14" spans="1:15" x14ac:dyDescent="0.2">
      <c r="A14" s="95"/>
      <c r="B14" s="96"/>
      <c r="C14" s="96"/>
      <c r="D14" s="96"/>
      <c r="E14" s="96"/>
      <c r="F14" s="96"/>
      <c r="G14" s="169"/>
      <c r="H14" s="169"/>
      <c r="I14" s="169"/>
      <c r="J14" s="169"/>
      <c r="K14" s="169"/>
      <c r="L14" s="96"/>
      <c r="M14" s="96"/>
      <c r="N14" s="3"/>
      <c r="O14" s="8"/>
    </row>
    <row r="15" spans="1:15" ht="20.100000000000001" customHeight="1" x14ac:dyDescent="0.2">
      <c r="A15" s="95"/>
      <c r="B15" s="96"/>
      <c r="C15" s="96"/>
      <c r="D15" s="96"/>
      <c r="E15" s="96"/>
      <c r="F15" s="96"/>
      <c r="G15" s="169"/>
      <c r="H15" s="169"/>
      <c r="I15" s="169"/>
      <c r="J15" s="169"/>
      <c r="K15" s="169"/>
      <c r="L15" s="96"/>
      <c r="M15" s="96"/>
      <c r="N15" s="3"/>
      <c r="O15" s="8"/>
    </row>
    <row r="16" spans="1:15" ht="3" customHeight="1" thickBot="1" x14ac:dyDescent="0.25">
      <c r="A16" s="95"/>
      <c r="B16" s="96"/>
      <c r="C16" s="96"/>
      <c r="D16" s="96"/>
      <c r="E16" s="96"/>
      <c r="F16" s="96"/>
      <c r="G16" s="96"/>
      <c r="H16" s="96"/>
      <c r="I16" s="96"/>
      <c r="J16" s="96"/>
      <c r="K16" s="96"/>
      <c r="L16" s="96"/>
      <c r="M16" s="96"/>
      <c r="N16" s="75"/>
      <c r="O16" s="76"/>
    </row>
    <row r="17" spans="1:15" ht="14.1" customHeight="1" thickBot="1" x14ac:dyDescent="0.25">
      <c r="A17" s="95"/>
      <c r="B17" s="96"/>
      <c r="C17" s="96"/>
      <c r="D17" s="96"/>
      <c r="E17" s="96"/>
      <c r="F17" s="96"/>
      <c r="G17" s="97"/>
      <c r="H17" s="96"/>
      <c r="I17" s="98"/>
      <c r="J17" s="96"/>
      <c r="K17" s="96"/>
      <c r="L17" s="154" t="s">
        <v>75</v>
      </c>
      <c r="M17" s="155"/>
      <c r="N17" s="75"/>
      <c r="O17" s="76"/>
    </row>
    <row r="18" spans="1:15" ht="13.5" thickTop="1" x14ac:dyDescent="0.2">
      <c r="A18" s="95"/>
      <c r="B18" s="96"/>
      <c r="C18" s="99"/>
      <c r="D18" s="99"/>
      <c r="E18" s="99"/>
      <c r="F18" s="99"/>
      <c r="G18" s="99"/>
      <c r="H18" s="99"/>
      <c r="I18" s="100"/>
      <c r="J18" s="100"/>
      <c r="K18" s="100"/>
      <c r="L18" s="156"/>
      <c r="M18" s="157"/>
      <c r="N18" s="78"/>
      <c r="O18" s="76"/>
    </row>
    <row r="19" spans="1:15" ht="13.5" thickBot="1" x14ac:dyDescent="0.25">
      <c r="A19" s="95"/>
      <c r="B19" s="96"/>
      <c r="C19" s="96"/>
      <c r="D19" s="96"/>
      <c r="E19" s="96"/>
      <c r="F19" s="96"/>
      <c r="G19" s="96"/>
      <c r="H19" s="96"/>
      <c r="I19" s="96"/>
      <c r="J19" s="96"/>
      <c r="K19" s="96"/>
      <c r="L19" s="158"/>
      <c r="M19" s="159"/>
      <c r="N19" s="75"/>
      <c r="O19" s="76"/>
    </row>
    <row r="20" spans="1:15" x14ac:dyDescent="0.2">
      <c r="A20" s="95"/>
      <c r="B20" s="96"/>
      <c r="C20" s="96"/>
      <c r="D20" s="96"/>
      <c r="E20" s="96"/>
      <c r="F20" s="96"/>
      <c r="G20" s="96"/>
      <c r="H20" s="96"/>
      <c r="I20" s="96"/>
      <c r="J20" s="96"/>
      <c r="K20" s="96"/>
      <c r="L20" s="96"/>
      <c r="M20" s="96"/>
      <c r="N20" s="75"/>
      <c r="O20" s="76"/>
    </row>
    <row r="21" spans="1:15" x14ac:dyDescent="0.2">
      <c r="A21" s="95"/>
      <c r="B21" s="96"/>
      <c r="C21" s="96" t="s">
        <v>3</v>
      </c>
      <c r="D21" s="181" t="s">
        <v>65</v>
      </c>
      <c r="E21" s="182"/>
      <c r="F21" s="182"/>
      <c r="G21" s="182"/>
      <c r="H21" s="182"/>
      <c r="I21" s="182"/>
      <c r="J21" s="96"/>
      <c r="K21" s="101" t="s">
        <v>18</v>
      </c>
      <c r="L21" s="163">
        <v>45728</v>
      </c>
      <c r="M21" s="164"/>
      <c r="N21" s="79"/>
      <c r="O21" s="76"/>
    </row>
    <row r="22" spans="1:15" x14ac:dyDescent="0.2">
      <c r="A22" s="95"/>
      <c r="B22" s="96"/>
      <c r="C22" s="96" t="s">
        <v>5</v>
      </c>
      <c r="D22" s="179" t="s">
        <v>68</v>
      </c>
      <c r="E22" s="180"/>
      <c r="F22" s="180"/>
      <c r="G22" s="180"/>
      <c r="H22" s="180"/>
      <c r="I22" s="180"/>
      <c r="J22" s="96"/>
      <c r="K22" s="101" t="s">
        <v>58</v>
      </c>
      <c r="L22" s="163" t="s">
        <v>74</v>
      </c>
      <c r="M22" s="164"/>
      <c r="N22" s="80"/>
      <c r="O22" s="76"/>
    </row>
    <row r="23" spans="1:15" x14ac:dyDescent="0.2">
      <c r="A23" s="95"/>
      <c r="B23" s="96"/>
      <c r="C23" s="96" t="s">
        <v>7</v>
      </c>
      <c r="D23" s="102">
        <v>2045</v>
      </c>
      <c r="E23" s="103" t="s">
        <v>8</v>
      </c>
      <c r="F23" s="178" t="s">
        <v>69</v>
      </c>
      <c r="G23" s="178"/>
      <c r="H23" s="104" t="s">
        <v>9</v>
      </c>
      <c r="I23" s="105" t="s">
        <v>51</v>
      </c>
      <c r="J23" s="96"/>
      <c r="K23" s="101" t="s">
        <v>19</v>
      </c>
      <c r="L23" s="174" t="s">
        <v>67</v>
      </c>
      <c r="M23" s="175"/>
      <c r="N23" s="75"/>
      <c r="O23" s="76"/>
    </row>
    <row r="24" spans="1:15" x14ac:dyDescent="0.2">
      <c r="A24" s="95"/>
      <c r="B24" s="96"/>
      <c r="C24" s="96" t="s">
        <v>20</v>
      </c>
      <c r="D24" s="183"/>
      <c r="E24" s="184"/>
      <c r="F24" s="184"/>
      <c r="G24" s="184"/>
      <c r="H24" s="184"/>
      <c r="I24" s="184"/>
      <c r="J24" s="96"/>
      <c r="K24" s="101" t="s">
        <v>47</v>
      </c>
      <c r="L24" s="175" t="s">
        <v>66</v>
      </c>
      <c r="M24" s="175"/>
      <c r="N24" s="75"/>
      <c r="O24" s="76"/>
    </row>
    <row r="25" spans="1:15" x14ac:dyDescent="0.2">
      <c r="A25" s="95"/>
      <c r="B25" s="96"/>
      <c r="C25" s="96"/>
      <c r="D25" s="96"/>
      <c r="E25" s="96"/>
      <c r="F25" s="96"/>
      <c r="G25" s="96"/>
      <c r="H25" s="96"/>
      <c r="I25" s="96"/>
      <c r="J25" s="96" t="s">
        <v>83</v>
      </c>
      <c r="K25" s="96"/>
      <c r="L25" s="96"/>
      <c r="M25" s="96"/>
      <c r="N25" s="75"/>
      <c r="O25" s="76"/>
    </row>
    <row r="26" spans="1:15" x14ac:dyDescent="0.2">
      <c r="A26" s="95"/>
      <c r="B26" s="96"/>
      <c r="C26" s="106" t="s">
        <v>34</v>
      </c>
      <c r="D26" s="106" t="s">
        <v>21</v>
      </c>
      <c r="E26" s="160" t="s">
        <v>22</v>
      </c>
      <c r="F26" s="161"/>
      <c r="G26" s="161"/>
      <c r="H26" s="161"/>
      <c r="I26" s="161"/>
      <c r="J26" s="161"/>
      <c r="K26" s="162"/>
      <c r="L26" s="107" t="s">
        <v>53</v>
      </c>
      <c r="M26" s="108" t="s">
        <v>23</v>
      </c>
      <c r="N26" s="81"/>
      <c r="O26" s="76"/>
    </row>
    <row r="27" spans="1:15" x14ac:dyDescent="0.2">
      <c r="A27" s="95"/>
      <c r="B27" s="96"/>
      <c r="C27" s="109"/>
      <c r="D27" s="110"/>
      <c r="E27" s="119" t="s">
        <v>77</v>
      </c>
      <c r="F27" s="114"/>
      <c r="G27" s="114"/>
      <c r="H27" s="114"/>
      <c r="I27" s="115"/>
      <c r="J27" s="115"/>
      <c r="K27" s="111"/>
      <c r="L27" s="112"/>
      <c r="M27" s="113" t="str">
        <f t="shared" ref="M27" si="0">IF(D27&lt;&gt;"",D27*L27,"")</f>
        <v/>
      </c>
      <c r="N27" s="81"/>
      <c r="O27" s="76"/>
    </row>
    <row r="28" spans="1:15" x14ac:dyDescent="0.2">
      <c r="A28" s="95"/>
      <c r="B28" s="96"/>
      <c r="C28" s="109"/>
      <c r="D28" s="110"/>
      <c r="E28" s="119" t="s">
        <v>78</v>
      </c>
      <c r="F28" s="114"/>
      <c r="G28" s="114"/>
      <c r="H28" s="114"/>
      <c r="I28" s="115"/>
      <c r="J28" s="115"/>
      <c r="K28" s="116"/>
      <c r="L28" s="112"/>
      <c r="M28" s="113"/>
      <c r="N28" s="81"/>
      <c r="O28" s="76"/>
    </row>
    <row r="29" spans="1:15" ht="12.75" customHeight="1" x14ac:dyDescent="0.2">
      <c r="A29" s="95"/>
      <c r="B29" s="96"/>
      <c r="C29" s="117"/>
      <c r="D29" s="110"/>
      <c r="E29" s="165" t="s">
        <v>79</v>
      </c>
      <c r="F29" s="166"/>
      <c r="G29" s="166"/>
      <c r="H29" s="166"/>
      <c r="I29" s="166"/>
      <c r="J29" s="166"/>
      <c r="K29" s="116"/>
      <c r="L29" s="118"/>
      <c r="M29" s="113"/>
      <c r="N29" s="81"/>
      <c r="O29" s="76"/>
    </row>
    <row r="30" spans="1:15" x14ac:dyDescent="0.2">
      <c r="A30" s="95"/>
      <c r="B30" s="96"/>
      <c r="C30" s="117"/>
      <c r="D30" s="110"/>
      <c r="E30" s="167" t="s">
        <v>80</v>
      </c>
      <c r="F30" s="168"/>
      <c r="G30" s="168"/>
      <c r="H30" s="168"/>
      <c r="I30" s="168"/>
      <c r="J30" s="168"/>
      <c r="K30" s="116"/>
      <c r="L30" s="118"/>
      <c r="M30" s="113"/>
      <c r="N30" s="81"/>
      <c r="O30" s="76"/>
    </row>
    <row r="31" spans="1:15" x14ac:dyDescent="0.2">
      <c r="A31" s="95"/>
      <c r="B31" s="96"/>
      <c r="C31" s="117"/>
      <c r="D31" s="110"/>
      <c r="E31" s="167" t="s">
        <v>81</v>
      </c>
      <c r="F31" s="168"/>
      <c r="G31" s="168"/>
      <c r="H31" s="168"/>
      <c r="I31" s="168"/>
      <c r="J31" s="168"/>
      <c r="K31" s="116"/>
      <c r="L31" s="118"/>
      <c r="M31" s="113"/>
      <c r="N31" s="81"/>
      <c r="O31" s="76"/>
    </row>
    <row r="32" spans="1:15" x14ac:dyDescent="0.2">
      <c r="A32" s="95"/>
      <c r="B32" s="96"/>
      <c r="C32" s="117"/>
      <c r="D32" s="110"/>
      <c r="E32" s="119"/>
      <c r="F32" s="120"/>
      <c r="G32" s="121"/>
      <c r="H32" s="122"/>
      <c r="I32" s="122"/>
      <c r="J32" s="121"/>
      <c r="K32" s="116"/>
      <c r="L32" s="118"/>
      <c r="M32" s="118"/>
      <c r="N32" s="81"/>
      <c r="O32" s="76"/>
    </row>
    <row r="33" spans="1:15" ht="15.75" x14ac:dyDescent="0.25">
      <c r="A33" s="95"/>
      <c r="B33" s="96"/>
      <c r="C33" s="117" t="s">
        <v>71</v>
      </c>
      <c r="D33" s="110">
        <v>1</v>
      </c>
      <c r="E33" s="143" t="s">
        <v>72</v>
      </c>
      <c r="F33" s="120"/>
      <c r="G33" s="121"/>
      <c r="H33" s="122"/>
      <c r="I33" s="121"/>
      <c r="J33" s="121"/>
      <c r="K33" s="116"/>
      <c r="L33" s="118">
        <v>1409</v>
      </c>
      <c r="M33" s="118">
        <v>1409</v>
      </c>
      <c r="N33" s="81"/>
      <c r="O33" s="76"/>
    </row>
    <row r="34" spans="1:15" x14ac:dyDescent="0.2">
      <c r="A34" s="95"/>
      <c r="B34" s="96"/>
      <c r="C34" s="117"/>
      <c r="D34" s="110"/>
      <c r="E34" s="119" t="s">
        <v>70</v>
      </c>
      <c r="F34" s="120"/>
      <c r="G34" s="121"/>
      <c r="H34" s="122"/>
      <c r="I34" s="121"/>
      <c r="J34" s="121"/>
      <c r="K34" s="122"/>
      <c r="L34" s="113"/>
      <c r="M34" s="113"/>
      <c r="N34" s="81"/>
      <c r="O34" s="76"/>
    </row>
    <row r="35" spans="1:15" x14ac:dyDescent="0.2">
      <c r="A35" s="95"/>
      <c r="B35" s="96"/>
      <c r="C35" s="117"/>
      <c r="D35" s="110"/>
      <c r="E35" s="119" t="s">
        <v>73</v>
      </c>
      <c r="F35" s="120"/>
      <c r="G35" s="121"/>
      <c r="H35" s="122"/>
      <c r="I35" s="122"/>
      <c r="J35" s="121"/>
      <c r="K35" s="122"/>
      <c r="L35" s="113"/>
      <c r="M35" s="113"/>
      <c r="N35" s="81"/>
      <c r="O35" s="76"/>
    </row>
    <row r="36" spans="1:15" x14ac:dyDescent="0.2">
      <c r="A36" s="95"/>
      <c r="B36" s="96"/>
      <c r="C36" s="117"/>
      <c r="D36" s="110"/>
      <c r="E36" s="119" t="s">
        <v>76</v>
      </c>
      <c r="F36" s="120"/>
      <c r="G36" s="121"/>
      <c r="H36" s="122"/>
      <c r="I36" s="122"/>
      <c r="J36" s="121"/>
      <c r="K36" s="116"/>
      <c r="L36" s="118"/>
      <c r="M36" s="113"/>
      <c r="N36" s="81"/>
      <c r="O36" s="76"/>
    </row>
    <row r="37" spans="1:15" x14ac:dyDescent="0.2">
      <c r="A37" s="95"/>
      <c r="B37" s="96"/>
      <c r="C37" s="117"/>
      <c r="D37" s="110"/>
      <c r="E37" s="119"/>
      <c r="F37" s="120"/>
      <c r="G37" s="121"/>
      <c r="H37" s="122"/>
      <c r="I37" s="121"/>
      <c r="J37" s="121"/>
      <c r="K37" s="116"/>
      <c r="L37" s="118"/>
      <c r="M37" s="113"/>
      <c r="N37" s="81"/>
      <c r="O37" s="76"/>
    </row>
    <row r="38" spans="1:15" x14ac:dyDescent="0.2">
      <c r="A38" s="95"/>
      <c r="B38" s="96"/>
      <c r="C38" s="117"/>
      <c r="D38" s="110"/>
      <c r="E38" s="119"/>
      <c r="F38" s="120"/>
      <c r="G38" s="121"/>
      <c r="H38" s="122"/>
      <c r="I38" s="121"/>
      <c r="J38" s="121"/>
      <c r="K38" s="122"/>
      <c r="L38" s="113"/>
      <c r="M38" s="113"/>
      <c r="N38" s="81"/>
      <c r="O38" s="76"/>
    </row>
    <row r="39" spans="1:15" x14ac:dyDescent="0.2">
      <c r="A39" s="95"/>
      <c r="B39" s="96"/>
      <c r="C39" s="117"/>
      <c r="D39" s="110"/>
      <c r="E39" s="119"/>
      <c r="F39" s="120"/>
      <c r="G39" s="121"/>
      <c r="H39" s="122"/>
      <c r="I39" s="121"/>
      <c r="J39" s="121"/>
      <c r="K39" s="122"/>
      <c r="L39" s="113"/>
      <c r="M39" s="113"/>
      <c r="N39" s="81"/>
      <c r="O39" s="76"/>
    </row>
    <row r="40" spans="1:15" x14ac:dyDescent="0.2">
      <c r="A40" s="95"/>
      <c r="B40" s="96"/>
      <c r="C40" s="117"/>
      <c r="D40" s="110"/>
      <c r="E40" s="119"/>
      <c r="F40" s="120"/>
      <c r="G40" s="121"/>
      <c r="H40" s="122"/>
      <c r="I40" s="122"/>
      <c r="J40" s="121"/>
      <c r="K40" s="122"/>
      <c r="L40" s="113"/>
      <c r="M40" s="113"/>
      <c r="N40" s="81"/>
      <c r="O40" s="76"/>
    </row>
    <row r="41" spans="1:15" x14ac:dyDescent="0.2">
      <c r="A41" s="95"/>
      <c r="B41" s="96"/>
      <c r="C41" s="109"/>
      <c r="D41" s="110"/>
      <c r="E41" s="123"/>
      <c r="F41" s="124"/>
      <c r="G41" s="124"/>
      <c r="H41" s="124"/>
      <c r="I41" s="124"/>
      <c r="J41" s="124"/>
      <c r="K41" s="121"/>
      <c r="L41" s="113"/>
      <c r="M41" s="113" t="str">
        <f>IF(D42&lt;&gt;"",D42*L41,"")</f>
        <v/>
      </c>
      <c r="N41" s="81"/>
      <c r="O41" s="76"/>
    </row>
    <row r="42" spans="1:15" x14ac:dyDescent="0.2">
      <c r="A42" s="95"/>
      <c r="B42" s="96"/>
      <c r="C42" s="125"/>
      <c r="D42" s="126"/>
      <c r="E42" s="172"/>
      <c r="F42" s="173"/>
      <c r="G42" s="173"/>
      <c r="H42" s="173"/>
      <c r="I42" s="173"/>
      <c r="J42" s="173"/>
      <c r="K42" s="127"/>
      <c r="L42" s="113"/>
      <c r="M42" s="113" t="str">
        <f>IF(D43&lt;&gt;"",D43*L42,"")</f>
        <v/>
      </c>
      <c r="N42" s="81"/>
      <c r="O42" s="76"/>
    </row>
    <row r="43" spans="1:15" ht="15" customHeight="1" x14ac:dyDescent="0.2">
      <c r="A43" s="95"/>
      <c r="B43" s="96" t="s">
        <v>82</v>
      </c>
      <c r="C43" s="96"/>
      <c r="D43" s="96"/>
      <c r="E43" s="96"/>
      <c r="F43" s="96"/>
      <c r="G43" s="96"/>
      <c r="H43" s="96"/>
      <c r="I43" s="96"/>
      <c r="J43" s="96"/>
      <c r="K43" s="96"/>
      <c r="L43" s="128" t="s">
        <v>24</v>
      </c>
      <c r="M43" s="129">
        <f>SUM(M27:M42)</f>
        <v>1409</v>
      </c>
      <c r="N43" s="81"/>
      <c r="O43" s="76"/>
    </row>
    <row r="44" spans="1:15" ht="15" customHeight="1" x14ac:dyDescent="0.2">
      <c r="A44" s="95"/>
      <c r="B44" s="96"/>
      <c r="C44" s="96"/>
      <c r="D44" s="96"/>
      <c r="E44" s="96"/>
      <c r="F44" s="96"/>
      <c r="G44" s="96"/>
      <c r="H44" s="96"/>
      <c r="I44" s="96"/>
      <c r="J44" s="96"/>
      <c r="K44" s="96"/>
      <c r="L44" s="130" t="s">
        <v>46</v>
      </c>
      <c r="M44" s="131">
        <v>1</v>
      </c>
      <c r="N44" s="81"/>
      <c r="O44" s="76"/>
    </row>
    <row r="45" spans="1:15" ht="12.75" customHeight="1" x14ac:dyDescent="0.2">
      <c r="A45" s="95"/>
      <c r="B45" s="96"/>
      <c r="C45" s="96"/>
      <c r="D45" s="132"/>
      <c r="E45" s="94" t="s">
        <v>25</v>
      </c>
      <c r="F45" s="96"/>
      <c r="G45" s="96"/>
      <c r="H45" s="96"/>
      <c r="I45" s="133"/>
      <c r="J45" s="133"/>
      <c r="K45" s="134"/>
      <c r="L45" s="135">
        <v>0.19</v>
      </c>
      <c r="M45" s="131">
        <f>M43*0.19</f>
        <v>267.70999999999998</v>
      </c>
      <c r="N45" s="81"/>
      <c r="O45" s="76"/>
    </row>
    <row r="46" spans="1:15" ht="3" customHeight="1" x14ac:dyDescent="0.2">
      <c r="A46" s="95"/>
      <c r="B46" s="96"/>
      <c r="C46" s="96"/>
      <c r="D46" s="136"/>
      <c r="E46" s="137" t="s">
        <v>60</v>
      </c>
      <c r="F46" s="138"/>
      <c r="G46" s="136"/>
      <c r="H46" s="96"/>
      <c r="I46" s="139"/>
      <c r="J46" s="96"/>
      <c r="K46" s="96"/>
      <c r="L46" s="151" t="s">
        <v>27</v>
      </c>
      <c r="M46" s="152">
        <f>+M43+M44+M45</f>
        <v>1677.71</v>
      </c>
      <c r="N46" s="81"/>
      <c r="O46" s="76"/>
    </row>
    <row r="47" spans="1:15" x14ac:dyDescent="0.2">
      <c r="A47" s="95"/>
      <c r="B47" s="96"/>
      <c r="C47" s="96"/>
      <c r="D47" s="136">
        <v>1</v>
      </c>
      <c r="E47" s="101" t="s">
        <v>61</v>
      </c>
      <c r="F47" s="96"/>
      <c r="G47" s="140"/>
      <c r="H47" s="96"/>
      <c r="I47" s="141" t="s">
        <v>26</v>
      </c>
      <c r="J47" s="96"/>
      <c r="K47" s="96"/>
      <c r="L47" s="151"/>
      <c r="M47" s="153"/>
      <c r="N47" s="81"/>
      <c r="O47" s="76"/>
    </row>
    <row r="48" spans="1:15" ht="15.75" customHeight="1" x14ac:dyDescent="0.2">
      <c r="A48" s="95"/>
      <c r="B48" s="96"/>
      <c r="C48" s="96"/>
      <c r="D48" s="136"/>
      <c r="E48" s="101" t="s">
        <v>55</v>
      </c>
      <c r="F48" s="96"/>
      <c r="G48" s="140"/>
      <c r="H48" s="96"/>
      <c r="I48" s="141"/>
      <c r="J48" s="96"/>
      <c r="K48" s="96"/>
      <c r="L48" s="98"/>
      <c r="M48" s="142"/>
      <c r="N48" s="81"/>
      <c r="O48" s="76"/>
    </row>
    <row r="49" spans="1:15" x14ac:dyDescent="0.2">
      <c r="A49" s="7"/>
      <c r="B49" s="72"/>
      <c r="C49" s="72"/>
      <c r="D49" s="72"/>
      <c r="E49" s="72"/>
      <c r="F49" s="72"/>
      <c r="G49" s="72"/>
      <c r="H49" s="72"/>
      <c r="I49" s="72"/>
      <c r="J49" s="72"/>
      <c r="K49" s="72"/>
      <c r="L49" s="73"/>
      <c r="M49" s="74"/>
      <c r="N49" s="81"/>
      <c r="O49" s="76"/>
    </row>
    <row r="50" spans="1:15" ht="0.95" customHeight="1" x14ac:dyDescent="0.2">
      <c r="A50" s="7"/>
      <c r="B50" s="71"/>
      <c r="C50" s="71"/>
      <c r="D50" s="71"/>
      <c r="E50" s="71"/>
      <c r="F50" s="71"/>
      <c r="G50" s="71"/>
      <c r="H50" s="71"/>
      <c r="I50" s="71"/>
      <c r="J50" s="71"/>
      <c r="K50" s="71"/>
      <c r="L50" s="85" t="s">
        <v>59</v>
      </c>
      <c r="M50" s="74"/>
      <c r="N50" s="81"/>
      <c r="O50" s="76"/>
    </row>
    <row r="51" spans="1:15" ht="6" customHeight="1" x14ac:dyDescent="0.2">
      <c r="A51" s="7"/>
      <c r="B51" s="71"/>
      <c r="C51" s="71"/>
      <c r="D51" s="71"/>
      <c r="E51" s="71"/>
      <c r="F51" s="71"/>
      <c r="G51" s="71"/>
      <c r="H51" s="71"/>
      <c r="I51" s="71"/>
      <c r="J51" s="71"/>
      <c r="K51" s="71"/>
      <c r="L51" s="74"/>
      <c r="M51" s="74"/>
      <c r="N51" s="81"/>
      <c r="O51" s="76"/>
    </row>
    <row r="52" spans="1:15" x14ac:dyDescent="0.2">
      <c r="A52" s="7"/>
      <c r="B52" s="185" t="s">
        <v>63</v>
      </c>
      <c r="C52" s="185"/>
      <c r="D52" s="185"/>
      <c r="E52" s="185"/>
      <c r="F52" s="185"/>
      <c r="G52" s="71"/>
      <c r="H52" s="71"/>
      <c r="I52" s="71"/>
      <c r="J52" s="71"/>
      <c r="K52" s="71"/>
      <c r="L52" s="86" t="s">
        <v>62</v>
      </c>
      <c r="M52" s="74"/>
      <c r="N52" s="81"/>
      <c r="O52" s="76"/>
    </row>
    <row r="53" spans="1:15" x14ac:dyDescent="0.2">
      <c r="A53" s="7"/>
      <c r="B53" s="186" t="s">
        <v>64</v>
      </c>
      <c r="C53" s="186"/>
      <c r="D53" s="186"/>
      <c r="E53" s="186"/>
      <c r="F53" s="186"/>
      <c r="G53" s="87"/>
      <c r="H53" s="87"/>
      <c r="I53" s="87"/>
      <c r="J53" s="87"/>
      <c r="K53" s="87"/>
      <c r="L53" s="73"/>
      <c r="M53" s="84"/>
      <c r="N53" s="81"/>
      <c r="O53" s="76"/>
    </row>
    <row r="54" spans="1:15" x14ac:dyDescent="0.2">
      <c r="A54" s="7"/>
      <c r="B54" s="75"/>
      <c r="C54" s="75"/>
      <c r="D54" s="83"/>
      <c r="E54" s="189"/>
      <c r="F54" s="189"/>
      <c r="G54" s="189"/>
      <c r="H54" s="189"/>
      <c r="I54" s="82"/>
      <c r="J54" s="73"/>
      <c r="K54" s="85"/>
      <c r="L54" s="85"/>
      <c r="M54" s="85"/>
      <c r="N54" s="81"/>
      <c r="O54" s="76"/>
    </row>
    <row r="55" spans="1:15" ht="12.75" customHeight="1" x14ac:dyDescent="0.2">
      <c r="A55" s="7"/>
      <c r="B55" s="75"/>
      <c r="C55" s="75"/>
      <c r="D55" s="83"/>
      <c r="E55" s="88"/>
      <c r="F55" s="87"/>
      <c r="G55" s="87"/>
      <c r="H55" s="87"/>
      <c r="I55" s="73"/>
      <c r="J55" s="85"/>
      <c r="K55" s="85"/>
      <c r="L55" s="85"/>
      <c r="M55" s="85"/>
      <c r="N55" s="81"/>
      <c r="O55" s="76"/>
    </row>
    <row r="56" spans="1:15" ht="13.5" thickBot="1" x14ac:dyDescent="0.25">
      <c r="A56" s="7"/>
      <c r="B56" s="75"/>
      <c r="C56" s="75"/>
      <c r="D56" s="89" t="s">
        <v>57</v>
      </c>
      <c r="E56" s="89"/>
      <c r="F56" s="89"/>
      <c r="G56" s="89"/>
      <c r="H56" s="89"/>
      <c r="I56" s="89"/>
      <c r="J56" s="89"/>
      <c r="K56" s="89"/>
      <c r="L56" s="89"/>
      <c r="M56" s="85"/>
      <c r="N56" s="81"/>
      <c r="O56" s="76"/>
    </row>
    <row r="57" spans="1:15" ht="13.5" thickTop="1" x14ac:dyDescent="0.2">
      <c r="A57" s="50"/>
      <c r="B57" s="75"/>
      <c r="C57" s="75"/>
      <c r="D57" s="83"/>
      <c r="E57" s="190" t="s">
        <v>54</v>
      </c>
      <c r="F57" s="190"/>
      <c r="G57" s="190"/>
      <c r="H57" s="190"/>
      <c r="I57" s="190"/>
      <c r="J57" s="190"/>
      <c r="K57" s="190"/>
      <c r="L57" s="85"/>
      <c r="M57" s="85"/>
      <c r="N57" s="81"/>
      <c r="O57" s="76"/>
    </row>
    <row r="58" spans="1:15" x14ac:dyDescent="0.2">
      <c r="A58" s="70"/>
      <c r="B58" s="75"/>
      <c r="C58" s="75"/>
      <c r="D58" s="191" t="s">
        <v>56</v>
      </c>
      <c r="E58" s="191"/>
      <c r="F58" s="191"/>
      <c r="G58" s="191"/>
      <c r="H58" s="191"/>
      <c r="I58" s="191"/>
      <c r="J58" s="191"/>
      <c r="K58" s="191"/>
      <c r="L58" s="191"/>
      <c r="M58" s="85"/>
      <c r="N58" s="81"/>
      <c r="O58" s="90"/>
    </row>
    <row r="59" spans="1:15" x14ac:dyDescent="0.2">
      <c r="A59" s="69"/>
      <c r="B59" s="75"/>
      <c r="C59" s="75"/>
      <c r="D59" s="191"/>
      <c r="E59" s="191"/>
      <c r="F59" s="191"/>
      <c r="G59" s="191"/>
      <c r="H59" s="191"/>
      <c r="I59" s="191"/>
      <c r="J59" s="191"/>
      <c r="K59" s="191"/>
      <c r="L59" s="191"/>
      <c r="M59" s="85"/>
      <c r="N59" s="81"/>
      <c r="O59" s="90"/>
    </row>
    <row r="60" spans="1:15" ht="13.5" thickBot="1" x14ac:dyDescent="0.25">
      <c r="B60" s="72"/>
      <c r="C60" s="72"/>
      <c r="D60" s="91"/>
      <c r="E60" s="91"/>
      <c r="F60" s="91"/>
      <c r="G60" s="188"/>
      <c r="H60" s="188"/>
      <c r="I60" s="188"/>
      <c r="J60" s="188"/>
      <c r="K60" s="188"/>
      <c r="L60" s="91"/>
      <c r="M60" s="91"/>
      <c r="N60" s="72"/>
      <c r="O60" s="90"/>
    </row>
    <row r="61" spans="1:15" ht="13.5" thickTop="1" x14ac:dyDescent="0.2">
      <c r="B61" s="77"/>
      <c r="C61" s="77"/>
      <c r="D61" s="77"/>
      <c r="E61" s="77"/>
      <c r="F61" s="77"/>
      <c r="G61" s="77"/>
      <c r="H61" s="77"/>
      <c r="I61" s="77"/>
      <c r="J61" s="77"/>
      <c r="K61" s="77"/>
      <c r="L61" s="77"/>
      <c r="M61" s="77"/>
      <c r="N61" s="77"/>
      <c r="O61" s="90"/>
    </row>
    <row r="62" spans="1:15" x14ac:dyDescent="0.2">
      <c r="B62" s="92"/>
      <c r="C62" s="92"/>
      <c r="D62" s="92"/>
      <c r="E62" s="92"/>
      <c r="F62" s="92"/>
      <c r="G62" s="92"/>
      <c r="H62" s="92"/>
      <c r="I62" s="92"/>
      <c r="J62" s="187"/>
      <c r="K62" s="187"/>
      <c r="L62" s="187"/>
      <c r="M62" s="187"/>
      <c r="N62" s="187"/>
      <c r="O62" s="90"/>
    </row>
    <row r="63" spans="1:15" x14ac:dyDescent="0.2">
      <c r="B63" s="93"/>
      <c r="C63" s="93"/>
      <c r="D63" s="93"/>
      <c r="E63" s="93"/>
      <c r="F63" s="93"/>
      <c r="G63" s="93"/>
      <c r="H63" s="93"/>
      <c r="I63" s="93"/>
      <c r="J63" s="188"/>
      <c r="K63" s="188"/>
      <c r="L63" s="188"/>
      <c r="M63" s="188"/>
      <c r="N63" s="188"/>
      <c r="O63" s="9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B52:F52"/>
    <mergeCell ref="B53:F53"/>
    <mergeCell ref="J62:N63"/>
    <mergeCell ref="E54:H54"/>
    <mergeCell ref="E57:K57"/>
    <mergeCell ref="G60:K60"/>
    <mergeCell ref="D58:L59"/>
    <mergeCell ref="G14:K15"/>
    <mergeCell ref="L9:M9"/>
    <mergeCell ref="E42:J42"/>
    <mergeCell ref="L21:M21"/>
    <mergeCell ref="L23:M23"/>
    <mergeCell ref="L24:M24"/>
    <mergeCell ref="L13:M13"/>
    <mergeCell ref="F23:G23"/>
    <mergeCell ref="D22:I22"/>
    <mergeCell ref="D21:I21"/>
    <mergeCell ref="D24:I24"/>
    <mergeCell ref="L46:L47"/>
    <mergeCell ref="M46:M47"/>
    <mergeCell ref="L17:M19"/>
    <mergeCell ref="E26:K26"/>
    <mergeCell ref="L22:M22"/>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M40 L27:L42 M32: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2">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58"/>
  </cols>
  <sheetData>
    <row r="1" spans="1:11" x14ac:dyDescent="0.2">
      <c r="A1" s="58" t="s">
        <v>28</v>
      </c>
    </row>
    <row r="2" spans="1:11" x14ac:dyDescent="0.2">
      <c r="A2" s="58" t="s">
        <v>35</v>
      </c>
      <c r="B2" s="58" t="s">
        <v>29</v>
      </c>
    </row>
    <row r="3" spans="1:11" x14ac:dyDescent="0.2">
      <c r="A3" s="58" t="s">
        <v>36</v>
      </c>
      <c r="B3" s="58" t="s">
        <v>43</v>
      </c>
    </row>
    <row r="4" spans="1:11" x14ac:dyDescent="0.2">
      <c r="A4" s="58" t="s">
        <v>30</v>
      </c>
    </row>
    <row r="5" spans="1:11" x14ac:dyDescent="0.2">
      <c r="A5" s="58" t="s">
        <v>37</v>
      </c>
      <c r="B5" s="58">
        <v>1</v>
      </c>
    </row>
    <row r="6" spans="1:11" x14ac:dyDescent="0.2">
      <c r="A6" s="58">
        <v>1</v>
      </c>
      <c r="B6" s="58" t="s">
        <v>38</v>
      </c>
      <c r="C6" s="58" t="s">
        <v>42</v>
      </c>
      <c r="D6" s="58" t="s">
        <v>39</v>
      </c>
      <c r="E6" s="58">
        <v>10</v>
      </c>
      <c r="G6" s="58">
        <v>-1383939328</v>
      </c>
    </row>
    <row r="7" spans="1:11" x14ac:dyDescent="0.2">
      <c r="A7" s="58" t="s">
        <v>40</v>
      </c>
      <c r="B7" s="58" t="s">
        <v>31</v>
      </c>
      <c r="C7" s="58" t="s">
        <v>18</v>
      </c>
      <c r="D7" s="58" t="s">
        <v>3</v>
      </c>
      <c r="E7" s="58" t="s">
        <v>5</v>
      </c>
      <c r="F7" s="58" t="s">
        <v>7</v>
      </c>
      <c r="G7" s="58" t="s">
        <v>8</v>
      </c>
      <c r="H7" s="58" t="s">
        <v>9</v>
      </c>
      <c r="I7" s="58" t="s">
        <v>20</v>
      </c>
      <c r="J7" s="58" t="s">
        <v>32</v>
      </c>
      <c r="K7" s="58" t="s">
        <v>19</v>
      </c>
    </row>
    <row r="8" spans="1:11" x14ac:dyDescent="0.2">
      <c r="A8" s="58" t="s">
        <v>41</v>
      </c>
      <c r="B8" s="59" t="e">
        <f>Facture!#REF!</f>
        <v>#REF!</v>
      </c>
      <c r="C8" s="60">
        <f>Facture!$L$21</f>
        <v>45728</v>
      </c>
      <c r="D8" s="61" t="str">
        <f>Facture!$D$21</f>
        <v xml:space="preserve">NOVA SERVICE </v>
      </c>
      <c r="E8" s="58" t="str">
        <f>Facture!$D$22</f>
        <v xml:space="preserve">Résidence narjes bloc B6 app2 2 étage l'aouina nord </v>
      </c>
      <c r="F8" s="58">
        <f>Facture!$D$23</f>
        <v>2045</v>
      </c>
      <c r="G8" s="61" t="str">
        <f>Facture!$F$23</f>
        <v xml:space="preserve">  tunis </v>
      </c>
      <c r="H8" s="61" t="str">
        <f>Facture!$I$23</f>
        <v>TN</v>
      </c>
      <c r="I8" s="58">
        <f>Facture!$D$24</f>
        <v>0</v>
      </c>
      <c r="J8" s="62">
        <f>Facture!$M$46</f>
        <v>1677.71</v>
      </c>
      <c r="K8" s="58" t="str">
        <f>Facture!$L$23</f>
        <v xml:space="preserve">MR NOOMEN </v>
      </c>
    </row>
    <row r="9" spans="1:11" x14ac:dyDescent="0.2">
      <c r="A9" s="58" t="s">
        <v>30</v>
      </c>
    </row>
    <row r="10" spans="1:11" x14ac:dyDescent="0.2">
      <c r="G10" s="58">
        <v>-1261995520</v>
      </c>
    </row>
    <row r="14" spans="1:11" x14ac:dyDescent="0.2">
      <c r="G14" s="5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2025-03-12T08:12:41Z</cp:lastPrinted>
  <dcterms:created xsi:type="dcterms:W3CDTF">1995-05-29T15:50:39Z</dcterms:created>
  <dcterms:modified xsi:type="dcterms:W3CDTF">2025-03-14T11:56:40Z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1677.71</vt:r8>
  </property>
</Properties>
</file>