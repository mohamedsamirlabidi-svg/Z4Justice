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Facture!$L$58</definedName>
    <definedName name="_Tax3">Facture!$L$60</definedName>
    <definedName name="_tax4">Facture!$L$60</definedName>
    <definedName name="_xlnm.Auto_Open21">'AutoOpen Stub Data'!$A$1</definedName>
    <definedName name="boxes">Facture!$D$58:$D$59</definedName>
    <definedName name="CC">'Personnaliser votre facture'!$G$22:$G$25</definedName>
    <definedName name="CCT">Facture!$G$60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Facture!$D$55</definedName>
    <definedName name="data6">Facture!$E$22</definedName>
    <definedName name="data60">Facture!$E$55</definedName>
    <definedName name="data61">Facture!$L$55</definedName>
    <definedName name="data62">Facture!$D$58</definedName>
    <definedName name="data63">Facture!$D$59</definedName>
    <definedName name="data64">Facture!$D$60</definedName>
    <definedName name="data65">Facture!$G$59</definedName>
    <definedName name="data66">Facture!$E$66</definedName>
    <definedName name="data67">Facture!$E$67</definedName>
    <definedName name="data68">Facture!$F$71</definedName>
    <definedName name="data69">Facture!$J$71</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Facture!$B$3:$N$76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Facture!$E$55:$J$55</definedName>
    <definedName name="qzqzqz26">Facture!$E$66:$H$66</definedName>
    <definedName name="qzqzqz27">Facture!#REF!</definedName>
    <definedName name="qzqzqz28">Facture!$E$67:$H$67</definedName>
    <definedName name="qzqzqz29">Facture!$J$71:$M$71</definedName>
    <definedName name="qzqzqz3">Facture!$D$22:$I$22</definedName>
    <definedName name="qzqzqz30">Facture!$F$71:$H$71</definedName>
    <definedName name="qzqzqz31">Facture!$F$71:$G$71</definedName>
    <definedName name="qzqzqz32">Facture!$J$67:$M$71</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Facture!$B$3:$N$76</definedName>
  </definedNames>
  <calcPr calcId="152511"/>
</workbook>
</file>

<file path=xl/calcChain.xml><?xml version="1.0" encoding="utf-8"?>
<calcChain xmlns="http://schemas.openxmlformats.org/spreadsheetml/2006/main">
  <c r="M27" i="3" l="1"/>
  <c r="M28" i="3"/>
  <c r="M56" i="3" s="1"/>
  <c r="M58" i="3" l="1"/>
  <c r="M59" i="3"/>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56"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<sst xmlns="http://schemas.openxmlformats.org/spreadsheetml/2006/main" count="116" uniqueCount="99">
  <si>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</si>
  <si>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</si>
  <si>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</si>
  <si>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</si>
  <si>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</si>
  <si>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</si>
  <si>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</si>
  <si>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</si>
  <si>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</si>
  <si>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</si>
  <si>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</si>
  <si>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</si>
  <si>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</si>
  <si>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</si>
  <si>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</si>
  <si>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</si>
  <si>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</si>
  <si>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</si>
  <si>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</si>
  <si>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</si>
  <si>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</si>
  <si>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</si>
  <si>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</si>
  <si>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</si>
  <si>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</si>
  <si>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</si>
  <si>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</si>
  <si>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</si>
  <si>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</si>
  <si>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</si>
  <si>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</si>
  <si>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</si>
  <si>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</si>
  <si>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</si>
  <si>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</si>
  <si>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</si>
  <si>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</si>
  <si>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</si>
  <si>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</si>
  <si>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</si>
  <si>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</si>
  <si>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</si>
  <si>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</si>
  <si>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</si>
  <si>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</si>
  <si>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</si>
  <si>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</si>
  <si>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</si>
  <si>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</si>
  <si>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</si>
  <si>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</si>
  <si>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</si>
  <si>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</si>
  <si>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</si>
  <si>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</si>
  <si>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</si>
  <si>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</si>
  <si>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</si>
  <si>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</si>
  <si>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</si>
  <si>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</si>
  <si>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</si>
  <si>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</si>
  <si>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</si>
  <si>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</si>
  <si>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808707S/A/M/000</t>
  </si>
  <si>
    <t>NETWORK EXPERTISE TUNISIA</t>
  </si>
  <si>
    <t>KIT COMPLET COMPOSE DE :</t>
  </si>
  <si>
    <t xml:space="preserve">* HARNIAS MIGUEL MIRANDA </t>
  </si>
  <si>
    <t xml:space="preserve"> CONFORME 3 NORMES EN 361 - EN358 - EN813</t>
  </si>
  <si>
    <t xml:space="preserve">* LONGE DOUBLE ELASTIQUE </t>
  </si>
  <si>
    <t xml:space="preserve"> CONFORME EN 355</t>
  </si>
  <si>
    <t xml:space="preserve">*LONGE DE MAINTIEN </t>
  </si>
  <si>
    <t>CONFORME EN 358</t>
  </si>
  <si>
    <t>Cet équipement est approuvé par Huawei</t>
  </si>
  <si>
    <t>ARRETE LA PRESENTE FACTURE A LA SOMME DE :</t>
  </si>
  <si>
    <r>
      <t xml:space="preserve">ID01: </t>
    </r>
    <r>
      <rPr>
        <sz val="8"/>
        <color rgb="FF0070C0"/>
        <rFont val="Arial"/>
        <family val="2"/>
      </rPr>
      <t>Harnais</t>
    </r>
    <r>
      <rPr>
        <sz val="8"/>
        <color rgb="FF000000"/>
        <rFont val="Arial"/>
        <family val="2"/>
      </rPr>
      <t xml:space="preserve"> :2024/037 </t>
    </r>
    <r>
      <rPr>
        <sz val="8"/>
        <color rgb="FF0070C0"/>
        <rFont val="Arial"/>
        <family val="2"/>
      </rPr>
      <t>LONGE DOUBLE</t>
    </r>
    <r>
      <rPr>
        <sz val="8"/>
        <color rgb="FF000000"/>
        <rFont val="Arial"/>
        <family val="2"/>
      </rPr>
      <t xml:space="preserve"> :2024/025 </t>
    </r>
    <r>
      <rPr>
        <sz val="8"/>
        <color rgb="FF0070C0"/>
        <rFont val="Arial"/>
        <family val="2"/>
      </rPr>
      <t>LONGE DE MAINTIEN</t>
    </r>
    <r>
      <rPr>
        <sz val="8"/>
        <color rgb="FF000000"/>
        <rFont val="Arial"/>
        <family val="2"/>
      </rPr>
      <t xml:space="preserve"> : 2024/035</t>
    </r>
  </si>
  <si>
    <r>
      <t xml:space="preserve">ID02: </t>
    </r>
    <r>
      <rPr>
        <sz val="8"/>
        <color rgb="FF0070C0"/>
        <rFont val="Arial"/>
        <family val="2"/>
      </rPr>
      <t>Harnais</t>
    </r>
    <r>
      <rPr>
        <sz val="8"/>
        <color rgb="FF000000"/>
        <rFont val="Arial"/>
        <family val="2"/>
      </rPr>
      <t xml:space="preserve"> :2024/035 </t>
    </r>
    <r>
      <rPr>
        <sz val="8"/>
        <color rgb="FF0070C0"/>
        <rFont val="Arial"/>
        <family val="2"/>
      </rPr>
      <t>LONGE DOUBLE</t>
    </r>
    <r>
      <rPr>
        <sz val="8"/>
        <color rgb="FF000000"/>
        <rFont val="Arial"/>
        <family val="2"/>
      </rPr>
      <t xml:space="preserve"> :2024037/ </t>
    </r>
    <r>
      <rPr>
        <sz val="8"/>
        <color rgb="FF0070C0"/>
        <rFont val="Arial"/>
        <family val="2"/>
      </rPr>
      <t>LONGE DE MAINTIEN</t>
    </r>
    <r>
      <rPr>
        <sz val="8"/>
        <color rgb="FF000000"/>
        <rFont val="Arial"/>
        <family val="2"/>
      </rPr>
      <t xml:space="preserve"> : 2024/023</t>
    </r>
  </si>
  <si>
    <r>
      <t xml:space="preserve">ID03: </t>
    </r>
    <r>
      <rPr>
        <sz val="8"/>
        <color rgb="FF0070C0"/>
        <rFont val="Arial"/>
        <family val="2"/>
      </rPr>
      <t>Harnais</t>
    </r>
    <r>
      <rPr>
        <sz val="8"/>
        <color rgb="FF000000"/>
        <rFont val="Arial"/>
        <family val="2"/>
      </rPr>
      <t xml:space="preserve"> :2024/036</t>
    </r>
    <r>
      <rPr>
        <sz val="8"/>
        <color rgb="FF0070C0"/>
        <rFont val="Arial"/>
        <family val="2"/>
      </rPr>
      <t>LONGE DOUBLE</t>
    </r>
    <r>
      <rPr>
        <sz val="8"/>
        <color rgb="FF000000"/>
        <rFont val="Arial"/>
        <family val="2"/>
      </rPr>
      <t xml:space="preserve"> :2024/001 </t>
    </r>
    <r>
      <rPr>
        <sz val="8"/>
        <color rgb="FF0070C0"/>
        <rFont val="Arial"/>
        <family val="2"/>
      </rPr>
      <t>LONGE DE MAINTIEN</t>
    </r>
    <r>
      <rPr>
        <sz val="8"/>
        <color rgb="FF000000"/>
        <rFont val="Arial"/>
        <family val="2"/>
      </rPr>
      <t xml:space="preserve"> : 2024/039</t>
    </r>
  </si>
  <si>
    <r>
      <t xml:space="preserve">ID04: </t>
    </r>
    <r>
      <rPr>
        <sz val="8"/>
        <color rgb="FF0070C0"/>
        <rFont val="Arial"/>
        <family val="2"/>
      </rPr>
      <t>Harnais</t>
    </r>
    <r>
      <rPr>
        <sz val="8"/>
        <color rgb="FF000000"/>
        <rFont val="Arial"/>
        <family val="2"/>
      </rPr>
      <t xml:space="preserve"> :2024/038 </t>
    </r>
    <r>
      <rPr>
        <sz val="8"/>
        <color rgb="FF0070C0"/>
        <rFont val="Arial"/>
        <family val="2"/>
      </rPr>
      <t>LONGE DOUBLE</t>
    </r>
    <r>
      <rPr>
        <sz val="8"/>
        <color rgb="FF000000"/>
        <rFont val="Arial"/>
        <family val="2"/>
      </rPr>
      <t xml:space="preserve"> :2024/039 </t>
    </r>
    <r>
      <rPr>
        <sz val="8"/>
        <color rgb="FF0070C0"/>
        <rFont val="Arial"/>
        <family val="2"/>
      </rPr>
      <t>LONGE DE MAINTIEN</t>
    </r>
    <r>
      <rPr>
        <sz val="8"/>
        <color rgb="FF000000"/>
        <rFont val="Arial"/>
        <family val="2"/>
      </rPr>
      <t xml:space="preserve"> : 2024/041</t>
    </r>
  </si>
  <si>
    <r>
      <t xml:space="preserve">ID06: </t>
    </r>
    <r>
      <rPr>
        <sz val="8"/>
        <color rgb="FF0070C0"/>
        <rFont val="Arial"/>
        <family val="2"/>
      </rPr>
      <t>Harnais</t>
    </r>
    <r>
      <rPr>
        <sz val="8"/>
        <color rgb="FF000000"/>
        <rFont val="Arial"/>
        <family val="2"/>
      </rPr>
      <t xml:space="preserve"> :2024/033 </t>
    </r>
    <r>
      <rPr>
        <sz val="8"/>
        <color rgb="FF0070C0"/>
        <rFont val="Arial"/>
        <family val="2"/>
      </rPr>
      <t>LONGE DOUBLE</t>
    </r>
    <r>
      <rPr>
        <sz val="8"/>
        <color rgb="FF000000"/>
        <rFont val="Arial"/>
        <family val="2"/>
      </rPr>
      <t xml:space="preserve"> :2024/045 </t>
    </r>
    <r>
      <rPr>
        <sz val="8"/>
        <color rgb="FF0070C0"/>
        <rFont val="Arial"/>
        <family val="2"/>
      </rPr>
      <t>LONGE DE MAINTIEN</t>
    </r>
    <r>
      <rPr>
        <sz val="8"/>
        <color rgb="FF000000"/>
        <rFont val="Arial"/>
        <family val="2"/>
      </rPr>
      <t xml:space="preserve"> : 2024/046</t>
    </r>
  </si>
  <si>
    <r>
      <t xml:space="preserve">ID07: </t>
    </r>
    <r>
      <rPr>
        <sz val="8"/>
        <color rgb="FF0070C0"/>
        <rFont val="Arial"/>
        <family val="2"/>
      </rPr>
      <t>Harnais</t>
    </r>
    <r>
      <rPr>
        <sz val="8"/>
        <color rgb="FF000000"/>
        <rFont val="Arial"/>
        <family val="2"/>
      </rPr>
      <t xml:space="preserve"> :2024/001 </t>
    </r>
    <r>
      <rPr>
        <sz val="8"/>
        <color rgb="FF0070C0"/>
        <rFont val="Arial"/>
        <family val="2"/>
      </rPr>
      <t>LONGE DOUBLE</t>
    </r>
    <r>
      <rPr>
        <sz val="8"/>
        <color rgb="FF000000"/>
        <rFont val="Arial"/>
        <family val="2"/>
      </rPr>
      <t xml:space="preserve"> :2024/038 </t>
    </r>
    <r>
      <rPr>
        <sz val="8"/>
        <color rgb="FF0070C0"/>
        <rFont val="Arial"/>
        <family val="2"/>
      </rPr>
      <t>LONGE DE MAINTIEN</t>
    </r>
    <r>
      <rPr>
        <sz val="8"/>
        <color rgb="FF000000"/>
        <rFont val="Arial"/>
        <family val="2"/>
      </rPr>
      <t xml:space="preserve"> : 2024/040</t>
    </r>
  </si>
  <si>
    <r>
      <t xml:space="preserve">ID08: </t>
    </r>
    <r>
      <rPr>
        <sz val="8"/>
        <color rgb="FF0070C0"/>
        <rFont val="Arial"/>
        <family val="2"/>
      </rPr>
      <t>Harnais</t>
    </r>
    <r>
      <rPr>
        <sz val="8"/>
        <color rgb="FF000000"/>
        <rFont val="Arial"/>
        <family val="2"/>
      </rPr>
      <t xml:space="preserve"> :2024/034 </t>
    </r>
    <r>
      <rPr>
        <sz val="8"/>
        <color rgb="FF0070C0"/>
        <rFont val="Arial"/>
        <family val="2"/>
      </rPr>
      <t>LONGE DOUBLE</t>
    </r>
    <r>
      <rPr>
        <sz val="8"/>
        <color rgb="FF000000"/>
        <rFont val="Arial"/>
        <family val="2"/>
      </rPr>
      <t xml:space="preserve"> :2024/041 </t>
    </r>
    <r>
      <rPr>
        <sz val="8"/>
        <color rgb="FF0070C0"/>
        <rFont val="Arial"/>
        <family val="2"/>
      </rPr>
      <t>LONGE DE MAINTIEN</t>
    </r>
    <r>
      <rPr>
        <sz val="8"/>
        <color rgb="FF000000"/>
        <rFont val="Arial"/>
        <family val="2"/>
      </rPr>
      <t xml:space="preserve"> : 2024/044</t>
    </r>
  </si>
  <si>
    <r>
      <t xml:space="preserve">ID09: </t>
    </r>
    <r>
      <rPr>
        <sz val="8"/>
        <color rgb="FF0070C0"/>
        <rFont val="Arial"/>
        <family val="2"/>
      </rPr>
      <t>Harnais</t>
    </r>
    <r>
      <rPr>
        <sz val="8"/>
        <color rgb="FF000000"/>
        <rFont val="Arial"/>
        <family val="2"/>
      </rPr>
      <t xml:space="preserve"> :2024/018 </t>
    </r>
    <r>
      <rPr>
        <sz val="8"/>
        <color rgb="FF0070C0"/>
        <rFont val="Arial"/>
        <family val="2"/>
      </rPr>
      <t>LONGE DOUBLE</t>
    </r>
    <r>
      <rPr>
        <sz val="8"/>
        <color rgb="FF000000"/>
        <rFont val="Arial"/>
        <family val="2"/>
      </rPr>
      <t xml:space="preserve"> :2024/050 </t>
    </r>
    <r>
      <rPr>
        <sz val="8"/>
        <color rgb="FF0070C0"/>
        <rFont val="Arial"/>
        <family val="2"/>
      </rPr>
      <t>LONGE DE MAINTIEN</t>
    </r>
    <r>
      <rPr>
        <sz val="8"/>
        <color rgb="FF000000"/>
        <rFont val="Arial"/>
        <family val="2"/>
      </rPr>
      <t xml:space="preserve"> : 2024/037</t>
    </r>
  </si>
  <si>
    <r>
      <t xml:space="preserve">ID10: </t>
    </r>
    <r>
      <rPr>
        <sz val="8"/>
        <color rgb="FF0070C0"/>
        <rFont val="Arial"/>
        <family val="2"/>
      </rPr>
      <t>Harnais</t>
    </r>
    <r>
      <rPr>
        <sz val="8"/>
        <color rgb="FF000000"/>
        <rFont val="Arial"/>
        <family val="2"/>
      </rPr>
      <t xml:space="preserve"> :2024/014 </t>
    </r>
    <r>
      <rPr>
        <sz val="8"/>
        <color rgb="FF0070C0"/>
        <rFont val="Arial"/>
        <family val="2"/>
      </rPr>
      <t>LONGE DOUBLE</t>
    </r>
    <r>
      <rPr>
        <sz val="8"/>
        <color rgb="FF000000"/>
        <rFont val="Arial"/>
        <family val="2"/>
      </rPr>
      <t xml:space="preserve"> :2024/003 </t>
    </r>
    <r>
      <rPr>
        <sz val="8"/>
        <color rgb="FF0070C0"/>
        <rFont val="Arial"/>
        <family val="2"/>
      </rPr>
      <t>LONGE DE MAINTIEN</t>
    </r>
    <r>
      <rPr>
        <sz val="8"/>
        <color rgb="FF000000"/>
        <rFont val="Arial"/>
        <family val="2"/>
      </rPr>
      <t xml:space="preserve"> : 2024/028</t>
    </r>
  </si>
  <si>
    <r>
      <t xml:space="preserve">ID11: </t>
    </r>
    <r>
      <rPr>
        <sz val="8"/>
        <color rgb="FF0070C0"/>
        <rFont val="Arial"/>
        <family val="2"/>
      </rPr>
      <t>Harnais</t>
    </r>
    <r>
      <rPr>
        <sz val="8"/>
        <color rgb="FF000000"/>
        <rFont val="Arial"/>
        <family val="2"/>
      </rPr>
      <t xml:space="preserve"> :2024/ 039 </t>
    </r>
    <r>
      <rPr>
        <sz val="8"/>
        <color rgb="FF0070C0"/>
        <rFont val="Arial"/>
        <family val="2"/>
      </rPr>
      <t>LONGE DOUBLE</t>
    </r>
    <r>
      <rPr>
        <sz val="8"/>
        <color rgb="FF000000"/>
        <rFont val="Arial"/>
        <family val="2"/>
      </rPr>
      <t xml:space="preserve"> :2024/ 018</t>
    </r>
    <r>
      <rPr>
        <sz val="8"/>
        <color rgb="FF0070C0"/>
        <rFont val="Arial"/>
        <family val="2"/>
      </rPr>
      <t>LONGE DE MAINTIEN</t>
    </r>
    <r>
      <rPr>
        <sz val="8"/>
        <color rgb="FF000000"/>
        <rFont val="Arial"/>
        <family val="2"/>
      </rPr>
      <t xml:space="preserve"> : 2024/029</t>
    </r>
  </si>
  <si>
    <r>
      <t xml:space="preserve">ID12: </t>
    </r>
    <r>
      <rPr>
        <sz val="8"/>
        <color rgb="FF0070C0"/>
        <rFont val="Arial"/>
        <family val="2"/>
      </rPr>
      <t>Harnais</t>
    </r>
    <r>
      <rPr>
        <sz val="8"/>
        <color rgb="FF000000"/>
        <rFont val="Arial"/>
        <family val="2"/>
      </rPr>
      <t xml:space="preserve"> :2024/020 </t>
    </r>
    <r>
      <rPr>
        <sz val="8"/>
        <color rgb="FF0070C0"/>
        <rFont val="Arial"/>
        <family val="2"/>
      </rPr>
      <t>LONGE DOUBLE</t>
    </r>
    <r>
      <rPr>
        <sz val="8"/>
        <color rgb="FF000000"/>
        <rFont val="Arial"/>
        <family val="2"/>
      </rPr>
      <t xml:space="preserve"> :2024/026 </t>
    </r>
    <r>
      <rPr>
        <sz val="8"/>
        <color rgb="FF0070C0"/>
        <rFont val="Arial"/>
        <family val="2"/>
      </rPr>
      <t>LONGE DE MAINTIEN</t>
    </r>
    <r>
      <rPr>
        <sz val="8"/>
        <color rgb="FF000000"/>
        <rFont val="Arial"/>
        <family val="2"/>
      </rPr>
      <t xml:space="preserve"> : 2024/005</t>
    </r>
  </si>
  <si>
    <r>
      <t xml:space="preserve">ID13: </t>
    </r>
    <r>
      <rPr>
        <sz val="8"/>
        <color rgb="FF0070C0"/>
        <rFont val="Arial"/>
        <family val="2"/>
      </rPr>
      <t>Harnais</t>
    </r>
    <r>
      <rPr>
        <sz val="8"/>
        <color rgb="FF000000"/>
        <rFont val="Arial"/>
        <family val="2"/>
      </rPr>
      <t xml:space="preserve"> :2024/011 </t>
    </r>
    <r>
      <rPr>
        <sz val="8"/>
        <color rgb="FF0070C0"/>
        <rFont val="Arial"/>
        <family val="2"/>
      </rPr>
      <t>LONGE DOUBLE</t>
    </r>
    <r>
      <rPr>
        <sz val="8"/>
        <color rgb="FF000000"/>
        <rFont val="Arial"/>
        <family val="2"/>
      </rPr>
      <t xml:space="preserve"> :2024/002 </t>
    </r>
    <r>
      <rPr>
        <sz val="8"/>
        <color rgb="FF0070C0"/>
        <rFont val="Arial"/>
        <family val="2"/>
      </rPr>
      <t>LONGE DE MAINTIEN</t>
    </r>
    <r>
      <rPr>
        <sz val="8"/>
        <color rgb="FF000000"/>
        <rFont val="Arial"/>
        <family val="2"/>
      </rPr>
      <t xml:space="preserve"> : 2024/007</t>
    </r>
  </si>
  <si>
    <r>
      <t xml:space="preserve">ID14: </t>
    </r>
    <r>
      <rPr>
        <sz val="8"/>
        <color rgb="FF0070C0"/>
        <rFont val="Arial"/>
        <family val="2"/>
      </rPr>
      <t>Harnais</t>
    </r>
    <r>
      <rPr>
        <sz val="8"/>
        <color rgb="FF000000"/>
        <rFont val="Arial"/>
        <family val="2"/>
      </rPr>
      <t xml:space="preserve"> :2024/ 010</t>
    </r>
    <r>
      <rPr>
        <sz val="8"/>
        <color rgb="FF0070C0"/>
        <rFont val="Arial"/>
        <family val="2"/>
      </rPr>
      <t>LONGE DOUBLE</t>
    </r>
    <r>
      <rPr>
        <sz val="8"/>
        <color rgb="FF000000"/>
        <rFont val="Arial"/>
        <family val="2"/>
      </rPr>
      <t xml:space="preserve"> :2024/ 017</t>
    </r>
    <r>
      <rPr>
        <sz val="8"/>
        <color rgb="FF0070C0"/>
        <rFont val="Arial"/>
        <family val="2"/>
      </rPr>
      <t>LONGE DE MAINTIEN</t>
    </r>
    <r>
      <rPr>
        <sz val="8"/>
        <color rgb="FF000000"/>
        <rFont val="Arial"/>
        <family val="2"/>
      </rPr>
      <t xml:space="preserve"> : 2024/026</t>
    </r>
  </si>
  <si>
    <r>
      <t xml:space="preserve">ID15: </t>
    </r>
    <r>
      <rPr>
        <sz val="8"/>
        <color rgb="FF0070C0"/>
        <rFont val="Arial"/>
        <family val="2"/>
      </rPr>
      <t>Harnais</t>
    </r>
    <r>
      <rPr>
        <sz val="8"/>
        <color rgb="FF000000"/>
        <rFont val="Arial"/>
        <family val="2"/>
      </rPr>
      <t xml:space="preserve"> :2024/099 </t>
    </r>
    <r>
      <rPr>
        <sz val="8"/>
        <color rgb="FF0070C0"/>
        <rFont val="Arial"/>
        <family val="2"/>
      </rPr>
      <t>LONGE DOUBLE</t>
    </r>
    <r>
      <rPr>
        <sz val="8"/>
        <color rgb="FF000000"/>
        <rFont val="Arial"/>
        <family val="2"/>
      </rPr>
      <t xml:space="preserve"> :2024/012 </t>
    </r>
    <r>
      <rPr>
        <sz val="8"/>
        <color rgb="FF0070C0"/>
        <rFont val="Arial"/>
        <family val="2"/>
      </rPr>
      <t>LONGE DE MAINTIEN</t>
    </r>
    <r>
      <rPr>
        <sz val="8"/>
        <color rgb="FF000000"/>
        <rFont val="Arial"/>
        <family val="2"/>
      </rPr>
      <t xml:space="preserve"> : 2024/025</t>
    </r>
  </si>
  <si>
    <r>
      <t xml:space="preserve">ID16: </t>
    </r>
    <r>
      <rPr>
        <sz val="8"/>
        <color rgb="FF0070C0"/>
        <rFont val="Arial"/>
        <family val="2"/>
      </rPr>
      <t>Harnais</t>
    </r>
    <r>
      <rPr>
        <sz val="8"/>
        <color rgb="FF000000"/>
        <rFont val="Arial"/>
        <family val="2"/>
      </rPr>
      <t xml:space="preserve"> :2024/ 017</t>
    </r>
    <r>
      <rPr>
        <sz val="8"/>
        <color rgb="FF0070C0"/>
        <rFont val="Arial"/>
        <family val="2"/>
      </rPr>
      <t>LONGE DOUBLE</t>
    </r>
    <r>
      <rPr>
        <sz val="8"/>
        <color rgb="FF000000"/>
        <rFont val="Arial"/>
        <family val="2"/>
      </rPr>
      <t xml:space="preserve"> :2024/049 </t>
    </r>
    <r>
      <rPr>
        <sz val="8"/>
        <color rgb="FF0070C0"/>
        <rFont val="Arial"/>
        <family val="2"/>
      </rPr>
      <t>LONGE DE MAINTIEN</t>
    </r>
    <r>
      <rPr>
        <sz val="8"/>
        <color rgb="FF000000"/>
        <rFont val="Arial"/>
        <family val="2"/>
      </rPr>
      <t xml:space="preserve"> : 2024/008</t>
    </r>
  </si>
  <si>
    <r>
      <t xml:space="preserve">ID18: </t>
    </r>
    <r>
      <rPr>
        <sz val="8"/>
        <color rgb="FF0070C0"/>
        <rFont val="Arial"/>
        <family val="2"/>
      </rPr>
      <t>Harnais</t>
    </r>
    <r>
      <rPr>
        <sz val="8"/>
        <color rgb="FF000000"/>
        <rFont val="Arial"/>
        <family val="2"/>
      </rPr>
      <t xml:space="preserve"> :2024/062 </t>
    </r>
    <r>
      <rPr>
        <sz val="8"/>
        <color rgb="FF0070C0"/>
        <rFont val="Arial"/>
        <family val="2"/>
      </rPr>
      <t>LONGE DOUBLE</t>
    </r>
    <r>
      <rPr>
        <sz val="8"/>
        <color rgb="FF000000"/>
        <rFont val="Arial"/>
        <family val="2"/>
      </rPr>
      <t xml:space="preserve"> :2024/032 </t>
    </r>
    <r>
      <rPr>
        <sz val="8"/>
        <color rgb="FF0070C0"/>
        <rFont val="Arial"/>
        <family val="2"/>
      </rPr>
      <t>LONGE DE MAINTIEN</t>
    </r>
    <r>
      <rPr>
        <sz val="8"/>
        <color rgb="FF000000"/>
        <rFont val="Arial"/>
        <family val="2"/>
      </rPr>
      <t xml:space="preserve"> : 2024/048</t>
    </r>
  </si>
  <si>
    <r>
      <t xml:space="preserve">ID19: </t>
    </r>
    <r>
      <rPr>
        <sz val="8"/>
        <color rgb="FF0070C0"/>
        <rFont val="Arial"/>
        <family val="2"/>
      </rPr>
      <t>Harnais</t>
    </r>
    <r>
      <rPr>
        <sz val="8"/>
        <color rgb="FF000000"/>
        <rFont val="Arial"/>
        <family val="2"/>
      </rPr>
      <t xml:space="preserve"> :2024/048 </t>
    </r>
    <r>
      <rPr>
        <sz val="8"/>
        <color rgb="FF0070C0"/>
        <rFont val="Arial"/>
        <family val="2"/>
      </rPr>
      <t>LONGE DOUBLE</t>
    </r>
    <r>
      <rPr>
        <sz val="8"/>
        <color rgb="FF000000"/>
        <rFont val="Arial"/>
        <family val="2"/>
      </rPr>
      <t xml:space="preserve"> :2024/009 </t>
    </r>
    <r>
      <rPr>
        <sz val="8"/>
        <color rgb="FF0070C0"/>
        <rFont val="Arial"/>
        <family val="2"/>
      </rPr>
      <t>LONGE DE MAINTIEN</t>
    </r>
    <r>
      <rPr>
        <sz val="8"/>
        <color rgb="FF000000"/>
        <rFont val="Arial"/>
        <family val="2"/>
      </rPr>
      <t xml:space="preserve"> : 2024/031</t>
    </r>
  </si>
  <si>
    <t xml:space="preserve">          Dix-huit mille quatre-vingt-neuf dinars </t>
  </si>
  <si>
    <t>BC 2024/230--BC2024/1495</t>
  </si>
  <si>
    <t>STB THAMEUR</t>
  </si>
  <si>
    <t>Facture N°2025-004</t>
  </si>
  <si>
    <r>
      <t xml:space="preserve">ID17: </t>
    </r>
    <r>
      <rPr>
        <sz val="8"/>
        <color rgb="FF0070C0"/>
        <rFont val="Arial"/>
        <family val="2"/>
      </rPr>
      <t>Harnais</t>
    </r>
    <r>
      <rPr>
        <sz val="8"/>
        <color rgb="FF000000"/>
        <rFont val="Arial"/>
        <family val="2"/>
      </rPr>
      <t xml:space="preserve"> :2024/044 </t>
    </r>
    <r>
      <rPr>
        <sz val="8"/>
        <color rgb="FF0070C0"/>
        <rFont val="Arial"/>
        <family val="2"/>
      </rPr>
      <t>LONGE DOUBLE</t>
    </r>
    <r>
      <rPr>
        <sz val="8"/>
        <color rgb="FF000000"/>
        <rFont val="Arial"/>
        <family val="2"/>
      </rPr>
      <t xml:space="preserve"> :2024/029 </t>
    </r>
    <r>
      <rPr>
        <sz val="8"/>
        <color rgb="FF0070C0"/>
        <rFont val="Arial"/>
        <family val="2"/>
      </rPr>
      <t>LONGE DE MAINTIEN</t>
    </r>
    <r>
      <rPr>
        <sz val="8"/>
        <color rgb="FF000000"/>
        <rFont val="Arial"/>
        <family val="2"/>
      </rPr>
      <t xml:space="preserve"> : 2024/003</t>
    </r>
  </si>
  <si>
    <r>
      <t xml:space="preserve">ID05: </t>
    </r>
    <r>
      <rPr>
        <sz val="8"/>
        <color rgb="FF0070C0"/>
        <rFont val="Arial"/>
        <family val="2"/>
      </rPr>
      <t>Harnais</t>
    </r>
    <r>
      <rPr>
        <sz val="8"/>
        <color rgb="FF000000"/>
        <rFont val="Arial"/>
        <family val="2"/>
      </rPr>
      <t xml:space="preserve"> :2024/049 </t>
    </r>
    <r>
      <rPr>
        <sz val="8"/>
        <color rgb="FF0070C0"/>
        <rFont val="Arial"/>
        <family val="2"/>
      </rPr>
      <t>LONGE DOUBLE</t>
    </r>
    <r>
      <rPr>
        <sz val="8"/>
        <color rgb="FF000000"/>
        <rFont val="Arial"/>
        <family val="2"/>
      </rPr>
      <t xml:space="preserve"> :2024/047 </t>
    </r>
    <r>
      <rPr>
        <sz val="8"/>
        <color rgb="FF0070C0"/>
        <rFont val="Arial"/>
        <family val="2"/>
      </rPr>
      <t>LONGE DE MAINTIEN</t>
    </r>
    <r>
      <rPr>
        <sz val="8"/>
        <color rgb="FF000000"/>
        <rFont val="Arial"/>
        <family val="2"/>
      </rPr>
      <t xml:space="preserve"> : 2024/036</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</si>
</sst>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1"/>
      <name val="Arial"/>
      <family val="2"/>
    </font>
    <font>
      <sz val="12"/>
      <color rgb="FF000000"/>
      <name val="Arial"/>
      <family val="2"/>
    </font>
    <font>
      <b/>
      <u/>
      <sz val="11"/>
      <color rgb="FFC00000"/>
      <name val="Arial"/>
      <family val="2"/>
    </font>
    <font>
      <u/>
      <sz val="11"/>
      <color theme="10"/>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
      <sz val="8"/>
      <color rgb="FF000000"/>
      <name val="Arial"/>
      <family val="2"/>
    </font>
    <font>
      <sz val="8"/>
      <color rgb="FF0070C0"/>
      <name val="Arial"/>
      <family val="2"/>
    </font>
    <font>
      <sz val="8"/>
      <color rgb="FF000000"/>
      <name val="Tahoma"/>
      <family val="2"/>
    </font>
    <font>
      <b/>
      <sz val="9"/>
      <color rgb="FFFF0000"/>
      <name val="Arial"/>
      <family val="2"/>
    </font>
    <font>
      <b/>
      <sz val="9"/>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rgb="FFFFFF00"/>
        <bgColor rgb="FFFFFFFF"/>
      </patternFill>
    </fill>
  </fills>
  <borders count="6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rgb="FF000000"/>
      </left>
      <right/>
      <top/>
      <bottom/>
      <diagonal/>
    </border>
    <border>
      <left style="thin">
        <color indexed="64"/>
      </left>
      <right/>
      <top/>
      <bottom/>
      <diagonal/>
    </border>
    <border>
      <left style="thin">
        <color rgb="FF000000"/>
      </left>
      <right style="thin">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2" xfId="0" applyFont="1" applyFill="1" applyBorder="1" applyAlignment="1">
      <alignment horizontal="left"/>
    </xf>
    <xf numFmtId="0" fontId="22" fillId="3" borderId="33" xfId="0" applyFont="1" applyFill="1" applyBorder="1" applyAlignment="1">
      <alignment horizontal="left"/>
    </xf>
    <xf numFmtId="168" fontId="16" fillId="0" borderId="27" xfId="0" applyNumberFormat="1" applyFont="1" applyFill="1" applyBorder="1"/>
    <xf numFmtId="168" fontId="21"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2" fillId="3" borderId="39" xfId="0" applyFont="1" applyFill="1" applyBorder="1" applyAlignment="1">
      <alignment horizontal="right"/>
    </xf>
    <xf numFmtId="0" fontId="2" fillId="3" borderId="0" xfId="0" applyFont="1" applyFill="1" applyBorder="1" applyAlignment="1">
      <alignment horizontal="left"/>
    </xf>
    <xf numFmtId="0" fontId="22" fillId="3" borderId="32" xfId="0" applyFont="1" applyFill="1" applyBorder="1" applyAlignment="1">
      <alignment horizontal="center"/>
    </xf>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2" fillId="3" borderId="32" xfId="0" applyFont="1" applyFill="1" applyBorder="1" applyAlignment="1">
      <alignment horizontal="center"/>
    </xf>
    <xf numFmtId="0" fontId="30" fillId="3" borderId="0" xfId="0" applyFont="1" applyFill="1" applyBorder="1" applyAlignment="1">
      <alignment horizontal="left"/>
    </xf>
    <xf numFmtId="0" fontId="31" fillId="7" borderId="56" xfId="0" applyFont="1" applyFill="1" applyBorder="1" applyAlignment="1">
      <alignment horizontal="center"/>
    </xf>
    <xf numFmtId="49" fontId="32" fillId="0" borderId="32" xfId="0" applyNumberFormat="1" applyFont="1" applyFill="1" applyBorder="1" applyAlignment="1"/>
    <xf numFmtId="49" fontId="33" fillId="0" borderId="0" xfId="5" applyNumberFormat="1" applyFont="1" applyFill="1" applyBorder="1" applyAlignment="1" applyProtection="1"/>
    <xf numFmtId="0" fontId="30" fillId="3" borderId="0" xfId="0" applyFont="1" applyFill="1" applyBorder="1" applyAlignment="1"/>
    <xf numFmtId="0" fontId="7" fillId="3" borderId="0" xfId="0" applyFont="1" applyFill="1" applyBorder="1" applyAlignment="1"/>
    <xf numFmtId="0" fontId="0" fillId="7" borderId="0" xfId="0" applyFill="1"/>
    <xf numFmtId="169" fontId="31" fillId="0" borderId="56" xfId="0" applyNumberFormat="1" applyFont="1" applyFill="1" applyBorder="1"/>
    <xf numFmtId="169" fontId="34" fillId="0" borderId="56" xfId="0" applyNumberFormat="1" applyFont="1" applyFill="1" applyBorder="1"/>
    <xf numFmtId="0" fontId="34" fillId="7" borderId="0" xfId="0" applyFont="1" applyFill="1"/>
    <xf numFmtId="0" fontId="31" fillId="7" borderId="57" xfId="0" applyFont="1" applyFill="1" applyBorder="1" applyAlignment="1">
      <alignment horizontal="center"/>
    </xf>
    <xf numFmtId="0" fontId="35" fillId="7" borderId="58" xfId="0" applyFont="1" applyFill="1" applyBorder="1"/>
    <xf numFmtId="0" fontId="16" fillId="7" borderId="0" xfId="0" applyFont="1" applyFill="1" applyBorder="1"/>
    <xf numFmtId="0" fontId="31" fillId="7" borderId="0" xfId="0" applyFont="1" applyFill="1" applyBorder="1" applyAlignment="1"/>
    <xf numFmtId="0" fontId="7" fillId="7" borderId="0" xfId="0" applyFont="1" applyFill="1" applyBorder="1"/>
    <xf numFmtId="0" fontId="34" fillId="7" borderId="0" xfId="0" applyFont="1" applyFill="1" applyBorder="1" applyAlignment="1"/>
    <xf numFmtId="0" fontId="0" fillId="7" borderId="0" xfId="0" applyFill="1" applyBorder="1"/>
    <xf numFmtId="49" fontId="16" fillId="0" borderId="58" xfId="0" applyNumberFormat="1" applyFont="1" applyFill="1" applyBorder="1" applyAlignment="1">
      <alignment vertical="top"/>
    </xf>
    <xf numFmtId="49" fontId="36" fillId="0" borderId="0" xfId="5" applyNumberFormat="1" applyFont="1" applyFill="1" applyBorder="1" applyAlignment="1" applyProtection="1"/>
    <xf numFmtId="0" fontId="17" fillId="3" borderId="0" xfId="0" applyFont="1" applyFill="1" applyBorder="1" applyAlignment="1"/>
    <xf numFmtId="49" fontId="17" fillId="0" borderId="58" xfId="0" applyNumberFormat="1" applyFont="1" applyFill="1" applyBorder="1" applyAlignment="1"/>
    <xf numFmtId="0" fontId="35" fillId="7" borderId="0" xfId="0" applyFont="1" applyFill="1" applyBorder="1"/>
    <xf numFmtId="0" fontId="35" fillId="7" borderId="0" xfId="0" applyFont="1" applyFill="1" applyBorder="1" applyAlignment="1"/>
    <xf numFmtId="0" fontId="37" fillId="7" borderId="0" xfId="0" applyFont="1" applyFill="1" applyBorder="1"/>
    <xf numFmtId="0" fontId="37" fillId="7" borderId="0" xfId="0" applyFont="1" applyFill="1" applyBorder="1" applyAlignment="1"/>
    <xf numFmtId="49" fontId="38" fillId="0" borderId="58" xfId="5" applyNumberFormat="1" applyFont="1" applyFill="1" applyBorder="1" applyAlignment="1" applyProtection="1"/>
    <xf numFmtId="0" fontId="31" fillId="7" borderId="59" xfId="0" applyFont="1" applyFill="1" applyBorder="1" applyAlignment="1">
      <alignment horizontal="center"/>
    </xf>
    <xf numFmtId="49" fontId="16" fillId="0" borderId="0" xfId="0" applyNumberFormat="1" applyFont="1" applyFill="1" applyBorder="1" applyAlignment="1"/>
    <xf numFmtId="0" fontId="39" fillId="7" borderId="58" xfId="0" applyFont="1" applyFill="1" applyBorder="1"/>
    <xf numFmtId="0" fontId="35" fillId="8" borderId="0" xfId="0" applyFont="1" applyFill="1" applyBorder="1"/>
    <xf numFmtId="0" fontId="37" fillId="8" borderId="0" xfId="0" applyFont="1" applyFill="1" applyBorder="1"/>
    <xf numFmtId="0" fontId="0" fillId="8" borderId="0" xfId="0" applyFill="1" applyBorder="1"/>
    <xf numFmtId="49" fontId="32" fillId="0" borderId="0" xfId="0" applyNumberFormat="1" applyFont="1" applyFill="1" applyBorder="1" applyAlignment="1"/>
    <xf numFmtId="0" fontId="37" fillId="7" borderId="0" xfId="0" applyFont="1" applyFill="1"/>
    <xf numFmtId="0" fontId="31" fillId="7" borderId="0" xfId="0" applyFont="1" applyFill="1"/>
    <xf numFmtId="0" fontId="35" fillId="7" borderId="0" xfId="0" applyFont="1" applyFill="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1" fillId="0" borderId="53" xfId="0" applyNumberFormat="1" applyFont="1" applyFill="1" applyBorder="1" applyAlignment="1">
      <alignment horizontal="center" vertical="center"/>
    </xf>
    <xf numFmtId="168" fontId="21"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3" borderId="39" xfId="0" applyFont="1" applyFill="1" applyBorder="1" applyAlignment="1">
      <alignment horizontal="center" vertical="center"/>
    </xf>
    <xf numFmtId="0" fontId="27"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42" fillId="3" borderId="33" xfId="0" applyNumberFormat="1" applyFont="1" applyFill="1" applyBorder="1" applyAlignment="1">
      <alignment horizontal="left" vertical="top"/>
    </xf>
    <xf numFmtId="49" fontId="42" fillId="3" borderId="36" xfId="0" applyNumberFormat="1" applyFont="1" applyFill="1" applyBorder="1" applyAlignment="1">
      <alignment horizontal="left" vertical="top"/>
    </xf>
    <xf numFmtId="14" fontId="28" fillId="3" borderId="37" xfId="0" applyNumberFormat="1" applyFont="1" applyFill="1" applyBorder="1" applyAlignment="1">
      <alignment horizontal="center"/>
    </xf>
    <xf numFmtId="14" fontId="28"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2" fillId="3" borderId="38" xfId="0" applyFont="1" applyFill="1" applyBorder="1" applyAlignment="1"/>
    <xf numFmtId="0" fontId="22"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6" fillId="3" borderId="43" xfId="0" applyNumberFormat="1" applyFont="1" applyFill="1" applyBorder="1" applyAlignment="1"/>
    <xf numFmtId="49" fontId="26"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7" fillId="3" borderId="0" xfId="0" applyFont="1" applyFill="1" applyBorder="1" applyAlignment="1">
      <alignment horizontal="left"/>
    </xf>
    <xf numFmtId="0" fontId="43" fillId="0" borderId="0" xfId="0" applyFont="1" applyFill="1" applyBorder="1"/>
    <xf numFmtId="0" fontId="43" fillId="6" borderId="0" xfId="0" applyFont="1" applyFill="1" applyBorder="1" applyAlignment="1">
      <alignment vertical="center"/>
    </xf>
    <xf numFmtId="0" fontId="22" fillId="6" borderId="0" xfId="0" applyFont="1" applyFill="1" applyBorder="1" applyAlignment="1">
      <alignment horizontal="left"/>
    </xf>
    <xf numFmtId="0" fontId="1" fillId="6" borderId="0" xfId="0" applyFont="1" applyFill="1" applyBorder="1" applyAlignment="1">
      <alignment horizontal="center"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6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56</xdr:row>
          <xdr:rowOff>152400</xdr:rowOff>
        </xdr:from>
        <xdr:to>
          <xdr:col>3</xdr:col>
          <xdr:colOff>695325</xdr:colOff>
          <xdr:row>57</xdr:row>
          <xdr:rowOff>161925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58</xdr:row>
          <xdr:rowOff>0</xdr:rowOff>
        </xdr:from>
        <xdr:to>
          <xdr:col>3</xdr:col>
          <xdr:colOff>704850</xdr:colOff>
          <xdr:row>59</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59</xdr:row>
          <xdr:rowOff>28575</xdr:rowOff>
        </xdr:from>
        <xdr:to>
          <xdr:col>3</xdr:col>
          <xdr:colOff>714375</xdr:colOff>
          <xdr:row>61</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681791</xdr:colOff>
      <xdr:row>6</xdr:row>
      <xdr:rowOff>130343</xdr:rowOff>
    </xdr:from>
    <xdr:to>
      <xdr:col>12</xdr:col>
      <xdr:colOff>320842</xdr:colOff>
      <xdr:row>10</xdr:row>
      <xdr:rowOff>110291</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74633" y="862264"/>
          <a:ext cx="1423735" cy="621632"/>
        </a:xfrm>
        <a:prstGeom prst="rect">
          <a:avLst/>
        </a:prstGeom>
        <a:noFill/>
        <a:ln>
          <a:noFill/>
        </a:ln>
      </xdr:spPr>
    </xdr:pic>
    <xdr:clientData/>
  </xdr:twoCellAnchor>
  <xdr:twoCellAnchor editAs="oneCell">
    <xdr:from>
      <xdr:col>12</xdr:col>
      <xdr:colOff>0</xdr:colOff>
      <xdr:row>4</xdr:row>
      <xdr:rowOff>0</xdr:rowOff>
    </xdr:from>
    <xdr:to>
      <xdr:col>12</xdr:col>
      <xdr:colOff>914479</xdr:colOff>
      <xdr:row>8</xdr:row>
      <xdr:rowOff>144768</xdr:rowOff>
    </xdr:to>
    <xdr:pic>
      <xdr:nvPicPr>
        <xdr:cNvPr id="14" name="Image 13"/>
        <xdr:cNvPicPr>
          <a:picLocks noChangeAspect="1"/>
        </xdr:cNvPicPr>
      </xdr:nvPicPr>
      <xdr:blipFill>
        <a:blip xmlns:r="http://schemas.openxmlformats.org/officeDocument/2006/relationships" r:embed="rId3"/>
        <a:stretch>
          <a:fillRect/>
        </a:stretch>
      </xdr:blipFill>
      <xdr:spPr>
        <a:xfrm>
          <a:off x="6677526" y="411079"/>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61" t="s">
        <v>0</v>
      </c>
      <c r="E4" s="162"/>
      <c r="F4" s="162"/>
      <c r="G4" s="3"/>
      <c r="H4" s="3"/>
      <c r="I4" s="3"/>
      <c r="J4" s="8"/>
    </row>
    <row r="5" spans="2:10" ht="3" customHeight="1" thickTop="1" x14ac:dyDescent="0.2">
      <c r="B5" s="2"/>
      <c r="C5" s="57"/>
      <c r="D5" s="57"/>
      <c r="E5" s="57"/>
      <c r="F5" s="57"/>
      <c r="G5" s="57"/>
      <c r="H5" s="57"/>
      <c r="I5" s="57"/>
      <c r="J5" s="1"/>
    </row>
    <row r="6" spans="2:10" ht="12.75" customHeight="1" x14ac:dyDescent="0.3">
      <c r="B6" s="7"/>
      <c r="C6" s="3"/>
      <c r="D6" s="19"/>
      <c r="E6" s="3"/>
      <c r="F6" s="3"/>
      <c r="G6" s="3"/>
      <c r="H6" s="3"/>
      <c r="I6" s="3"/>
      <c r="J6" s="8"/>
    </row>
    <row r="7" spans="2:10" x14ac:dyDescent="0.2">
      <c r="B7" s="7"/>
      <c r="C7" s="3"/>
      <c r="D7" s="3"/>
      <c r="E7" s="3"/>
      <c r="F7" s="3"/>
      <c r="G7" s="63" t="s">
        <v>44</v>
      </c>
      <c r="H7" s="3"/>
      <c r="I7" s="3"/>
      <c r="J7" s="8"/>
    </row>
    <row r="8" spans="2:10" x14ac:dyDescent="0.2">
      <c r="B8" s="7"/>
      <c r="C8" s="3"/>
      <c r="D8" s="3"/>
      <c r="E8" s="3"/>
      <c r="F8" s="3"/>
      <c r="G8" s="63" t="s">
        <v>1</v>
      </c>
      <c r="H8" s="3"/>
      <c r="I8" s="3"/>
      <c r="J8" s="8"/>
    </row>
    <row r="9" spans="2:10" x14ac:dyDescent="0.2">
      <c r="B9" s="7"/>
      <c r="C9" s="3"/>
      <c r="D9" s="20"/>
      <c r="E9" s="3"/>
      <c r="F9" s="3"/>
      <c r="G9" s="42"/>
      <c r="H9" s="3"/>
      <c r="I9" s="3"/>
      <c r="J9" s="8"/>
    </row>
    <row r="10" spans="2:10" ht="13.5" thickBot="1" x14ac:dyDescent="0.25">
      <c r="B10" s="7"/>
      <c r="C10" s="3"/>
      <c r="D10" s="163" t="s">
        <v>2</v>
      </c>
      <c r="E10" s="16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4" t="s">
        <v>4</v>
      </c>
      <c r="G12" s="16"/>
      <c r="H12" s="25"/>
      <c r="I12" s="3"/>
      <c r="J12" s="8"/>
    </row>
    <row r="13" spans="2:10" ht="13.5" thickBot="1" x14ac:dyDescent="0.25">
      <c r="B13" s="7"/>
      <c r="C13" s="3"/>
      <c r="D13" s="32" t="s">
        <v>5</v>
      </c>
      <c r="E13" s="13" t="s">
        <v>48</v>
      </c>
      <c r="F13" s="64"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5" t="s">
        <v>45</v>
      </c>
      <c r="E19" s="16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2">
        <v>0.1</v>
      </c>
      <c r="F22" s="33"/>
      <c r="G22" s="36"/>
      <c r="H22" s="25"/>
      <c r="I22" s="3"/>
      <c r="J22" s="8"/>
    </row>
    <row r="23" spans="2:10" x14ac:dyDescent="0.2">
      <c r="B23" s="7"/>
      <c r="C23" s="3"/>
      <c r="D23" s="34">
        <v>2</v>
      </c>
      <c r="E23" s="65">
        <v>0.18</v>
      </c>
      <c r="F23" s="33"/>
      <c r="G23" s="37"/>
      <c r="H23" s="25"/>
      <c r="I23" s="3"/>
      <c r="J23" s="8"/>
    </row>
    <row r="24" spans="2:10" ht="13.5" thickBot="1" x14ac:dyDescent="0.25">
      <c r="B24" s="7"/>
      <c r="C24" s="3"/>
      <c r="D24" s="34">
        <v>3</v>
      </c>
      <c r="E24" s="61">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3">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0"/>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6" t="str">
        <f>LOWER(TemplateInformation!B3)</f>
        <v>c:\program files\microsoft office\office\macrolib\factbd.xls</v>
      </c>
      <c r="G33" s="16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63" t="s">
        <v>16</v>
      </c>
      <c r="E36" s="16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9"/>
      <c r="J38" s="21"/>
    </row>
    <row r="39" spans="2:10" ht="14.25" x14ac:dyDescent="0.2">
      <c r="B39" s="7"/>
      <c r="C39" s="3"/>
      <c r="D39" s="44"/>
      <c r="E39" s="45"/>
      <c r="F39" s="47"/>
      <c r="G39" s="45"/>
      <c r="H39" s="46"/>
      <c r="I39" s="59"/>
      <c r="J39" s="21"/>
    </row>
    <row r="40" spans="2:10" ht="14.25" x14ac:dyDescent="0.2">
      <c r="B40" s="7"/>
      <c r="C40" s="3"/>
      <c r="D40" s="44"/>
      <c r="E40" s="45"/>
      <c r="F40" s="45"/>
      <c r="G40" s="45"/>
      <c r="H40" s="46"/>
      <c r="I40" s="59"/>
      <c r="J40" s="21"/>
    </row>
    <row r="41" spans="2:10" ht="14.25" x14ac:dyDescent="0.2">
      <c r="B41" s="7"/>
      <c r="C41" s="3"/>
      <c r="D41" s="44"/>
      <c r="E41" s="45"/>
      <c r="F41" s="45"/>
      <c r="G41" s="45"/>
      <c r="H41" s="46"/>
      <c r="I41" s="59"/>
      <c r="J41" s="21"/>
    </row>
    <row r="42" spans="2:10" ht="20.100000000000001" customHeight="1" x14ac:dyDescent="0.2">
      <c r="B42" s="7"/>
      <c r="C42" s="3"/>
      <c r="D42" s="44"/>
      <c r="E42" s="45"/>
      <c r="F42" s="45"/>
      <c r="G42" s="45"/>
      <c r="H42" s="46"/>
      <c r="I42" s="59"/>
      <c r="J42" s="21"/>
    </row>
    <row r="43" spans="2:10" ht="14.25" x14ac:dyDescent="0.2">
      <c r="B43" s="7"/>
      <c r="C43" s="3"/>
      <c r="D43" s="44"/>
      <c r="E43" s="45"/>
      <c r="F43" s="45"/>
      <c r="G43" s="45"/>
      <c r="H43" s="46"/>
      <c r="I43" s="59"/>
      <c r="J43" s="21"/>
    </row>
    <row r="44" spans="2:10" ht="26.25" customHeight="1" thickBot="1" x14ac:dyDescent="0.25">
      <c r="B44" s="7"/>
      <c r="C44" s="3"/>
      <c r="D44" s="48"/>
      <c r="E44" s="49"/>
      <c r="F44" s="49"/>
      <c r="G44" s="49"/>
      <c r="H44" s="50"/>
      <c r="I44" s="59"/>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6"/>
  <sheetViews>
    <sheetView showGridLines="0" showRowColHeaders="0" tabSelected="1" topLeftCell="A2"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83"/>
      <c r="M9" s="184"/>
      <c r="N9" s="3"/>
      <c r="O9" s="8"/>
    </row>
    <row r="10" spans="1:15" x14ac:dyDescent="0.2">
      <c r="A10" s="7"/>
      <c r="B10" s="3"/>
      <c r="C10" s="3"/>
      <c r="D10" s="3"/>
      <c r="E10" s="3"/>
      <c r="F10" s="3"/>
      <c r="G10" s="3"/>
      <c r="H10" s="3"/>
      <c r="I10" s="3"/>
      <c r="J10" s="3"/>
      <c r="K10" s="3"/>
      <c r="L10" s="96"/>
      <c r="M10" s="96"/>
      <c r="N10" s="3"/>
      <c r="O10" s="8"/>
    </row>
    <row r="11" spans="1:15" x14ac:dyDescent="0.2">
      <c r="A11" s="7"/>
      <c r="B11" s="3"/>
      <c r="C11" s="3"/>
      <c r="D11" s="3"/>
      <c r="E11" s="3"/>
      <c r="F11" s="3"/>
      <c r="G11" s="3"/>
      <c r="H11" s="3"/>
      <c r="I11" s="3"/>
      <c r="J11" s="3"/>
      <c r="K11" s="3"/>
      <c r="L11" s="106"/>
      <c r="M11" s="107"/>
      <c r="N11" s="3"/>
      <c r="O11" s="8"/>
    </row>
    <row r="12" spans="1:15" x14ac:dyDescent="0.2">
      <c r="A12" s="7"/>
      <c r="B12" s="3"/>
      <c r="C12" s="3"/>
      <c r="D12" s="3"/>
      <c r="E12" s="3"/>
      <c r="F12" s="3"/>
      <c r="G12" s="3"/>
      <c r="H12" s="3"/>
      <c r="I12" s="3"/>
      <c r="J12" s="3"/>
      <c r="K12" s="3"/>
      <c r="L12" s="106"/>
      <c r="M12" s="107"/>
      <c r="N12" s="3"/>
      <c r="O12" s="8"/>
    </row>
    <row r="13" spans="1:15" x14ac:dyDescent="0.2">
      <c r="A13" s="7"/>
      <c r="B13" s="3"/>
      <c r="C13" s="3"/>
      <c r="D13" s="3"/>
      <c r="E13" s="3"/>
      <c r="F13" s="3"/>
      <c r="G13" s="3"/>
      <c r="H13" s="3"/>
      <c r="I13" s="3"/>
      <c r="J13" s="3"/>
      <c r="K13" s="3"/>
      <c r="L13" s="192"/>
      <c r="M13" s="193"/>
      <c r="N13" s="3"/>
      <c r="O13" s="8"/>
    </row>
    <row r="14" spans="1:15" x14ac:dyDescent="0.2">
      <c r="A14" s="7"/>
      <c r="B14" s="3"/>
      <c r="C14" s="3"/>
      <c r="D14" s="3"/>
      <c r="E14" s="3"/>
      <c r="F14" s="3"/>
      <c r="G14" s="182"/>
      <c r="H14" s="182"/>
      <c r="I14" s="182"/>
      <c r="J14" s="182"/>
      <c r="K14" s="182"/>
      <c r="L14" s="3"/>
      <c r="M14" s="3"/>
      <c r="N14" s="3"/>
      <c r="O14" s="8"/>
    </row>
    <row r="15" spans="1:15" ht="20.100000000000001" customHeight="1" x14ac:dyDescent="0.2">
      <c r="A15" s="7"/>
      <c r="B15" s="3"/>
      <c r="C15" s="3"/>
      <c r="D15" s="3"/>
      <c r="E15" s="3"/>
      <c r="F15" s="3"/>
      <c r="G15" s="182"/>
      <c r="H15" s="182"/>
      <c r="I15" s="182"/>
      <c r="J15" s="182"/>
      <c r="K15" s="182"/>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5"/>
      <c r="H17" s="3"/>
      <c r="I17" s="96"/>
      <c r="J17" s="3"/>
      <c r="K17" s="3"/>
      <c r="L17" s="170" t="s">
        <v>96</v>
      </c>
      <c r="M17" s="171"/>
      <c r="N17" s="3"/>
      <c r="O17" s="8"/>
    </row>
    <row r="18" spans="1:15" ht="19.5" thickTop="1" x14ac:dyDescent="0.3">
      <c r="A18" s="7"/>
      <c r="B18" s="3"/>
      <c r="C18" s="57"/>
      <c r="D18" s="57"/>
      <c r="E18" s="57"/>
      <c r="F18" s="57"/>
      <c r="G18" s="57"/>
      <c r="H18" s="57"/>
      <c r="I18" s="58"/>
      <c r="J18" s="58"/>
      <c r="K18" s="58"/>
      <c r="L18" s="172"/>
      <c r="M18" s="173"/>
      <c r="N18" s="19"/>
      <c r="O18" s="8"/>
    </row>
    <row r="19" spans="1:15" ht="13.5" thickBot="1" x14ac:dyDescent="0.25">
      <c r="A19" s="7"/>
      <c r="B19" s="3"/>
      <c r="C19" s="3"/>
      <c r="D19" s="3"/>
      <c r="E19" s="3"/>
      <c r="F19" s="3"/>
      <c r="G19" s="3"/>
      <c r="H19" s="3"/>
      <c r="I19" s="3"/>
      <c r="J19" s="3"/>
      <c r="K19" s="3"/>
      <c r="L19" s="174"/>
      <c r="M19" s="175"/>
      <c r="N19" s="3"/>
      <c r="O19" s="8"/>
    </row>
    <row r="20" spans="1:15" x14ac:dyDescent="0.2">
      <c r="A20" s="7"/>
      <c r="B20" s="3"/>
      <c r="C20" s="3"/>
      <c r="D20" s="3"/>
      <c r="E20" s="3"/>
      <c r="F20" s="3"/>
      <c r="G20" s="3"/>
      <c r="H20" s="3"/>
      <c r="I20" s="3"/>
      <c r="J20" s="3"/>
      <c r="K20" s="3"/>
      <c r="L20" s="121"/>
      <c r="M20" s="3"/>
      <c r="N20" s="3"/>
      <c r="O20" s="8"/>
    </row>
    <row r="21" spans="1:15" ht="18" x14ac:dyDescent="0.25">
      <c r="A21" s="7"/>
      <c r="B21" s="3"/>
      <c r="C21" s="80" t="s">
        <v>3</v>
      </c>
      <c r="D21" s="198" t="s">
        <v>66</v>
      </c>
      <c r="E21" s="199"/>
      <c r="F21" s="199"/>
      <c r="G21" s="199"/>
      <c r="H21" s="199"/>
      <c r="I21" s="199"/>
      <c r="J21" s="80"/>
      <c r="K21" s="82" t="s">
        <v>18</v>
      </c>
      <c r="L21" s="187">
        <v>45680</v>
      </c>
      <c r="M21" s="188"/>
      <c r="N21" s="54"/>
      <c r="O21" s="8"/>
    </row>
    <row r="22" spans="1:15" ht="15" x14ac:dyDescent="0.2">
      <c r="A22" s="7"/>
      <c r="B22" s="3"/>
      <c r="C22" s="80" t="s">
        <v>5</v>
      </c>
      <c r="D22" s="196" t="s">
        <v>61</v>
      </c>
      <c r="E22" s="197"/>
      <c r="F22" s="197"/>
      <c r="G22" s="197"/>
      <c r="H22" s="197"/>
      <c r="I22" s="197"/>
      <c r="J22" s="80"/>
      <c r="K22" s="115" t="s">
        <v>58</v>
      </c>
      <c r="L22" s="179" t="s">
        <v>94</v>
      </c>
      <c r="M22" s="180"/>
      <c r="N22" s="55"/>
      <c r="O22" s="8"/>
    </row>
    <row r="23" spans="1:15" x14ac:dyDescent="0.2">
      <c r="A23" s="7"/>
      <c r="B23" s="3"/>
      <c r="C23" s="80" t="s">
        <v>7</v>
      </c>
      <c r="D23" s="87"/>
      <c r="E23" s="88" t="s">
        <v>8</v>
      </c>
      <c r="F23" s="194"/>
      <c r="G23" s="195"/>
      <c r="H23" s="89" t="s">
        <v>9</v>
      </c>
      <c r="I23" s="86" t="s">
        <v>51</v>
      </c>
      <c r="J23" s="80"/>
      <c r="K23" s="82" t="s">
        <v>19</v>
      </c>
      <c r="L23" s="189" t="s">
        <v>59</v>
      </c>
      <c r="M23" s="190"/>
      <c r="N23" s="3"/>
      <c r="O23" s="8"/>
    </row>
    <row r="24" spans="1:15" x14ac:dyDescent="0.2">
      <c r="A24" s="7"/>
      <c r="B24" s="3"/>
      <c r="C24" s="80" t="s">
        <v>20</v>
      </c>
      <c r="D24" s="200" t="s">
        <v>62</v>
      </c>
      <c r="E24" s="201"/>
      <c r="F24" s="201"/>
      <c r="G24" s="201"/>
      <c r="H24" s="201"/>
      <c r="I24" s="201"/>
      <c r="J24" s="80"/>
      <c r="K24" s="82" t="s">
        <v>47</v>
      </c>
      <c r="L24" s="191" t="s">
        <v>65</v>
      </c>
      <c r="M24" s="191"/>
      <c r="N24" s="3"/>
      <c r="O24" s="8"/>
    </row>
    <row r="25" spans="1:15" x14ac:dyDescent="0.2">
      <c r="A25" s="7"/>
      <c r="B25" s="3"/>
      <c r="C25" s="80"/>
      <c r="D25" s="80"/>
      <c r="E25" s="80"/>
      <c r="F25" s="80"/>
      <c r="G25" s="80"/>
      <c r="H25" s="80"/>
      <c r="I25" s="80"/>
      <c r="J25" s="80"/>
      <c r="K25" s="80"/>
      <c r="L25" s="80"/>
      <c r="M25" s="80"/>
      <c r="N25" s="3"/>
      <c r="O25" s="8"/>
    </row>
    <row r="26" spans="1:15" x14ac:dyDescent="0.2">
      <c r="A26" s="7"/>
      <c r="B26" s="3"/>
      <c r="C26" s="66" t="s">
        <v>34</v>
      </c>
      <c r="D26" s="51" t="s">
        <v>21</v>
      </c>
      <c r="E26" s="176" t="s">
        <v>22</v>
      </c>
      <c r="F26" s="177"/>
      <c r="G26" s="177"/>
      <c r="H26" s="177"/>
      <c r="I26" s="177"/>
      <c r="J26" s="177"/>
      <c r="K26" s="178"/>
      <c r="L26" s="52" t="s">
        <v>53</v>
      </c>
      <c r="M26" s="108" t="s">
        <v>23</v>
      </c>
      <c r="N26" s="56"/>
      <c r="O26" s="8"/>
    </row>
    <row r="27" spans="1:15" ht="15.75" x14ac:dyDescent="0.25">
      <c r="A27" s="7"/>
      <c r="B27" s="3"/>
      <c r="C27" s="91"/>
      <c r="D27" s="74"/>
      <c r="E27" s="202"/>
      <c r="F27" s="203"/>
      <c r="G27" s="203"/>
      <c r="H27" s="203"/>
      <c r="I27" s="203"/>
      <c r="J27" s="203"/>
      <c r="K27" s="120"/>
      <c r="L27" s="119"/>
      <c r="M27" s="93" t="str">
        <f t="shared" ref="M27" si="0">IF(D27&lt;&gt;"",D27*L27,"")</f>
        <v/>
      </c>
      <c r="N27" s="56"/>
      <c r="O27" s="8"/>
    </row>
    <row r="28" spans="1:15" ht="15.75" x14ac:dyDescent="0.25">
      <c r="A28" s="7"/>
      <c r="B28" s="3"/>
      <c r="C28" s="91"/>
      <c r="D28" s="126">
        <v>19</v>
      </c>
      <c r="E28" s="127" t="s">
        <v>67</v>
      </c>
      <c r="F28" s="128"/>
      <c r="G28" s="128"/>
      <c r="H28" s="129"/>
      <c r="I28" s="129"/>
      <c r="J28" s="130"/>
      <c r="K28" s="131"/>
      <c r="L28" s="132">
        <v>800</v>
      </c>
      <c r="M28" s="133">
        <f>+L28*D28</f>
        <v>15200</v>
      </c>
      <c r="N28" s="56"/>
      <c r="O28" s="8"/>
    </row>
    <row r="29" spans="1:15" ht="15.75" x14ac:dyDescent="0.25">
      <c r="A29" s="7"/>
      <c r="B29" s="3"/>
      <c r="C29" s="91"/>
      <c r="D29" s="126"/>
      <c r="E29" s="157"/>
      <c r="F29" s="128"/>
      <c r="G29" s="128"/>
      <c r="H29" s="129"/>
      <c r="I29" s="129"/>
      <c r="J29" s="130"/>
      <c r="K29" s="131"/>
      <c r="L29" s="132"/>
      <c r="M29" s="133"/>
      <c r="N29" s="56"/>
      <c r="O29" s="8"/>
    </row>
    <row r="30" spans="1:15" ht="15.75" x14ac:dyDescent="0.25">
      <c r="A30" s="7"/>
      <c r="B30" s="3"/>
      <c r="C30" s="91"/>
      <c r="D30" s="126"/>
      <c r="E30" s="136" t="s">
        <v>68</v>
      </c>
      <c r="F30" s="137"/>
      <c r="G30" s="138"/>
      <c r="H30" s="139"/>
      <c r="I30" s="139"/>
      <c r="J30" s="140"/>
      <c r="K30" s="141"/>
      <c r="L30" s="132"/>
      <c r="M30" s="133"/>
      <c r="N30" s="56"/>
      <c r="O30" s="8"/>
    </row>
    <row r="31" spans="1:15" ht="15.75" x14ac:dyDescent="0.25">
      <c r="A31" s="7"/>
      <c r="B31" s="3"/>
      <c r="C31" s="91"/>
      <c r="D31" s="126"/>
      <c r="E31" s="142" t="s">
        <v>69</v>
      </c>
      <c r="F31" s="143"/>
      <c r="G31" s="144"/>
      <c r="H31" s="129"/>
      <c r="I31" s="129"/>
      <c r="J31" s="130"/>
      <c r="K31" s="141"/>
      <c r="L31" s="132"/>
      <c r="M31" s="133"/>
      <c r="N31" s="56"/>
      <c r="O31" s="8"/>
    </row>
    <row r="32" spans="1:15" ht="15.75" x14ac:dyDescent="0.25">
      <c r="A32" s="7"/>
      <c r="B32" s="3"/>
      <c r="C32" s="91"/>
      <c r="D32" s="126"/>
      <c r="E32" s="145" t="s">
        <v>70</v>
      </c>
      <c r="F32" s="146"/>
      <c r="G32" s="147"/>
      <c r="H32" s="148"/>
      <c r="I32" s="148"/>
      <c r="J32" s="149"/>
      <c r="K32" s="141"/>
      <c r="L32" s="132"/>
      <c r="M32" s="132"/>
      <c r="N32" s="56"/>
      <c r="O32" s="8"/>
    </row>
    <row r="33" spans="1:15" ht="15.75" x14ac:dyDescent="0.25">
      <c r="A33" s="7"/>
      <c r="B33" s="3"/>
      <c r="C33" s="104"/>
      <c r="D33" s="126"/>
      <c r="E33" s="150" t="s">
        <v>71</v>
      </c>
      <c r="F33" s="146"/>
      <c r="G33" s="147"/>
      <c r="H33" s="148"/>
      <c r="I33" s="148"/>
      <c r="J33" s="149"/>
      <c r="K33" s="141"/>
      <c r="L33" s="132"/>
      <c r="M33" s="132"/>
      <c r="N33" s="56"/>
      <c r="O33" s="8"/>
    </row>
    <row r="34" spans="1:15" ht="15.75" x14ac:dyDescent="0.25">
      <c r="A34" s="7"/>
      <c r="B34" s="3"/>
      <c r="C34" s="104"/>
      <c r="D34" s="126"/>
      <c r="E34" s="145" t="s">
        <v>72</v>
      </c>
      <c r="F34" s="146"/>
      <c r="G34" s="147"/>
      <c r="H34" s="148"/>
      <c r="I34" s="148"/>
      <c r="J34" s="149"/>
      <c r="K34" s="141"/>
      <c r="L34" s="132"/>
      <c r="M34" s="132"/>
      <c r="N34" s="56"/>
      <c r="O34" s="8"/>
    </row>
    <row r="35" spans="1:15" ht="15.75" x14ac:dyDescent="0.25">
      <c r="A35" s="7"/>
      <c r="B35" s="3"/>
      <c r="C35" s="104"/>
      <c r="D35" s="126"/>
      <c r="E35" s="152" t="s">
        <v>73</v>
      </c>
      <c r="F35" s="146"/>
      <c r="G35" s="147"/>
      <c r="H35" s="148"/>
      <c r="I35" s="148"/>
      <c r="J35" s="149"/>
      <c r="K35" s="141"/>
      <c r="L35" s="132"/>
      <c r="M35" s="132"/>
      <c r="N35" s="56"/>
      <c r="O35" s="8"/>
    </row>
    <row r="36" spans="1:15" ht="15.75" x14ac:dyDescent="0.25">
      <c r="A36" s="7"/>
      <c r="B36" s="3"/>
      <c r="C36" s="104"/>
      <c r="D36" s="126"/>
      <c r="E36" s="153" t="s">
        <v>76</v>
      </c>
      <c r="F36" s="154"/>
      <c r="G36" s="147"/>
      <c r="H36" s="155"/>
      <c r="I36" s="148"/>
      <c r="J36" s="149"/>
      <c r="K36" s="156"/>
      <c r="L36" s="132"/>
      <c r="M36" s="132"/>
      <c r="N36" s="56"/>
      <c r="O36" s="8"/>
    </row>
    <row r="37" spans="1:15" ht="15.75" x14ac:dyDescent="0.25">
      <c r="A37" s="7"/>
      <c r="B37" s="3"/>
      <c r="C37" s="124"/>
      <c r="D37" s="135"/>
      <c r="E37" s="153" t="s">
        <v>77</v>
      </c>
      <c r="F37" s="154"/>
      <c r="G37" s="147"/>
      <c r="H37" s="155"/>
      <c r="I37" s="148"/>
      <c r="J37" s="149"/>
      <c r="K37" s="156"/>
      <c r="L37" s="132"/>
      <c r="M37" s="132"/>
      <c r="N37" s="56"/>
      <c r="O37" s="8"/>
    </row>
    <row r="38" spans="1:15" ht="15.75" x14ac:dyDescent="0.25">
      <c r="A38" s="7"/>
      <c r="B38" s="3"/>
      <c r="C38" s="104"/>
      <c r="D38" s="151"/>
      <c r="E38" s="153" t="s">
        <v>78</v>
      </c>
      <c r="F38" s="154"/>
      <c r="G38" s="147"/>
      <c r="H38" s="155"/>
      <c r="I38" s="148"/>
      <c r="J38" s="149"/>
      <c r="K38" s="156"/>
      <c r="L38" s="132"/>
      <c r="M38" s="132"/>
      <c r="N38" s="56"/>
      <c r="O38" s="8"/>
    </row>
    <row r="39" spans="1:15" ht="15.75" x14ac:dyDescent="0.25">
      <c r="A39" s="7"/>
      <c r="B39" s="3"/>
      <c r="C39" s="104"/>
      <c r="D39" s="135"/>
      <c r="E39" s="153" t="s">
        <v>79</v>
      </c>
      <c r="F39" s="154"/>
      <c r="G39" s="147"/>
      <c r="H39" s="155"/>
      <c r="I39" s="148"/>
      <c r="J39" s="149"/>
      <c r="K39" s="156"/>
      <c r="L39" s="132"/>
      <c r="M39" s="132"/>
      <c r="N39" s="56"/>
      <c r="O39" s="8"/>
    </row>
    <row r="40" spans="1:15" ht="15.75" x14ac:dyDescent="0.25">
      <c r="A40" s="7"/>
      <c r="B40" s="3"/>
      <c r="C40" s="104"/>
      <c r="D40" s="135"/>
      <c r="E40" s="153" t="s">
        <v>98</v>
      </c>
      <c r="F40" s="154"/>
      <c r="G40" s="147"/>
      <c r="H40" s="155"/>
      <c r="I40" s="148"/>
      <c r="J40" s="149"/>
      <c r="K40" s="156"/>
      <c r="L40" s="132"/>
      <c r="M40" s="132"/>
      <c r="N40" s="56"/>
      <c r="O40" s="8"/>
    </row>
    <row r="41" spans="1:15" ht="17.100000000000001" customHeight="1" x14ac:dyDescent="0.25">
      <c r="A41" s="7"/>
      <c r="B41" s="3"/>
      <c r="C41" s="104"/>
      <c r="D41" s="151"/>
      <c r="E41" s="153" t="s">
        <v>80</v>
      </c>
      <c r="F41" s="154"/>
      <c r="G41" s="147"/>
      <c r="H41" s="155"/>
      <c r="I41" s="148"/>
      <c r="J41" s="149"/>
      <c r="K41" s="156"/>
      <c r="L41" s="132"/>
      <c r="M41" s="132"/>
      <c r="N41" s="56"/>
      <c r="O41" s="8"/>
    </row>
    <row r="42" spans="1:15" ht="17.100000000000001" customHeight="1" x14ac:dyDescent="0.25">
      <c r="A42" s="7"/>
      <c r="B42" s="3"/>
      <c r="C42" s="104"/>
      <c r="D42" s="135"/>
      <c r="E42" s="153" t="s">
        <v>81</v>
      </c>
      <c r="F42" s="154"/>
      <c r="G42" s="147"/>
      <c r="H42" s="155"/>
      <c r="I42" s="148"/>
      <c r="J42" s="149"/>
      <c r="K42" s="156"/>
      <c r="L42" s="132"/>
      <c r="M42" s="132"/>
      <c r="N42" s="56"/>
      <c r="O42" s="8"/>
    </row>
    <row r="43" spans="1:15" ht="17.100000000000001" customHeight="1" x14ac:dyDescent="0.25">
      <c r="A43" s="7"/>
      <c r="B43" s="3"/>
      <c r="C43" s="104"/>
      <c r="D43" s="135"/>
      <c r="E43" s="153" t="s">
        <v>82</v>
      </c>
      <c r="F43" s="154"/>
      <c r="G43" s="147"/>
      <c r="H43" s="155"/>
      <c r="I43" s="148"/>
      <c r="J43" s="149"/>
      <c r="K43" s="156"/>
      <c r="L43" s="132"/>
      <c r="M43" s="132"/>
      <c r="N43" s="56"/>
      <c r="O43" s="8"/>
    </row>
    <row r="44" spans="1:15" ht="17.100000000000001" customHeight="1" x14ac:dyDescent="0.25">
      <c r="A44" s="7"/>
      <c r="B44" s="3"/>
      <c r="C44" s="104"/>
      <c r="D44" s="135"/>
      <c r="E44" s="153" t="s">
        <v>83</v>
      </c>
      <c r="F44" s="154"/>
      <c r="G44" s="147"/>
      <c r="H44" s="155"/>
      <c r="I44" s="148"/>
      <c r="J44" s="149"/>
      <c r="K44" s="156"/>
      <c r="L44" s="132"/>
      <c r="M44" s="132"/>
      <c r="N44" s="56"/>
      <c r="O44" s="8"/>
    </row>
    <row r="45" spans="1:15" ht="17.100000000000001" customHeight="1" x14ac:dyDescent="0.25">
      <c r="A45" s="7"/>
      <c r="B45" s="3"/>
      <c r="C45" s="104"/>
      <c r="D45" s="135"/>
      <c r="E45" s="153" t="s">
        <v>84</v>
      </c>
      <c r="F45" s="154"/>
      <c r="G45" s="147"/>
      <c r="H45" s="155"/>
      <c r="I45" s="148"/>
      <c r="J45" s="149"/>
      <c r="K45" s="156"/>
      <c r="L45" s="132"/>
      <c r="M45" s="132"/>
      <c r="N45" s="56"/>
      <c r="O45" s="8"/>
    </row>
    <row r="46" spans="1:15" ht="17.100000000000001" customHeight="1" x14ac:dyDescent="0.25">
      <c r="A46" s="7"/>
      <c r="B46" s="3"/>
      <c r="C46" s="104"/>
      <c r="D46" s="135"/>
      <c r="E46" s="153" t="s">
        <v>85</v>
      </c>
      <c r="F46" s="154"/>
      <c r="G46" s="147"/>
      <c r="H46" s="155"/>
      <c r="I46" s="148"/>
      <c r="J46" s="149"/>
      <c r="K46" s="156"/>
      <c r="L46" s="132"/>
      <c r="M46" s="132"/>
      <c r="N46" s="56"/>
      <c r="O46" s="8"/>
    </row>
    <row r="47" spans="1:15" ht="15.75" x14ac:dyDescent="0.25">
      <c r="A47" s="7"/>
      <c r="B47" s="3"/>
      <c r="C47" s="104"/>
      <c r="D47" s="135"/>
      <c r="E47" s="153" t="s">
        <v>86</v>
      </c>
      <c r="F47" s="154"/>
      <c r="G47" s="147"/>
      <c r="H47" s="155"/>
      <c r="I47" s="148"/>
      <c r="J47" s="149"/>
      <c r="K47" s="156"/>
      <c r="L47" s="132"/>
      <c r="M47" s="132"/>
      <c r="N47" s="56"/>
      <c r="O47" s="8"/>
    </row>
    <row r="48" spans="1:15" ht="15" customHeight="1" x14ac:dyDescent="0.25">
      <c r="A48" s="7"/>
      <c r="B48" s="3"/>
      <c r="C48" s="104"/>
      <c r="D48" s="135"/>
      <c r="E48" s="153" t="s">
        <v>87</v>
      </c>
      <c r="F48" s="154"/>
      <c r="G48" s="147"/>
      <c r="H48" s="155"/>
      <c r="I48" s="148"/>
      <c r="J48" s="149"/>
      <c r="K48" s="156"/>
      <c r="L48" s="132"/>
      <c r="M48" s="132"/>
      <c r="N48" s="56"/>
      <c r="O48" s="8"/>
    </row>
    <row r="49" spans="1:15" ht="15" customHeight="1" x14ac:dyDescent="0.25">
      <c r="A49" s="7"/>
      <c r="B49" s="3"/>
      <c r="C49" s="104"/>
      <c r="D49" s="135"/>
      <c r="E49" s="153" t="s">
        <v>88</v>
      </c>
      <c r="F49" s="154"/>
      <c r="G49" s="147"/>
      <c r="H49" s="155"/>
      <c r="I49" s="148"/>
      <c r="J49" s="149"/>
      <c r="K49" s="156"/>
      <c r="L49" s="132"/>
      <c r="M49" s="132"/>
      <c r="N49" s="56"/>
      <c r="O49" s="8"/>
    </row>
    <row r="50" spans="1:15" ht="15" customHeight="1" x14ac:dyDescent="0.25">
      <c r="A50" s="7"/>
      <c r="B50" s="3"/>
      <c r="C50" s="104"/>
      <c r="D50" s="135"/>
      <c r="E50" s="153" t="s">
        <v>89</v>
      </c>
      <c r="F50" s="154"/>
      <c r="G50" s="147"/>
      <c r="H50" s="155"/>
      <c r="I50" s="148"/>
      <c r="J50" s="149"/>
      <c r="K50" s="156"/>
      <c r="L50" s="132"/>
      <c r="M50" s="132"/>
      <c r="N50" s="56"/>
      <c r="O50" s="8"/>
    </row>
    <row r="51" spans="1:15" ht="15" customHeight="1" x14ac:dyDescent="0.25">
      <c r="A51" s="7"/>
      <c r="B51" s="3"/>
      <c r="C51" s="104"/>
      <c r="D51" s="135"/>
      <c r="E51" s="153" t="s">
        <v>90</v>
      </c>
      <c r="F51" s="154"/>
      <c r="G51" s="147"/>
      <c r="H51" s="155"/>
      <c r="I51" s="148"/>
      <c r="J51" s="149"/>
      <c r="K51" s="156"/>
      <c r="L51" s="132"/>
      <c r="M51" s="132"/>
      <c r="N51" s="56"/>
      <c r="O51" s="8"/>
    </row>
    <row r="52" spans="1:15" ht="15" customHeight="1" x14ac:dyDescent="0.25">
      <c r="A52" s="7"/>
      <c r="B52" s="3"/>
      <c r="C52" s="104"/>
      <c r="D52" s="135"/>
      <c r="E52" s="153" t="s">
        <v>97</v>
      </c>
      <c r="F52" s="154"/>
      <c r="G52" s="147"/>
      <c r="H52" s="155"/>
      <c r="I52" s="148"/>
      <c r="J52" s="149"/>
      <c r="K52" s="156"/>
      <c r="L52" s="132"/>
      <c r="M52" s="132"/>
      <c r="N52" s="56"/>
      <c r="O52" s="8"/>
    </row>
    <row r="53" spans="1:15" ht="15" customHeight="1" x14ac:dyDescent="0.25">
      <c r="A53" s="7"/>
      <c r="B53" s="3"/>
      <c r="C53" s="104"/>
      <c r="D53" s="135"/>
      <c r="E53" s="153" t="s">
        <v>91</v>
      </c>
      <c r="F53" s="154"/>
      <c r="G53" s="147"/>
      <c r="H53" s="155"/>
      <c r="I53" s="148"/>
      <c r="J53" s="149"/>
      <c r="K53" s="156"/>
      <c r="L53" s="132"/>
      <c r="M53" s="132"/>
      <c r="N53" s="56"/>
      <c r="O53" s="8"/>
    </row>
    <row r="54" spans="1:15" ht="15" customHeight="1" x14ac:dyDescent="0.25">
      <c r="A54" s="7"/>
      <c r="B54" s="3"/>
      <c r="C54" s="91"/>
      <c r="D54" s="135"/>
      <c r="E54" s="153" t="s">
        <v>92</v>
      </c>
      <c r="F54" s="154"/>
      <c r="G54" s="147"/>
      <c r="H54" s="155"/>
      <c r="I54" s="148"/>
      <c r="J54" s="149"/>
      <c r="K54" s="156"/>
      <c r="L54" s="132"/>
      <c r="M54" s="132"/>
      <c r="N54" s="56"/>
      <c r="O54" s="8"/>
    </row>
    <row r="55" spans="1:15" ht="15" x14ac:dyDescent="0.2">
      <c r="A55" s="7"/>
      <c r="B55" s="3"/>
      <c r="C55" s="92"/>
      <c r="D55" s="53"/>
      <c r="E55" s="185" t="s">
        <v>74</v>
      </c>
      <c r="F55" s="186"/>
      <c r="G55" s="186"/>
      <c r="H55" s="186"/>
      <c r="I55" s="186"/>
      <c r="J55" s="186"/>
      <c r="K55" s="109"/>
      <c r="L55" s="132"/>
      <c r="M55" s="93"/>
      <c r="N55" s="56"/>
      <c r="O55" s="8"/>
    </row>
    <row r="56" spans="1:15" ht="15.75" x14ac:dyDescent="0.25">
      <c r="A56" s="7"/>
      <c r="B56" s="158" t="s">
        <v>75</v>
      </c>
      <c r="C56" s="134"/>
      <c r="D56" s="134"/>
      <c r="E56" s="134"/>
      <c r="F56" s="134"/>
      <c r="G56" s="131"/>
      <c r="H56" s="159"/>
      <c r="I56" s="159"/>
      <c r="J56" s="159"/>
      <c r="K56" s="75"/>
      <c r="L56" s="99" t="s">
        <v>24</v>
      </c>
      <c r="M56" s="94">
        <f>SUM(M28:M55)</f>
        <v>15200</v>
      </c>
      <c r="N56" s="56"/>
      <c r="O56" s="8"/>
    </row>
    <row r="57" spans="1:15" ht="15.75" x14ac:dyDescent="0.25">
      <c r="A57" s="7"/>
      <c r="B57" s="160" t="s">
        <v>93</v>
      </c>
      <c r="C57" s="131"/>
      <c r="D57" s="131"/>
      <c r="E57" s="131"/>
      <c r="F57" s="131"/>
      <c r="G57" s="131"/>
      <c r="H57" s="159"/>
      <c r="I57" s="159"/>
      <c r="J57" s="159"/>
      <c r="K57" s="75"/>
      <c r="L57" s="102" t="s">
        <v>46</v>
      </c>
      <c r="M57" s="100">
        <v>1</v>
      </c>
      <c r="N57" s="56"/>
      <c r="O57" s="8"/>
    </row>
    <row r="58" spans="1:15" ht="15" customHeight="1" x14ac:dyDescent="0.25">
      <c r="A58" s="7"/>
      <c r="B58" s="3"/>
      <c r="C58" s="3"/>
      <c r="D58" s="81"/>
      <c r="E58" s="125" t="s">
        <v>25</v>
      </c>
      <c r="F58" s="80"/>
      <c r="G58" s="80"/>
      <c r="H58" s="80"/>
      <c r="I58" s="77"/>
      <c r="J58" s="77"/>
      <c r="K58" s="76"/>
      <c r="L58" s="101">
        <v>0.19</v>
      </c>
      <c r="M58" s="100">
        <f>M56*0.19</f>
        <v>2888</v>
      </c>
      <c r="N58" s="56"/>
      <c r="O58" s="8"/>
    </row>
    <row r="59" spans="1:15" ht="15" customHeight="1" x14ac:dyDescent="0.25">
      <c r="A59" s="7"/>
      <c r="B59" s="3"/>
      <c r="C59" s="3"/>
      <c r="D59" s="83"/>
      <c r="E59" s="123" t="s">
        <v>63</v>
      </c>
      <c r="F59" s="85"/>
      <c r="G59" s="83"/>
      <c r="H59" s="80"/>
      <c r="I59" s="78"/>
      <c r="J59" s="75"/>
      <c r="K59" s="75"/>
      <c r="L59" s="181" t="s">
        <v>27</v>
      </c>
      <c r="M59" s="168">
        <f>SUM(M56:M58)</f>
        <v>18089</v>
      </c>
      <c r="N59" s="56"/>
      <c r="O59" s="8"/>
    </row>
    <row r="60" spans="1:15" ht="12.75" customHeight="1" x14ac:dyDescent="0.2">
      <c r="A60" s="7"/>
      <c r="B60" s="3"/>
      <c r="C60" s="3"/>
      <c r="D60" s="83">
        <v>1</v>
      </c>
      <c r="E60" s="103" t="s">
        <v>55</v>
      </c>
      <c r="F60" s="80"/>
      <c r="G60" s="84"/>
      <c r="H60" s="80"/>
      <c r="I60" s="79" t="s">
        <v>26</v>
      </c>
      <c r="J60" s="75"/>
      <c r="K60" s="75"/>
      <c r="L60" s="181"/>
      <c r="M60" s="169"/>
      <c r="N60" s="56"/>
      <c r="O60" s="8"/>
    </row>
    <row r="61" spans="1:15" ht="3" customHeight="1" x14ac:dyDescent="0.2">
      <c r="A61" s="7"/>
      <c r="B61" s="3"/>
      <c r="C61" s="3"/>
      <c r="D61" s="83"/>
      <c r="E61" s="103"/>
      <c r="F61" s="80"/>
      <c r="G61" s="84"/>
      <c r="H61" s="80"/>
      <c r="I61" s="79"/>
      <c r="J61" s="75"/>
      <c r="K61" s="75"/>
      <c r="L61" s="96"/>
      <c r="M61" s="97"/>
      <c r="N61" s="56"/>
      <c r="O61" s="8"/>
    </row>
    <row r="62" spans="1:15" x14ac:dyDescent="0.2">
      <c r="A62" s="7"/>
      <c r="B62" s="116"/>
      <c r="C62" s="116"/>
      <c r="D62" s="116"/>
      <c r="E62" s="116"/>
      <c r="F62" s="116"/>
      <c r="G62" s="116"/>
      <c r="H62" s="116"/>
      <c r="I62" s="116"/>
      <c r="J62" s="116"/>
      <c r="K62" s="116"/>
      <c r="L62" s="117"/>
      <c r="M62" s="118"/>
      <c r="N62" s="56"/>
      <c r="O62" s="8"/>
    </row>
    <row r="63" spans="1:15" ht="15.75" customHeight="1" x14ac:dyDescent="0.2">
      <c r="A63" s="7"/>
      <c r="B63" s="115"/>
      <c r="C63" s="115"/>
      <c r="D63" s="115"/>
      <c r="E63" s="115"/>
      <c r="F63" s="115"/>
      <c r="G63" s="115"/>
      <c r="H63" s="115"/>
      <c r="I63" s="115"/>
      <c r="J63" s="115"/>
      <c r="K63" s="115"/>
      <c r="L63" s="95" t="s">
        <v>60</v>
      </c>
      <c r="M63" s="98"/>
      <c r="N63" s="56"/>
      <c r="O63" s="8"/>
    </row>
    <row r="64" spans="1:15" ht="15.75" customHeight="1" x14ac:dyDescent="0.2">
      <c r="A64" s="7"/>
      <c r="B64" s="210" t="s">
        <v>64</v>
      </c>
      <c r="C64" s="210"/>
      <c r="D64" s="115"/>
      <c r="E64" s="115"/>
      <c r="F64" s="115"/>
      <c r="G64" s="115"/>
      <c r="H64" s="115"/>
      <c r="I64" s="115"/>
      <c r="J64" s="115"/>
      <c r="K64" s="115"/>
      <c r="L64" s="98"/>
      <c r="M64" s="98"/>
      <c r="N64" s="56"/>
      <c r="O64" s="8"/>
    </row>
    <row r="65" spans="1:15" ht="0.95" customHeight="1" x14ac:dyDescent="0.2">
      <c r="A65" s="7"/>
      <c r="B65" s="115"/>
      <c r="C65" s="211" t="s">
        <v>64</v>
      </c>
      <c r="D65" s="115"/>
      <c r="E65" s="115"/>
      <c r="F65" s="115"/>
      <c r="G65" s="115"/>
      <c r="H65" s="115"/>
      <c r="I65" s="115"/>
      <c r="J65" s="115"/>
      <c r="K65" s="115"/>
      <c r="L65" s="98"/>
      <c r="M65" s="98"/>
      <c r="N65" s="56"/>
      <c r="O65" s="8"/>
    </row>
    <row r="66" spans="1:15" ht="6" customHeight="1" x14ac:dyDescent="0.2">
      <c r="A66" s="7"/>
      <c r="B66" s="212"/>
      <c r="C66" s="212"/>
      <c r="D66" s="212"/>
      <c r="E66" s="213"/>
      <c r="F66" s="213"/>
      <c r="G66" s="122"/>
      <c r="H66" s="122"/>
      <c r="I66" s="122"/>
      <c r="J66" s="122"/>
      <c r="K66" s="122"/>
      <c r="L66" s="96"/>
      <c r="M66" s="97"/>
      <c r="N66" s="56"/>
      <c r="O66" s="8"/>
    </row>
    <row r="67" spans="1:15" ht="18.75" customHeight="1" thickBot="1" x14ac:dyDescent="0.25">
      <c r="A67" s="7"/>
      <c r="B67" s="214" t="s">
        <v>95</v>
      </c>
      <c r="C67" s="214"/>
      <c r="D67" s="209" t="s">
        <v>57</v>
      </c>
      <c r="E67" s="209"/>
      <c r="F67" s="209"/>
      <c r="G67" s="209"/>
      <c r="H67" s="209"/>
      <c r="I67" s="209"/>
      <c r="J67" s="209"/>
      <c r="K67" s="209"/>
      <c r="L67" s="209"/>
      <c r="M67" s="209"/>
      <c r="N67" s="56"/>
      <c r="O67" s="8"/>
    </row>
    <row r="68" spans="1:15" ht="13.5" thickTop="1" x14ac:dyDescent="0.2">
      <c r="A68" s="57"/>
      <c r="B68" s="3"/>
      <c r="C68" s="3"/>
      <c r="D68" s="209"/>
      <c r="E68" s="209"/>
      <c r="F68" s="209"/>
      <c r="G68" s="209"/>
      <c r="H68" s="209"/>
      <c r="I68" s="209"/>
      <c r="J68" s="209"/>
      <c r="K68" s="209"/>
      <c r="L68" s="209"/>
      <c r="M68" s="209"/>
      <c r="N68" s="56"/>
      <c r="O68" s="8"/>
    </row>
    <row r="69" spans="1:15" ht="15.75" x14ac:dyDescent="0.2">
      <c r="A69" s="114"/>
      <c r="B69" s="3"/>
      <c r="C69" s="3"/>
      <c r="D69" s="112"/>
      <c r="E69" s="112"/>
      <c r="F69" s="112"/>
      <c r="G69" s="112"/>
      <c r="H69" s="112"/>
      <c r="I69" s="112"/>
      <c r="J69" s="112"/>
      <c r="K69" s="112"/>
      <c r="L69" s="112"/>
      <c r="M69" s="95"/>
      <c r="N69" s="56"/>
      <c r="O69" s="8"/>
    </row>
    <row r="70" spans="1:15" ht="12.75" customHeight="1" x14ac:dyDescent="0.2">
      <c r="A70" s="113"/>
      <c r="B70" s="3"/>
      <c r="C70" s="3"/>
      <c r="D70" s="18"/>
      <c r="E70" s="208" t="s">
        <v>54</v>
      </c>
      <c r="F70" s="208"/>
      <c r="G70" s="208"/>
      <c r="H70" s="208"/>
      <c r="I70" s="208"/>
      <c r="J70" s="208"/>
      <c r="K70" s="208"/>
      <c r="L70" s="95"/>
      <c r="M70" s="95"/>
      <c r="N70" s="56"/>
      <c r="O70" s="8"/>
    </row>
    <row r="71" spans="1:15" ht="15.75" x14ac:dyDescent="0.2">
      <c r="B71" s="3"/>
      <c r="C71" s="3"/>
      <c r="D71" s="207" t="s">
        <v>56</v>
      </c>
      <c r="E71" s="207"/>
      <c r="F71" s="207"/>
      <c r="G71" s="207"/>
      <c r="H71" s="207"/>
      <c r="I71" s="207"/>
      <c r="J71" s="207"/>
      <c r="K71" s="207"/>
      <c r="L71" s="207"/>
      <c r="M71" s="95"/>
      <c r="N71" s="56"/>
    </row>
    <row r="72" spans="1:15" ht="15.75" x14ac:dyDescent="0.2">
      <c r="B72" s="3"/>
      <c r="C72" s="3"/>
      <c r="D72" s="207"/>
      <c r="E72" s="207"/>
      <c r="F72" s="207"/>
      <c r="G72" s="207"/>
      <c r="H72" s="207"/>
      <c r="I72" s="207"/>
      <c r="J72" s="207"/>
      <c r="K72" s="207"/>
      <c r="L72" s="207"/>
      <c r="M72" s="95"/>
      <c r="N72" s="56"/>
    </row>
    <row r="73" spans="1:15" ht="13.5" thickBot="1" x14ac:dyDescent="0.25">
      <c r="B73" s="110"/>
      <c r="C73" s="110"/>
      <c r="D73" s="111"/>
      <c r="E73" s="111"/>
      <c r="F73" s="111"/>
      <c r="G73" s="206"/>
      <c r="H73" s="206"/>
      <c r="I73" s="206"/>
      <c r="J73" s="206"/>
      <c r="K73" s="206"/>
      <c r="L73" s="111"/>
      <c r="M73" s="111"/>
      <c r="N73" s="110"/>
    </row>
    <row r="74" spans="1:15" ht="13.5" thickTop="1" x14ac:dyDescent="0.2">
      <c r="B74" s="57"/>
      <c r="C74" s="57"/>
      <c r="D74" s="57"/>
      <c r="E74" s="57"/>
      <c r="F74" s="57"/>
      <c r="G74" s="57"/>
      <c r="H74" s="57"/>
      <c r="I74" s="57"/>
      <c r="J74" s="57"/>
      <c r="K74" s="57"/>
      <c r="L74" s="57"/>
      <c r="M74" s="57"/>
      <c r="N74" s="57"/>
    </row>
    <row r="75" spans="1:15" x14ac:dyDescent="0.2">
      <c r="B75" s="114"/>
      <c r="C75" s="114"/>
      <c r="D75" s="114"/>
      <c r="E75" s="114"/>
      <c r="F75" s="114"/>
      <c r="G75" s="114"/>
      <c r="H75" s="114"/>
      <c r="I75" s="114"/>
      <c r="J75" s="204"/>
      <c r="K75" s="204"/>
      <c r="L75" s="204"/>
      <c r="M75" s="204"/>
      <c r="N75" s="204"/>
    </row>
    <row r="76" spans="1:15" x14ac:dyDescent="0.2">
      <c r="B76" s="113"/>
      <c r="C76" s="113"/>
      <c r="D76" s="113"/>
      <c r="E76" s="113"/>
      <c r="F76" s="113"/>
      <c r="G76" s="113"/>
      <c r="H76" s="113"/>
      <c r="I76" s="113"/>
      <c r="J76" s="205"/>
      <c r="K76" s="205"/>
      <c r="L76" s="205"/>
      <c r="M76" s="205"/>
      <c r="N76" s="20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B67:C67"/>
    <mergeCell ref="J75:N76"/>
    <mergeCell ref="G73:K73"/>
    <mergeCell ref="D71:L72"/>
    <mergeCell ref="E70:K70"/>
    <mergeCell ref="D67:M68"/>
    <mergeCell ref="G14:K15"/>
    <mergeCell ref="L9:M9"/>
    <mergeCell ref="E55:J55"/>
    <mergeCell ref="L21:M21"/>
    <mergeCell ref="L23:M23"/>
    <mergeCell ref="L24:M24"/>
    <mergeCell ref="L13:M13"/>
    <mergeCell ref="F23:G23"/>
    <mergeCell ref="D22:I22"/>
    <mergeCell ref="D21:I21"/>
    <mergeCell ref="D24:I24"/>
    <mergeCell ref="E27:J27"/>
    <mergeCell ref="M59:M60"/>
    <mergeCell ref="L17:M19"/>
    <mergeCell ref="E26:K26"/>
    <mergeCell ref="L22:M22"/>
    <mergeCell ref="L59:L60"/>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M6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66 M59">
      <formula1>0</formula1>
      <formula2>0</formula2>
    </dataValidation>
    <dataValidation errorStyle="warning" allowBlank="1" showInputMessage="1" errorTitle="Numéro de carte de crédit" promptTitle="Numéro de carte de crédit" prompt="Tapez ici le numéro de carte de crédit du client" sqref="E7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63"/>
    <dataValidation type="decimal" allowBlank="1" showErrorMessage="1" errorTitle="Prix unitaire" error="Tapez un nombre dans cette cellule." promptTitle="Prix unitaire" sqref="M28:M39 L27: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40:M55">
      <formula1>0</formula1>
      <formula2>0</formula2>
    </dataValidation>
    <dataValidation type="list" allowBlank="1" showInputMessage="1" showErrorMessage="1" errorTitle="Code TVA" error="Tapez 1, 2, ou 3." sqref="K27:K55">
      <formula1>"1,2,3"</formula1>
    </dataValidation>
    <dataValidation type="whole" errorStyle="warning" allowBlank="1" showErrorMessage="1" errorTitle="Quantité" error="Tapez un nombre dans cette cellule." promptTitle="Quantité" sqref="D27:D5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4"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56</xdr:row>
                    <xdr:rowOff>152400</xdr:rowOff>
                  </from>
                  <to>
                    <xdr:col>3</xdr:col>
                    <xdr:colOff>695325</xdr:colOff>
                    <xdr:row>57</xdr:row>
                    <xdr:rowOff>161925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58</xdr:row>
                    <xdr:rowOff>0</xdr:rowOff>
                  </from>
                  <to>
                    <xdr:col>3</xdr:col>
                    <xdr:colOff>704850</xdr:colOff>
                    <xdr:row>59</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59</xdr:row>
                    <xdr:rowOff>28575</xdr:rowOff>
                  </from>
                  <to>
                    <xdr:col>3</xdr:col>
                    <xdr:colOff>714375</xdr:colOff>
                    <xdr:row>61</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28</v>
      </c>
    </row>
    <row r="2" spans="1:11" x14ac:dyDescent="0.2">
      <c r="A2" s="67" t="s">
        <v>35</v>
      </c>
      <c r="B2" s="67" t="s">
        <v>29</v>
      </c>
    </row>
    <row r="3" spans="1:11" x14ac:dyDescent="0.2">
      <c r="A3" s="67" t="s">
        <v>36</v>
      </c>
      <c r="B3" s="67" t="s">
        <v>43</v>
      </c>
    </row>
    <row r="4" spans="1:11" x14ac:dyDescent="0.2">
      <c r="A4" s="67" t="s">
        <v>30</v>
      </c>
    </row>
    <row r="5" spans="1:11" x14ac:dyDescent="0.2">
      <c r="A5" s="67" t="s">
        <v>37</v>
      </c>
      <c r="B5" s="67">
        <v>1</v>
      </c>
    </row>
    <row r="6" spans="1:11" x14ac:dyDescent="0.2">
      <c r="A6" s="67">
        <v>1</v>
      </c>
      <c r="B6" s="67" t="s">
        <v>38</v>
      </c>
      <c r="C6" s="67" t="s">
        <v>42</v>
      </c>
      <c r="D6" s="67" t="s">
        <v>39</v>
      </c>
      <c r="E6" s="67">
        <v>10</v>
      </c>
      <c r="G6" s="67">
        <v>-1383939328</v>
      </c>
    </row>
    <row r="7" spans="1:11" x14ac:dyDescent="0.2">
      <c r="A7" s="67" t="s">
        <v>40</v>
      </c>
      <c r="B7" s="67" t="s">
        <v>31</v>
      </c>
      <c r="C7" s="67" t="s">
        <v>18</v>
      </c>
      <c r="D7" s="67" t="s">
        <v>3</v>
      </c>
      <c r="E7" s="67" t="s">
        <v>5</v>
      </c>
      <c r="F7" s="67" t="s">
        <v>7</v>
      </c>
      <c r="G7" s="67" t="s">
        <v>8</v>
      </c>
      <c r="H7" s="67" t="s">
        <v>9</v>
      </c>
      <c r="I7" s="67" t="s">
        <v>20</v>
      </c>
      <c r="J7" s="67" t="s">
        <v>32</v>
      </c>
      <c r="K7" s="67" t="s">
        <v>19</v>
      </c>
    </row>
    <row r="8" spans="1:11" x14ac:dyDescent="0.2">
      <c r="A8" s="67" t="s">
        <v>41</v>
      </c>
      <c r="B8" s="68" t="e">
        <f>Facture!#REF!</f>
        <v>#REF!</v>
      </c>
      <c r="C8" s="69">
        <f>Facture!$L$21</f>
        <v>45680</v>
      </c>
      <c r="D8" s="70" t="str">
        <f>Facture!$D$21</f>
        <v>NETWORK EXPERTISE TUNISIA</v>
      </c>
      <c r="E8" s="67" t="str">
        <f>Facture!$D$22</f>
        <v>AV MOSBAH JARBOU EL MANAR II</v>
      </c>
      <c r="F8" s="67">
        <f>Facture!$D$23</f>
        <v>0</v>
      </c>
      <c r="G8" s="70">
        <f>Facture!$F$23</f>
        <v>0</v>
      </c>
      <c r="H8" s="70" t="str">
        <f>Facture!$I$23</f>
        <v>TN</v>
      </c>
      <c r="I8" s="67" t="str">
        <f>Facture!$D$24</f>
        <v xml:space="preserve">     71882832       Fax: </v>
      </c>
      <c r="J8" s="71">
        <f>Facture!$M$59</f>
        <v>18089</v>
      </c>
      <c r="K8" s="67" t="str">
        <f>Facture!$L$23</f>
        <v xml:space="preserve">MR ZAHI </v>
      </c>
    </row>
    <row r="9" spans="1:11" x14ac:dyDescent="0.2">
      <c r="A9" s="67" t="s">
        <v>30</v>
      </c>
    </row>
    <row r="10" spans="1:11" x14ac:dyDescent="0.2">
      <c r="G10" s="67">
        <v>-1261995520</v>
      </c>
    </row>
    <row r="14" spans="1:11" x14ac:dyDescent="0.2">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2025-01-23T15:16:37Z</cp:lastPrinted>
  <dcterms:created xsi:type="dcterms:W3CDTF">1995-05-29T15:50:39Z</dcterms:created>
  <dcterms:modified xsi:type="dcterms:W3CDTF">2025-01-23T15:46:26Z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18089</vt:r8>
  </property>
</Properties>
</file>