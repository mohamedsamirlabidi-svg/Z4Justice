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K8" i="8" l="1"/>
  <c r="I8" i="8"/>
  <c r="H8" i="8"/>
  <c r="G8" i="8"/>
  <c r="F8" i="8"/>
  <c r="E8" i="8"/>
  <c r="D8" i="8"/>
  <c r="C8" i="8"/>
  <c r="B8" i="8"/>
  <c r="M27" i="3"/>
  <c r="M41" i="3" s="1"/>
  <c r="M43" i="3" s="1"/>
  <c r="F33" i="2"/>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<sst xmlns="http://schemas.openxmlformats.org/spreadsheetml/2006/main" count="88" uniqueCount="71">
  <si>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</si>
  <si>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</si>
  <si>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</si>
  <si>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</si>
  <si>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</si>
  <si>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</si>
  <si>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</si>
  <si>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</si>
  <si>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</si>
  <si>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</si>
  <si>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</si>
  <si>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</si>
  <si>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</si>
  <si>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</si>
  <si>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</si>
  <si>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</si>
  <si>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</si>
  <si>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</si>
  <si>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</si>
  <si>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</si>
  <si>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</si>
  <si>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</si>
  <si>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</si>
  <si>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</si>
  <si>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</si>
  <si>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</si>
  <si>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</si>
  <si>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</si>
  <si>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</si>
  <si>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</si>
  <si>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</si>
  <si>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</si>
  <si>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</si>
  <si>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</si>
  <si>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</si>
  <si>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</si>
  <si>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</si>
  <si>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</si>
  <si>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</si>
  <si>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</si>
  <si>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</si>
  <si>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</si>
  <si>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</si>
  <si>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</si>
  <si>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</si>
  <si>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</si>
  <si>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</si>
  <si>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</si>
  <si>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</si>
  <si>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</si>
  <si>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</si>
  <si>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</si>
  <si>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</si>
  <si>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</si>
  <si>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</si>
  <si>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</si>
  <si>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</si>
  <si>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</si>
  <si>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</si>
  <si>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</si>
  <si>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</si>
  <si>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</si>
  <si>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</si>
  <si>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</si>
  <si>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</si>
  <si>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</si>
  <si>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</si>
  <si>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FOURNITURE ET INSTALLATON D'UNE LIGNE DE VIE </t>
  </si>
  <si>
    <t>FACTURE N°2025-024</t>
  </si>
  <si>
    <t>BC292936</t>
  </si>
  <si>
    <t xml:space="preserve">ARRETE LA PRESENTE FACTURE A LA SOMME DE :Trois mille deux cent quatorze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</si>
</sst>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23" fillId="3"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18</xdr:row>
      <xdr:rowOff>146887</xdr:rowOff>
    </xdr:from>
    <xdr:to>
      <xdr:col>9</xdr:col>
      <xdr:colOff>90237</xdr:colOff>
      <xdr:row>24</xdr:row>
      <xdr:rowOff>20052</xdr:rowOff>
    </xdr:to>
    <xdr:sp macro="" textlink="">
      <xdr:nvSpPr>
        <xdr:cNvPr id="2114" name="INVB1"/>
        <xdr:cNvSpPr>
          <a:spLocks noChangeArrowheads="1"/>
        </xdr:cNvSpPr>
      </xdr:nvSpPr>
      <xdr:spPr bwMode="auto">
        <a:xfrm>
          <a:off x="192004" y="2874045"/>
          <a:ext cx="4570496" cy="966033"/>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19</xdr:row>
      <xdr:rowOff>156912</xdr:rowOff>
    </xdr:from>
    <xdr:to>
      <xdr:col>13</xdr:col>
      <xdr:colOff>114300</xdr:colOff>
      <xdr:row>24</xdr:row>
      <xdr:rowOff>147387</xdr:rowOff>
    </xdr:to>
    <xdr:sp macro="" textlink="">
      <xdr:nvSpPr>
        <xdr:cNvPr id="2115" name="INVB2"/>
        <xdr:cNvSpPr>
          <a:spLocks noChangeArrowheads="1"/>
        </xdr:cNvSpPr>
      </xdr:nvSpPr>
      <xdr:spPr bwMode="auto">
        <a:xfrm>
          <a:off x="4853238" y="3054517"/>
          <a:ext cx="2991351" cy="912896"/>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zoomScale="95" workbookViewId="0">
      <selection activeCell="M35" sqref="M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2"/>
      <c r="M13" s="163"/>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6" t="s">
        <v>68</v>
      </c>
      <c r="M17" s="177"/>
      <c r="N17" s="3"/>
      <c r="O17" s="8"/>
    </row>
    <row r="18" spans="1:15" ht="19.5" thickTop="1" x14ac:dyDescent="0.3">
      <c r="A18" s="7"/>
      <c r="B18" s="3"/>
      <c r="C18" s="58"/>
      <c r="D18" s="58"/>
      <c r="E18" s="58"/>
      <c r="F18" s="58"/>
      <c r="G18" s="58"/>
      <c r="H18" s="58"/>
      <c r="I18" s="59"/>
      <c r="J18" s="59"/>
      <c r="K18" s="59"/>
      <c r="L18" s="178"/>
      <c r="M18" s="179"/>
      <c r="N18" s="19"/>
      <c r="O18" s="8"/>
    </row>
    <row r="19" spans="1:15" ht="13.5" thickBot="1" x14ac:dyDescent="0.25">
      <c r="A19" s="7"/>
      <c r="B19" s="3"/>
      <c r="C19" s="3"/>
      <c r="D19" s="3"/>
      <c r="E19" s="3"/>
      <c r="F19" s="3"/>
      <c r="G19" s="3"/>
      <c r="H19" s="3"/>
      <c r="I19" s="3"/>
      <c r="J19" s="3"/>
      <c r="K19" s="3"/>
      <c r="L19" s="180"/>
      <c r="M19" s="181"/>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68" t="s">
        <v>64</v>
      </c>
      <c r="E21" s="169"/>
      <c r="F21" s="169"/>
      <c r="G21" s="169"/>
      <c r="H21" s="169"/>
      <c r="I21" s="169"/>
      <c r="J21" s="82"/>
      <c r="K21" s="84" t="s">
        <v>18</v>
      </c>
      <c r="L21" s="157">
        <v>45733</v>
      </c>
      <c r="M21" s="158"/>
      <c r="N21" s="55"/>
      <c r="O21" s="8"/>
    </row>
    <row r="22" spans="1:15" ht="14.25" x14ac:dyDescent="0.2">
      <c r="A22" s="7"/>
      <c r="B22" s="3"/>
      <c r="C22" s="82" t="s">
        <v>5</v>
      </c>
      <c r="D22" s="166" t="s">
        <v>65</v>
      </c>
      <c r="E22" s="167"/>
      <c r="F22" s="167"/>
      <c r="G22" s="167"/>
      <c r="H22" s="167"/>
      <c r="I22" s="167"/>
      <c r="J22" s="82"/>
      <c r="K22" s="122" t="s">
        <v>58</v>
      </c>
      <c r="L22" s="191" t="s">
        <v>69</v>
      </c>
      <c r="M22" s="192"/>
      <c r="N22" s="56"/>
      <c r="O22" s="8"/>
    </row>
    <row r="23" spans="1:15" x14ac:dyDescent="0.2">
      <c r="A23" s="7"/>
      <c r="B23" s="3"/>
      <c r="C23" s="82" t="s">
        <v>7</v>
      </c>
      <c r="D23" s="89">
        <v>5100</v>
      </c>
      <c r="E23" s="90" t="s">
        <v>8</v>
      </c>
      <c r="F23" s="164"/>
      <c r="G23" s="165"/>
      <c r="H23" s="91" t="s">
        <v>9</v>
      </c>
      <c r="I23" s="88" t="s">
        <v>51</v>
      </c>
      <c r="J23" s="82"/>
      <c r="K23" s="84" t="s">
        <v>19</v>
      </c>
      <c r="L23" s="159" t="s">
        <v>66</v>
      </c>
      <c r="M23" s="160"/>
      <c r="N23" s="3"/>
      <c r="O23" s="8"/>
    </row>
    <row r="24" spans="1:15" ht="15" x14ac:dyDescent="0.2">
      <c r="A24" s="7"/>
      <c r="B24" s="3"/>
      <c r="C24" s="82" t="s">
        <v>20</v>
      </c>
      <c r="D24" s="170">
        <v>36277000</v>
      </c>
      <c r="E24" s="171"/>
      <c r="F24" s="171"/>
      <c r="G24" s="171"/>
      <c r="H24" s="171"/>
      <c r="I24" s="171"/>
      <c r="J24" s="82"/>
      <c r="K24" s="84" t="s">
        <v>47</v>
      </c>
      <c r="L24" s="161" t="s">
        <v>63</v>
      </c>
      <c r="M24" s="160"/>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8" t="s">
        <v>22</v>
      </c>
      <c r="F26" s="189"/>
      <c r="G26" s="189"/>
      <c r="H26" s="189"/>
      <c r="I26" s="189"/>
      <c r="J26" s="189"/>
      <c r="K26" s="190"/>
      <c r="L26" s="52" t="s">
        <v>53</v>
      </c>
      <c r="M26" s="112" t="s">
        <v>23</v>
      </c>
      <c r="N26" s="57"/>
      <c r="O26" s="8"/>
    </row>
    <row r="27" spans="1:15" ht="15.75" x14ac:dyDescent="0.25">
      <c r="A27" s="7"/>
      <c r="B27" s="3"/>
      <c r="C27" s="93"/>
      <c r="D27" s="75"/>
      <c r="E27" s="172"/>
      <c r="F27" s="173"/>
      <c r="G27" s="173"/>
      <c r="H27" s="173"/>
      <c r="I27" s="173"/>
      <c r="J27" s="173"/>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5">
      <c r="A29" s="7"/>
      <c r="B29" s="3"/>
      <c r="C29" s="140"/>
      <c r="D29" s="75">
        <v>1</v>
      </c>
      <c r="E29" s="144" t="s">
        <v>67</v>
      </c>
      <c r="F29" s="139"/>
      <c r="G29" s="139"/>
      <c r="H29" s="139"/>
      <c r="I29" s="139"/>
      <c r="J29" s="139"/>
      <c r="K29" s="141"/>
      <c r="L29" s="126">
        <v>2700</v>
      </c>
      <c r="M29" s="126">
        <f>+L29*D29</f>
        <v>2700</v>
      </c>
      <c r="N29" s="57"/>
      <c r="O29" s="8"/>
    </row>
    <row r="30" spans="1:15" ht="15.75" x14ac:dyDescent="0.25">
      <c r="A30" s="7"/>
      <c r="B30" s="3"/>
      <c r="C30" s="140"/>
      <c r="D30" s="75"/>
      <c r="E30" s="135"/>
      <c r="F30" s="136"/>
      <c r="G30" s="81"/>
      <c r="H30" s="129"/>
      <c r="I30" s="129"/>
      <c r="J30" s="81"/>
      <c r="K30" s="128"/>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55"/>
      <c r="F40" s="156"/>
      <c r="G40" s="156"/>
      <c r="H40" s="156"/>
      <c r="I40" s="156"/>
      <c r="J40" s="156"/>
      <c r="K40" s="116"/>
      <c r="L40" s="96"/>
      <c r="M40" s="96"/>
      <c r="N40" s="57"/>
      <c r="O40" s="8"/>
    </row>
    <row r="41" spans="1:15" ht="15" customHeight="1" x14ac:dyDescent="0.25">
      <c r="A41" s="7"/>
      <c r="B41" s="143" t="s">
        <v>70</v>
      </c>
      <c r="C41" s="3"/>
      <c r="D41" s="82"/>
      <c r="E41" s="82"/>
      <c r="F41" s="82"/>
      <c r="G41" s="82"/>
      <c r="H41" s="82"/>
      <c r="I41" s="76"/>
      <c r="J41" s="76"/>
      <c r="K41" s="76"/>
      <c r="L41" s="102" t="s">
        <v>24</v>
      </c>
      <c r="M41" s="97">
        <f>SUM(M27:M39)</f>
        <v>2700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513</v>
      </c>
      <c r="N43" s="57"/>
      <c r="O43" s="8"/>
    </row>
    <row r="44" spans="1:15" ht="15.75" x14ac:dyDescent="0.25">
      <c r="A44" s="7"/>
      <c r="B44" s="3"/>
      <c r="C44" s="3"/>
      <c r="D44" s="85"/>
      <c r="E44" s="132" t="s">
        <v>60</v>
      </c>
      <c r="F44" s="87"/>
      <c r="G44" s="85"/>
      <c r="H44" s="82"/>
      <c r="I44" s="79"/>
      <c r="J44" s="76"/>
      <c r="K44" s="76"/>
      <c r="L44" s="194" t="s">
        <v>27</v>
      </c>
      <c r="M44" s="174">
        <f>SUM(M41:M43)</f>
        <v>3214</v>
      </c>
      <c r="N44" s="57"/>
      <c r="O44" s="8"/>
    </row>
    <row r="45" spans="1:15" ht="15" x14ac:dyDescent="0.2">
      <c r="A45" s="7"/>
      <c r="B45" s="3"/>
      <c r="C45" s="3"/>
      <c r="D45" s="85">
        <v>3</v>
      </c>
      <c r="E45" s="142" t="s">
        <v>55</v>
      </c>
      <c r="F45" s="82"/>
      <c r="G45" s="86"/>
      <c r="H45" s="82"/>
      <c r="I45" s="80" t="s">
        <v>26</v>
      </c>
      <c r="J45" s="76"/>
      <c r="K45" s="76"/>
      <c r="L45" s="194"/>
      <c r="M45" s="175"/>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93" t="s">
        <v>62</v>
      </c>
      <c r="C51" s="193"/>
      <c r="D51" s="193"/>
      <c r="E51" s="131"/>
      <c r="F51" s="131"/>
      <c r="G51" s="131"/>
      <c r="H51" s="131"/>
      <c r="I51" s="131"/>
      <c r="J51" s="131"/>
      <c r="K51" s="131"/>
      <c r="L51" s="99"/>
      <c r="M51" s="100"/>
      <c r="N51" s="57"/>
      <c r="O51" s="8"/>
    </row>
    <row r="52" spans="1:15" ht="15.75" customHeight="1" x14ac:dyDescent="0.2">
      <c r="A52" s="7"/>
      <c r="B52" s="3"/>
      <c r="C52" s="3"/>
      <c r="D52" s="186" t="s">
        <v>57</v>
      </c>
      <c r="E52" s="187"/>
      <c r="F52" s="187"/>
      <c r="G52" s="187"/>
      <c r="H52" s="187"/>
      <c r="I52" s="187"/>
      <c r="J52" s="187"/>
      <c r="K52" s="187"/>
      <c r="L52" s="187"/>
      <c r="M52" s="187"/>
      <c r="N52" s="57"/>
      <c r="O52" s="8"/>
    </row>
    <row r="53" spans="1:15" ht="0.95" customHeight="1" x14ac:dyDescent="0.2">
      <c r="A53" s="7"/>
      <c r="B53" s="3"/>
      <c r="C53" s="3"/>
      <c r="D53" s="187"/>
      <c r="E53" s="187"/>
      <c r="F53" s="187"/>
      <c r="G53" s="187"/>
      <c r="H53" s="187"/>
      <c r="I53" s="187"/>
      <c r="J53" s="187"/>
      <c r="K53" s="187"/>
      <c r="L53" s="187"/>
      <c r="M53" s="187"/>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4" t="s">
        <v>54</v>
      </c>
      <c r="F55" s="184"/>
      <c r="G55" s="184"/>
      <c r="H55" s="184"/>
      <c r="I55" s="184"/>
      <c r="J55" s="184"/>
      <c r="K55" s="184"/>
      <c r="L55" s="98"/>
      <c r="M55" s="98"/>
      <c r="N55" s="57"/>
      <c r="O55" s="8"/>
    </row>
    <row r="56" spans="1:15" ht="16.5" thickTop="1" x14ac:dyDescent="0.2">
      <c r="A56" s="58"/>
      <c r="B56" s="3"/>
      <c r="C56" s="3"/>
      <c r="D56" s="185" t="s">
        <v>56</v>
      </c>
      <c r="E56" s="185"/>
      <c r="F56" s="185"/>
      <c r="G56" s="185"/>
      <c r="H56" s="185"/>
      <c r="I56" s="185"/>
      <c r="J56" s="185"/>
      <c r="K56" s="185"/>
      <c r="L56" s="185"/>
      <c r="M56" s="98"/>
      <c r="N56" s="57"/>
    </row>
    <row r="57" spans="1:15" ht="15.75" x14ac:dyDescent="0.2">
      <c r="A57" s="121"/>
      <c r="B57" s="3"/>
      <c r="C57" s="3"/>
      <c r="D57" s="185"/>
      <c r="E57" s="185"/>
      <c r="F57" s="185"/>
      <c r="G57" s="185"/>
      <c r="H57" s="185"/>
      <c r="I57" s="185"/>
      <c r="J57" s="185"/>
      <c r="K57" s="185"/>
      <c r="L57" s="185"/>
      <c r="M57" s="98"/>
      <c r="N57" s="57"/>
    </row>
    <row r="58" spans="1:15" ht="12.75" customHeight="1" thickBot="1" x14ac:dyDescent="0.25">
      <c r="A58" s="120"/>
      <c r="B58" s="117"/>
      <c r="C58" s="117"/>
      <c r="D58" s="118"/>
      <c r="E58" s="118"/>
      <c r="F58" s="118"/>
      <c r="G58" s="183"/>
      <c r="H58" s="183"/>
      <c r="I58" s="183"/>
      <c r="J58" s="183"/>
      <c r="K58" s="183"/>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82"/>
      <c r="K60" s="182"/>
      <c r="L60" s="182"/>
      <c r="M60" s="182"/>
      <c r="N60" s="182"/>
    </row>
    <row r="61" spans="1:15" x14ac:dyDescent="0.2">
      <c r="B61" s="120"/>
      <c r="C61" s="120"/>
      <c r="D61" s="120"/>
      <c r="E61" s="120"/>
      <c r="F61" s="120"/>
      <c r="G61" s="120"/>
      <c r="H61" s="120"/>
      <c r="I61" s="120"/>
      <c r="J61" s="183"/>
      <c r="K61" s="183"/>
      <c r="L61" s="183"/>
      <c r="M61" s="183"/>
      <c r="N61" s="18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4:M45"/>
    <mergeCell ref="L17:M19"/>
    <mergeCell ref="J60:N61"/>
    <mergeCell ref="E55:K55"/>
    <mergeCell ref="G58:K58"/>
    <mergeCell ref="D56:L57"/>
    <mergeCell ref="D52:M53"/>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45733</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3214</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2025-03-24T11:42:51Z</cp:lastPrinted>
  <dcterms:created xsi:type="dcterms:W3CDTF">1995-05-29T15:50:39Z</dcterms:created>
  <dcterms:modified xsi:type="dcterms:W3CDTF">2025-03-24T12:27:31Z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3214</vt:r8>
  </property>
</Properties>
</file>