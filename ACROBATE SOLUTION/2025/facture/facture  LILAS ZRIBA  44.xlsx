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Facture!$E$50:$E$50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Facture!$E$50</definedName>
    <definedName name="data64">Facture!$E$51</definedName>
    <definedName name="data65">Facture!$H$52</definedName>
    <definedName name="data66">Facture!#REF!</definedName>
    <definedName name="data67">Facture!$F$55</definedName>
    <definedName name="data68">Facture!$G$55</definedName>
    <definedName name="data69">Facture!$K$55</definedName>
    <definedName name="data7">Facture!$H$22</definedName>
    <definedName name="data70">Facture!$K$56</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Facture!$L$54:$M$56</definedName>
    <definedName name="qzqzqz3">Facture!$E$21:$J$21</definedName>
    <definedName name="qzqzqz30">Facture!$G$55:$I$55</definedName>
    <definedName name="qzqzqz31">Facture!$G$55:$H$55</definedName>
    <definedName name="qzqzqz32">Facture!$L$54:$M$55</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49" i="3" l="1"/>
  <c r="M31" i="3"/>
  <c r="M32" i="3"/>
  <c r="M33" i="3"/>
  <c r="M34" i="3"/>
  <c r="M35" i="3"/>
  <c r="M36" i="3"/>
  <c r="M37" i="3"/>
  <c r="M38" i="3"/>
  <c r="M39" i="3"/>
  <c r="M27" i="3"/>
  <c r="M28" i="3"/>
  <c r="M29" i="3"/>
  <c r="M41" i="3" l="1"/>
  <c r="M43" i="3"/>
  <c r="M45" i="3"/>
  <c r="M47" i="3"/>
  <c r="M30" i="3" l="1"/>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<sst xmlns="http://schemas.openxmlformats.org/spreadsheetml/2006/main" count="94" uniqueCount="84">
  <si>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</si>
  <si>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</si>
  <si>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</si>
  <si>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</si>
  <si>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</si>
  <si>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</si>
  <si>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</si>
  <si>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</si>
  <si>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</si>
  <si>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</si>
  <si>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</si>
  <si>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</si>
  <si>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</si>
  <si>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</si>
  <si>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</si>
  <si>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</si>
  <si>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</si>
  <si>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</si>
  <si>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</si>
  <si>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</si>
  <si>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</si>
  <si>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</si>
  <si>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</si>
  <si>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</si>
  <si>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</si>
  <si>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</si>
  <si>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</si>
  <si>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</si>
  <si>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</si>
  <si>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</si>
  <si>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</si>
  <si>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</si>
  <si>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</si>
  <si>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</si>
  <si>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</si>
  <si>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</si>
  <si>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</si>
  <si>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</si>
  <si>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</si>
  <si>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</si>
  <si>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</si>
  <si>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</si>
  <si>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</si>
  <si>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</si>
  <si>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</si>
  <si>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</si>
  <si>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</si>
  <si>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</si>
  <si>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</si>
  <si>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</si>
  <si>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</si>
  <si>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</si>
  <si>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</si>
  <si>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</si>
  <si>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</si>
  <si>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</si>
  <si>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</si>
  <si>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RIB: 10 000 000 080746 3788 95</t>
  </si>
  <si>
    <t>RC:B161701999  MF:645 267 KMA 000</t>
  </si>
  <si>
    <t>SIGNATURE :</t>
  </si>
  <si>
    <t xml:space="preserve">Responsable: Service achat </t>
  </si>
  <si>
    <t xml:space="preserve">virement </t>
  </si>
  <si>
    <t xml:space="preserve">STB THAMEUR </t>
  </si>
  <si>
    <t>PAIEMENT A LA LIVRAISON</t>
  </si>
  <si>
    <t xml:space="preserve">LILAS ZRIBA </t>
  </si>
  <si>
    <t xml:space="preserve"> CONFORME 3 NORMES EN 361 - EN358 - EN813</t>
  </si>
  <si>
    <t xml:space="preserve"> CONFORME EN 355</t>
  </si>
  <si>
    <t>Enrouleur stop chute 2.5m</t>
  </si>
  <si>
    <t>Sangles d'ancrage</t>
  </si>
  <si>
    <t xml:space="preserve">Mousqueton </t>
  </si>
  <si>
    <t xml:space="preserve"> HARNAIS </t>
  </si>
  <si>
    <t xml:space="preserve"> LONGE DOUBLE ELASTIQUE </t>
  </si>
  <si>
    <t>PROTEGE COINS DE STATIONNEMENT</t>
  </si>
  <si>
    <t>COUVERTURE ANTI-FEU</t>
  </si>
  <si>
    <t>CONFORME A LA EN 1869</t>
  </si>
  <si>
    <t>KIT ABSORBANT 50 LITRE PRODUITS</t>
  </si>
  <si>
    <t>CHIMIQUES SM91</t>
  </si>
  <si>
    <t>conforme EN 360</t>
  </si>
  <si>
    <r>
      <t xml:space="preserve">Enrouleur à sangle  12M KARAM </t>
    </r>
    <r>
      <rPr>
        <sz val="14"/>
        <color rgb="FF000000"/>
        <rFont val="Arial Black"/>
        <family val="2"/>
      </rPr>
      <t xml:space="preserve"> </t>
    </r>
  </si>
  <si>
    <r>
      <t xml:space="preserve">Réf commande: </t>
    </r>
    <r>
      <rPr>
        <b/>
        <sz val="14"/>
        <rFont val="Arial"/>
        <family val="2"/>
      </rPr>
      <t xml:space="preserve">OA252387 SITE : USINE ZRIBA </t>
    </r>
  </si>
  <si>
    <t>MF:492586Z/A/M/000</t>
  </si>
  <si>
    <t xml:space="preserve">ARRETE LA PRESENTE FACTURE A LA SOMME DE : Treize mille cent vingt-six dinars et 700 millimes </t>
  </si>
  <si>
    <t>Date : 16/05/2025</t>
  </si>
  <si>
    <t>FACTURE N° 2025-44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</si>
</sst>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3"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sz val="16"/>
      <color theme="1"/>
      <name val="Arial"/>
      <family val="2"/>
    </font>
    <font>
      <b/>
      <u/>
      <sz val="20"/>
      <color rgb="FFC00000"/>
      <name val="Arial"/>
      <family val="2"/>
    </font>
    <font>
      <u/>
      <sz val="16"/>
      <color theme="10"/>
      <name val="Arial"/>
      <family val="2"/>
    </font>
    <font>
      <b/>
      <sz val="16"/>
      <name val="Arial"/>
      <family val="2"/>
    </font>
    <font>
      <b/>
      <sz val="16"/>
      <color theme="1"/>
      <name val="Arial"/>
      <family val="2"/>
    </font>
    <font>
      <b/>
      <sz val="20"/>
      <name val="Times New Roman"/>
      <family val="1"/>
    </font>
    <font>
      <sz val="18"/>
      <name val="Arial"/>
      <family val="2"/>
    </font>
    <font>
      <b/>
      <sz val="8"/>
      <name val="Arial"/>
      <family val="2"/>
    </font>
    <font>
      <b/>
      <sz val="8"/>
      <color theme="1"/>
      <name val="Arial"/>
      <family val="2"/>
    </font>
    <font>
      <b/>
      <sz val="8"/>
      <color rgb="FF000000"/>
      <name val="Arial"/>
      <family val="2"/>
    </font>
    <font>
      <sz val="8"/>
      <color rgb="FF000000"/>
      <name val="Arial"/>
      <family val="2"/>
    </font>
    <font>
      <u/>
      <sz val="8"/>
      <color theme="10"/>
      <name val="Arial"/>
      <family val="2"/>
    </font>
    <font>
      <b/>
      <sz val="18"/>
      <color rgb="FF000000"/>
      <name val="Arial Black"/>
      <family val="2"/>
    </font>
    <font>
      <sz val="14"/>
      <color rgb="FF000000"/>
      <name val="Arial Black"/>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0" fillId="0" borderId="47" xfId="0" applyFont="1" applyFill="1" applyBorder="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0" fontId="0" fillId="0" borderId="0" xfId="0" applyFill="1" applyBorder="1" applyAlignment="1">
      <alignment vertical="top"/>
    </xf>
    <xf numFmtId="0" fontId="40" fillId="3" borderId="0" xfId="0" applyFont="1" applyFill="1" applyBorder="1" applyAlignment="1">
      <alignment horizontal="left"/>
    </xf>
    <xf numFmtId="49" fontId="41" fillId="0" borderId="0" xfId="5" applyNumberFormat="1" applyFont="1" applyFill="1" applyBorder="1" applyAlignment="1" applyProtection="1"/>
    <xf numFmtId="0" fontId="42" fillId="3" borderId="0" xfId="0" applyFont="1" applyFill="1" applyBorder="1" applyAlignment="1"/>
    <xf numFmtId="0" fontId="33" fillId="3" borderId="0" xfId="0" applyFont="1" applyFill="1" applyBorder="1" applyAlignment="1"/>
    <xf numFmtId="49" fontId="33" fillId="0" borderId="28" xfId="0" applyNumberFormat="1" applyFont="1" applyFill="1" applyBorder="1" applyAlignment="1">
      <alignment vertical="top"/>
    </xf>
    <xf numFmtId="0" fontId="33" fillId="3" borderId="38" xfId="0" applyFont="1" applyFill="1" applyBorder="1" applyAlignment="1"/>
    <xf numFmtId="49" fontId="39" fillId="0" borderId="28" xfId="5" applyNumberFormat="1" applyFont="1" applyFill="1" applyBorder="1" applyAlignment="1" applyProtection="1"/>
    <xf numFmtId="0" fontId="33" fillId="6" borderId="0" xfId="0" applyFont="1" applyFill="1" applyBorder="1" applyAlignment="1">
      <alignment horizontal="left"/>
    </xf>
    <xf numFmtId="49" fontId="43" fillId="0" borderId="28" xfId="5" applyNumberFormat="1" applyFont="1" applyFill="1" applyBorder="1" applyAlignment="1"/>
    <xf numFmtId="0" fontId="33" fillId="0" borderId="0" xfId="0" applyFont="1" applyFill="1" applyAlignment="1"/>
    <xf numFmtId="0" fontId="33" fillId="6" borderId="0" xfId="0" applyFont="1" applyFill="1"/>
    <xf numFmtId="0" fontId="33" fillId="0" borderId="38" xfId="0" applyFont="1" applyFill="1" applyBorder="1" applyAlignment="1"/>
    <xf numFmtId="2" fontId="5" fillId="6" borderId="47" xfId="0" applyNumberFormat="1" applyFont="1" applyFill="1" applyBorder="1"/>
    <xf numFmtId="0" fontId="18" fillId="3" borderId="28" xfId="0" applyFont="1" applyFill="1" applyBorder="1" applyAlignment="1">
      <alignment horizontal="center"/>
    </xf>
    <xf numFmtId="0" fontId="18" fillId="3" borderId="28" xfId="0" applyFont="1" applyFill="1" applyBorder="1" applyAlignment="1"/>
    <xf numFmtId="0" fontId="18" fillId="3" borderId="0" xfId="0" applyFont="1" applyFill="1" applyBorder="1" applyAlignment="1"/>
    <xf numFmtId="0" fontId="18" fillId="3" borderId="38" xfId="0" applyFont="1" applyFill="1" applyBorder="1" applyAlignment="1"/>
    <xf numFmtId="0" fontId="18" fillId="3" borderId="29" xfId="0" applyFont="1" applyFill="1" applyBorder="1" applyAlignment="1">
      <alignment horizontal="center"/>
    </xf>
    <xf numFmtId="49" fontId="39" fillId="0" borderId="28" xfId="0" applyNumberFormat="1" applyFont="1" applyFill="1" applyBorder="1" applyAlignment="1">
      <alignment horizontal="left" vertical="top"/>
    </xf>
    <xf numFmtId="49" fontId="41" fillId="0" borderId="0" xfId="5" applyNumberFormat="1" applyFont="1" applyFill="1" applyBorder="1" applyAlignment="1" applyProtection="1">
      <alignment horizontal="left" vertical="top"/>
    </xf>
    <xf numFmtId="0" fontId="42" fillId="3" borderId="0" xfId="0" applyFont="1" applyFill="1" applyBorder="1" applyAlignment="1">
      <alignment horizontal="left" vertical="top"/>
    </xf>
    <xf numFmtId="0" fontId="33" fillId="3" borderId="0" xfId="0" applyFont="1" applyFill="1" applyBorder="1" applyAlignment="1">
      <alignment horizontal="left" vertical="top"/>
    </xf>
    <xf numFmtId="0" fontId="9" fillId="0" borderId="28" xfId="0" applyFont="1" applyFill="1" applyBorder="1" applyAlignment="1">
      <alignment horizontal="center"/>
    </xf>
    <xf numFmtId="49" fontId="47" fillId="0" borderId="28" xfId="5" applyNumberFormat="1" applyFont="1" applyFill="1" applyBorder="1" applyAlignment="1"/>
    <xf numFmtId="0" fontId="9" fillId="0" borderId="0" xfId="0" applyFont="1" applyFill="1" applyAlignment="1"/>
    <xf numFmtId="0" fontId="9" fillId="0" borderId="38" xfId="0" applyFont="1" applyFill="1" applyBorder="1" applyAlignment="1"/>
    <xf numFmtId="168" fontId="9" fillId="0" borderId="29" xfId="0" applyNumberFormat="1" applyFont="1" applyFill="1" applyBorder="1" applyAlignment="1"/>
    <xf numFmtId="0" fontId="9" fillId="3" borderId="0" xfId="0" applyNumberFormat="1" applyFont="1" applyFill="1" applyBorder="1" applyAlignment="1"/>
    <xf numFmtId="0" fontId="9" fillId="2" borderId="0" xfId="0" applyFont="1"/>
    <xf numFmtId="0" fontId="9" fillId="3" borderId="6" xfId="0" applyFont="1" applyFill="1" applyBorder="1"/>
    <xf numFmtId="0" fontId="9" fillId="3" borderId="0" xfId="0" applyFont="1" applyFill="1" applyBorder="1"/>
    <xf numFmtId="0" fontId="48" fillId="7" borderId="49" xfId="0" applyFont="1" applyFill="1" applyBorder="1"/>
    <xf numFmtId="0" fontId="9" fillId="7" borderId="0" xfId="0" applyFont="1" applyFill="1"/>
    <xf numFmtId="0" fontId="49" fillId="7" borderId="0" xfId="0" applyFont="1" applyFill="1" applyAlignment="1"/>
    <xf numFmtId="0" fontId="9" fillId="3" borderId="7" xfId="0" applyFont="1" applyFill="1" applyBorder="1"/>
    <xf numFmtId="49" fontId="46" fillId="0" borderId="28" xfId="0" applyNumberFormat="1" applyFont="1" applyFill="1" applyBorder="1" applyAlignment="1"/>
    <xf numFmtId="49" fontId="50" fillId="0" borderId="0" xfId="5" applyNumberFormat="1" applyFont="1" applyFill="1" applyBorder="1" applyAlignment="1" applyProtection="1"/>
    <xf numFmtId="0" fontId="46" fillId="3" borderId="0" xfId="0" applyFont="1" applyFill="1" applyBorder="1" applyAlignment="1"/>
    <xf numFmtId="0" fontId="9" fillId="3" borderId="0" xfId="0" applyFont="1" applyFill="1" applyBorder="1" applyAlignment="1"/>
    <xf numFmtId="49" fontId="33" fillId="0" borderId="28" xfId="0" applyNumberFormat="1" applyFont="1" applyFill="1" applyBorder="1" applyAlignment="1"/>
    <xf numFmtId="1" fontId="33" fillId="0" borderId="29" xfId="0" applyNumberFormat="1" applyFont="1" applyFill="1" applyBorder="1" applyAlignment="1">
      <alignment horizontal="center"/>
    </xf>
    <xf numFmtId="0" fontId="33" fillId="3" borderId="28" xfId="0" applyFont="1" applyFill="1" applyBorder="1" applyAlignment="1">
      <alignment horizontal="center"/>
    </xf>
    <xf numFmtId="1" fontId="33" fillId="0" borderId="44" xfId="0" applyNumberFormat="1" applyFont="1" applyFill="1" applyBorder="1" applyAlignment="1">
      <alignment horizontal="center"/>
    </xf>
    <xf numFmtId="0" fontId="51" fillId="7" borderId="49" xfId="0" applyFont="1" applyFill="1" applyBorder="1"/>
    <xf numFmtId="49" fontId="51" fillId="0" borderId="28" xfId="0" applyNumberFormat="1" applyFont="1" applyFill="1" applyBorder="1" applyAlignment="1">
      <alignment vertical="top"/>
    </xf>
    <xf numFmtId="49" fontId="51" fillId="0" borderId="28" xfId="0" applyNumberFormat="1" applyFont="1" applyFill="1" applyBorder="1" applyAlignment="1"/>
    <xf numFmtId="49" fontId="51" fillId="0" borderId="28" xfId="5" applyNumberFormat="1" applyFont="1" applyFill="1" applyBorder="1" applyAlignment="1" applyProtection="1"/>
    <xf numFmtId="49" fontId="51" fillId="0" borderId="28" xfId="5" applyNumberFormat="1" applyFont="1" applyFill="1" applyBorder="1" applyAlignment="1"/>
    <xf numFmtId="0" fontId="28" fillId="0" borderId="0" xfId="0" applyFont="1" applyFill="1" applyBorder="1" applyAlignment="1">
      <alignment vertical="top"/>
    </xf>
    <xf numFmtId="168" fontId="27" fillId="0" borderId="29" xfId="0" applyNumberFormat="1" applyFont="1" applyFill="1" applyBorder="1" applyAlignment="1"/>
    <xf numFmtId="168" fontId="29" fillId="0" borderId="29" xfId="0" applyNumberFormat="1" applyFont="1" applyFill="1" applyBorder="1" applyAlignment="1">
      <alignment horizontal="center" shrinkToFit="1"/>
    </xf>
    <xf numFmtId="168" fontId="46" fillId="0" borderId="29" xfId="0" applyNumberFormat="1" applyFont="1" applyFill="1" applyBorder="1" applyAlignment="1">
      <alignment horizontal="center" shrinkToFit="1"/>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8" fillId="3" borderId="33" xfId="0" applyNumberFormat="1" applyFont="1" applyFill="1" applyBorder="1" applyAlignment="1"/>
    <xf numFmtId="0" fontId="18" fillId="2" borderId="33" xfId="0" applyFont="1" applyBorder="1" applyAlignment="1"/>
    <xf numFmtId="0" fontId="44" fillId="3" borderId="40" xfId="0" applyFont="1" applyFill="1" applyBorder="1" applyAlignment="1">
      <alignment horizontal="center" vertical="center" wrapText="1" shrinkToFit="1"/>
    </xf>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38" fillId="3" borderId="33" xfId="0" applyNumberFormat="1" applyFont="1" applyFill="1" applyBorder="1" applyAlignment="1"/>
    <xf numFmtId="0" fontId="38"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51" fillId="3" borderId="28" xfId="0" applyNumberFormat="1" applyFont="1" applyFill="1" applyBorder="1" applyAlignment="1">
      <alignment horizontal="left" vertical="top" shrinkToFit="1"/>
    </xf>
    <xf numFmtId="49" fontId="51" fillId="3" borderId="0" xfId="0" applyNumberFormat="1" applyFont="1" applyFill="1" applyBorder="1" applyAlignment="1">
      <alignment horizontal="left" vertical="top" shrinkToFit="1"/>
    </xf>
    <xf numFmtId="49" fontId="51" fillId="3" borderId="38" xfId="0" applyNumberFormat="1" applyFont="1" applyFill="1" applyBorder="1" applyAlignment="1">
      <alignment horizontal="left" vertical="top" shrinkToFit="1"/>
    </xf>
    <xf numFmtId="49" fontId="51" fillId="0" borderId="28" xfId="0" applyNumberFormat="1" applyFont="1" applyFill="1" applyBorder="1" applyAlignment="1">
      <alignment horizontal="left" vertical="top" wrapText="1" shrinkToFit="1"/>
    </xf>
    <xf numFmtId="49" fontId="51" fillId="0" borderId="0" xfId="0" applyNumberFormat="1" applyFont="1" applyFill="1" applyBorder="1" applyAlignment="1">
      <alignment horizontal="left" vertical="top" shrinkToFit="1"/>
    </xf>
    <xf numFmtId="49" fontId="51" fillId="0" borderId="38" xfId="0" applyNumberFormat="1" applyFont="1" applyFill="1" applyBorder="1" applyAlignment="1">
      <alignment horizontal="left" vertical="top" shrinkToFit="1"/>
    </xf>
    <xf numFmtId="0" fontId="28" fillId="3" borderId="0" xfId="0" applyFont="1" applyFill="1" applyBorder="1" applyAlignment="1">
      <alignment wrapText="1" shrinkToFit="1"/>
    </xf>
    <xf numFmtId="0" fontId="45" fillId="3" borderId="0" xfId="0" applyFont="1" applyFill="1" applyBorder="1" applyAlignment="1">
      <alignment wrapText="1" shrinkToFit="1"/>
    </xf>
    <xf numFmtId="0" fontId="5" fillId="3" borderId="0" xfId="0" applyFont="1" applyFill="1" applyBorder="1" applyAlignment="1">
      <alignment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1301749</xdr:colOff>
      <xdr:row>5</xdr:row>
      <xdr:rowOff>47625</xdr:rowOff>
    </xdr:from>
    <xdr:to>
      <xdr:col>12</xdr:col>
      <xdr:colOff>523874</xdr:colOff>
      <xdr:row>10</xdr:row>
      <xdr:rowOff>47625</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40874" y="619125"/>
          <a:ext cx="2206625" cy="85725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904876</xdr:colOff>
      <xdr:row>3</xdr:row>
      <xdr:rowOff>142875</xdr:rowOff>
    </xdr:from>
    <xdr:to>
      <xdr:col>12</xdr:col>
      <xdr:colOff>2174876</xdr:colOff>
      <xdr:row>10</xdr:row>
      <xdr:rowOff>4390</xdr:rowOff>
    </xdr:to>
    <xdr:pic>
      <xdr:nvPicPr>
        <xdr:cNvPr id="11" name="Imag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28501" y="396875"/>
          <a:ext cx="1270000" cy="10362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82" t="s">
        <v>0</v>
      </c>
      <c r="E4" s="183"/>
      <c r="F4" s="183"/>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84" t="s">
        <v>2</v>
      </c>
      <c r="E10" s="185"/>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86" t="s">
        <v>45</v>
      </c>
      <c r="E19" s="185"/>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87" t="str">
        <f>LOWER(TemplateInformation!B3)</f>
        <v>c:\program files\microsoft office\office\macrolib\factbd.xls</v>
      </c>
      <c r="G33" s="188"/>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84" t="s">
        <v>16</v>
      </c>
      <c r="E36" s="185"/>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3" zoomScale="60" zoomScaleNormal="60" workbookViewId="0">
      <selection activeCell="E20" sqref="E20:J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1"/>
      <c r="K7" s="101"/>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99" t="s">
        <v>58</v>
      </c>
      <c r="E16" s="72"/>
      <c r="F16" s="72"/>
      <c r="G16" s="72"/>
      <c r="H16" s="3"/>
      <c r="I16" s="3"/>
      <c r="J16" s="3"/>
      <c r="K16" s="3"/>
      <c r="L16" s="191" t="s">
        <v>83</v>
      </c>
      <c r="M16" s="3"/>
      <c r="N16" s="3"/>
      <c r="O16" s="8"/>
    </row>
    <row r="17" spans="1:16" ht="21.95" customHeight="1" thickTop="1" x14ac:dyDescent="0.3">
      <c r="B17" s="7"/>
      <c r="C17" s="3"/>
      <c r="D17" s="53"/>
      <c r="E17" s="53"/>
      <c r="F17" s="53"/>
      <c r="G17" s="53"/>
      <c r="H17" s="53"/>
      <c r="I17" s="53"/>
      <c r="J17" s="54"/>
      <c r="K17" s="54"/>
      <c r="L17" s="192"/>
      <c r="M17" s="54"/>
      <c r="N17" s="18"/>
      <c r="O17" s="8"/>
    </row>
    <row r="18" spans="1:16" ht="21.95" customHeight="1" thickBot="1" x14ac:dyDescent="0.25">
      <c r="B18" s="7"/>
      <c r="C18" s="3"/>
      <c r="D18" s="3"/>
      <c r="E18" s="3"/>
      <c r="F18" s="3"/>
      <c r="G18" s="3"/>
      <c r="H18" s="3"/>
      <c r="I18" s="3"/>
      <c r="J18" s="3"/>
      <c r="K18" s="3"/>
      <c r="L18" s="193"/>
      <c r="M18" s="3"/>
      <c r="N18" s="3"/>
      <c r="O18" s="8"/>
    </row>
    <row r="19" spans="1:16" ht="13.5" thickTop="1" x14ac:dyDescent="0.2">
      <c r="B19" s="7"/>
      <c r="C19" s="3"/>
      <c r="D19" s="3"/>
      <c r="E19" s="3"/>
      <c r="F19" s="3"/>
      <c r="G19" s="3"/>
      <c r="H19" s="3"/>
      <c r="I19" s="3"/>
      <c r="J19" s="3"/>
      <c r="K19" s="3"/>
      <c r="L19" s="3"/>
      <c r="M19" s="3"/>
      <c r="N19" s="3"/>
      <c r="O19" s="8"/>
    </row>
    <row r="20" spans="1:16" ht="33.75" x14ac:dyDescent="0.5">
      <c r="B20" s="7"/>
      <c r="C20" s="3"/>
      <c r="D20" s="96" t="s">
        <v>52</v>
      </c>
      <c r="E20" s="196" t="s">
        <v>64</v>
      </c>
      <c r="F20" s="197"/>
      <c r="G20" s="197"/>
      <c r="H20" s="197"/>
      <c r="I20" s="197"/>
      <c r="J20" s="197"/>
      <c r="K20" s="97"/>
      <c r="L20" s="194" t="s">
        <v>82</v>
      </c>
      <c r="M20" s="194"/>
      <c r="N20" s="50"/>
      <c r="O20" s="8"/>
    </row>
    <row r="21" spans="1:16" ht="33.75" x14ac:dyDescent="0.5">
      <c r="B21" s="7"/>
      <c r="C21" s="3"/>
      <c r="D21" s="96" t="s">
        <v>53</v>
      </c>
      <c r="E21" s="189"/>
      <c r="F21" s="190"/>
      <c r="G21" s="190"/>
      <c r="H21" s="190"/>
      <c r="I21" s="190"/>
      <c r="J21" s="190"/>
      <c r="K21" s="122"/>
      <c r="L21" s="124" t="s">
        <v>79</v>
      </c>
      <c r="M21" s="124"/>
      <c r="N21" s="51"/>
      <c r="O21" s="8"/>
    </row>
    <row r="22" spans="1:16" ht="33.75" x14ac:dyDescent="0.5">
      <c r="B22" s="7"/>
      <c r="C22" s="3"/>
      <c r="D22" s="96" t="s">
        <v>54</v>
      </c>
      <c r="E22" s="125"/>
      <c r="F22" s="123" t="s">
        <v>8</v>
      </c>
      <c r="G22" s="201"/>
      <c r="H22" s="201"/>
      <c r="I22" s="123" t="s">
        <v>9</v>
      </c>
      <c r="J22" s="116"/>
      <c r="K22" s="97"/>
      <c r="L22" s="195" t="s">
        <v>60</v>
      </c>
      <c r="M22" s="195"/>
      <c r="N22" s="3"/>
      <c r="O22" s="8"/>
    </row>
    <row r="23" spans="1:16" ht="33.75" x14ac:dyDescent="0.5">
      <c r="B23" s="7"/>
      <c r="C23" s="3"/>
      <c r="D23" s="96" t="s">
        <v>55</v>
      </c>
      <c r="E23" s="198"/>
      <c r="F23" s="199"/>
      <c r="G23" s="199"/>
      <c r="H23" s="199"/>
      <c r="I23" s="199"/>
      <c r="J23" s="199"/>
      <c r="K23" s="97"/>
      <c r="L23" s="195" t="s">
        <v>80</v>
      </c>
      <c r="M23" s="195"/>
      <c r="N23" s="3"/>
      <c r="O23" s="8"/>
    </row>
    <row r="24" spans="1:16" x14ac:dyDescent="0.2">
      <c r="B24" s="7"/>
      <c r="C24" s="3"/>
      <c r="D24" s="70"/>
      <c r="E24" s="70"/>
      <c r="F24" s="70"/>
      <c r="G24" s="70"/>
      <c r="H24" s="70"/>
      <c r="I24" s="70"/>
      <c r="J24" s="70"/>
      <c r="K24" s="70"/>
      <c r="L24" s="70"/>
      <c r="M24" s="70"/>
      <c r="N24" s="3"/>
      <c r="O24" s="8"/>
    </row>
    <row r="25" spans="1:16" ht="18" x14ac:dyDescent="0.25">
      <c r="B25" s="7"/>
      <c r="C25" s="3"/>
      <c r="D25" s="85" t="s">
        <v>34</v>
      </c>
      <c r="E25" s="85" t="s">
        <v>21</v>
      </c>
      <c r="F25" s="202" t="s">
        <v>22</v>
      </c>
      <c r="G25" s="203"/>
      <c r="H25" s="203"/>
      <c r="I25" s="203"/>
      <c r="J25" s="203"/>
      <c r="K25" s="204"/>
      <c r="L25" s="85" t="s">
        <v>23</v>
      </c>
      <c r="M25" s="86" t="s">
        <v>24</v>
      </c>
      <c r="N25" s="87"/>
      <c r="O25" s="8"/>
    </row>
    <row r="26" spans="1:16" ht="18" x14ac:dyDescent="0.25">
      <c r="B26" s="7"/>
      <c r="C26" s="3"/>
      <c r="D26" s="143"/>
      <c r="E26" s="143"/>
      <c r="F26" s="144"/>
      <c r="G26" s="145"/>
      <c r="H26" s="145"/>
      <c r="I26" s="145"/>
      <c r="J26" s="145"/>
      <c r="K26" s="146"/>
      <c r="L26" s="143"/>
      <c r="M26" s="147"/>
      <c r="N26" s="87"/>
      <c r="O26" s="8"/>
    </row>
    <row r="27" spans="1:16" ht="31.5" x14ac:dyDescent="0.5">
      <c r="B27" s="7"/>
      <c r="C27" s="3"/>
      <c r="D27" s="143"/>
      <c r="E27" s="171">
        <v>4</v>
      </c>
      <c r="F27" s="173" t="s">
        <v>70</v>
      </c>
      <c r="G27" s="145"/>
      <c r="H27" s="145"/>
      <c r="I27" s="145"/>
      <c r="J27" s="145"/>
      <c r="K27" s="146"/>
      <c r="L27" s="98">
        <v>500</v>
      </c>
      <c r="M27" s="180">
        <f t="shared" ref="M27:M39" si="0">IF(E27&lt;&gt;"",E27*L27,"")</f>
        <v>2000</v>
      </c>
      <c r="N27" s="87"/>
      <c r="O27" s="8"/>
    </row>
    <row r="28" spans="1:16" ht="30" x14ac:dyDescent="0.4">
      <c r="B28" s="7"/>
      <c r="C28" s="3"/>
      <c r="D28" s="143"/>
      <c r="E28" s="171"/>
      <c r="F28" s="134" t="s">
        <v>65</v>
      </c>
      <c r="G28" s="145"/>
      <c r="H28" s="145"/>
      <c r="I28" s="145"/>
      <c r="J28" s="145"/>
      <c r="K28" s="146"/>
      <c r="L28" s="98"/>
      <c r="M28" s="180" t="str">
        <f t="shared" si="0"/>
        <v/>
      </c>
      <c r="N28" s="87"/>
      <c r="O28" s="8"/>
    </row>
    <row r="29" spans="1:16" ht="20.25" x14ac:dyDescent="0.3">
      <c r="B29" s="7"/>
      <c r="C29" s="3"/>
      <c r="D29" s="152"/>
      <c r="E29" s="170"/>
      <c r="F29" s="153"/>
      <c r="G29" s="154"/>
      <c r="H29" s="154"/>
      <c r="I29" s="154"/>
      <c r="J29" s="154"/>
      <c r="K29" s="155"/>
      <c r="L29" s="156"/>
      <c r="M29" s="181" t="str">
        <f t="shared" si="0"/>
        <v/>
      </c>
      <c r="N29" s="157"/>
      <c r="O29" s="8"/>
    </row>
    <row r="30" spans="1:16" ht="30" x14ac:dyDescent="0.4">
      <c r="B30" s="7"/>
      <c r="C30" s="3"/>
      <c r="D30" s="117"/>
      <c r="E30" s="170">
        <v>4</v>
      </c>
      <c r="F30" s="205" t="s">
        <v>71</v>
      </c>
      <c r="G30" s="206"/>
      <c r="H30" s="206"/>
      <c r="I30" s="206"/>
      <c r="J30" s="206"/>
      <c r="K30" s="207"/>
      <c r="L30" s="98">
        <v>300</v>
      </c>
      <c r="M30" s="180">
        <f t="shared" si="0"/>
        <v>1200</v>
      </c>
      <c r="N30" s="52"/>
      <c r="O30" s="8"/>
    </row>
    <row r="31" spans="1:16" ht="30" x14ac:dyDescent="0.4">
      <c r="B31" s="7"/>
      <c r="C31" s="3"/>
      <c r="D31" s="117"/>
      <c r="E31" s="170"/>
      <c r="F31" s="148" t="s">
        <v>66</v>
      </c>
      <c r="G31" s="149"/>
      <c r="H31" s="149"/>
      <c r="I31" s="150"/>
      <c r="J31" s="150"/>
      <c r="K31" s="151"/>
      <c r="L31" s="98"/>
      <c r="M31" s="180" t="str">
        <f t="shared" si="0"/>
        <v/>
      </c>
      <c r="N31" s="52"/>
      <c r="O31" s="8"/>
    </row>
    <row r="32" spans="1:16" ht="26.25" x14ac:dyDescent="0.4">
      <c r="A32" s="158"/>
      <c r="B32" s="159"/>
      <c r="C32" s="160"/>
      <c r="D32" s="152"/>
      <c r="E32" s="170"/>
      <c r="F32" s="161"/>
      <c r="G32" s="162"/>
      <c r="H32" s="163"/>
      <c r="I32" s="162"/>
      <c r="J32" s="162"/>
      <c r="K32" s="163"/>
      <c r="L32" s="156"/>
      <c r="M32" s="180" t="str">
        <f t="shared" si="0"/>
        <v/>
      </c>
      <c r="N32" s="157"/>
      <c r="O32" s="164"/>
      <c r="P32" s="158"/>
    </row>
    <row r="33" spans="2:16" ht="30" x14ac:dyDescent="0.4">
      <c r="B33" s="7"/>
      <c r="C33" s="3"/>
      <c r="D33" s="117"/>
      <c r="E33" s="170">
        <v>10</v>
      </c>
      <c r="F33" s="174" t="s">
        <v>72</v>
      </c>
      <c r="G33" s="131"/>
      <c r="H33" s="132"/>
      <c r="I33" s="132"/>
      <c r="J33" s="132"/>
      <c r="K33" s="135"/>
      <c r="L33" s="98">
        <v>100</v>
      </c>
      <c r="M33" s="180">
        <f t="shared" si="0"/>
        <v>1000</v>
      </c>
      <c r="N33" s="52"/>
      <c r="O33" s="8"/>
    </row>
    <row r="34" spans="2:16" ht="26.25" x14ac:dyDescent="0.4">
      <c r="B34" s="7"/>
      <c r="C34" s="160"/>
      <c r="D34" s="152"/>
      <c r="E34" s="170"/>
      <c r="F34" s="165"/>
      <c r="G34" s="166"/>
      <c r="H34" s="167"/>
      <c r="I34" s="167"/>
      <c r="J34" s="167"/>
      <c r="K34" s="168"/>
      <c r="L34" s="156"/>
      <c r="M34" s="180" t="str">
        <f t="shared" si="0"/>
        <v/>
      </c>
      <c r="N34" s="157"/>
      <c r="O34" s="164"/>
      <c r="P34" s="158"/>
    </row>
    <row r="35" spans="2:16" ht="31.5" x14ac:dyDescent="0.5">
      <c r="B35" s="7"/>
      <c r="C35" s="3"/>
      <c r="D35" s="117"/>
      <c r="E35" s="170">
        <v>10</v>
      </c>
      <c r="F35" s="175" t="s">
        <v>73</v>
      </c>
      <c r="G35" s="131"/>
      <c r="H35" s="132"/>
      <c r="I35" s="132"/>
      <c r="J35" s="132"/>
      <c r="K35" s="133"/>
      <c r="L35" s="98">
        <v>162</v>
      </c>
      <c r="M35" s="180">
        <f t="shared" si="0"/>
        <v>1620</v>
      </c>
      <c r="N35" s="52"/>
      <c r="O35" s="8"/>
    </row>
    <row r="36" spans="2:16" ht="30" x14ac:dyDescent="0.4">
      <c r="B36" s="7"/>
      <c r="C36" s="3"/>
      <c r="D36" s="117"/>
      <c r="E36" s="170"/>
      <c r="F36" s="136" t="s">
        <v>74</v>
      </c>
      <c r="G36" s="131"/>
      <c r="H36" s="131"/>
      <c r="I36" s="131"/>
      <c r="J36" s="131"/>
      <c r="K36" s="133"/>
      <c r="L36" s="98"/>
      <c r="M36" s="180" t="str">
        <f t="shared" si="0"/>
        <v/>
      </c>
      <c r="N36" s="52"/>
      <c r="O36" s="8"/>
    </row>
    <row r="37" spans="2:16" ht="30" x14ac:dyDescent="0.4">
      <c r="B37" s="7"/>
      <c r="C37" s="3"/>
      <c r="D37" s="117"/>
      <c r="E37" s="170"/>
      <c r="F37" s="136"/>
      <c r="G37" s="131"/>
      <c r="H37" s="131"/>
      <c r="I37" s="131"/>
      <c r="J37" s="131"/>
      <c r="K37" s="133"/>
      <c r="L37" s="98"/>
      <c r="M37" s="180" t="str">
        <f t="shared" si="0"/>
        <v/>
      </c>
      <c r="N37" s="52"/>
      <c r="O37" s="8"/>
    </row>
    <row r="38" spans="2:16" ht="31.5" x14ac:dyDescent="0.5">
      <c r="B38" s="7"/>
      <c r="C38" s="3"/>
      <c r="D38" s="117"/>
      <c r="E38" s="170">
        <v>3</v>
      </c>
      <c r="F38" s="176" t="s">
        <v>75</v>
      </c>
      <c r="G38" s="131"/>
      <c r="H38" s="131"/>
      <c r="I38" s="131"/>
      <c r="J38" s="131"/>
      <c r="K38" s="133"/>
      <c r="L38" s="98">
        <v>480</v>
      </c>
      <c r="M38" s="180">
        <f t="shared" si="0"/>
        <v>1440</v>
      </c>
      <c r="N38" s="52"/>
      <c r="O38" s="8"/>
    </row>
    <row r="39" spans="2:16" ht="30" x14ac:dyDescent="0.4">
      <c r="B39" s="7"/>
      <c r="C39" s="3"/>
      <c r="D39" s="117"/>
      <c r="E39" s="170"/>
      <c r="F39" s="169" t="s">
        <v>76</v>
      </c>
      <c r="G39" s="131"/>
      <c r="H39" s="131"/>
      <c r="I39" s="131"/>
      <c r="J39" s="131"/>
      <c r="K39" s="137"/>
      <c r="L39" s="98"/>
      <c r="M39" s="180" t="str">
        <f t="shared" si="0"/>
        <v/>
      </c>
      <c r="N39" s="52"/>
      <c r="O39" s="8"/>
    </row>
    <row r="40" spans="2:16" ht="30" x14ac:dyDescent="0.4">
      <c r="B40" s="7"/>
      <c r="C40" s="3"/>
      <c r="D40" s="117"/>
      <c r="E40" s="170"/>
      <c r="F40" s="169"/>
      <c r="G40" s="131"/>
      <c r="H40" s="131"/>
      <c r="I40" s="131"/>
      <c r="J40" s="131"/>
      <c r="K40" s="137"/>
      <c r="L40" s="98"/>
      <c r="M40" s="179"/>
      <c r="N40" s="52"/>
      <c r="O40" s="8"/>
    </row>
    <row r="41" spans="2:16" ht="30" x14ac:dyDescent="0.4">
      <c r="B41" s="7"/>
      <c r="C41" s="3"/>
      <c r="D41" s="117"/>
      <c r="E41" s="170">
        <v>4</v>
      </c>
      <c r="F41" s="208" t="s">
        <v>67</v>
      </c>
      <c r="G41" s="209"/>
      <c r="H41" s="209"/>
      <c r="I41" s="209"/>
      <c r="J41" s="209"/>
      <c r="K41" s="210"/>
      <c r="L41" s="98">
        <v>550</v>
      </c>
      <c r="M41" s="179">
        <f t="shared" ref="M41:M47" si="1">+L41*E41</f>
        <v>2200</v>
      </c>
      <c r="N41" s="52"/>
      <c r="O41" s="8"/>
    </row>
    <row r="42" spans="2:16" ht="30" x14ac:dyDescent="0.4">
      <c r="B42" s="7"/>
      <c r="C42" s="3"/>
      <c r="D42" s="117"/>
      <c r="E42" s="170"/>
      <c r="F42" s="138"/>
      <c r="G42" s="139"/>
      <c r="H42" s="140"/>
      <c r="I42" s="139"/>
      <c r="J42" s="139"/>
      <c r="K42" s="141"/>
      <c r="L42" s="98"/>
      <c r="M42" s="179"/>
      <c r="N42" s="52"/>
      <c r="O42" s="8"/>
    </row>
    <row r="43" spans="2:16" ht="31.5" x14ac:dyDescent="0.5">
      <c r="B43" s="7"/>
      <c r="C43" s="3"/>
      <c r="D43" s="117"/>
      <c r="E43" s="170">
        <v>4</v>
      </c>
      <c r="F43" s="177" t="s">
        <v>68</v>
      </c>
      <c r="G43" s="139"/>
      <c r="H43" s="140"/>
      <c r="I43" s="139"/>
      <c r="J43" s="139"/>
      <c r="K43" s="141"/>
      <c r="L43" s="98">
        <v>50</v>
      </c>
      <c r="M43" s="179">
        <f t="shared" si="1"/>
        <v>200</v>
      </c>
      <c r="N43" s="52"/>
      <c r="O43" s="8"/>
    </row>
    <row r="44" spans="2:16" ht="30" x14ac:dyDescent="0.4">
      <c r="B44" s="7"/>
      <c r="C44" s="3"/>
      <c r="D44" s="117"/>
      <c r="E44" s="170"/>
      <c r="F44" s="128"/>
      <c r="G44" s="139"/>
      <c r="H44" s="140"/>
      <c r="I44" s="139"/>
      <c r="J44" s="139"/>
      <c r="K44" s="141"/>
      <c r="L44" s="98"/>
      <c r="M44" s="179"/>
      <c r="N44" s="52"/>
      <c r="O44" s="8"/>
    </row>
    <row r="45" spans="2:16" ht="31.5" x14ac:dyDescent="0.5">
      <c r="B45" s="7"/>
      <c r="C45" s="3"/>
      <c r="D45" s="117"/>
      <c r="E45" s="170">
        <v>1</v>
      </c>
      <c r="F45" s="177" t="s">
        <v>78</v>
      </c>
      <c r="G45" s="139"/>
      <c r="H45" s="140"/>
      <c r="I45" s="139"/>
      <c r="J45" s="139"/>
      <c r="K45" s="141"/>
      <c r="L45" s="98">
        <v>1250</v>
      </c>
      <c r="M45" s="179">
        <f t="shared" si="1"/>
        <v>1250</v>
      </c>
      <c r="N45" s="52"/>
      <c r="O45" s="8"/>
    </row>
    <row r="46" spans="2:16" ht="30" x14ac:dyDescent="0.4">
      <c r="B46" s="7"/>
      <c r="C46" s="3"/>
      <c r="D46" s="117"/>
      <c r="E46" s="170"/>
      <c r="F46" s="128" t="s">
        <v>77</v>
      </c>
      <c r="G46" s="139"/>
      <c r="H46" s="140"/>
      <c r="I46" s="139"/>
      <c r="J46" s="139"/>
      <c r="K46" s="141"/>
      <c r="L46" s="98"/>
      <c r="M46" s="179"/>
      <c r="N46" s="52"/>
      <c r="O46" s="8"/>
    </row>
    <row r="47" spans="2:16" ht="31.5" x14ac:dyDescent="0.5">
      <c r="B47" s="7"/>
      <c r="C47" s="3"/>
      <c r="D47" s="117"/>
      <c r="E47" s="170">
        <v>5</v>
      </c>
      <c r="F47" s="177" t="s">
        <v>69</v>
      </c>
      <c r="G47" s="139"/>
      <c r="H47" s="140"/>
      <c r="I47" s="139"/>
      <c r="J47" s="139"/>
      <c r="K47" s="141"/>
      <c r="L47" s="98">
        <v>24</v>
      </c>
      <c r="M47" s="179">
        <f t="shared" si="1"/>
        <v>120</v>
      </c>
      <c r="N47" s="52"/>
      <c r="O47" s="8"/>
    </row>
    <row r="48" spans="2:16" ht="30" x14ac:dyDescent="0.4">
      <c r="B48" s="7"/>
      <c r="C48" s="3"/>
      <c r="D48" s="107"/>
      <c r="E48" s="172"/>
      <c r="F48" s="142"/>
      <c r="G48" s="118"/>
      <c r="H48" s="118"/>
      <c r="I48" s="118"/>
      <c r="J48" s="118"/>
      <c r="K48" s="119"/>
      <c r="L48" s="98"/>
      <c r="M48" s="98"/>
      <c r="N48" s="52"/>
      <c r="O48" s="8"/>
    </row>
    <row r="49" spans="1:16" ht="35.25" x14ac:dyDescent="0.5">
      <c r="B49" s="7"/>
      <c r="C49" s="3"/>
      <c r="D49" s="113"/>
      <c r="E49" s="114"/>
      <c r="F49" s="115"/>
      <c r="G49" s="115"/>
      <c r="H49" s="115"/>
      <c r="I49" s="115"/>
      <c r="J49" s="115"/>
      <c r="K49" s="115"/>
      <c r="L49" s="108" t="s">
        <v>25</v>
      </c>
      <c r="M49" s="109">
        <f>SUM(M27:M47)</f>
        <v>11030</v>
      </c>
      <c r="N49" s="52"/>
      <c r="O49" s="8"/>
    </row>
    <row r="50" spans="1:16" ht="35.25" x14ac:dyDescent="0.5">
      <c r="B50" s="7"/>
      <c r="C50" s="3"/>
      <c r="D50" s="95"/>
      <c r="E50" s="130" t="s">
        <v>63</v>
      </c>
      <c r="F50" s="74"/>
      <c r="G50" s="74"/>
      <c r="H50" s="74"/>
      <c r="I50" s="74"/>
      <c r="J50" s="75"/>
      <c r="K50" s="88"/>
      <c r="L50" s="110" t="s">
        <v>46</v>
      </c>
      <c r="M50" s="109">
        <v>1</v>
      </c>
      <c r="N50" s="52"/>
      <c r="O50" s="8"/>
    </row>
    <row r="51" spans="1:16" ht="35.25" x14ac:dyDescent="0.5">
      <c r="B51" s="7"/>
      <c r="C51" s="3"/>
      <c r="D51" s="92"/>
      <c r="E51" s="91" t="s">
        <v>56</v>
      </c>
      <c r="F51" s="74"/>
      <c r="G51" s="74"/>
      <c r="H51" s="74"/>
      <c r="I51" s="74"/>
      <c r="J51" s="77"/>
      <c r="K51" s="89"/>
      <c r="L51" s="111">
        <v>0.19</v>
      </c>
      <c r="M51" s="112">
        <f>+M49*0.19</f>
        <v>2095.6999999999998</v>
      </c>
      <c r="N51" s="52"/>
      <c r="O51" s="8"/>
    </row>
    <row r="52" spans="1:16" ht="35.25" x14ac:dyDescent="0.5">
      <c r="B52" s="7"/>
      <c r="C52" s="3"/>
      <c r="D52" s="120"/>
      <c r="E52" s="94" t="s">
        <v>61</v>
      </c>
      <c r="F52" s="90"/>
      <c r="G52" s="79"/>
      <c r="H52" s="78"/>
      <c r="I52" s="74"/>
      <c r="J52" s="80"/>
      <c r="K52" s="88"/>
      <c r="L52" s="110" t="s">
        <v>27</v>
      </c>
      <c r="M52" s="109">
        <f>SUM(M49:M51)</f>
        <v>13126.7</v>
      </c>
      <c r="N52" s="52"/>
      <c r="O52" s="8"/>
    </row>
    <row r="53" spans="1:16" ht="18" x14ac:dyDescent="0.2">
      <c r="B53" s="7"/>
      <c r="C53" s="3"/>
      <c r="D53" s="73"/>
      <c r="E53" s="82"/>
      <c r="F53" s="93"/>
      <c r="G53" s="74"/>
      <c r="H53" s="62"/>
      <c r="I53" s="74"/>
      <c r="J53" s="81" t="s">
        <v>26</v>
      </c>
      <c r="K53" s="75"/>
      <c r="L53" s="106"/>
      <c r="M53" s="106"/>
      <c r="N53" s="52"/>
      <c r="O53" s="8"/>
    </row>
    <row r="54" spans="1:16" ht="26.25" customHeight="1" x14ac:dyDescent="0.35">
      <c r="B54" s="7"/>
      <c r="C54" s="3"/>
      <c r="D54" s="211" t="s">
        <v>81</v>
      </c>
      <c r="E54" s="212"/>
      <c r="F54" s="212"/>
      <c r="G54" s="212"/>
      <c r="H54" s="212"/>
      <c r="I54" s="212"/>
      <c r="J54" s="212"/>
      <c r="K54" s="212"/>
      <c r="L54" s="212"/>
      <c r="M54" s="121"/>
      <c r="N54" s="52"/>
      <c r="O54" s="8"/>
    </row>
    <row r="55" spans="1:16" ht="51.75" customHeight="1" x14ac:dyDescent="0.2">
      <c r="B55" s="7"/>
      <c r="C55" s="3"/>
      <c r="D55" s="213"/>
      <c r="E55" s="213"/>
      <c r="F55" s="213"/>
      <c r="G55" s="213"/>
      <c r="H55" s="213"/>
      <c r="I55" s="213"/>
      <c r="J55" s="213"/>
      <c r="K55" s="213"/>
      <c r="L55" s="213"/>
      <c r="M55" s="178" t="s">
        <v>59</v>
      </c>
      <c r="N55" s="129"/>
      <c r="O55" s="129"/>
      <c r="P55" s="71"/>
    </row>
    <row r="56" spans="1:16" ht="23.25" x14ac:dyDescent="0.35">
      <c r="B56" s="7"/>
      <c r="C56" s="3"/>
      <c r="D56" s="127" t="s">
        <v>57</v>
      </c>
      <c r="E56" s="104"/>
      <c r="F56" s="76"/>
      <c r="G56" s="75"/>
      <c r="H56" s="75"/>
      <c r="I56" s="75"/>
      <c r="J56" s="75"/>
      <c r="K56" s="103"/>
      <c r="L56" s="100"/>
      <c r="M56" s="100"/>
      <c r="N56" s="100"/>
      <c r="O56" s="3"/>
      <c r="P56" s="71"/>
    </row>
    <row r="57" spans="1:16" ht="15" x14ac:dyDescent="0.2">
      <c r="B57" s="7"/>
      <c r="C57" s="3"/>
      <c r="D57" s="104"/>
      <c r="E57" s="104"/>
      <c r="F57" s="75"/>
      <c r="G57" s="75"/>
      <c r="H57" s="75"/>
      <c r="I57" s="75"/>
      <c r="J57" s="75"/>
      <c r="K57" s="100"/>
      <c r="L57" s="100"/>
      <c r="M57" s="100"/>
      <c r="N57" s="100"/>
      <c r="O57" s="3"/>
      <c r="P57" s="71"/>
    </row>
    <row r="58" spans="1:16" ht="18" customHeight="1" x14ac:dyDescent="0.35">
      <c r="B58" s="7"/>
      <c r="C58" s="3"/>
      <c r="D58" s="126" t="s">
        <v>62</v>
      </c>
      <c r="E58" s="102"/>
      <c r="F58" s="75"/>
      <c r="G58" s="75"/>
      <c r="H58" s="75"/>
      <c r="I58" s="75"/>
      <c r="J58" s="77"/>
      <c r="K58" s="83"/>
      <c r="L58" s="83"/>
      <c r="M58" s="84"/>
      <c r="N58" s="100"/>
      <c r="O58" s="3"/>
      <c r="P58" s="71"/>
    </row>
    <row r="59" spans="1:16" ht="18" x14ac:dyDescent="0.25">
      <c r="B59" s="7"/>
      <c r="C59" s="3"/>
      <c r="D59" s="200" t="s">
        <v>51</v>
      </c>
      <c r="E59" s="200"/>
      <c r="F59" s="200"/>
      <c r="G59" s="200"/>
      <c r="H59" s="200"/>
      <c r="I59" s="200"/>
      <c r="J59" s="200"/>
      <c r="K59" s="200"/>
      <c r="L59" s="200"/>
      <c r="M59" s="83"/>
      <c r="N59" s="87"/>
      <c r="O59" s="8"/>
    </row>
    <row r="60" spans="1:16" ht="18" x14ac:dyDescent="0.25">
      <c r="B60" s="7"/>
      <c r="C60" s="3"/>
      <c r="D60" s="200"/>
      <c r="E60" s="200"/>
      <c r="F60" s="200"/>
      <c r="G60" s="200"/>
      <c r="H60" s="200"/>
      <c r="I60" s="200"/>
      <c r="J60" s="200"/>
      <c r="K60" s="200"/>
      <c r="L60" s="200"/>
      <c r="M60" s="84"/>
      <c r="N60" s="87"/>
      <c r="O60" s="8"/>
    </row>
    <row r="61" spans="1:16" ht="15" x14ac:dyDescent="0.2">
      <c r="A61" s="105"/>
      <c r="B61" s="105"/>
      <c r="C61" s="3"/>
      <c r="D61" s="200"/>
      <c r="E61" s="200"/>
      <c r="F61" s="200"/>
      <c r="G61" s="200"/>
      <c r="H61" s="200"/>
      <c r="I61" s="200"/>
      <c r="J61" s="200"/>
      <c r="K61" s="200"/>
      <c r="L61" s="200"/>
      <c r="M61" s="84"/>
      <c r="N61" s="52"/>
      <c r="O61" s="8"/>
    </row>
    <row r="62" spans="1:16" ht="13.5" thickBot="1" x14ac:dyDescent="0.25">
      <c r="C62" s="3"/>
      <c r="D62" s="3"/>
      <c r="E62" s="3"/>
      <c r="F62" s="3"/>
      <c r="G62" s="3"/>
      <c r="H62" s="3"/>
      <c r="I62" s="3"/>
      <c r="J62" s="3"/>
      <c r="K62" s="3"/>
      <c r="L62" s="3"/>
      <c r="M62" s="3"/>
      <c r="N62" s="52"/>
      <c r="O62" s="8"/>
    </row>
    <row r="63" spans="1:16" ht="13.5" thickTop="1" x14ac:dyDescent="0.2">
      <c r="C63" s="3"/>
      <c r="D63" s="53"/>
      <c r="E63" s="53"/>
      <c r="F63" s="53"/>
      <c r="G63" s="53"/>
      <c r="H63" s="53"/>
      <c r="I63" s="53"/>
      <c r="J63" s="53"/>
      <c r="K63" s="53"/>
      <c r="L63" s="53"/>
      <c r="M63" s="53"/>
      <c r="N63" s="52"/>
      <c r="O63" s="8"/>
    </row>
    <row r="64" spans="1:16" x14ac:dyDescent="0.2">
      <c r="C64" s="105"/>
      <c r="D64" s="105"/>
      <c r="E64" s="105"/>
      <c r="F64" s="105"/>
      <c r="G64" s="105"/>
      <c r="H64" s="105"/>
      <c r="I64" s="105"/>
      <c r="J64" s="105"/>
      <c r="K64" s="105"/>
      <c r="L64" s="105"/>
      <c r="M64" s="106"/>
      <c r="N64" s="52"/>
      <c r="O64"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G22:H22"/>
    <mergeCell ref="F25:K25"/>
    <mergeCell ref="F30:K30"/>
    <mergeCell ref="F41:K41"/>
    <mergeCell ref="D54:L54"/>
    <mergeCell ref="D55:L55"/>
    <mergeCell ref="E21:J21"/>
    <mergeCell ref="L16:L18"/>
    <mergeCell ref="L20:M20"/>
    <mergeCell ref="L22:M22"/>
    <mergeCell ref="L23:M23"/>
    <mergeCell ref="E20:J20"/>
    <mergeCell ref="E23:J23"/>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type="decimal" allowBlank="1" showErrorMessage="1" errorTitle="Prix unitaire" error="Tapez un nombre dans cette cellule." promptTitle="Prix unitaire" sqref="L27:L48 M40:M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9">
      <formula1>0</formula1>
      <formula2>0</formula2>
    </dataValidation>
    <dataValidation type="whole" errorStyle="warning" allowBlank="1" showErrorMessage="1" errorTitle="Quantité" error="Tapez un nombre dans cette cellule." promptTitle="Quantité" sqref="E29:E49">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16/05/2025</v>
      </c>
      <c r="D8" s="65" t="str">
        <f>Facture!$E$20</f>
        <v xml:space="preserve">LILAS ZRIBA </v>
      </c>
      <c r="E8" s="62">
        <f>Facture!$E$21</f>
        <v>0</v>
      </c>
      <c r="F8" s="62">
        <f>Facture!$E$22</f>
        <v>0</v>
      </c>
      <c r="G8" s="65">
        <f>Facture!$G$22</f>
        <v>0</v>
      </c>
      <c r="H8" s="65">
        <f>Facture!$J$22</f>
        <v>0</v>
      </c>
      <c r="I8" s="62">
        <f>Facture!$E$23</f>
        <v>0</v>
      </c>
      <c r="J8" s="66">
        <f>Facture!$M$52</f>
        <v>13126.7</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2025-05-19T13:09:25Z</cp:lastPrinted>
  <dcterms:created xsi:type="dcterms:W3CDTF">1995-05-29T15:50:39Z</dcterms:created>
  <dcterms:modified xsi:type="dcterms:W3CDTF">2025-05-19T15:46:07Z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ZRIBA </vt:lpwstr>
  </property>
  <property fmtid="{D5CDD505-2E9C-101B-9397-08002B2CF9AE}" pid="11" name="Montant de la facture" linkTarget="TOT">
    <vt:r8>13126.7</vt:r8>
  </property>
</Properties>
</file>