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9" i="3" l="1"/>
  <c r="N30" i="3"/>
  <c r="N31" i="3"/>
  <c r="N32" i="3"/>
  <c r="N33" i="3"/>
  <c r="N34" i="3"/>
  <c r="N35" i="3"/>
  <c r="N36" i="3"/>
  <c r="N37" i="3"/>
  <c r="N45" i="3" l="1"/>
  <c r="N46"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<sst xmlns="http://schemas.openxmlformats.org/spreadsheetml/2006/main" count="101" uniqueCount="85">
  <si>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</si>
  <si>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</si>
  <si>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</si>
  <si>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</si>
  <si>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</si>
  <si>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</si>
  <si>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</si>
  <si>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</si>
  <si>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</si>
  <si>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</si>
  <si>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</si>
  <si>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</si>
  <si>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</si>
  <si>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</si>
  <si>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</si>
  <si>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</si>
  <si>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</si>
  <si>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</si>
  <si>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</si>
  <si>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</si>
  <si>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</si>
  <si>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</si>
  <si>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</si>
  <si>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</si>
  <si>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</si>
  <si>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</si>
  <si>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</si>
  <si>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</si>
  <si>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</si>
  <si>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</si>
  <si>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</si>
  <si>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</si>
  <si>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</si>
  <si>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</si>
  <si>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</si>
  <si>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</si>
  <si>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</si>
  <si>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</si>
  <si>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</si>
  <si>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</si>
  <si>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</si>
  <si>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</si>
  <si>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</si>
  <si>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</si>
  <si>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</si>
  <si>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</si>
  <si>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</si>
  <si>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</si>
  <si>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</si>
  <si>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</si>
  <si>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</si>
  <si>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</si>
  <si>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</si>
  <si>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</si>
  <si>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</si>
  <si>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</si>
  <si>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</si>
  <si>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</si>
  <si>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</si>
  <si>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</si>
  <si>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</si>
  <si>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</si>
  <si>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</si>
  <si>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</si>
  <si>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</si>
  <si>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</si>
  <si>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</si>
  <si>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</si>
  <si>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 xml:space="preserve">LONGE DE MAINTIEN </t>
  </si>
  <si>
    <t xml:space="preserve">LONGE DOUBLE ESLASTIQUE </t>
  </si>
  <si>
    <t xml:space="preserve">HARNAIS GOLDEN TOP PLUS </t>
  </si>
  <si>
    <t>094101 2</t>
  </si>
  <si>
    <t xml:space="preserve">3 KIT COMPLET </t>
  </si>
  <si>
    <t>ID:0818/0330</t>
  </si>
  <si>
    <t>ID:0818/0410</t>
  </si>
  <si>
    <t>ID:0818/0369</t>
  </si>
  <si>
    <t>ID:1119/0178</t>
  </si>
  <si>
    <t>ID:1119/0179</t>
  </si>
  <si>
    <t>ID:1119/0242</t>
  </si>
  <si>
    <t>ID:0419/2350</t>
  </si>
  <si>
    <t>ID:0419/0006</t>
  </si>
  <si>
    <t>ID:0419/3709</t>
  </si>
  <si>
    <t xml:space="preserve">3 SAC GRATUIT </t>
  </si>
  <si>
    <t>FR20201203</t>
  </si>
  <si>
    <t>BON DE LIVRAISON  2020-060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</si>
</sst>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34" zoomScale="95" workbookViewId="0">
      <selection activeCell="C53" sqref="C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8" t="s">
        <v>84</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9" t="s">
        <v>63</v>
      </c>
      <c r="F21" s="170"/>
      <c r="G21" s="170"/>
      <c r="H21" s="170"/>
      <c r="I21" s="170"/>
      <c r="J21" s="170"/>
      <c r="K21" s="82"/>
      <c r="L21" s="84" t="s">
        <v>18</v>
      </c>
      <c r="M21" s="158">
        <v>44120</v>
      </c>
      <c r="N21" s="159"/>
      <c r="O21" s="55"/>
      <c r="P21" s="8"/>
    </row>
    <row r="22" spans="1:16" ht="14.25" x14ac:dyDescent="0.2">
      <c r="B22" s="7"/>
      <c r="C22" s="3"/>
      <c r="D22" s="82" t="s">
        <v>5</v>
      </c>
      <c r="E22" s="167" t="s">
        <v>64</v>
      </c>
      <c r="F22" s="168"/>
      <c r="G22" s="168"/>
      <c r="H22" s="168"/>
      <c r="I22" s="168"/>
      <c r="J22" s="168"/>
      <c r="K22" s="82"/>
      <c r="L22" s="126" t="s">
        <v>60</v>
      </c>
      <c r="M22" s="188" t="s">
        <v>83</v>
      </c>
      <c r="N22" s="189"/>
      <c r="O22" s="56"/>
      <c r="P22" s="8"/>
    </row>
    <row r="23" spans="1:16" x14ac:dyDescent="0.2">
      <c r="B23" s="7"/>
      <c r="C23" s="3"/>
      <c r="D23" s="82" t="s">
        <v>7</v>
      </c>
      <c r="E23" s="89"/>
      <c r="F23" s="90" t="s">
        <v>8</v>
      </c>
      <c r="G23" s="165"/>
      <c r="H23" s="166"/>
      <c r="I23" s="91" t="s">
        <v>9</v>
      </c>
      <c r="J23" s="88" t="s">
        <v>51</v>
      </c>
      <c r="K23" s="82"/>
      <c r="L23" s="84" t="s">
        <v>19</v>
      </c>
      <c r="M23" s="160" t="s">
        <v>61</v>
      </c>
      <c r="N23" s="161"/>
      <c r="O23" s="3"/>
      <c r="P23" s="8"/>
    </row>
    <row r="24" spans="1:16" x14ac:dyDescent="0.2">
      <c r="B24" s="7"/>
      <c r="C24" s="3"/>
      <c r="D24" s="82" t="s">
        <v>20</v>
      </c>
      <c r="E24" s="171" t="s">
        <v>65</v>
      </c>
      <c r="F24" s="172"/>
      <c r="G24" s="172"/>
      <c r="H24" s="172"/>
      <c r="I24" s="172"/>
      <c r="J24" s="172"/>
      <c r="K24" s="82"/>
      <c r="L24" s="84" t="s">
        <v>47</v>
      </c>
      <c r="M24" s="162" t="s">
        <v>66</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3" t="s">
        <v>23</v>
      </c>
      <c r="O26" s="57"/>
      <c r="P26" s="8"/>
    </row>
    <row r="27" spans="1:16" ht="15.75" x14ac:dyDescent="0.25">
      <c r="B27" s="7"/>
      <c r="C27" s="3"/>
      <c r="D27" s="93"/>
      <c r="E27" s="75"/>
      <c r="F27" s="173"/>
      <c r="G27" s="174"/>
      <c r="H27" s="174"/>
      <c r="I27" s="174"/>
      <c r="J27" s="174"/>
      <c r="K27" s="174"/>
      <c r="L27" s="131"/>
      <c r="M27" s="130"/>
      <c r="N27" s="96" t="str">
        <f t="shared" ref="N27:N29" si="0">IF(E27&lt;&gt;"",E27*M27,"")</f>
        <v/>
      </c>
      <c r="O27" s="57"/>
      <c r="P27" s="8"/>
    </row>
    <row r="28" spans="1:16" ht="18.75" x14ac:dyDescent="0.3">
      <c r="B28" s="7"/>
      <c r="C28" s="3"/>
      <c r="D28" s="93"/>
      <c r="E28" s="75">
        <v>3</v>
      </c>
      <c r="F28" s="138" t="s">
        <v>72</v>
      </c>
      <c r="G28" s="135"/>
      <c r="H28" s="135"/>
      <c r="I28" s="135"/>
      <c r="J28" s="135"/>
      <c r="K28" s="135"/>
      <c r="L28" s="132"/>
      <c r="M28" s="130"/>
      <c r="N28" s="96"/>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t="s">
        <v>71</v>
      </c>
      <c r="E30" s="75"/>
      <c r="F30" s="136" t="s">
        <v>70</v>
      </c>
      <c r="G30" s="137"/>
      <c r="H30" s="81"/>
      <c r="I30" s="109"/>
      <c r="J30" s="109"/>
      <c r="K30" s="81"/>
      <c r="L30" s="132"/>
      <c r="M30" s="116"/>
      <c r="N30" s="96" t="str">
        <f>IF(E30&lt;&gt;"",E30*M30,"")</f>
        <v/>
      </c>
      <c r="O30" s="57"/>
      <c r="P30" s="8"/>
    </row>
    <row r="31" spans="1:16" ht="15" x14ac:dyDescent="0.2">
      <c r="A31" s="99" t="s">
        <v>55</v>
      </c>
      <c r="B31" s="7"/>
      <c r="C31" s="3"/>
      <c r="D31" s="108"/>
      <c r="E31" s="75"/>
      <c r="F31" s="136" t="s">
        <v>73</v>
      </c>
      <c r="G31" s="100"/>
      <c r="H31" s="137" t="s">
        <v>74</v>
      </c>
      <c r="I31" s="109"/>
      <c r="J31" s="109"/>
      <c r="K31" s="81" t="s">
        <v>75</v>
      </c>
      <c r="L31" s="132"/>
      <c r="M31" s="116"/>
      <c r="N31" s="96" t="str">
        <f t="shared" ref="N31:N33" si="1">IF(E31&lt;&gt;"",E31*M31,"")</f>
        <v/>
      </c>
      <c r="O31" s="57"/>
      <c r="P31" s="8"/>
    </row>
    <row r="32" spans="1:16" ht="15" x14ac:dyDescent="0.2">
      <c r="A32" s="99"/>
      <c r="B32" s="7"/>
      <c r="C32" s="3"/>
      <c r="D32" s="108">
        <v>203111</v>
      </c>
      <c r="E32" s="75"/>
      <c r="F32" s="136" t="s">
        <v>68</v>
      </c>
      <c r="G32" s="137"/>
      <c r="H32" s="81"/>
      <c r="I32" s="109"/>
      <c r="J32" s="109"/>
      <c r="K32" s="81"/>
      <c r="L32" s="132"/>
      <c r="M32" s="116"/>
      <c r="N32" s="96" t="str">
        <f t="shared" si="1"/>
        <v/>
      </c>
      <c r="O32" s="57"/>
      <c r="P32" s="8"/>
    </row>
    <row r="33" spans="2:16" ht="15" x14ac:dyDescent="0.2">
      <c r="B33" s="7"/>
      <c r="C33" s="3"/>
      <c r="D33" s="108"/>
      <c r="E33" s="75"/>
      <c r="F33" s="136" t="s">
        <v>76</v>
      </c>
      <c r="G33" s="100"/>
      <c r="H33" s="137" t="s">
        <v>77</v>
      </c>
      <c r="I33" s="190"/>
      <c r="J33" s="190"/>
      <c r="K33" s="81" t="s">
        <v>78</v>
      </c>
      <c r="L33" s="132"/>
      <c r="M33" s="116"/>
      <c r="N33" s="96" t="str">
        <f t="shared" si="1"/>
        <v/>
      </c>
      <c r="O33" s="57"/>
      <c r="P33" s="8"/>
    </row>
    <row r="34" spans="2:16" ht="15" x14ac:dyDescent="0.2">
      <c r="B34" s="7"/>
      <c r="C34" s="3"/>
      <c r="D34" s="108">
        <v>7030201</v>
      </c>
      <c r="E34" s="75"/>
      <c r="F34" s="81" t="s">
        <v>69</v>
      </c>
      <c r="G34" s="137"/>
      <c r="H34" s="81"/>
      <c r="I34" s="109"/>
      <c r="J34" s="81"/>
      <c r="K34" s="81"/>
      <c r="L34" s="132"/>
      <c r="M34" s="116"/>
      <c r="N34" s="96" t="str">
        <f>IF(E34&lt;&gt;"",E34*M34,"")</f>
        <v/>
      </c>
      <c r="O34" s="57"/>
      <c r="P34" s="8"/>
    </row>
    <row r="35" spans="2:16" ht="15" x14ac:dyDescent="0.2">
      <c r="B35" s="7"/>
      <c r="C35" s="3"/>
      <c r="D35" s="108"/>
      <c r="E35" s="75"/>
      <c r="F35" s="136" t="s">
        <v>79</v>
      </c>
      <c r="G35" s="100"/>
      <c r="H35" s="137" t="s">
        <v>80</v>
      </c>
      <c r="I35" s="109"/>
      <c r="J35" s="109"/>
      <c r="K35" s="81" t="s">
        <v>81</v>
      </c>
      <c r="L35" s="132"/>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139" t="s">
        <v>82</v>
      </c>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6"/>
      <c r="G46" s="157"/>
      <c r="H46" s="157"/>
      <c r="I46" s="157"/>
      <c r="J46" s="157"/>
      <c r="K46" s="157"/>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c r="O47" s="57"/>
      <c r="P47" s="8"/>
    </row>
    <row r="48" spans="2:16" ht="15" customHeight="1" x14ac:dyDescent="0.2">
      <c r="B48" s="7"/>
      <c r="C48" s="3"/>
      <c r="D48" s="3"/>
      <c r="E48" s="82"/>
      <c r="F48" s="82"/>
      <c r="G48" s="82"/>
      <c r="H48" s="82"/>
      <c r="I48" s="82"/>
      <c r="J48" s="76"/>
      <c r="K48" s="76"/>
      <c r="L48" s="76"/>
      <c r="M48" s="106" t="s">
        <v>46</v>
      </c>
      <c r="N48" s="104"/>
      <c r="O48" s="57"/>
      <c r="P48" s="8"/>
    </row>
    <row r="49" spans="1:16" ht="15" x14ac:dyDescent="0.2">
      <c r="B49" s="7"/>
      <c r="C49" s="3"/>
      <c r="D49" s="3"/>
      <c r="E49" s="83"/>
      <c r="F49" s="107" t="s">
        <v>25</v>
      </c>
      <c r="G49" s="82"/>
      <c r="H49" s="82"/>
      <c r="I49" s="82"/>
      <c r="J49" s="78"/>
      <c r="K49" s="78"/>
      <c r="L49" s="77"/>
      <c r="M49" s="105">
        <v>0.19</v>
      </c>
      <c r="N49" s="104"/>
      <c r="O49" s="57"/>
      <c r="P49" s="8"/>
    </row>
    <row r="50" spans="1:16" ht="15.75" x14ac:dyDescent="0.25">
      <c r="B50" s="7"/>
      <c r="C50" s="3"/>
      <c r="D50" s="3"/>
      <c r="E50" s="85"/>
      <c r="F50" s="133" t="s">
        <v>67</v>
      </c>
      <c r="G50" s="87"/>
      <c r="H50" s="85"/>
      <c r="I50" s="82"/>
      <c r="J50" s="79"/>
      <c r="K50" s="76"/>
      <c r="L50" s="76"/>
      <c r="M50" s="175" t="s">
        <v>27</v>
      </c>
      <c r="N50" s="176"/>
      <c r="O50" s="57"/>
      <c r="P50" s="8"/>
    </row>
    <row r="51" spans="1:16" ht="15" x14ac:dyDescent="0.2">
      <c r="B51" s="7"/>
      <c r="C51" s="3"/>
      <c r="D51" s="3"/>
      <c r="E51" s="85">
        <v>2</v>
      </c>
      <c r="F51" s="107" t="s">
        <v>57</v>
      </c>
      <c r="G51" s="82"/>
      <c r="H51" s="86"/>
      <c r="I51" s="82"/>
      <c r="J51" s="80" t="s">
        <v>26</v>
      </c>
      <c r="K51" s="76"/>
      <c r="L51" s="76"/>
      <c r="M51" s="175"/>
      <c r="N51" s="177"/>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7"/>
      <c r="D57" s="187"/>
      <c r="E57" s="187"/>
      <c r="F57" s="187"/>
      <c r="G57" s="187"/>
      <c r="H57" s="187"/>
      <c r="I57" s="187"/>
      <c r="J57" s="187"/>
      <c r="K57" s="187"/>
      <c r="L57" s="187"/>
      <c r="M57" s="100"/>
      <c r="N57" s="101"/>
      <c r="O57" s="57"/>
      <c r="P57" s="8"/>
    </row>
    <row r="58" spans="1:16" ht="15.75" customHeight="1" x14ac:dyDescent="0.2">
      <c r="B58" s="7"/>
      <c r="C58" s="3"/>
      <c r="D58" s="3"/>
      <c r="E58" s="151" t="s">
        <v>59</v>
      </c>
      <c r="F58" s="152"/>
      <c r="G58" s="152"/>
      <c r="H58" s="152"/>
      <c r="I58" s="152"/>
      <c r="J58" s="152"/>
      <c r="K58" s="152"/>
      <c r="L58" s="152"/>
      <c r="M58" s="152"/>
      <c r="N58" s="152"/>
      <c r="O58" s="57"/>
      <c r="P58" s="8"/>
    </row>
    <row r="59" spans="1:16" ht="0.95" customHeight="1" x14ac:dyDescent="0.2">
      <c r="B59" s="7"/>
      <c r="C59" s="3"/>
      <c r="D59" s="3"/>
      <c r="E59" s="152"/>
      <c r="F59" s="152"/>
      <c r="G59" s="152"/>
      <c r="H59" s="152"/>
      <c r="I59" s="152"/>
      <c r="J59" s="152"/>
      <c r="K59" s="152"/>
      <c r="L59" s="152"/>
      <c r="M59" s="152"/>
      <c r="N59" s="152"/>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9" t="s">
        <v>56</v>
      </c>
      <c r="G61" s="149"/>
      <c r="H61" s="149"/>
      <c r="I61" s="149"/>
      <c r="J61" s="149"/>
      <c r="K61" s="149"/>
      <c r="L61" s="149"/>
      <c r="M61" s="98"/>
      <c r="N61" s="98"/>
      <c r="O61" s="57"/>
      <c r="P61" s="8"/>
    </row>
    <row r="62" spans="1:16" ht="16.5" thickTop="1" x14ac:dyDescent="0.2">
      <c r="A62" s="120"/>
      <c r="B62" s="58"/>
      <c r="C62" s="3"/>
      <c r="D62" s="3"/>
      <c r="E62" s="150" t="s">
        <v>58</v>
      </c>
      <c r="F62" s="150"/>
      <c r="G62" s="150"/>
      <c r="H62" s="150"/>
      <c r="I62" s="150"/>
      <c r="J62" s="150"/>
      <c r="K62" s="150"/>
      <c r="L62" s="150"/>
      <c r="M62" s="150"/>
      <c r="N62" s="98"/>
      <c r="O62" s="57"/>
    </row>
    <row r="63" spans="1:16" ht="15.75" x14ac:dyDescent="0.2">
      <c r="A63" s="120"/>
      <c r="B63" s="123"/>
      <c r="C63" s="3"/>
      <c r="D63" s="3"/>
      <c r="E63" s="150"/>
      <c r="F63" s="150"/>
      <c r="G63" s="150"/>
      <c r="H63" s="150"/>
      <c r="I63" s="150"/>
      <c r="J63" s="150"/>
      <c r="K63" s="150"/>
      <c r="L63" s="150"/>
      <c r="M63" s="150"/>
      <c r="N63" s="98"/>
      <c r="O63" s="57"/>
    </row>
    <row r="64" spans="1:16" ht="12.75" customHeight="1" thickBot="1" x14ac:dyDescent="0.25">
      <c r="A64" s="120"/>
      <c r="B64" s="122"/>
      <c r="C64" s="119"/>
      <c r="D64" s="119"/>
      <c r="E64" s="120"/>
      <c r="F64" s="120"/>
      <c r="G64" s="120"/>
      <c r="H64" s="148"/>
      <c r="I64" s="148"/>
      <c r="J64" s="148"/>
      <c r="K64" s="148"/>
      <c r="L64" s="148"/>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7"/>
      <c r="L66" s="147"/>
      <c r="M66" s="147"/>
      <c r="N66" s="147"/>
      <c r="O66" s="147"/>
    </row>
    <row r="67" spans="1:15" x14ac:dyDescent="0.2">
      <c r="A67" s="120"/>
      <c r="C67" s="122"/>
      <c r="D67" s="122"/>
      <c r="E67" s="122"/>
      <c r="F67" s="122"/>
      <c r="G67" s="122"/>
      <c r="H67" s="122"/>
      <c r="I67" s="122"/>
      <c r="J67" s="122"/>
      <c r="K67" s="148"/>
      <c r="L67" s="148"/>
      <c r="M67" s="148"/>
      <c r="N67" s="148"/>
      <c r="O67" s="148"/>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50:M51"/>
    <mergeCell ref="N50:N51"/>
    <mergeCell ref="M17:N19"/>
    <mergeCell ref="F26:L26"/>
    <mergeCell ref="C57:L57"/>
    <mergeCell ref="M22:N22"/>
    <mergeCell ref="I33:J33"/>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44120</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0</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2020-10-16T10:05:48Z</cp:lastPrinted>
  <dcterms:created xsi:type="dcterms:W3CDTF">1995-05-29T15:50:39Z</dcterms:created>
  <dcterms:modified xsi:type="dcterms:W3CDTF">2020-10-16T10:06:46Z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