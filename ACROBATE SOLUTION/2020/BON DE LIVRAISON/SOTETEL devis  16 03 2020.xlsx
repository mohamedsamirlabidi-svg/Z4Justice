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8" i="3" l="1"/>
  <c r="M37" i="3"/>
  <c r="M38" i="3"/>
  <c r="M40" i="3"/>
  <c r="M41" i="3"/>
  <c r="M42" i="3"/>
  <c r="M43" i="3" l="1"/>
  <c r="M44" i="3"/>
  <c r="M45" i="3"/>
  <c r="M46" i="3"/>
  <c r="M4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<sst xmlns="http://schemas.openxmlformats.org/spreadsheetml/2006/main" count="84" uniqueCount="75">
  <si>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</si>
  <si>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</si>
  <si>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</si>
  <si>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</si>
  <si>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</si>
  <si>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</si>
  <si>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</si>
  <si>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</si>
  <si>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</si>
  <si>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</si>
  <si>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</si>
  <si>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</si>
  <si>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</si>
  <si>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</si>
  <si>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</si>
  <si>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</si>
  <si>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</si>
  <si>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</si>
  <si>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</si>
  <si>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</si>
  <si>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</si>
  <si>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</si>
  <si>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</si>
  <si>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</si>
  <si>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</si>
  <si>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</si>
  <si>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</si>
  <si>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</si>
  <si>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</si>
  <si>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</si>
  <si>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</si>
  <si>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</si>
  <si>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</si>
  <si>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</si>
  <si>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</si>
  <si>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</si>
  <si>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</si>
  <si>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</si>
  <si>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</si>
  <si>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</si>
  <si>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</si>
  <si>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</si>
  <si>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</si>
  <si>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</si>
  <si>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</si>
  <si>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</si>
  <si>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</si>
  <si>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</si>
  <si>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</si>
  <si>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</si>
  <si>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</si>
  <si>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</si>
  <si>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</si>
  <si>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</si>
  <si>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</si>
  <si>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</si>
  <si>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</si>
  <si>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</si>
  <si>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</si>
  <si>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</si>
  <si>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</si>
  <si>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</si>
  <si>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</si>
  <si>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</si>
  <si>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</si>
  <si>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</si>
  <si>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</si>
  <si>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</si>
  <si>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CONTRÔLE DES E.P.I</t>
  </si>
  <si>
    <t xml:space="preserve">HARNAIS ORBITAL </t>
  </si>
  <si>
    <t xml:space="preserve">LONGE DE MAINTIEN </t>
  </si>
  <si>
    <t xml:space="preserve">LONGE DOUBLE CORDAGE </t>
  </si>
  <si>
    <t>BON DE LIVRAISON N°2020-098</t>
  </si>
  <si>
    <t>Date : 16/03/2020</t>
  </si>
  <si>
    <t xml:space="preserve">Responsable:MR MOHAMED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</si>
</sst>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H51" sqref="H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60</v>
      </c>
      <c r="E18" s="75"/>
      <c r="F18" s="75"/>
      <c r="G18" s="75"/>
      <c r="H18" s="3"/>
      <c r="I18" s="3"/>
      <c r="J18" s="3"/>
      <c r="K18" s="3"/>
      <c r="L18" s="161" t="s">
        <v>72</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51</v>
      </c>
      <c r="E22" s="166" t="s">
        <v>63</v>
      </c>
      <c r="F22" s="166"/>
      <c r="G22" s="166"/>
      <c r="H22" s="166"/>
      <c r="I22" s="166"/>
      <c r="J22" s="166"/>
      <c r="K22" s="96"/>
      <c r="L22" s="164" t="s">
        <v>73</v>
      </c>
      <c r="M22" s="164"/>
      <c r="N22" s="52"/>
      <c r="O22" s="9"/>
    </row>
    <row r="23" spans="2:15" ht="33.75" x14ac:dyDescent="0.5">
      <c r="B23" s="7"/>
      <c r="C23" s="3"/>
      <c r="D23" s="95" t="s">
        <v>52</v>
      </c>
      <c r="E23" s="170" t="s">
        <v>64</v>
      </c>
      <c r="F23" s="170"/>
      <c r="G23" s="170"/>
      <c r="H23" s="170"/>
      <c r="I23" s="170"/>
      <c r="J23" s="170"/>
      <c r="K23" s="170"/>
      <c r="L23" s="97" t="s">
        <v>67</v>
      </c>
      <c r="M23" s="97"/>
      <c r="N23" s="53"/>
      <c r="O23" s="9"/>
    </row>
    <row r="24" spans="2:15" ht="33.75" x14ac:dyDescent="0.5">
      <c r="B24" s="7"/>
      <c r="C24" s="3"/>
      <c r="D24" s="95" t="s">
        <v>53</v>
      </c>
      <c r="E24" s="109">
        <v>1080</v>
      </c>
      <c r="F24" s="98" t="s">
        <v>8</v>
      </c>
      <c r="G24" s="171"/>
      <c r="H24" s="171"/>
      <c r="I24" s="99" t="s">
        <v>9</v>
      </c>
      <c r="J24" s="100" t="s">
        <v>57</v>
      </c>
      <c r="K24" s="96"/>
      <c r="L24" s="165" t="s">
        <v>74</v>
      </c>
      <c r="M24" s="165"/>
      <c r="N24" s="3"/>
      <c r="O24" s="9"/>
    </row>
    <row r="25" spans="2:15" ht="33.75" x14ac:dyDescent="0.5">
      <c r="B25" s="7"/>
      <c r="C25" s="3"/>
      <c r="D25" s="95" t="s">
        <v>54</v>
      </c>
      <c r="E25" s="167" t="s">
        <v>65</v>
      </c>
      <c r="F25" s="167"/>
      <c r="G25" s="167"/>
      <c r="H25" s="167"/>
      <c r="I25" s="167"/>
      <c r="J25" s="167"/>
      <c r="K25" s="96"/>
      <c r="L25" s="165" t="s">
        <v>66</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33</v>
      </c>
      <c r="E27" s="85" t="s">
        <v>22</v>
      </c>
      <c r="F27" s="172" t="s">
        <v>23</v>
      </c>
      <c r="G27" s="173"/>
      <c r="H27" s="173"/>
      <c r="I27" s="173"/>
      <c r="J27" s="173"/>
      <c r="K27" s="174"/>
      <c r="L27" s="85" t="s">
        <v>24</v>
      </c>
      <c r="M27" s="86" t="s">
        <v>25</v>
      </c>
      <c r="N27" s="87"/>
      <c r="O27" s="9"/>
    </row>
    <row r="28" spans="2:15" ht="30" x14ac:dyDescent="0.4">
      <c r="B28" s="7"/>
      <c r="C28" s="3"/>
      <c r="D28" s="143"/>
      <c r="E28" s="145"/>
      <c r="F28" s="114" t="s">
        <v>68</v>
      </c>
      <c r="G28" s="135"/>
      <c r="H28" s="135"/>
      <c r="I28" s="137"/>
      <c r="J28" s="137"/>
      <c r="K28" s="138"/>
      <c r="L28" s="104"/>
      <c r="M28" s="110" t="str">
        <f t="shared" ref="M28:M34" si="0">IF(E28&lt;&gt;"",E28*L28,"")</f>
        <v/>
      </c>
      <c r="N28" s="87"/>
      <c r="O28" s="9"/>
    </row>
    <row r="29" spans="2:15" ht="30" x14ac:dyDescent="0.4">
      <c r="B29" s="7"/>
      <c r="C29" s="3"/>
      <c r="D29" s="143"/>
      <c r="E29" s="145"/>
      <c r="F29" s="151"/>
      <c r="G29" s="135"/>
      <c r="H29" s="135"/>
      <c r="I29" s="137"/>
      <c r="J29" s="137"/>
      <c r="K29" s="138"/>
      <c r="L29" s="104"/>
      <c r="M29" s="110"/>
      <c r="N29" s="87"/>
      <c r="O29" s="9"/>
    </row>
    <row r="30" spans="2:15" ht="30" x14ac:dyDescent="0.4">
      <c r="B30" s="7"/>
      <c r="C30" s="3"/>
      <c r="D30" s="143">
        <v>2152</v>
      </c>
      <c r="E30" s="145">
        <v>9</v>
      </c>
      <c r="F30" s="151" t="s">
        <v>69</v>
      </c>
      <c r="G30" s="135"/>
      <c r="H30" s="135"/>
      <c r="I30" s="137"/>
      <c r="J30" s="137"/>
      <c r="K30" s="138"/>
      <c r="L30" s="104">
        <v>30</v>
      </c>
      <c r="M30" s="110"/>
      <c r="N30" s="87"/>
      <c r="O30" s="9"/>
    </row>
    <row r="31" spans="2:15" ht="30" x14ac:dyDescent="0.4">
      <c r="B31" s="7"/>
      <c r="C31" s="3"/>
      <c r="D31" s="143"/>
      <c r="E31" s="145"/>
      <c r="F31" s="151"/>
      <c r="G31" s="135"/>
      <c r="H31" s="137"/>
      <c r="I31" s="137"/>
      <c r="J31" s="137"/>
      <c r="K31" s="138"/>
      <c r="L31" s="104"/>
      <c r="M31" s="110"/>
      <c r="N31" s="87"/>
      <c r="O31" s="9"/>
    </row>
    <row r="32" spans="2:15" ht="30" x14ac:dyDescent="0.4">
      <c r="B32" s="7"/>
      <c r="C32" s="3"/>
      <c r="D32" s="143">
        <v>203115</v>
      </c>
      <c r="E32" s="145">
        <v>6</v>
      </c>
      <c r="F32" s="151" t="s">
        <v>70</v>
      </c>
      <c r="G32" s="135"/>
      <c r="H32" s="137"/>
      <c r="I32" s="137"/>
      <c r="J32" s="137"/>
      <c r="K32" s="138"/>
      <c r="L32" s="104">
        <v>20</v>
      </c>
      <c r="M32" s="110"/>
      <c r="N32" s="87"/>
      <c r="O32" s="9"/>
    </row>
    <row r="33" spans="2:15" ht="30" x14ac:dyDescent="0.4">
      <c r="B33" s="7"/>
      <c r="C33" s="3"/>
      <c r="D33" s="143"/>
      <c r="E33" s="145"/>
      <c r="F33" s="114"/>
      <c r="G33" s="135"/>
      <c r="H33" s="137"/>
      <c r="I33" s="137"/>
      <c r="J33" s="137"/>
      <c r="K33" s="138"/>
      <c r="L33" s="104"/>
      <c r="M33" s="110"/>
      <c r="N33" s="87"/>
      <c r="O33" s="9"/>
    </row>
    <row r="34" spans="2:15" ht="30" x14ac:dyDescent="0.4">
      <c r="B34" s="7"/>
      <c r="C34" s="3"/>
      <c r="D34" s="143">
        <v>203008</v>
      </c>
      <c r="E34" s="145">
        <v>6</v>
      </c>
      <c r="F34" s="114" t="s">
        <v>71</v>
      </c>
      <c r="G34" s="135"/>
      <c r="H34" s="137"/>
      <c r="I34" s="137"/>
      <c r="J34" s="137"/>
      <c r="K34" s="138"/>
      <c r="L34" s="104">
        <v>20</v>
      </c>
      <c r="M34" s="110"/>
      <c r="N34" s="87"/>
      <c r="O34" s="9"/>
    </row>
    <row r="35" spans="2:15" ht="30" x14ac:dyDescent="0.4">
      <c r="B35" s="7"/>
      <c r="C35" s="3"/>
      <c r="D35" s="144"/>
      <c r="E35" s="102"/>
      <c r="F35" s="142"/>
      <c r="G35" s="135"/>
      <c r="H35" s="135"/>
      <c r="I35" s="135"/>
      <c r="J35" s="135"/>
      <c r="K35" s="136"/>
      <c r="L35" s="104"/>
      <c r="M35" s="110"/>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ref="M35:M42" si="1">IF(E37&lt;&gt;"",E37*L37,"")</f>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62</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c r="M48" s="101"/>
      <c r="N48" s="54"/>
      <c r="O48" s="9"/>
    </row>
    <row r="49" spans="1:16" ht="35.25" x14ac:dyDescent="0.5">
      <c r="B49" s="7"/>
      <c r="C49" s="3"/>
      <c r="D49" s="94"/>
      <c r="E49" s="91" t="s">
        <v>55</v>
      </c>
      <c r="F49" s="77"/>
      <c r="G49" s="77"/>
      <c r="H49" s="77"/>
      <c r="I49" s="77"/>
      <c r="J49" s="78"/>
      <c r="K49" s="88"/>
      <c r="L49" s="148"/>
      <c r="M49" s="101"/>
      <c r="N49" s="54"/>
      <c r="O49" s="9"/>
    </row>
    <row r="50" spans="1:16" ht="35.25" x14ac:dyDescent="0.5">
      <c r="B50" s="7"/>
      <c r="C50" s="3"/>
      <c r="D50" s="92"/>
      <c r="E50" s="91" t="s">
        <v>56</v>
      </c>
      <c r="F50" s="77"/>
      <c r="G50" s="77"/>
      <c r="H50" s="77"/>
      <c r="I50" s="77"/>
      <c r="J50" s="79"/>
      <c r="K50" s="89"/>
      <c r="L50" s="149"/>
      <c r="M50" s="101"/>
      <c r="N50" s="54"/>
      <c r="O50" s="9"/>
    </row>
    <row r="51" spans="1:16" ht="35.25" x14ac:dyDescent="0.5">
      <c r="B51" s="7"/>
      <c r="C51" s="3"/>
      <c r="D51" s="76"/>
      <c r="E51" s="82"/>
      <c r="F51" s="93"/>
      <c r="G51" s="77"/>
      <c r="H51" s="64"/>
      <c r="I51" s="77"/>
      <c r="J51" s="80" t="s">
        <v>26</v>
      </c>
      <c r="K51" s="78"/>
      <c r="L51" s="150"/>
      <c r="M51" s="101"/>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61</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58</v>
      </c>
      <c r="E56" s="152"/>
      <c r="F56" s="78"/>
      <c r="G56" s="78"/>
      <c r="H56" s="78"/>
      <c r="I56" s="78"/>
      <c r="J56" s="78"/>
      <c r="K56" s="83"/>
      <c r="L56" s="83"/>
      <c r="M56" s="84"/>
      <c r="N56" s="54"/>
      <c r="O56" s="125"/>
      <c r="P56" s="126"/>
    </row>
    <row r="57" spans="1:16" ht="20.25" x14ac:dyDescent="0.3">
      <c r="B57" s="7"/>
      <c r="C57" s="3"/>
      <c r="D57" s="112" t="s">
        <v>59</v>
      </c>
      <c r="E57" s="112"/>
      <c r="F57" s="78"/>
      <c r="G57" s="78"/>
      <c r="H57" s="78"/>
      <c r="I57" s="78"/>
      <c r="J57" s="78"/>
      <c r="K57" s="83"/>
      <c r="L57" s="83"/>
      <c r="M57" s="83"/>
      <c r="N57" s="87"/>
      <c r="O57" s="127"/>
      <c r="P57" s="128"/>
    </row>
    <row r="58" spans="1:16" ht="18" customHeight="1" x14ac:dyDescent="0.25">
      <c r="B58" s="7"/>
      <c r="C58" s="3"/>
      <c r="D58" s="168" t="s">
        <v>50</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16/03/2020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0</v>
      </c>
      <c r="K8" s="64" t="str">
        <f>Facture!$L$24</f>
        <v xml:space="preserve">Responsable:MR MOHAMED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2020-02-05T08:25:08Z</cp:lastPrinted>
  <dcterms:created xsi:type="dcterms:W3CDTF">1995-05-29T15:50:39Z</dcterms:created>
  <dcterms:modified xsi:type="dcterms:W3CDTF">2020-03-16T08:55:58Z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