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3" i="3" l="1"/>
  <c r="N4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<sst xmlns="http://schemas.openxmlformats.org/spreadsheetml/2006/main" count="83" uniqueCount="68">
  <si>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</si>
  <si>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</si>
  <si>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</si>
  <si>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</si>
  <si>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</si>
  <si>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</si>
  <si>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</si>
  <si>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</si>
  <si>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</si>
  <si>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</si>
  <si>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</si>
  <si>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</si>
  <si>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</si>
  <si>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</si>
  <si>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</si>
  <si>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</si>
  <si>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</si>
  <si>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</si>
  <si>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</si>
  <si>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</si>
  <si>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</si>
  <si>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</si>
  <si>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</si>
  <si>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</si>
  <si>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</si>
  <si>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</si>
  <si>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</si>
  <si>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</si>
  <si>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</si>
  <si>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</si>
  <si>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</si>
  <si>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</si>
  <si>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</si>
  <si>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</si>
  <si>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</si>
  <si>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</si>
  <si>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</si>
  <si>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</si>
  <si>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</si>
  <si>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</si>
  <si>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</si>
  <si>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</si>
  <si>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</si>
  <si>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</si>
  <si>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</si>
  <si>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</si>
  <si>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</si>
  <si>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</si>
  <si>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</si>
  <si>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</si>
  <si>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</si>
  <si>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</si>
  <si>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</si>
  <si>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</si>
  <si>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</si>
  <si>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</si>
  <si>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</si>
  <si>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</si>
  <si>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</si>
  <si>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</si>
  <si>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</si>
  <si>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</si>
  <si>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</si>
  <si>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</si>
  <si>
    <t xml:space="preserve"> HARNAIS ORBITAL </t>
  </si>
  <si>
    <t xml:space="preserve">LONGE DE MAINTIEN </t>
  </si>
  <si>
    <t xml:space="preserve">LONGE DOUBLE CORDAGE </t>
  </si>
  <si>
    <t>BON DE LIVRAISON                     N° 2020/011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</si>
</sst>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42</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zoomScale="95" workbookViewId="0">
      <selection activeCell="M21" sqref="M21:N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59" t="s">
        <v>51</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4" t="s">
        <v>67</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59</v>
      </c>
      <c r="F21" s="166"/>
      <c r="G21" s="166"/>
      <c r="H21" s="166"/>
      <c r="I21" s="166"/>
      <c r="J21" s="166"/>
      <c r="K21" s="82"/>
      <c r="L21" s="84" t="s">
        <v>18</v>
      </c>
      <c r="M21" s="154">
        <v>43878</v>
      </c>
      <c r="N21" s="155"/>
      <c r="O21" s="55"/>
      <c r="P21" s="8"/>
    </row>
    <row r="22" spans="1:16" ht="14.25" x14ac:dyDescent="0.2">
      <c r="B22" s="7"/>
      <c r="C22" s="3"/>
      <c r="D22" s="82" t="s">
        <v>5</v>
      </c>
      <c r="E22" s="163" t="s">
        <v>60</v>
      </c>
      <c r="F22" s="164"/>
      <c r="G22" s="164"/>
      <c r="H22" s="164"/>
      <c r="I22" s="164"/>
      <c r="J22" s="164"/>
      <c r="K22" s="82"/>
      <c r="L22" s="129" t="s">
        <v>56</v>
      </c>
      <c r="M22" s="184"/>
      <c r="N22" s="185"/>
      <c r="O22" s="56"/>
      <c r="P22" s="8"/>
    </row>
    <row r="23" spans="1:16" x14ac:dyDescent="0.2">
      <c r="B23" s="7"/>
      <c r="C23" s="3"/>
      <c r="D23" s="82" t="s">
        <v>7</v>
      </c>
      <c r="E23" s="89"/>
      <c r="F23" s="90" t="s">
        <v>8</v>
      </c>
      <c r="G23" s="161"/>
      <c r="H23" s="162"/>
      <c r="I23" s="91" t="s">
        <v>9</v>
      </c>
      <c r="J23" s="88" t="s">
        <v>48</v>
      </c>
      <c r="K23" s="82"/>
      <c r="L23" s="84" t="s">
        <v>19</v>
      </c>
      <c r="M23" s="156" t="s">
        <v>57</v>
      </c>
      <c r="N23" s="157"/>
      <c r="O23" s="3"/>
      <c r="P23" s="8"/>
    </row>
    <row r="24" spans="1:16" x14ac:dyDescent="0.2">
      <c r="B24" s="7"/>
      <c r="C24" s="3"/>
      <c r="D24" s="82" t="s">
        <v>20</v>
      </c>
      <c r="E24" s="167" t="s">
        <v>61</v>
      </c>
      <c r="F24" s="168"/>
      <c r="G24" s="168"/>
      <c r="H24" s="168"/>
      <c r="I24" s="168"/>
      <c r="J24" s="168"/>
      <c r="K24" s="82"/>
      <c r="L24" s="84" t="s">
        <v>44</v>
      </c>
      <c r="M24" s="158" t="s">
        <v>62</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80" t="s">
        <v>22</v>
      </c>
      <c r="G26" s="181"/>
      <c r="H26" s="181"/>
      <c r="I26" s="181"/>
      <c r="J26" s="181"/>
      <c r="K26" s="181"/>
      <c r="L26" s="182"/>
      <c r="M26" s="52" t="s">
        <v>50</v>
      </c>
      <c r="N26" s="114" t="s">
        <v>23</v>
      </c>
      <c r="O26" s="57"/>
      <c r="P26" s="8"/>
    </row>
    <row r="27" spans="1:16" ht="15.75" x14ac:dyDescent="0.25">
      <c r="B27" s="7"/>
      <c r="C27" s="3"/>
      <c r="D27" s="93"/>
      <c r="E27" s="75"/>
      <c r="F27" s="169"/>
      <c r="G27" s="170"/>
      <c r="H27" s="170"/>
      <c r="I27" s="170"/>
      <c r="J27" s="170"/>
      <c r="K27" s="170"/>
      <c r="L27" s="134"/>
      <c r="M27" s="133"/>
      <c r="N27" s="96" t="str">
        <f t="shared" ref="N27" si="0">IF(E27&lt;&gt;"",E27*M27,"")</f>
        <v/>
      </c>
      <c r="O27" s="57"/>
      <c r="P27" s="8"/>
    </row>
    <row r="28" spans="1:16" ht="18" x14ac:dyDescent="0.25">
      <c r="B28" s="7"/>
      <c r="C28" s="3"/>
      <c r="D28" s="108"/>
      <c r="E28" s="75"/>
      <c r="F28" s="127"/>
      <c r="G28" s="128"/>
      <c r="H28" s="81"/>
      <c r="I28" s="109"/>
      <c r="J28" s="109"/>
      <c r="K28" s="81"/>
      <c r="L28" s="135"/>
      <c r="M28" s="117"/>
      <c r="N28" s="96"/>
      <c r="O28" s="57"/>
      <c r="P28" s="8"/>
    </row>
    <row r="29" spans="1:16" ht="18" x14ac:dyDescent="0.25">
      <c r="A29" s="99" t="s">
        <v>52</v>
      </c>
      <c r="B29" s="7"/>
      <c r="C29" s="3"/>
      <c r="D29" s="108"/>
      <c r="E29" s="75">
        <v>4</v>
      </c>
      <c r="F29" s="127" t="s">
        <v>64</v>
      </c>
      <c r="G29" s="128"/>
      <c r="H29" s="81"/>
      <c r="I29" s="109"/>
      <c r="J29" s="109"/>
      <c r="K29" s="81"/>
      <c r="L29" s="135"/>
      <c r="M29" s="117"/>
      <c r="N29" s="96"/>
      <c r="O29" s="57"/>
      <c r="P29" s="8"/>
    </row>
    <row r="30" spans="1:16" ht="18" x14ac:dyDescent="0.25">
      <c r="B30" s="7"/>
      <c r="C30" s="3"/>
      <c r="D30" s="108"/>
      <c r="E30" s="75"/>
      <c r="F30" s="127"/>
      <c r="G30" s="128"/>
      <c r="H30" s="81"/>
      <c r="I30" s="109"/>
      <c r="J30" s="109"/>
      <c r="K30" s="81"/>
      <c r="L30" s="135"/>
      <c r="M30" s="117"/>
      <c r="N30" s="96"/>
      <c r="O30" s="57"/>
      <c r="P30" s="8"/>
    </row>
    <row r="31" spans="1:16" ht="18" x14ac:dyDescent="0.25">
      <c r="B31" s="7"/>
      <c r="C31" s="3"/>
      <c r="D31" s="108"/>
      <c r="E31" s="75">
        <v>4</v>
      </c>
      <c r="F31" s="127" t="s">
        <v>65</v>
      </c>
      <c r="G31" s="128"/>
      <c r="H31" s="81"/>
      <c r="I31" s="109"/>
      <c r="J31" s="109"/>
      <c r="K31" s="81"/>
      <c r="L31" s="135"/>
      <c r="M31" s="117"/>
      <c r="N31" s="96"/>
      <c r="O31" s="57"/>
      <c r="P31" s="8"/>
    </row>
    <row r="32" spans="1:16" ht="18" x14ac:dyDescent="0.25">
      <c r="B32" s="7"/>
      <c r="C32" s="3"/>
      <c r="D32" s="108"/>
      <c r="E32" s="75"/>
      <c r="F32" s="81"/>
      <c r="G32" s="128"/>
      <c r="H32" s="81"/>
      <c r="I32" s="109"/>
      <c r="J32" s="81"/>
      <c r="K32" s="81"/>
      <c r="L32" s="135"/>
      <c r="M32" s="117"/>
      <c r="N32" s="96"/>
      <c r="O32" s="57"/>
      <c r="P32" s="8"/>
    </row>
    <row r="33" spans="2:16" ht="18" x14ac:dyDescent="0.25">
      <c r="B33" s="7"/>
      <c r="C33" s="3"/>
      <c r="D33" s="108"/>
      <c r="E33" s="75">
        <v>4</v>
      </c>
      <c r="F33" s="81" t="s">
        <v>66</v>
      </c>
      <c r="G33" s="128"/>
      <c r="H33" s="81"/>
      <c r="I33" s="109"/>
      <c r="J33" s="81"/>
      <c r="K33" s="81"/>
      <c r="L33" s="109"/>
      <c r="M33" s="96"/>
      <c r="N33" s="96"/>
      <c r="O33" s="57"/>
      <c r="P33" s="8"/>
    </row>
    <row r="34" spans="2:16" ht="18" x14ac:dyDescent="0.25">
      <c r="B34" s="7"/>
      <c r="C34" s="3"/>
      <c r="D34" s="108"/>
      <c r="E34" s="75"/>
      <c r="F34" s="127"/>
      <c r="G34" s="128"/>
      <c r="H34" s="81"/>
      <c r="I34" s="109"/>
      <c r="J34" s="109"/>
      <c r="K34" s="81"/>
      <c r="L34" s="109"/>
      <c r="M34" s="96"/>
      <c r="N34" s="96"/>
      <c r="O34" s="57"/>
      <c r="P34" s="8"/>
    </row>
    <row r="35" spans="2:16" ht="18" x14ac:dyDescent="0.25">
      <c r="B35" s="7"/>
      <c r="C35" s="3"/>
      <c r="D35" s="108"/>
      <c r="E35" s="75"/>
      <c r="F35" s="81"/>
      <c r="G35" s="128"/>
      <c r="H35" s="81"/>
      <c r="I35" s="109"/>
      <c r="J35" s="81"/>
      <c r="K35" s="81"/>
      <c r="L35" s="109"/>
      <c r="M35" s="96"/>
      <c r="N35" s="96"/>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52"/>
      <c r="G44" s="153"/>
      <c r="H44" s="153"/>
      <c r="I44" s="153"/>
      <c r="J44" s="153"/>
      <c r="K44" s="153"/>
      <c r="L44" s="119"/>
      <c r="M44" s="96"/>
      <c r="N44" s="96" t="str">
        <f>IF(E45&lt;&gt;"",E45*M44,"")</f>
        <v/>
      </c>
      <c r="O44" s="57"/>
      <c r="P44" s="8"/>
    </row>
    <row r="45" spans="2:16" ht="15.75" x14ac:dyDescent="0.25">
      <c r="B45" s="7"/>
      <c r="C45" s="3"/>
      <c r="D45" s="3"/>
      <c r="E45" s="82"/>
      <c r="F45" s="82"/>
      <c r="G45" s="82"/>
      <c r="H45" s="82"/>
      <c r="I45" s="82"/>
      <c r="J45" s="76"/>
      <c r="K45" s="76"/>
      <c r="L45" s="76"/>
      <c r="M45" s="103"/>
      <c r="N45" s="97"/>
      <c r="O45" s="57"/>
      <c r="P45" s="8"/>
    </row>
    <row r="46" spans="2:16" ht="15" customHeight="1" x14ac:dyDescent="0.2">
      <c r="B46" s="7"/>
      <c r="C46" s="3"/>
      <c r="D46" s="3"/>
      <c r="E46" s="82"/>
      <c r="F46" s="82"/>
      <c r="G46" s="82"/>
      <c r="H46" s="82"/>
      <c r="I46" s="82"/>
      <c r="J46" s="76"/>
      <c r="K46" s="76"/>
      <c r="L46" s="76"/>
      <c r="M46" s="106"/>
      <c r="N46" s="104"/>
      <c r="O46" s="57"/>
      <c r="P46" s="8"/>
    </row>
    <row r="47" spans="2:16" ht="15" customHeight="1" x14ac:dyDescent="0.2">
      <c r="B47" s="7"/>
      <c r="C47" s="3"/>
      <c r="D47" s="3"/>
      <c r="E47" s="83"/>
      <c r="F47" s="107"/>
      <c r="G47" s="82"/>
      <c r="H47" s="82"/>
      <c r="I47" s="82"/>
      <c r="J47" s="78"/>
      <c r="K47" s="78"/>
      <c r="L47" s="77"/>
      <c r="M47" s="105"/>
      <c r="N47" s="104"/>
      <c r="O47" s="57"/>
      <c r="P47" s="8"/>
    </row>
    <row r="48" spans="2:16" ht="15" customHeight="1" x14ac:dyDescent="0.25">
      <c r="B48" s="7"/>
      <c r="C48" s="3"/>
      <c r="D48" s="3"/>
      <c r="E48" s="85"/>
      <c r="F48" s="136"/>
      <c r="G48" s="87"/>
      <c r="H48" s="85"/>
      <c r="I48" s="82"/>
      <c r="J48" s="79"/>
      <c r="K48" s="76"/>
      <c r="L48" s="76"/>
      <c r="M48" s="171"/>
      <c r="N48" s="172" t="s">
        <v>63</v>
      </c>
      <c r="O48" s="57"/>
      <c r="P48" s="8"/>
    </row>
    <row r="49" spans="1:16" ht="15" x14ac:dyDescent="0.2">
      <c r="B49" s="7"/>
      <c r="C49" s="3"/>
      <c r="D49" s="3"/>
      <c r="E49" s="85"/>
      <c r="F49" s="107"/>
      <c r="G49" s="82"/>
      <c r="H49" s="86"/>
      <c r="I49" s="82"/>
      <c r="J49" s="80" t="s">
        <v>24</v>
      </c>
      <c r="K49" s="76"/>
      <c r="L49" s="76"/>
      <c r="M49" s="171"/>
      <c r="N49" s="173"/>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58</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83"/>
      <c r="D55" s="183"/>
      <c r="E55" s="183"/>
      <c r="F55" s="183"/>
      <c r="G55" s="183"/>
      <c r="H55" s="183"/>
      <c r="I55" s="183"/>
      <c r="J55" s="183"/>
      <c r="K55" s="183"/>
      <c r="L55" s="183"/>
      <c r="M55" s="100"/>
      <c r="N55" s="101"/>
      <c r="O55" s="57"/>
      <c r="P55" s="8"/>
    </row>
    <row r="56" spans="1:16" ht="15.75" x14ac:dyDescent="0.2">
      <c r="B56" s="7"/>
      <c r="C56" s="3"/>
      <c r="D56" s="3"/>
      <c r="E56" s="18"/>
      <c r="F56" s="146"/>
      <c r="G56" s="146"/>
      <c r="H56" s="146"/>
      <c r="I56" s="146"/>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55</v>
      </c>
      <c r="F58" s="124"/>
      <c r="G58" s="124"/>
      <c r="H58" s="124"/>
      <c r="I58" s="124"/>
      <c r="J58" s="124"/>
      <c r="K58" s="124"/>
      <c r="L58" s="124"/>
      <c r="M58" s="124"/>
      <c r="N58" s="98"/>
      <c r="O58" s="57"/>
      <c r="P58" s="8"/>
    </row>
    <row r="59" spans="1:16" ht="0.95" customHeight="1" thickBot="1" x14ac:dyDescent="0.25">
      <c r="A59" s="121"/>
      <c r="B59" s="7"/>
      <c r="C59" s="3"/>
      <c r="D59" s="3"/>
      <c r="E59" s="18"/>
      <c r="F59" s="147" t="s">
        <v>53</v>
      </c>
      <c r="G59" s="147"/>
      <c r="H59" s="147"/>
      <c r="I59" s="147"/>
      <c r="J59" s="147"/>
      <c r="K59" s="147"/>
      <c r="L59" s="147"/>
      <c r="M59" s="98"/>
      <c r="N59" s="98"/>
      <c r="O59" s="57"/>
      <c r="P59" s="8"/>
    </row>
    <row r="60" spans="1:16" ht="6" customHeight="1" thickTop="1" x14ac:dyDescent="0.2">
      <c r="A60" s="121"/>
      <c r="B60" s="58"/>
      <c r="C60" s="3"/>
      <c r="D60" s="3"/>
      <c r="E60" s="148" t="s">
        <v>54</v>
      </c>
      <c r="F60" s="148"/>
      <c r="G60" s="148"/>
      <c r="H60" s="148"/>
      <c r="I60" s="148"/>
      <c r="J60" s="148"/>
      <c r="K60" s="148"/>
      <c r="L60" s="148"/>
      <c r="M60" s="148"/>
      <c r="N60" s="98"/>
      <c r="O60" s="57"/>
    </row>
    <row r="61" spans="1:16" ht="15.75" x14ac:dyDescent="0.2">
      <c r="A61" s="121"/>
      <c r="B61" s="126"/>
      <c r="C61" s="3"/>
      <c r="D61" s="3"/>
      <c r="E61" s="148"/>
      <c r="F61" s="148"/>
      <c r="G61" s="148"/>
      <c r="H61" s="148"/>
      <c r="I61" s="148"/>
      <c r="J61" s="148"/>
      <c r="K61" s="148"/>
      <c r="L61" s="148"/>
      <c r="M61" s="148"/>
      <c r="N61" s="98"/>
      <c r="O61" s="57"/>
    </row>
    <row r="62" spans="1:16" ht="13.5" thickBot="1" x14ac:dyDescent="0.25">
      <c r="A62" s="121"/>
      <c r="B62" s="125"/>
      <c r="C62" s="120"/>
      <c r="D62" s="120"/>
      <c r="E62" s="121"/>
      <c r="F62" s="121"/>
      <c r="G62" s="121"/>
      <c r="H62" s="145"/>
      <c r="I62" s="145"/>
      <c r="J62" s="145"/>
      <c r="K62" s="145"/>
      <c r="L62" s="145"/>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44"/>
      <c r="L64" s="144"/>
      <c r="M64" s="144"/>
      <c r="N64" s="144"/>
      <c r="O64" s="144"/>
    </row>
    <row r="65" spans="1:15" x14ac:dyDescent="0.2">
      <c r="A65" s="121"/>
      <c r="C65" s="125"/>
      <c r="D65" s="125"/>
      <c r="E65" s="125"/>
      <c r="F65" s="125"/>
      <c r="G65" s="125"/>
      <c r="H65" s="125"/>
      <c r="I65" s="125"/>
      <c r="J65" s="125"/>
      <c r="K65" s="145"/>
      <c r="L65" s="145"/>
      <c r="M65" s="145"/>
      <c r="N65" s="145"/>
      <c r="O65" s="145"/>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48:M49"/>
    <mergeCell ref="N48:N49"/>
    <mergeCell ref="M17:N19"/>
    <mergeCell ref="F26:L26"/>
    <mergeCell ref="C55:L55"/>
    <mergeCell ref="M22:N22"/>
    <mergeCell ref="H14:L15"/>
    <mergeCell ref="M9:N9"/>
    <mergeCell ref="F44:K44"/>
    <mergeCell ref="M21:N21"/>
    <mergeCell ref="M23:N23"/>
    <mergeCell ref="M24:N24"/>
    <mergeCell ref="M13:N13"/>
    <mergeCell ref="G23:H23"/>
    <mergeCell ref="E22:J22"/>
    <mergeCell ref="E21:J21"/>
    <mergeCell ref="E24:J24"/>
    <mergeCell ref="F27:K27"/>
    <mergeCell ref="K64:O65"/>
    <mergeCell ref="F56:I56"/>
    <mergeCell ref="F59:L59"/>
    <mergeCell ref="H62:L62"/>
    <mergeCell ref="E60:M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43878</v>
      </c>
      <c r="D8" s="71" t="str">
        <f>Facture!$E$21</f>
        <v>NXT</v>
      </c>
      <c r="E8" s="68" t="str">
        <f>Facture!$E$22</f>
        <v>AV MOSBAH JARBOU EL MANAR II</v>
      </c>
      <c r="F8" s="68">
        <f>Facture!$E$23</f>
        <v>0</v>
      </c>
      <c r="G8" s="71">
        <f>Facture!$G$23</f>
        <v>0</v>
      </c>
      <c r="H8" s="71" t="str">
        <f>Facture!$J$23</f>
        <v>TN</v>
      </c>
      <c r="I8" s="68" t="str">
        <f>Facture!$E$24</f>
        <v xml:space="preserve">     71882832       Fax: </v>
      </c>
      <c r="J8" s="72" t="str">
        <f>Facture!$N$48</f>
        <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2020-02-17T09:10:19Z</cp:lastPrinted>
  <dcterms:created xsi:type="dcterms:W3CDTF">1995-05-29T15:50:39Z</dcterms:created>
  <dcterms:modified xsi:type="dcterms:W3CDTF">2020-02-17T09:11:02Z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