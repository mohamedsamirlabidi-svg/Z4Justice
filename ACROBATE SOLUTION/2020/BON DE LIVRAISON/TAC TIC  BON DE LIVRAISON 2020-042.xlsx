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Facture!$L$58</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Facture!$E$56</definedName>
    <definedName name="data63">Facture!$E$57</definedName>
    <definedName name="data64">Facture!$E$58</definedName>
    <definedName name="data65">Facture!$H$59</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Facture!$F$61:$I$61</definedName>
    <definedName name="qzqzqz27">Facture!#REF!</definedName>
    <definedName name="qzqzqz28">Facture!$F$64:$I$64</definedName>
    <definedName name="qzqzqz29">Facture!$L$64:$M$64</definedName>
    <definedName name="qzqzqz3">Facture!$E$23:$J$23</definedName>
    <definedName name="qzqzqz30">Facture!#REF!</definedName>
    <definedName name="qzqzqz31">Facture!#REF!</definedName>
    <definedName name="qzqzqz32">Facture!$L$63:$M$64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<sst xmlns="http://schemas.openxmlformats.org/spreadsheetml/2006/main" count="107" uniqueCount="97">
  <si>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</si>
  <si>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</si>
  <si>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</si>
  <si>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</si>
  <si>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</si>
  <si>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</si>
  <si>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</si>
  <si>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</si>
  <si>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</si>
  <si>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</si>
  <si>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</si>
  <si>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</si>
  <si>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</si>
  <si>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</si>
  <si>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</si>
  <si>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</si>
  <si>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</si>
  <si>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</si>
  <si>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</si>
  <si>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</si>
  <si>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</si>
  <si>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</si>
  <si>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</si>
  <si>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</si>
  <si>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</si>
  <si>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</si>
  <si>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</si>
  <si>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</si>
  <si>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</si>
  <si>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</si>
  <si>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</si>
  <si>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</si>
  <si>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</si>
  <si>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</si>
  <si>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</si>
  <si>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</si>
  <si>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</si>
  <si>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</si>
  <si>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</si>
  <si>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</si>
  <si>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</si>
  <si>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</si>
  <si>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</si>
  <si>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</si>
  <si>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</si>
  <si>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</si>
  <si>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</si>
  <si>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</si>
  <si>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</si>
  <si>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</si>
  <si>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</si>
  <si>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</si>
  <si>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</si>
  <si>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</si>
  <si>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</si>
  <si>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</si>
  <si>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</si>
  <si>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</si>
  <si>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RC:B161701999  MF:645 267 KMA 000</t>
  </si>
  <si>
    <t>SIGNATURE :</t>
  </si>
  <si>
    <t xml:space="preserve">N° Commande </t>
  </si>
  <si>
    <t>MF</t>
  </si>
  <si>
    <t xml:space="preserve">TRUCK LOOP-sangle </t>
  </si>
  <si>
    <t xml:space="preserve">OVAL STANDARD LOCK - Mousqueton
</t>
  </si>
  <si>
    <t>SPHINX - Poulie</t>
  </si>
  <si>
    <t xml:space="preserve">TAC-TIC </t>
  </si>
  <si>
    <t>1275853W/A/M/000</t>
  </si>
  <si>
    <t xml:space="preserve">ELGHAZELA - ARIANA </t>
  </si>
  <si>
    <t xml:space="preserve">KIT COMPLET </t>
  </si>
  <si>
    <t>KIT COMPLET  COMPOSE DE :</t>
  </si>
  <si>
    <t xml:space="preserve">*HARNAIS GOLDEN TOP PLUS CONFORME 3 NORMES </t>
  </si>
  <si>
    <t>EN 361 + EN 358 + EN 813</t>
  </si>
  <si>
    <t>* LONGE DOUBLE ELASTIQUE CONFORME EN 355</t>
  </si>
  <si>
    <t>* LONGE DE MAINTIEN CONFORME EN 358</t>
  </si>
  <si>
    <t xml:space="preserve">kit _complet </t>
  </si>
  <si>
    <t>ARES AIR PRO - Casque</t>
  </si>
  <si>
    <t>EN 397 + -20°C</t>
  </si>
  <si>
    <t xml:space="preserve">CO_POL </t>
  </si>
  <si>
    <t>Mme Rana BEN ABED</t>
  </si>
  <si>
    <t>CORDE POLYAMIDE pour manutention</t>
  </si>
  <si>
    <t>0066/2020</t>
  </si>
  <si>
    <t xml:space="preserve">TOOLS BAG GRATUIT </t>
  </si>
  <si>
    <t xml:space="preserve">SAC PYLONNIER GRATUIT </t>
  </si>
  <si>
    <t>ID:0419/3773  ID:0419/0191  ID:0419/2600  ID:0419/3720  ID:0419/3979</t>
  </si>
  <si>
    <t>ID:0419/0465  ID:0419/0444  ID:0419/0414  ID:0419/2691   ID:0419/2353</t>
  </si>
  <si>
    <t>ID:2116/08577 ID:2116/08510 ID:2116/08593 ID:2116/08531 ID:2116/08505</t>
  </si>
  <si>
    <t>ID:2116/08522 ID:2116/08513 ID:2116/08518 ID:2116/08556 ID:2116/08516</t>
  </si>
  <si>
    <t xml:space="preserve">ID:1119/0166 ID:1119/0199 ID:1119/0164 ID:1119/0100 ID:1119/0165 </t>
  </si>
  <si>
    <t>ID:1119/0171 ID:1119/0169 ID:1119/0172 ID:1119/0158 ID:1119/0170</t>
  </si>
  <si>
    <t>ID:T19/046874 T19/046879 T19/046880 T19/047020 T19/046840</t>
  </si>
  <si>
    <t>ID:T19/046878 T19/046875 T19/046872 T19/046876 T19/046881</t>
  </si>
  <si>
    <t>ID:0620/0056 ID:0620/0243 ID:0620/0231 ID:0620/0058 ID:0620/0241</t>
  </si>
  <si>
    <t>ID:0620/0068 ID:0620/0223 ID:0620/0069 ID:0620/0018 ID:0620/0232</t>
  </si>
  <si>
    <t>ID:0419/0232 ID:0419/0378 ID:0419/0178 ID:0419/0230 ID:0419/0350</t>
  </si>
  <si>
    <t>ID:0818/0439 ID:0818/0412 ID:0818/0339 ID:0818/0465 ID:0818/0337</t>
  </si>
  <si>
    <t>BON DE LIVRAISON N°2020-042</t>
  </si>
  <si>
    <t>ID:0818/0321 ID:0818/0288 ID:0818/0429 ID:0818/0459 ID:0818/0332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</si>
</sst>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24"/>
      <color rgb="FF00B050"/>
      <name val="Arial"/>
      <family val="2"/>
    </font>
    <font>
      <b/>
      <sz val="20"/>
      <color rgb="FF00B050"/>
      <name val="Arial"/>
      <family val="2"/>
    </font>
    <font>
      <b/>
      <u/>
      <sz val="10"/>
      <color rgb="FF00B050"/>
      <name val="Arial"/>
      <family val="2"/>
    </font>
    <font>
      <b/>
      <sz val="10"/>
      <color rgb="FF00B050"/>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20"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4" fillId="0" borderId="45" xfId="0" applyFont="1" applyFill="1" applyBorder="1" applyAlignment="1">
      <alignment horizontal="right"/>
    </xf>
    <xf numFmtId="0" fontId="24" fillId="0" borderId="45" xfId="0" quotePrefix="1" applyFont="1" applyFill="1" applyBorder="1" applyAlignment="1">
      <alignment horizontal="right"/>
    </xf>
    <xf numFmtId="10" fontId="24"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29" fillId="0" borderId="0" xfId="0" applyFont="1" applyFill="1" applyBorder="1" applyAlignment="1">
      <alignment horizontal="left"/>
    </xf>
    <xf numFmtId="168" fontId="25" fillId="0" borderId="30" xfId="0" applyNumberFormat="1" applyFont="1" applyFill="1" applyBorder="1" applyAlignment="1">
      <alignment shrinkToFit="1"/>
    </xf>
    <xf numFmtId="0" fontId="19" fillId="0" borderId="0" xfId="0" applyFont="1" applyFill="1" applyBorder="1" applyAlignment="1"/>
    <xf numFmtId="49" fontId="35" fillId="0" borderId="51" xfId="5" applyNumberFormat="1" applyFill="1" applyBorder="1" applyAlignment="1"/>
    <xf numFmtId="49" fontId="35" fillId="0" borderId="48"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6" fillId="0" borderId="0" xfId="0" applyNumberFormat="1" applyFont="1" applyFill="1" applyBorder="1" applyAlignment="1">
      <alignment shrinkToFit="1"/>
    </xf>
    <xf numFmtId="168" fontId="27" fillId="0" borderId="47" xfId="0" applyNumberFormat="1"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7" fillId="6" borderId="0" xfId="0" applyFont="1" applyFill="1"/>
    <xf numFmtId="0" fontId="39" fillId="3" borderId="0" xfId="0" applyFont="1" applyFill="1" applyBorder="1" applyAlignment="1">
      <alignment horizontal="left"/>
    </xf>
    <xf numFmtId="49" fontId="30"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2" fillId="0" borderId="52" xfId="0" applyFont="1" applyFill="1" applyBorder="1" applyAlignment="1">
      <alignment horizontal="center"/>
    </xf>
    <xf numFmtId="49" fontId="35" fillId="0" borderId="50" xfId="5" applyNumberFormat="1" applyFill="1" applyBorder="1" applyAlignment="1"/>
    <xf numFmtId="49" fontId="31" fillId="0" borderId="0" xfId="0" applyNumberFormat="1" applyFont="1" applyFill="1" applyBorder="1" applyAlignment="1"/>
    <xf numFmtId="49" fontId="33" fillId="0" borderId="28" xfId="0" applyNumberFormat="1" applyFont="1" applyFill="1" applyBorder="1" applyAlignment="1"/>
    <xf numFmtId="1" fontId="40" fillId="0" borderId="29" xfId="0" applyNumberFormat="1" applyFont="1" applyFill="1" applyBorder="1" applyAlignment="1">
      <alignment horizontal="center"/>
    </xf>
    <xf numFmtId="49" fontId="41" fillId="0" borderId="0" xfId="0" applyNumberFormat="1" applyFont="1" applyFill="1" applyBorder="1" applyAlignment="1"/>
    <xf numFmtId="49" fontId="42" fillId="0" borderId="0" xfId="5" applyNumberFormat="1" applyFont="1" applyFill="1" applyBorder="1" applyAlignment="1"/>
    <xf numFmtId="1" fontId="40" fillId="0" borderId="47" xfId="0" applyNumberFormat="1" applyFont="1" applyFill="1" applyBorder="1" applyAlignment="1">
      <alignment horizontal="center"/>
    </xf>
    <xf numFmtId="49" fontId="41" fillId="0" borderId="49" xfId="5" applyNumberFormat="1" applyFont="1" applyFill="1" applyBorder="1" applyAlignment="1"/>
    <xf numFmtId="49" fontId="42" fillId="0" borderId="49" xfId="5" applyNumberFormat="1" applyFont="1" applyFill="1" applyBorder="1" applyAlignment="1"/>
    <xf numFmtId="49" fontId="43" fillId="0" borderId="49" xfId="5" applyNumberFormat="1" applyFont="1" applyFill="1" applyBorder="1" applyAlignment="1"/>
    <xf numFmtId="0" fontId="8" fillId="0" borderId="0" xfId="0" applyFont="1" applyFill="1" applyBorder="1"/>
    <xf numFmtId="0" fontId="8" fillId="0" borderId="0" xfId="0" applyFont="1" applyFill="1"/>
    <xf numFmtId="0" fontId="8" fillId="0" borderId="0"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44" fillId="0" borderId="28" xfId="5" applyNumberFormat="1" applyFont="1" applyFill="1" applyBorder="1" applyAlignment="1">
      <alignment horizontal="left"/>
    </xf>
    <xf numFmtId="49" fontId="44" fillId="0" borderId="0" xfId="5" applyNumberFormat="1" applyFont="1" applyFill="1" applyBorder="1" applyAlignment="1">
      <alignment horizontal="left"/>
    </xf>
    <xf numFmtId="49" fontId="44" fillId="0" borderId="39" xfId="5" applyNumberFormat="1" applyFont="1" applyFill="1" applyBorder="1" applyAlignment="1">
      <alignment horizontal="left"/>
    </xf>
    <xf numFmtId="0" fontId="39"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0" fontId="23"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57</xdr:row>
          <xdr:rowOff>114300</xdr:rowOff>
        </xdr:from>
        <xdr:to>
          <xdr:col>3</xdr:col>
          <xdr:colOff>1838325</xdr:colOff>
          <xdr:row>57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56</xdr:row>
          <xdr:rowOff>95250</xdr:rowOff>
        </xdr:from>
        <xdr:to>
          <xdr:col>3</xdr:col>
          <xdr:colOff>1885950</xdr:colOff>
          <xdr:row>56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43</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0" t="s">
        <v>4</v>
      </c>
      <c r="G12" s="17"/>
      <c r="H12" s="26"/>
      <c r="I12" s="3"/>
      <c r="J12" s="9"/>
    </row>
    <row r="13" spans="2:10" ht="13.5" thickBot="1" x14ac:dyDescent="0.25">
      <c r="B13" s="7"/>
      <c r="C13" s="3"/>
      <c r="D13" s="33" t="s">
        <v>5</v>
      </c>
      <c r="E13" s="14" t="s">
        <v>46</v>
      </c>
      <c r="F13" s="60"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C1" zoomScale="60" zoomScaleNormal="60" workbookViewId="0">
      <selection activeCell="N64" sqref="C3:N6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1"/>
      <c r="K9" s="10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58</v>
      </c>
      <c r="E18" s="73"/>
      <c r="F18" s="73"/>
      <c r="G18" s="73"/>
      <c r="H18" s="3"/>
      <c r="I18" s="3"/>
      <c r="J18" s="3"/>
      <c r="K18" s="3"/>
      <c r="L18" s="165" t="s">
        <v>95</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50</v>
      </c>
      <c r="E22" s="133" t="s">
        <v>65</v>
      </c>
      <c r="F22" s="133"/>
      <c r="G22" s="132"/>
      <c r="H22" s="132"/>
      <c r="I22" s="158"/>
      <c r="J22" s="158"/>
      <c r="K22" s="131"/>
      <c r="L22" s="129" t="s">
        <v>19</v>
      </c>
      <c r="M22" s="168">
        <v>44050</v>
      </c>
      <c r="N22" s="169"/>
      <c r="O22" s="9"/>
    </row>
    <row r="23" spans="2:15" ht="23.25" x14ac:dyDescent="0.35">
      <c r="B23" s="7"/>
      <c r="C23" s="3"/>
      <c r="D23" s="129" t="s">
        <v>51</v>
      </c>
      <c r="E23" s="132" t="s">
        <v>67</v>
      </c>
      <c r="F23" s="132"/>
      <c r="G23" s="132"/>
      <c r="H23" s="132"/>
      <c r="I23" s="132"/>
      <c r="J23" s="132"/>
      <c r="K23" s="131"/>
      <c r="L23" s="129" t="s">
        <v>60</v>
      </c>
      <c r="M23" s="130" t="s">
        <v>80</v>
      </c>
      <c r="N23" s="130"/>
      <c r="O23" s="9"/>
    </row>
    <row r="24" spans="2:15" ht="23.25" x14ac:dyDescent="0.35">
      <c r="B24" s="7"/>
      <c r="C24" s="3"/>
      <c r="D24" s="129" t="s">
        <v>52</v>
      </c>
      <c r="E24" s="158">
        <v>2088</v>
      </c>
      <c r="F24" s="158"/>
      <c r="G24" s="158"/>
      <c r="H24" s="158"/>
      <c r="I24" s="158" t="s">
        <v>9</v>
      </c>
      <c r="J24" s="158" t="s">
        <v>56</v>
      </c>
      <c r="K24" s="131"/>
      <c r="L24" s="129" t="s">
        <v>20</v>
      </c>
      <c r="M24" s="170" t="s">
        <v>78</v>
      </c>
      <c r="N24" s="170"/>
      <c r="O24" s="9"/>
    </row>
    <row r="25" spans="2:15" ht="23.25" x14ac:dyDescent="0.35">
      <c r="B25" s="7"/>
      <c r="C25" s="3"/>
      <c r="D25" s="129" t="s">
        <v>53</v>
      </c>
      <c r="E25" s="163">
        <v>71856454</v>
      </c>
      <c r="F25" s="164"/>
      <c r="G25" s="132"/>
      <c r="H25" s="132"/>
      <c r="I25" s="132"/>
      <c r="J25" s="132"/>
      <c r="K25" s="131"/>
      <c r="L25" s="129" t="s">
        <v>61</v>
      </c>
      <c r="M25" s="171" t="s">
        <v>66</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3" t="s">
        <v>33</v>
      </c>
      <c r="E27" s="83" t="s">
        <v>22</v>
      </c>
      <c r="F27" s="159" t="s">
        <v>23</v>
      </c>
      <c r="G27" s="160"/>
      <c r="H27" s="160"/>
      <c r="I27" s="160"/>
      <c r="J27" s="160"/>
      <c r="K27" s="161"/>
      <c r="L27" s="83" t="s">
        <v>24</v>
      </c>
      <c r="M27" s="84" t="s">
        <v>25</v>
      </c>
      <c r="N27" s="85"/>
      <c r="O27" s="9"/>
    </row>
    <row r="28" spans="2:15" ht="30" x14ac:dyDescent="0.4">
      <c r="B28" s="7"/>
      <c r="C28" s="3"/>
      <c r="D28" s="125" t="s">
        <v>74</v>
      </c>
      <c r="E28" s="126">
        <v>10</v>
      </c>
      <c r="F28" s="105" t="s">
        <v>68</v>
      </c>
      <c r="G28" s="118"/>
      <c r="H28" s="118"/>
      <c r="I28" s="118"/>
      <c r="J28" s="118"/>
      <c r="K28" s="119"/>
      <c r="L28" s="98"/>
      <c r="M28" s="102"/>
      <c r="N28" s="52"/>
      <c r="O28" s="9"/>
    </row>
    <row r="29" spans="2:15" ht="30" x14ac:dyDescent="0.4">
      <c r="B29" s="7"/>
      <c r="C29" s="3"/>
      <c r="D29" s="125"/>
      <c r="E29" s="126"/>
      <c r="F29" s="137" t="s">
        <v>69</v>
      </c>
      <c r="G29" s="120"/>
      <c r="H29" s="120"/>
      <c r="I29" s="120"/>
      <c r="J29" s="120"/>
      <c r="K29" s="121"/>
      <c r="L29" s="98"/>
      <c r="M29" s="102"/>
      <c r="N29" s="52"/>
      <c r="O29" s="9"/>
    </row>
    <row r="30" spans="2:15" ht="30" x14ac:dyDescent="0.4">
      <c r="B30" s="7"/>
      <c r="C30" s="3"/>
      <c r="D30" s="125"/>
      <c r="E30" s="126"/>
      <c r="F30" s="137" t="s">
        <v>70</v>
      </c>
      <c r="G30" s="120"/>
      <c r="H30" s="120"/>
      <c r="I30" s="120"/>
      <c r="J30" s="120"/>
      <c r="K30" s="121"/>
      <c r="L30" s="98"/>
      <c r="M30" s="102"/>
      <c r="N30" s="52"/>
      <c r="O30" s="9"/>
    </row>
    <row r="31" spans="2:15" ht="30" x14ac:dyDescent="0.4">
      <c r="B31" s="7"/>
      <c r="C31" s="3"/>
      <c r="D31" s="125"/>
      <c r="E31" s="126"/>
      <c r="F31" s="137" t="s">
        <v>71</v>
      </c>
      <c r="G31" s="120"/>
      <c r="H31" s="120"/>
      <c r="I31" s="120"/>
      <c r="J31" s="120"/>
      <c r="K31" s="121"/>
      <c r="L31" s="98"/>
      <c r="M31" s="102"/>
      <c r="N31" s="52"/>
      <c r="O31" s="9"/>
    </row>
    <row r="32" spans="2:15" ht="30" x14ac:dyDescent="0.4">
      <c r="B32" s="7"/>
      <c r="C32" s="3"/>
      <c r="D32" s="125"/>
      <c r="E32" s="126"/>
      <c r="F32" s="155" t="s">
        <v>94</v>
      </c>
      <c r="G32" s="156"/>
      <c r="H32" s="156"/>
      <c r="I32" s="156"/>
      <c r="J32" s="156"/>
      <c r="K32" s="157"/>
      <c r="L32" s="98"/>
      <c r="M32" s="102"/>
      <c r="N32" s="52"/>
      <c r="O32" s="9"/>
    </row>
    <row r="33" spans="2:15" ht="30" x14ac:dyDescent="0.4">
      <c r="B33" s="7"/>
      <c r="C33" s="3"/>
      <c r="D33" s="125"/>
      <c r="E33" s="126"/>
      <c r="F33" s="155" t="s">
        <v>96</v>
      </c>
      <c r="G33" s="156"/>
      <c r="H33" s="156"/>
      <c r="I33" s="156"/>
      <c r="J33" s="156"/>
      <c r="K33" s="157"/>
      <c r="L33" s="98"/>
      <c r="M33" s="102"/>
      <c r="N33" s="52"/>
      <c r="O33" s="9"/>
    </row>
    <row r="34" spans="2:15" ht="30" x14ac:dyDescent="0.4">
      <c r="B34" s="7"/>
      <c r="C34" s="3"/>
      <c r="D34" s="125"/>
      <c r="E34" s="126"/>
      <c r="F34" s="137" t="s">
        <v>72</v>
      </c>
      <c r="G34" s="120"/>
      <c r="H34" s="120"/>
      <c r="I34" s="120"/>
      <c r="J34" s="120"/>
      <c r="K34" s="121"/>
      <c r="L34" s="98"/>
      <c r="M34" s="102"/>
      <c r="N34" s="52"/>
      <c r="O34" s="9"/>
    </row>
    <row r="35" spans="2:15" ht="30" x14ac:dyDescent="0.4">
      <c r="B35" s="7"/>
      <c r="C35" s="3"/>
      <c r="D35" s="125"/>
      <c r="E35" s="126"/>
      <c r="F35" s="155" t="s">
        <v>83</v>
      </c>
      <c r="G35" s="156"/>
      <c r="H35" s="156"/>
      <c r="I35" s="156"/>
      <c r="J35" s="156"/>
      <c r="K35" s="157"/>
      <c r="L35" s="98"/>
      <c r="M35" s="102"/>
      <c r="N35" s="52"/>
      <c r="O35" s="9"/>
    </row>
    <row r="36" spans="2:15" ht="30" x14ac:dyDescent="0.4">
      <c r="B36" s="7"/>
      <c r="C36" s="3"/>
      <c r="D36" s="125"/>
      <c r="E36" s="126"/>
      <c r="F36" s="155" t="s">
        <v>84</v>
      </c>
      <c r="G36" s="156"/>
      <c r="H36" s="156"/>
      <c r="I36" s="156"/>
      <c r="J36" s="156"/>
      <c r="K36" s="157"/>
      <c r="L36" s="98"/>
      <c r="M36" s="102"/>
      <c r="N36" s="52"/>
      <c r="O36" s="9"/>
    </row>
    <row r="37" spans="2:15" ht="30" x14ac:dyDescent="0.4">
      <c r="B37" s="7"/>
      <c r="C37" s="3"/>
      <c r="D37" s="125"/>
      <c r="E37" s="126"/>
      <c r="F37" s="137" t="s">
        <v>73</v>
      </c>
      <c r="G37" s="120"/>
      <c r="H37" s="120"/>
      <c r="I37" s="120"/>
      <c r="J37" s="120"/>
      <c r="K37" s="121"/>
      <c r="L37" s="98"/>
      <c r="M37" s="102"/>
      <c r="N37" s="52"/>
      <c r="O37" s="9"/>
    </row>
    <row r="38" spans="2:15" ht="30" x14ac:dyDescent="0.4">
      <c r="B38" s="7"/>
      <c r="C38" s="3"/>
      <c r="D38" s="125"/>
      <c r="E38" s="126"/>
      <c r="F38" s="155" t="s">
        <v>87</v>
      </c>
      <c r="G38" s="156"/>
      <c r="H38" s="156"/>
      <c r="I38" s="156"/>
      <c r="J38" s="156"/>
      <c r="K38" s="157"/>
      <c r="L38" s="98"/>
      <c r="M38" s="102"/>
      <c r="N38" s="52"/>
      <c r="O38" s="9"/>
    </row>
    <row r="39" spans="2:15" ht="30" x14ac:dyDescent="0.4">
      <c r="B39" s="7"/>
      <c r="C39" s="3"/>
      <c r="D39" s="125"/>
      <c r="E39" s="126"/>
      <c r="F39" s="155" t="s">
        <v>88</v>
      </c>
      <c r="G39" s="156"/>
      <c r="H39" s="156"/>
      <c r="I39" s="156"/>
      <c r="J39" s="156"/>
      <c r="K39" s="157"/>
      <c r="L39" s="98"/>
      <c r="M39" s="102"/>
      <c r="N39" s="52"/>
      <c r="O39" s="9"/>
    </row>
    <row r="40" spans="2:15" ht="30" x14ac:dyDescent="0.4">
      <c r="B40" s="7"/>
      <c r="C40" s="3"/>
      <c r="D40" s="125">
        <v>2643</v>
      </c>
      <c r="E40" s="126">
        <v>10</v>
      </c>
      <c r="F40" s="128" t="s">
        <v>75</v>
      </c>
      <c r="G40" s="120"/>
      <c r="H40" s="120"/>
      <c r="I40" s="120"/>
      <c r="J40" s="120"/>
      <c r="K40" s="121"/>
      <c r="L40" s="98"/>
      <c r="M40" s="102"/>
      <c r="N40" s="52"/>
      <c r="O40" s="9"/>
    </row>
    <row r="41" spans="2:15" ht="30" x14ac:dyDescent="0.4">
      <c r="B41" s="7"/>
      <c r="C41" s="3"/>
      <c r="D41" s="125"/>
      <c r="E41" s="126"/>
      <c r="F41" s="128" t="s">
        <v>76</v>
      </c>
      <c r="G41" s="120"/>
      <c r="H41" s="120"/>
      <c r="I41" s="120"/>
      <c r="J41" s="120"/>
      <c r="K41" s="121"/>
      <c r="L41" s="98"/>
      <c r="M41" s="102"/>
      <c r="N41" s="52"/>
      <c r="O41" s="9"/>
    </row>
    <row r="42" spans="2:15" ht="30" x14ac:dyDescent="0.4">
      <c r="B42" s="7"/>
      <c r="C42" s="3"/>
      <c r="D42" s="125"/>
      <c r="E42" s="126"/>
      <c r="F42" s="155" t="s">
        <v>89</v>
      </c>
      <c r="G42" s="156"/>
      <c r="H42" s="156"/>
      <c r="I42" s="156"/>
      <c r="J42" s="156"/>
      <c r="K42" s="157"/>
      <c r="L42" s="98"/>
      <c r="M42" s="102"/>
      <c r="N42" s="52"/>
      <c r="O42" s="9"/>
    </row>
    <row r="43" spans="2:15" ht="30" x14ac:dyDescent="0.4">
      <c r="B43" s="7"/>
      <c r="C43" s="3"/>
      <c r="D43" s="125"/>
      <c r="E43" s="126"/>
      <c r="F43" s="155" t="s">
        <v>90</v>
      </c>
      <c r="G43" s="156"/>
      <c r="H43" s="156"/>
      <c r="I43" s="156"/>
      <c r="J43" s="156"/>
      <c r="K43" s="157"/>
      <c r="L43" s="98"/>
      <c r="M43" s="102"/>
      <c r="N43" s="52"/>
      <c r="O43" s="9"/>
    </row>
    <row r="44" spans="2:15" ht="30" x14ac:dyDescent="0.4">
      <c r="B44" s="7"/>
      <c r="C44" s="3"/>
      <c r="D44" s="125">
        <v>2034060</v>
      </c>
      <c r="E44" s="97">
        <v>10</v>
      </c>
      <c r="F44" s="105" t="s">
        <v>62</v>
      </c>
      <c r="G44" s="120"/>
      <c r="H44" s="120"/>
      <c r="I44" s="120"/>
      <c r="J44" s="120"/>
      <c r="K44" s="121"/>
      <c r="L44" s="99"/>
      <c r="M44" s="102"/>
      <c r="N44" s="52"/>
      <c r="O44" s="9"/>
    </row>
    <row r="45" spans="2:15" ht="30" x14ac:dyDescent="0.4">
      <c r="B45" s="7"/>
      <c r="C45" s="3"/>
      <c r="D45" s="125"/>
      <c r="E45" s="97"/>
      <c r="F45" s="155" t="s">
        <v>91</v>
      </c>
      <c r="G45" s="156"/>
      <c r="H45" s="156"/>
      <c r="I45" s="156"/>
      <c r="J45" s="156"/>
      <c r="K45" s="157"/>
      <c r="L45" s="99"/>
      <c r="M45" s="102"/>
      <c r="N45" s="52"/>
      <c r="O45" s="9"/>
    </row>
    <row r="46" spans="2:15" ht="30" x14ac:dyDescent="0.4">
      <c r="B46" s="7"/>
      <c r="C46" s="3"/>
      <c r="D46" s="125"/>
      <c r="E46" s="97"/>
      <c r="F46" s="155" t="s">
        <v>92</v>
      </c>
      <c r="G46" s="156"/>
      <c r="H46" s="156"/>
      <c r="I46" s="156"/>
      <c r="J46" s="156"/>
      <c r="K46" s="157"/>
      <c r="L46" s="99"/>
      <c r="M46" s="102"/>
      <c r="N46" s="52"/>
      <c r="O46" s="9"/>
    </row>
    <row r="47" spans="2:15" ht="30" x14ac:dyDescent="0.4">
      <c r="B47" s="7"/>
      <c r="C47" s="3"/>
      <c r="D47" s="125">
        <v>2152</v>
      </c>
      <c r="E47" s="97">
        <v>5</v>
      </c>
      <c r="F47" s="105" t="s">
        <v>64</v>
      </c>
      <c r="G47" s="120"/>
      <c r="H47" s="120"/>
      <c r="I47" s="120"/>
      <c r="J47" s="120"/>
      <c r="K47" s="121"/>
      <c r="L47" s="99"/>
      <c r="M47" s="102"/>
      <c r="N47" s="52"/>
      <c r="O47" s="9"/>
    </row>
    <row r="48" spans="2:15" ht="30" x14ac:dyDescent="0.4">
      <c r="B48" s="7"/>
      <c r="C48" s="3"/>
      <c r="D48" s="125"/>
      <c r="E48" s="97"/>
      <c r="F48" s="155" t="s">
        <v>93</v>
      </c>
      <c r="G48" s="156"/>
      <c r="H48" s="156"/>
      <c r="I48" s="156"/>
      <c r="J48" s="156"/>
      <c r="K48" s="157"/>
      <c r="L48" s="99"/>
      <c r="M48" s="102"/>
      <c r="N48" s="52"/>
      <c r="O48" s="9"/>
    </row>
    <row r="49" spans="2:15" ht="30" x14ac:dyDescent="0.4">
      <c r="B49" s="7"/>
      <c r="C49" s="3"/>
      <c r="D49" s="125">
        <v>981</v>
      </c>
      <c r="E49" s="97">
        <v>10</v>
      </c>
      <c r="F49" s="105" t="s">
        <v>63</v>
      </c>
      <c r="G49" s="120"/>
      <c r="H49" s="120"/>
      <c r="I49" s="120"/>
      <c r="J49" s="120"/>
      <c r="K49" s="120"/>
      <c r="L49" s="99"/>
      <c r="M49" s="102"/>
      <c r="N49" s="52"/>
      <c r="O49" s="9"/>
    </row>
    <row r="50" spans="2:15" ht="30" x14ac:dyDescent="0.4">
      <c r="B50" s="7"/>
      <c r="C50" s="3"/>
      <c r="D50" s="125"/>
      <c r="E50" s="97"/>
      <c r="F50" s="155" t="s">
        <v>85</v>
      </c>
      <c r="G50" s="156"/>
      <c r="H50" s="156"/>
      <c r="I50" s="156"/>
      <c r="J50" s="156"/>
      <c r="K50" s="157"/>
      <c r="L50" s="99"/>
      <c r="M50" s="102"/>
      <c r="N50" s="52"/>
      <c r="O50" s="9"/>
    </row>
    <row r="51" spans="2:15" ht="30" x14ac:dyDescent="0.4">
      <c r="B51" s="7"/>
      <c r="C51" s="3"/>
      <c r="D51" s="125"/>
      <c r="E51" s="97"/>
      <c r="F51" s="155" t="s">
        <v>86</v>
      </c>
      <c r="G51" s="156"/>
      <c r="H51" s="156"/>
      <c r="I51" s="156"/>
      <c r="J51" s="156"/>
      <c r="K51" s="157"/>
      <c r="L51" s="99"/>
      <c r="M51" s="102"/>
      <c r="N51" s="52"/>
      <c r="O51" s="9"/>
    </row>
    <row r="52" spans="2:15" ht="30" x14ac:dyDescent="0.4">
      <c r="B52" s="7"/>
      <c r="C52" s="3"/>
      <c r="D52" s="125" t="s">
        <v>77</v>
      </c>
      <c r="E52" s="97">
        <v>700</v>
      </c>
      <c r="F52" s="136" t="s">
        <v>79</v>
      </c>
      <c r="G52" s="120"/>
      <c r="H52" s="120"/>
      <c r="I52" s="120"/>
      <c r="J52" s="120"/>
      <c r="K52" s="120"/>
      <c r="L52" s="99"/>
      <c r="M52" s="102"/>
      <c r="N52" s="52"/>
      <c r="O52" s="9"/>
    </row>
    <row r="53" spans="2:15" ht="30" x14ac:dyDescent="0.4">
      <c r="B53" s="7"/>
      <c r="C53" s="3"/>
      <c r="D53" s="125"/>
      <c r="E53" s="97"/>
      <c r="F53" s="136"/>
      <c r="G53" s="120"/>
      <c r="H53" s="120"/>
      <c r="I53" s="120"/>
      <c r="J53" s="120"/>
      <c r="K53" s="120"/>
      <c r="L53" s="99"/>
      <c r="M53" s="102"/>
      <c r="N53" s="52"/>
      <c r="O53" s="9"/>
    </row>
    <row r="54" spans="2:15" ht="30" x14ac:dyDescent="0.4">
      <c r="B54" s="7"/>
      <c r="C54" s="3"/>
      <c r="D54" s="125"/>
      <c r="E54" s="138">
        <v>10</v>
      </c>
      <c r="F54" s="139" t="s">
        <v>82</v>
      </c>
      <c r="G54" s="140"/>
      <c r="H54" s="140"/>
      <c r="I54" s="140"/>
      <c r="J54" s="140"/>
      <c r="K54" s="120"/>
      <c r="L54" s="99"/>
      <c r="M54" s="102"/>
      <c r="N54" s="52"/>
      <c r="O54" s="9"/>
    </row>
    <row r="55" spans="2:15" ht="30" x14ac:dyDescent="0.4">
      <c r="B55" s="7"/>
      <c r="C55" s="3"/>
      <c r="D55" s="134"/>
      <c r="E55" s="141">
        <v>10</v>
      </c>
      <c r="F55" s="142" t="s">
        <v>81</v>
      </c>
      <c r="G55" s="143"/>
      <c r="H55" s="143"/>
      <c r="I55" s="144"/>
      <c r="J55" s="143"/>
      <c r="K55" s="135"/>
      <c r="L55" s="124"/>
      <c r="M55" s="102"/>
      <c r="N55" s="52"/>
      <c r="O55" s="9"/>
    </row>
    <row r="56" spans="2:15" ht="35.25" x14ac:dyDescent="0.5">
      <c r="B56" s="7"/>
      <c r="C56" s="3"/>
      <c r="D56" s="81"/>
      <c r="E56" s="88"/>
      <c r="F56" s="110"/>
      <c r="G56" s="107"/>
      <c r="H56" s="107"/>
      <c r="I56" s="107"/>
      <c r="J56" s="108"/>
      <c r="K56" s="109"/>
      <c r="L56" s="112"/>
      <c r="M56" s="116"/>
      <c r="N56" s="52"/>
      <c r="O56" s="9"/>
    </row>
    <row r="57" spans="2:15" ht="35.25" x14ac:dyDescent="0.5">
      <c r="B57" s="7"/>
      <c r="C57" s="3"/>
      <c r="D57" s="94"/>
      <c r="E57" s="90" t="s">
        <v>54</v>
      </c>
      <c r="F57" s="74"/>
      <c r="G57" s="74"/>
      <c r="H57" s="74"/>
      <c r="I57" s="74"/>
      <c r="J57" s="75"/>
      <c r="K57" s="86"/>
      <c r="L57" s="111"/>
      <c r="M57" s="95"/>
      <c r="N57" s="52"/>
      <c r="O57" s="9"/>
    </row>
    <row r="58" spans="2:15" ht="35.25" x14ac:dyDescent="0.5">
      <c r="B58" s="7"/>
      <c r="C58" s="3"/>
      <c r="D58" s="91"/>
      <c r="E58" s="90" t="s">
        <v>55</v>
      </c>
      <c r="F58" s="74"/>
      <c r="G58" s="74"/>
      <c r="H58" s="74"/>
      <c r="I58" s="74"/>
      <c r="J58" s="76"/>
      <c r="K58" s="87"/>
      <c r="L58" s="113"/>
      <c r="M58" s="95"/>
      <c r="N58" s="52"/>
      <c r="O58" s="9"/>
    </row>
    <row r="59" spans="2:15" ht="35.25" x14ac:dyDescent="0.5">
      <c r="B59" s="7"/>
      <c r="C59" s="145"/>
      <c r="D59" s="81"/>
      <c r="E59" s="93"/>
      <c r="F59" s="89"/>
      <c r="G59" s="78"/>
      <c r="H59" s="77"/>
      <c r="I59" s="74"/>
      <c r="J59" s="79"/>
      <c r="K59" s="86"/>
      <c r="L59" s="96"/>
      <c r="M59" s="95"/>
      <c r="N59" s="52"/>
      <c r="O59" s="9"/>
    </row>
    <row r="60" spans="2:15" ht="20.25" x14ac:dyDescent="0.3">
      <c r="B60" s="7"/>
      <c r="C60" s="3"/>
      <c r="D60" s="103"/>
      <c r="E60" s="82"/>
      <c r="F60" s="92"/>
      <c r="G60" s="74"/>
      <c r="H60" s="62"/>
      <c r="I60" s="74"/>
      <c r="J60" s="80" t="s">
        <v>26</v>
      </c>
      <c r="K60" s="75"/>
      <c r="L60" s="122"/>
      <c r="M60" s="122"/>
      <c r="N60" s="52"/>
      <c r="O60" s="9"/>
    </row>
    <row r="61" spans="2:15" ht="34.5" x14ac:dyDescent="0.45">
      <c r="B61" s="7"/>
      <c r="C61" s="3"/>
      <c r="D61" s="122" t="s">
        <v>57</v>
      </c>
      <c r="E61" s="145"/>
      <c r="F61" s="146"/>
      <c r="G61" s="147"/>
      <c r="H61" s="147"/>
      <c r="I61" s="147"/>
      <c r="J61" s="147"/>
      <c r="K61" s="147"/>
      <c r="L61" s="127" t="s">
        <v>59</v>
      </c>
      <c r="M61" s="123"/>
      <c r="N61" s="52"/>
      <c r="O61" s="9"/>
    </row>
    <row r="62" spans="2:15" x14ac:dyDescent="0.2">
      <c r="B62" s="7"/>
      <c r="C62" s="3"/>
      <c r="D62" s="162"/>
      <c r="E62" s="162"/>
      <c r="F62" s="162"/>
      <c r="G62" s="162"/>
      <c r="H62" s="162"/>
      <c r="I62" s="162"/>
      <c r="J62" s="162"/>
      <c r="K62" s="162"/>
      <c r="L62" s="162"/>
      <c r="M62" s="106"/>
      <c r="N62" s="52"/>
      <c r="O62" s="9"/>
    </row>
    <row r="63" spans="2:15" ht="26.25" x14ac:dyDescent="0.4">
      <c r="B63" s="7"/>
      <c r="C63" s="3"/>
      <c r="D63" s="162"/>
      <c r="E63" s="162"/>
      <c r="F63" s="162"/>
      <c r="G63" s="162"/>
      <c r="H63" s="162"/>
      <c r="I63" s="162"/>
      <c r="J63" s="162"/>
      <c r="K63" s="162"/>
      <c r="L63" s="162"/>
      <c r="M63" s="115"/>
      <c r="N63" s="52"/>
      <c r="O63" s="9"/>
    </row>
    <row r="64" spans="2:15" ht="26.25" x14ac:dyDescent="0.4">
      <c r="B64" s="7"/>
      <c r="C64" s="3"/>
      <c r="D64" s="106"/>
      <c r="E64" s="106"/>
      <c r="F64" s="115"/>
      <c r="G64" s="117"/>
      <c r="H64" s="117"/>
      <c r="I64" s="117"/>
      <c r="J64" s="75"/>
      <c r="K64" s="104"/>
      <c r="L64" s="122"/>
      <c r="M64" s="127"/>
      <c r="N64" s="52"/>
      <c r="O64" s="9"/>
    </row>
    <row r="65" spans="1:2" x14ac:dyDescent="0.2">
      <c r="B65" s="7"/>
    </row>
    <row r="66" spans="1:2" ht="18" customHeight="1" x14ac:dyDescent="0.2">
      <c r="B66" s="7"/>
    </row>
    <row r="67" spans="1:2" ht="15" customHeight="1" x14ac:dyDescent="0.2">
      <c r="B67" s="7"/>
    </row>
    <row r="68" spans="1:2" ht="20.100000000000001" customHeight="1" x14ac:dyDescent="0.2">
      <c r="B68" s="7"/>
    </row>
    <row r="69" spans="1:2" x14ac:dyDescent="0.2">
      <c r="B69" s="7"/>
    </row>
    <row r="70" spans="1:2" x14ac:dyDescent="0.2">
      <c r="B70" s="7"/>
    </row>
    <row r="71" spans="1:2" ht="18" customHeight="1" x14ac:dyDescent="0.2">
      <c r="A71" s="114"/>
      <c r="B71" s="11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5">
    <mergeCell ref="L18:L20"/>
    <mergeCell ref="M22:N22"/>
    <mergeCell ref="M24:N24"/>
    <mergeCell ref="M25:N25"/>
    <mergeCell ref="I22:J22"/>
    <mergeCell ref="D63:L63"/>
    <mergeCell ref="E24:F24"/>
    <mergeCell ref="I24:J24"/>
    <mergeCell ref="E25:F25"/>
    <mergeCell ref="F51:K51"/>
    <mergeCell ref="F50:K50"/>
    <mergeCell ref="F35:K35"/>
    <mergeCell ref="F36:K36"/>
    <mergeCell ref="F38:K38"/>
    <mergeCell ref="F39:K39"/>
    <mergeCell ref="F46:K46"/>
    <mergeCell ref="F48:K48"/>
    <mergeCell ref="G24:H24"/>
    <mergeCell ref="F27:K27"/>
    <mergeCell ref="D62:L62"/>
    <mergeCell ref="F32:K32"/>
    <mergeCell ref="F33:K33"/>
    <mergeCell ref="F42:K42"/>
    <mergeCell ref="F43:K43"/>
    <mergeCell ref="F45:K45"/>
  </mergeCells>
  <phoneticPr fontId="0" type="noConversion"/>
  <dataValidations xWindow="574" yWindow="401" count="10">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1 M59">
      <formula1>0</formula1>
      <formula2>0</formula2>
    </dataValidation>
    <dataValidation type="decimal" allowBlank="1" showErrorMessage="1" errorTitle="Prix unitaire" error="Tapez un nombre dans cette cellule." promptTitle="Prix unitaire" sqref="L28:L55">
      <formula1>0</formula1>
      <formula2>1000000000</formula2>
    </dataValidation>
    <dataValidation type="whole" errorStyle="warning" allowBlank="1" showErrorMessage="1" errorTitle="Quantité" error="Tapez un nombre dans cette cellule." promptTitle="Quantité" sqref="E28:E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5">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64 L61"/>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57</xdr:row>
                    <xdr:rowOff>114300</xdr:rowOff>
                  </from>
                  <to>
                    <xdr:col>3</xdr:col>
                    <xdr:colOff>1838325</xdr:colOff>
                    <xdr:row>57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56</xdr:row>
                    <xdr:rowOff>95250</xdr:rowOff>
                  </from>
                  <to>
                    <xdr:col>3</xdr:col>
                    <xdr:colOff>1885950</xdr:colOff>
                    <xdr:row>56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27</v>
      </c>
    </row>
    <row r="2" spans="1:11" x14ac:dyDescent="0.2">
      <c r="A2" s="62" t="s">
        <v>34</v>
      </c>
      <c r="B2" s="62" t="s">
        <v>28</v>
      </c>
    </row>
    <row r="3" spans="1:11" x14ac:dyDescent="0.2">
      <c r="A3" s="62" t="s">
        <v>35</v>
      </c>
      <c r="B3" s="62" t="s">
        <v>42</v>
      </c>
    </row>
    <row r="4" spans="1:11" x14ac:dyDescent="0.2">
      <c r="A4" s="62" t="s">
        <v>29</v>
      </c>
    </row>
    <row r="5" spans="1:11" x14ac:dyDescent="0.2">
      <c r="A5" s="62" t="s">
        <v>36</v>
      </c>
      <c r="B5" s="62">
        <v>1</v>
      </c>
    </row>
    <row r="6" spans="1:11" x14ac:dyDescent="0.2">
      <c r="A6" s="62">
        <v>1</v>
      </c>
      <c r="B6" s="62" t="s">
        <v>37</v>
      </c>
      <c r="C6" s="62" t="s">
        <v>41</v>
      </c>
      <c r="D6" s="62" t="s">
        <v>38</v>
      </c>
      <c r="E6" s="62">
        <v>10</v>
      </c>
      <c r="G6" s="62">
        <v>1197261567</v>
      </c>
    </row>
    <row r="7" spans="1:11" x14ac:dyDescent="0.2">
      <c r="A7" s="62" t="s">
        <v>39</v>
      </c>
      <c r="B7" s="62" t="s">
        <v>30</v>
      </c>
      <c r="C7" s="62" t="s">
        <v>19</v>
      </c>
      <c r="D7" s="62" t="s">
        <v>3</v>
      </c>
      <c r="E7" s="62" t="s">
        <v>5</v>
      </c>
      <c r="F7" s="62" t="s">
        <v>7</v>
      </c>
      <c r="G7" s="62" t="s">
        <v>8</v>
      </c>
      <c r="H7" s="62" t="s">
        <v>9</v>
      </c>
      <c r="I7" s="62" t="s">
        <v>21</v>
      </c>
      <c r="J7" s="62" t="s">
        <v>31</v>
      </c>
      <c r="K7" s="62" t="s">
        <v>20</v>
      </c>
    </row>
    <row r="8" spans="1:11" x14ac:dyDescent="0.2">
      <c r="A8" s="62" t="s">
        <v>40</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Facture!$M$59</f>
        <v>0</v>
      </c>
      <c r="K8" s="62" t="str">
        <f>Facture!$L$24</f>
        <v>Responsable</v>
      </c>
    </row>
    <row r="9" spans="1:11" x14ac:dyDescent="0.2">
      <c r="A9" s="62" t="s">
        <v>29</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2020-08-07T13:54:54Z</cp:lastPrinted>
  <dcterms:created xsi:type="dcterms:W3CDTF">1995-05-29T15:50:39Z</dcterms:created>
  <dcterms:modified xsi:type="dcterms:W3CDTF">2020-08-07T13:55:02Z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lpwstr/>
  </property>
</Properties>
</file>