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0\BON DE LIVRAISON\"/>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Facture!$L$41</definedName>
    <definedName name="_Tax3">Facture!#REF!</definedName>
    <definedName name="_tax4">Facture!#REF!</definedName>
    <definedName name="_xlnm.Auto_Open21">'AutoOpen Stub Data'!$A$1</definedName>
    <definedName name="boxes">Facture!$E$39:$E$40</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Facture!$E$39</definedName>
    <definedName name="data63">Facture!$E$40</definedName>
    <definedName name="data64">Facture!$E$41</definedName>
    <definedName name="data65">Facture!$H$42</definedName>
    <definedName name="data66">Facture!#REF!</definedName>
    <definedName name="data67">Facture!$F$48</definedName>
    <definedName name="data68">Facture!$G$48</definedName>
    <definedName name="data69">Facture!$K$48</definedName>
    <definedName name="data7">Facture!$H$24</definedName>
    <definedName name="data70">Facture!$K$49</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Facture!$C$3:$N$66</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Facture!$F$44:$I$44</definedName>
    <definedName name="qzqzqz27">Facture!#REF!</definedName>
    <definedName name="qzqzqz28">Facture!$F$47:$I$47</definedName>
    <definedName name="qzqzqz29">Facture!$L$47:$M$49</definedName>
    <definedName name="qzqzqz3">Facture!$E$23:$J$23</definedName>
    <definedName name="qzqzqz30">Facture!$G$48:$I$48</definedName>
    <definedName name="qzqzqz31">Facture!$G$48:$H$48</definedName>
    <definedName name="qzqzqz32">Facture!$L$46:$M$48</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Facture!$M$42</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Facture!$A$1:$N$71</definedName>
  </definedNames>
  <calcPr calcId="152511"/>
</workbook>
</file>

<file path=xl/calcChain.xml><?xml version="1.0" encoding="utf-8"?>
<calcChain xmlns="http://schemas.openxmlformats.org/spreadsheetml/2006/main">
  <c r="M29" i="3" l="1"/>
  <c r="M38" i="3"/>
  <c r="M28" i="3" l="1"/>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L25" authorId="0" shapeId="0">
      <text>
        <r>
          <rPr>
            <sz val="8"/>
            <color indexed="81"/>
            <rFont val="Tahoma"/>
            <family val="2"/>
          </rPr>
          <t>FAB signifie franco à bord. Il s'agit du lieu de chargement: par exemple, si vous passez une commande en Inde, mais que le chargement a lieu à Boston, vous taperez Boston.</t>
        </r>
      </text>
    </comment>
  </commentList>
</comments>
</file>

<file path=xl/sharedStrings.xml><?xml version="1.0" encoding="utf-8"?>
<sst xmlns="http://schemas.openxmlformats.org/spreadsheetml/2006/main" count="98" uniqueCount="88">
  <si>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</si>
  <si>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</si>
  <si>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</si>
  <si>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</si>
  <si>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</si>
  <si>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</si>
  <si>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</si>
  <si>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</si>
  <si>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</si>
  <si>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</si>
  <si>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</si>
  <si>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</si>
  <si>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</si>
  <si>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</si>
  <si>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</si>
  <si>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</si>
  <si>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</si>
  <si>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</si>
  <si>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</si>
  <si>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</si>
  <si>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</si>
  <si>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</si>
  <si>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</si>
  <si>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</si>
  <si>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</si>
  <si>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</si>
  <si>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</si>
  <si>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</si>
  <si>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</si>
  <si>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</si>
  <si>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</si>
  <si>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</si>
  <si>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</si>
  <si>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</si>
  <si>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</si>
  <si>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</si>
  <si>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</si>
  <si>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</si>
  <si>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</si>
  <si>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</si>
  <si>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</si>
  <si>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</si>
  <si>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</si>
  <si>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</si>
  <si>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</si>
  <si>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</si>
  <si>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</si>
  <si>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</si>
  <si>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</si>
  <si>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</si>
  <si>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</si>
  <si>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</si>
  <si>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</si>
  <si>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</si>
  <si>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</si>
  <si>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</si>
  <si>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Comptant</t>
  </si>
  <si>
    <t>Chèque</t>
  </si>
  <si>
    <t>TN</t>
  </si>
  <si>
    <t>RIB: 10 000 000 080746 3788 95</t>
  </si>
  <si>
    <t>STB THAMEUR</t>
  </si>
  <si>
    <t>RC:B161701999  MF:645 267 KMA 000</t>
  </si>
  <si>
    <t>SIGNATURE :</t>
  </si>
  <si>
    <t xml:space="preserve">N° Commande </t>
  </si>
  <si>
    <t>MF</t>
  </si>
  <si>
    <t xml:space="preserve">CROWN </t>
  </si>
  <si>
    <t>872341T/A/M/000</t>
  </si>
  <si>
    <t xml:space="preserve">ZI EL AGBA </t>
  </si>
  <si>
    <t xml:space="preserve">Pays      TN </t>
  </si>
  <si>
    <t>Mme Lamia HIMILI</t>
  </si>
  <si>
    <r>
      <t xml:space="preserve">Harnais ORBITAL  </t>
    </r>
    <r>
      <rPr>
        <sz val="12"/>
        <rFont val="Arial"/>
        <family val="2"/>
      </rPr>
      <t>EN 358 EN 361</t>
    </r>
  </si>
  <si>
    <r>
      <t xml:space="preserve">ARES AIR PRO - Casque </t>
    </r>
    <r>
      <rPr>
        <sz val="12"/>
        <rFont val="Arial"/>
        <family val="2"/>
      </rPr>
      <t>EN 397 + -20°C</t>
    </r>
  </si>
  <si>
    <t>COBRA 20 - Antichute à rappel automatique EN 360</t>
  </si>
  <si>
    <t xml:space="preserve">Virement </t>
  </si>
  <si>
    <t>ID:1115/0614</t>
  </si>
  <si>
    <t>ID:1115/0018</t>
  </si>
  <si>
    <t>ID:1115/0541</t>
  </si>
  <si>
    <t>ID:1115/0588</t>
  </si>
  <si>
    <t>ID:1115/0325</t>
  </si>
  <si>
    <t>ID:T18/009506</t>
  </si>
  <si>
    <t>ID:T18/009505</t>
  </si>
  <si>
    <t>ID:T18/009496</t>
  </si>
  <si>
    <t>ID:T18/009504</t>
  </si>
  <si>
    <t>ID:T18/009508</t>
  </si>
  <si>
    <t>ID:1118/00015</t>
  </si>
  <si>
    <t>ID:0419/00021</t>
  </si>
  <si>
    <t>BC20/1855</t>
  </si>
  <si>
    <t>BON DE LIVRAISON   N°2020-066</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</si>
</sst>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2"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b/>
      <sz val="20"/>
      <name val="Times New Roman"/>
      <family val="1"/>
    </font>
    <font>
      <b/>
      <sz val="28"/>
      <name val="Arial"/>
      <family val="2"/>
    </font>
    <font>
      <b/>
      <sz val="28"/>
      <color indexed="8"/>
      <name val="Arial"/>
      <family val="2"/>
    </font>
    <font>
      <sz val="28"/>
      <color indexed="8"/>
      <name val="Arial"/>
      <family val="2"/>
    </font>
    <font>
      <sz val="24"/>
      <name val="Arial"/>
      <family val="2"/>
    </font>
    <font>
      <u/>
      <sz val="24"/>
      <name val="Arial"/>
      <family val="2"/>
    </font>
    <font>
      <b/>
      <sz val="20"/>
      <name val="Arial"/>
      <family val="2"/>
    </font>
    <font>
      <b/>
      <sz val="16"/>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sz val="20"/>
      <color rgb="FF000000"/>
      <name val="Arial"/>
      <family val="2"/>
    </font>
    <font>
      <b/>
      <sz val="22"/>
      <name val="Arial"/>
      <family val="2"/>
    </font>
    <font>
      <b/>
      <sz val="18"/>
      <name val="Arial"/>
      <family val="2"/>
    </font>
    <font>
      <b/>
      <sz val="16"/>
      <color rgb="FFFF000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5">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style="hair">
        <color indexed="64"/>
      </right>
      <top style="hair">
        <color indexed="64"/>
      </top>
      <bottom/>
      <diagonal/>
    </border>
    <border>
      <left/>
      <right/>
      <top/>
      <bottom style="thin">
        <color indexed="64"/>
      </bottom>
      <diagonal/>
    </border>
    <border>
      <left/>
      <right style="hair">
        <color indexed="64"/>
      </right>
      <top/>
      <bottom style="thin">
        <color indexed="64"/>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top/>
      <bottom style="hair">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6" fillId="2" borderId="0" applyNumberFormat="0" applyFill="0" applyBorder="0" applyAlignment="0" applyProtection="0"/>
  </cellStyleXfs>
  <cellXfs count="176">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9" fontId="19" fillId="0" borderId="0" xfId="0" applyNumberFormat="1" applyFont="1" applyFill="1" applyBorder="1"/>
    <xf numFmtId="0" fontId="21" fillId="0" borderId="0" xfId="0" applyFont="1" applyFill="1" applyBorder="1"/>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0" xfId="0" applyFont="1" applyFill="1" applyBorder="1" applyAlignment="1">
      <alignment horizontal="center"/>
    </xf>
    <xf numFmtId="0" fontId="21" fillId="3" borderId="32"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0" fontId="7" fillId="3" borderId="0" xfId="0" applyNumberFormat="1" applyFont="1" applyFill="1" applyBorder="1" applyAlignment="1"/>
    <xf numFmtId="167" fontId="23" fillId="0" borderId="0" xfId="0" quotePrefix="1" applyNumberFormat="1" applyFont="1" applyFill="1" applyBorder="1"/>
    <xf numFmtId="0" fontId="23" fillId="3" borderId="0" xfId="0" applyFont="1" applyFill="1" applyBorder="1" applyAlignment="1">
      <alignment horizontal="left"/>
    </xf>
    <xf numFmtId="167" fontId="23" fillId="3" borderId="0" xfId="0" applyNumberFormat="1" applyFont="1" applyFill="1" applyBorder="1"/>
    <xf numFmtId="167" fontId="23" fillId="3" borderId="0" xfId="0" quotePrefix="1" applyNumberFormat="1" applyFont="1" applyFill="1" applyBorder="1" applyAlignment="1">
      <alignment horizontal="center"/>
    </xf>
    <xf numFmtId="0" fontId="25" fillId="0" borderId="0" xfId="0" applyFont="1" applyFill="1" applyBorder="1" applyAlignment="1">
      <alignment horizontal="right"/>
    </xf>
    <xf numFmtId="1" fontId="28" fillId="0" borderId="29" xfId="0" applyNumberFormat="1" applyFont="1" applyFill="1" applyBorder="1" applyAlignment="1">
      <alignment horizontal="center"/>
    </xf>
    <xf numFmtId="168" fontId="28" fillId="0" borderId="29" xfId="0" applyNumberFormat="1" applyFont="1" applyFill="1" applyBorder="1" applyAlignment="1">
      <alignment shrinkToFit="1"/>
    </xf>
    <xf numFmtId="168" fontId="28" fillId="0" borderId="29" xfId="0" applyNumberFormat="1" applyFont="1" applyFill="1" applyBorder="1" applyAlignment="1"/>
    <xf numFmtId="0" fontId="30" fillId="3" borderId="0" xfId="0" applyFont="1" applyFill="1" applyBorder="1"/>
    <xf numFmtId="0" fontId="18" fillId="6" borderId="0" xfId="0" applyFont="1" applyFill="1" applyBorder="1" applyAlignment="1">
      <alignment vertical="top"/>
    </xf>
    <xf numFmtId="0" fontId="21" fillId="3" borderId="0" xfId="0" applyFont="1" applyFill="1" applyBorder="1"/>
    <xf numFmtId="168" fontId="30" fillId="0" borderId="29" xfId="0" applyNumberFormat="1" applyFont="1" applyFill="1" applyBorder="1" applyAlignment="1">
      <alignment horizontal="center" vertical="center" shrinkToFit="1"/>
    </xf>
    <xf numFmtId="0" fontId="31" fillId="0" borderId="0" xfId="0" applyFont="1" applyFill="1" applyBorder="1"/>
    <xf numFmtId="0" fontId="34" fillId="0" borderId="0" xfId="0" applyFont="1" applyFill="1" applyBorder="1" applyAlignment="1">
      <alignment wrapText="1"/>
    </xf>
    <xf numFmtId="0" fontId="33" fillId="6" borderId="0" xfId="0" applyFont="1" applyFill="1" applyBorder="1" applyAlignment="1">
      <alignment horizontal="left" vertical="center" wrapText="1"/>
    </xf>
    <xf numFmtId="49" fontId="32" fillId="0" borderId="28" xfId="0" applyNumberFormat="1" applyFont="1" applyFill="1" applyBorder="1" applyAlignment="1"/>
    <xf numFmtId="0" fontId="0" fillId="0" borderId="0" xfId="0"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29" fillId="6" borderId="0" xfId="0" applyNumberFormat="1" applyFont="1" applyFill="1" applyBorder="1" applyAlignment="1"/>
    <xf numFmtId="0" fontId="5" fillId="6" borderId="39" xfId="0" applyFont="1" applyFill="1" applyBorder="1" applyAlignment="1">
      <alignment horizontal="center" vertical="center"/>
    </xf>
    <xf numFmtId="0" fontId="0" fillId="6" borderId="0" xfId="0" applyFill="1" applyBorder="1"/>
    <xf numFmtId="0" fontId="30" fillId="0" borderId="0" xfId="0" applyFont="1" applyFill="1" applyBorder="1" applyAlignment="1">
      <alignment horizontal="left"/>
    </xf>
    <xf numFmtId="0" fontId="18" fillId="6" borderId="0" xfId="0" applyFont="1" applyFill="1" applyAlignment="1">
      <alignment vertical="top"/>
    </xf>
    <xf numFmtId="0" fontId="18" fillId="6" borderId="38" xfId="0" applyFont="1" applyFill="1" applyBorder="1" applyAlignment="1">
      <alignment vertical="top"/>
    </xf>
    <xf numFmtId="0" fontId="18" fillId="6" borderId="50" xfId="0" applyFont="1" applyFill="1" applyBorder="1" applyAlignment="1">
      <alignment vertical="top"/>
    </xf>
    <xf numFmtId="0" fontId="18" fillId="6" borderId="45"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49" fontId="36" fillId="0" borderId="49" xfId="5" applyNumberFormat="1" applyFill="1" applyBorder="1" applyAlignment="1"/>
    <xf numFmtId="49" fontId="36" fillId="0" borderId="46" xfId="5" applyNumberFormat="1" applyFill="1" applyBorder="1" applyAlignment="1"/>
    <xf numFmtId="49" fontId="36" fillId="0" borderId="0" xfId="5" applyNumberFormat="1" applyFill="1" applyBorder="1" applyAlignment="1"/>
    <xf numFmtId="49" fontId="36" fillId="0" borderId="38" xfId="5" applyNumberFormat="1" applyFill="1" applyBorder="1" applyAlignment="1"/>
    <xf numFmtId="0" fontId="0" fillId="6" borderId="0" xfId="0" applyFill="1"/>
    <xf numFmtId="168" fontId="27" fillId="0" borderId="0" xfId="0" applyNumberFormat="1" applyFont="1" applyFill="1" applyBorder="1" applyAlignment="1">
      <alignment shrinkToFit="1"/>
    </xf>
    <xf numFmtId="0" fontId="23" fillId="0" borderId="28" xfId="0" applyFont="1" applyFill="1" applyBorder="1" applyAlignment="1">
      <alignment horizontal="center"/>
    </xf>
    <xf numFmtId="1" fontId="32" fillId="0" borderId="29" xfId="0" applyNumberFormat="1" applyFont="1" applyFill="1" applyBorder="1" applyAlignment="1">
      <alignment horizontal="center"/>
    </xf>
    <xf numFmtId="0" fontId="37" fillId="6" borderId="0" xfId="0" applyFont="1" applyFill="1" applyBorder="1" applyAlignment="1">
      <alignment vertical="top"/>
    </xf>
    <xf numFmtId="0" fontId="34" fillId="0" borderId="0" xfId="0" applyFont="1" applyFill="1" applyBorder="1"/>
    <xf numFmtId="0" fontId="38" fillId="6" borderId="0" xfId="0" applyFont="1" applyFill="1"/>
    <xf numFmtId="0" fontId="40" fillId="3" borderId="0" xfId="0" applyFont="1" applyFill="1" applyBorder="1" applyAlignment="1">
      <alignment horizontal="left"/>
    </xf>
    <xf numFmtId="49" fontId="31" fillId="3" borderId="33" xfId="0" applyNumberFormat="1" applyFont="1" applyFill="1" applyBorder="1" applyAlignment="1">
      <alignment horizontal="left"/>
    </xf>
    <xf numFmtId="0" fontId="40" fillId="3" borderId="34" xfId="0" applyFont="1" applyFill="1" applyBorder="1" applyAlignment="1">
      <alignment horizontal="left"/>
    </xf>
    <xf numFmtId="0" fontId="40" fillId="3" borderId="34" xfId="0" applyFont="1" applyFill="1" applyBorder="1" applyAlignment="1"/>
    <xf numFmtId="0" fontId="39" fillId="3" borderId="34" xfId="0" applyFont="1" applyFill="1" applyBorder="1" applyAlignment="1"/>
    <xf numFmtId="0" fontId="23" fillId="0" borderId="51" xfId="0" applyFont="1" applyFill="1" applyBorder="1" applyAlignment="1">
      <alignment horizontal="center"/>
    </xf>
    <xf numFmtId="1" fontId="28" fillId="0" borderId="44" xfId="0" applyNumberFormat="1" applyFont="1" applyFill="1" applyBorder="1" applyAlignment="1">
      <alignment horizontal="center"/>
    </xf>
    <xf numFmtId="49" fontId="36" fillId="0" borderId="47" xfId="5" applyNumberFormat="1" applyFill="1" applyBorder="1" applyAlignment="1"/>
    <xf numFmtId="49" fontId="36" fillId="0" borderId="48" xfId="5" applyNumberFormat="1" applyFill="1" applyBorder="1" applyAlignment="1"/>
    <xf numFmtId="0" fontId="41" fillId="0" borderId="0" xfId="0" applyFont="1" applyFill="1" applyBorder="1" applyAlignment="1">
      <alignment horizontal="left"/>
    </xf>
    <xf numFmtId="0" fontId="41" fillId="0" borderId="0" xfId="0" applyFont="1" applyFill="1" applyBorder="1" applyAlignment="1">
      <alignment vertical="top"/>
    </xf>
    <xf numFmtId="0" fontId="5" fillId="6" borderId="0" xfId="0" applyFont="1" applyFill="1" applyBorder="1" applyAlignment="1">
      <alignment horizontal="center" vertical="center"/>
    </xf>
    <xf numFmtId="49" fontId="34" fillId="0" borderId="28" xfId="0" applyNumberFormat="1" applyFont="1" applyFill="1" applyBorder="1" applyAlignment="1"/>
    <xf numFmtId="0" fontId="25" fillId="0" borderId="53" xfId="0" quotePrefix="1" applyFont="1" applyFill="1" applyBorder="1" applyAlignment="1">
      <alignment horizontal="right"/>
    </xf>
    <xf numFmtId="0" fontId="25" fillId="0" borderId="53" xfId="0" applyFont="1" applyFill="1" applyBorder="1" applyAlignment="1">
      <alignment horizontal="right"/>
    </xf>
    <xf numFmtId="10" fontId="25" fillId="0" borderId="54" xfId="0" quotePrefix="1" applyNumberFormat="1" applyFont="1" applyFill="1" applyBorder="1" applyAlignment="1">
      <alignment horizontal="center"/>
    </xf>
    <xf numFmtId="168" fontId="26" fillId="0" borderId="52" xfId="0" applyNumberFormat="1" applyFont="1" applyFill="1" applyBorder="1" applyAlignment="1">
      <alignment shrinkToFit="1"/>
    </xf>
    <xf numFmtId="0" fontId="18" fillId="3" borderId="0" xfId="0" applyFont="1" applyFill="1" applyBorder="1" applyAlignment="1">
      <alignment horizontal="left" wrapText="1"/>
    </xf>
    <xf numFmtId="0" fontId="18" fillId="3" borderId="0" xfId="0" applyFont="1" applyFill="1" applyBorder="1" applyAlignment="1">
      <alignment horizontal="left"/>
    </xf>
    <xf numFmtId="0" fontId="13" fillId="3" borderId="35" xfId="0" applyFont="1" applyFill="1" applyBorder="1" applyAlignment="1"/>
    <xf numFmtId="0" fontId="0" fillId="2" borderId="35"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6" xfId="0" applyNumberFormat="1" applyFill="1" applyBorder="1" applyAlignment="1"/>
    <xf numFmtId="0" fontId="0" fillId="2" borderId="37" xfId="0" applyBorder="1" applyAlignment="1"/>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40" fillId="3" borderId="34" xfId="0" applyFont="1" applyFill="1" applyBorder="1" applyAlignment="1">
      <alignment horizontal="left"/>
    </xf>
    <xf numFmtId="0" fontId="21" fillId="3" borderId="30" xfId="0" applyFont="1" applyFill="1" applyBorder="1" applyAlignment="1"/>
    <xf numFmtId="0" fontId="21" fillId="3" borderId="31" xfId="0" applyFont="1" applyFill="1" applyBorder="1" applyAlignment="1"/>
    <xf numFmtId="0" fontId="21" fillId="3" borderId="43" xfId="0" applyFont="1" applyFill="1" applyBorder="1" applyAlignment="1"/>
    <xf numFmtId="0" fontId="2" fillId="3" borderId="0" xfId="0" applyFont="1" applyFill="1" applyBorder="1" applyAlignment="1">
      <alignment shrinkToFit="1"/>
    </xf>
    <xf numFmtId="3" fontId="40" fillId="3" borderId="34" xfId="0" applyNumberFormat="1" applyFont="1" applyFill="1" applyBorder="1" applyAlignment="1">
      <alignment horizontal="center"/>
    </xf>
    <xf numFmtId="0" fontId="24" fillId="3" borderId="40" xfId="0" applyFont="1" applyFill="1" applyBorder="1" applyAlignment="1">
      <alignment horizontal="center" vertical="center" wrapText="1" shrinkToFit="1"/>
    </xf>
    <xf numFmtId="0" fontId="24" fillId="3" borderId="41" xfId="0" applyFont="1" applyFill="1" applyBorder="1" applyAlignment="1">
      <alignment horizontal="center" vertical="center" wrapText="1" shrinkToFit="1"/>
    </xf>
    <xf numFmtId="0" fontId="24" fillId="3" borderId="42" xfId="0" applyFont="1" applyFill="1" applyBorder="1" applyAlignment="1">
      <alignment horizontal="center" vertical="center" wrapText="1" shrinkToFit="1"/>
    </xf>
    <xf numFmtId="14" fontId="31" fillId="3" borderId="33" xfId="0" applyNumberFormat="1" applyFont="1" applyFill="1" applyBorder="1" applyAlignment="1">
      <alignment horizontal="left"/>
    </xf>
    <xf numFmtId="14" fontId="31" fillId="3" borderId="33" xfId="0" quotePrefix="1" applyNumberFormat="1" applyFont="1" applyFill="1" applyBorder="1" applyAlignment="1">
      <alignment horizontal="left"/>
    </xf>
    <xf numFmtId="0" fontId="19" fillId="3" borderId="34" xfId="0" applyFont="1" applyFill="1" applyBorder="1" applyAlignment="1">
      <alignment horizontal="left"/>
    </xf>
    <xf numFmtId="0" fontId="31" fillId="3" borderId="34" xfId="0" applyFont="1" applyFill="1" applyBorder="1" applyAlignment="1">
      <alignment horizontal="left"/>
    </xf>
    <xf numFmtId="168" fontId="28" fillId="0" borderId="38" xfId="0" applyNumberFormat="1" applyFont="1" applyFill="1" applyBorder="1" applyAlignment="1"/>
    <xf numFmtId="168" fontId="28" fillId="0" borderId="48" xfId="0" applyNumberFormat="1" applyFont="1" applyFill="1" applyBorder="1" applyAlignment="1"/>
    <xf numFmtId="0" fontId="0" fillId="6" borderId="47" xfId="0" applyFill="1" applyBorder="1"/>
    <xf numFmtId="0" fontId="18" fillId="0" borderId="0" xfId="0" applyFont="1" applyFill="1" applyBorder="1" applyAlignment="1">
      <alignment horizontal="left"/>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lockText="1"/>
</file>

<file path=xl/ctrlProps/ctrlProp7.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40</xdr:row>
          <xdr:rowOff>114300</xdr:rowOff>
        </xdr:from>
        <xdr:to>
          <xdr:col>3</xdr:col>
          <xdr:colOff>1838325</xdr:colOff>
          <xdr:row>40</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39</xdr:row>
          <xdr:rowOff>95250</xdr:rowOff>
        </xdr:from>
        <xdr:to>
          <xdr:col>3</xdr:col>
          <xdr:colOff>1885950</xdr:colOff>
          <xdr:row>39</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47624</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4"/>
          <a:ext cx="4794250" cy="1412875"/>
        </a:xfrm>
        <a:prstGeom prst="rect">
          <a:avLst/>
        </a:prstGeom>
        <a:noFill/>
        <a:ln>
          <a:noFill/>
        </a:ln>
      </xdr:spPr>
    </xdr:pic>
    <xdr:clientData/>
  </xdr:twoCellAnchor>
  <xdr:twoCellAnchor editAs="oneCell">
    <xdr:from>
      <xdr:col>7</xdr:col>
      <xdr:colOff>476249</xdr:colOff>
      <xdr:row>3</xdr:row>
      <xdr:rowOff>190499</xdr:rowOff>
    </xdr:from>
    <xdr:to>
      <xdr:col>13</xdr:col>
      <xdr:colOff>63500</xdr:colOff>
      <xdr:row>15</xdr:row>
      <xdr:rowOff>79374</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206999" y="444499"/>
          <a:ext cx="8270876" cy="1952625"/>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3</xdr:col>
          <xdr:colOff>1533525</xdr:colOff>
          <xdr:row>41</xdr:row>
          <xdr:rowOff>114300</xdr:rowOff>
        </xdr:from>
        <xdr:to>
          <xdr:col>3</xdr:col>
          <xdr:colOff>1838325</xdr:colOff>
          <xdr:row>41</xdr:row>
          <xdr:rowOff>333375</xdr:rowOff>
        </xdr:to>
        <xdr:sp macro="" textlink="">
          <xdr:nvSpPr>
            <xdr:cNvPr id="2130" name="pd2" hidden="1">
              <a:extLst>
                <a:ext uri="{63B3BB69-23CF-44E3-9099-C40C66FF867C}">
                  <a14:compatExt spid="_x0000_s213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0" t="s">
        <v>0</v>
      </c>
      <c r="E4" s="151"/>
      <c r="F4" s="151"/>
      <c r="G4" s="3"/>
      <c r="H4" s="3"/>
      <c r="I4" s="3"/>
      <c r="J4" s="9"/>
    </row>
    <row r="5" spans="2:10" ht="3" customHeight="1" thickTop="1" x14ac:dyDescent="0.2">
      <c r="B5" s="2"/>
      <c r="C5" s="53"/>
      <c r="D5" s="53"/>
      <c r="E5" s="53"/>
      <c r="F5" s="53"/>
      <c r="G5" s="53"/>
      <c r="H5" s="53"/>
      <c r="I5" s="53"/>
      <c r="J5" s="1"/>
    </row>
    <row r="6" spans="2:10" ht="12.75" customHeight="1" x14ac:dyDescent="0.3">
      <c r="B6" s="7"/>
      <c r="C6" s="3"/>
      <c r="D6" s="20"/>
      <c r="E6" s="3"/>
      <c r="F6" s="3"/>
      <c r="G6" s="3"/>
      <c r="H6" s="3"/>
      <c r="I6" s="3"/>
      <c r="J6" s="9"/>
    </row>
    <row r="7" spans="2:10" x14ac:dyDescent="0.2">
      <c r="B7" s="7"/>
      <c r="C7" s="3"/>
      <c r="D7" s="3"/>
      <c r="E7" s="3"/>
      <c r="F7" s="3"/>
      <c r="G7" s="59" t="s">
        <v>44</v>
      </c>
      <c r="H7" s="3"/>
      <c r="I7" s="3"/>
      <c r="J7" s="9"/>
    </row>
    <row r="8" spans="2:10" x14ac:dyDescent="0.2">
      <c r="B8" s="7"/>
      <c r="C8" s="3"/>
      <c r="D8" s="3"/>
      <c r="E8" s="3"/>
      <c r="F8" s="3"/>
      <c r="G8" s="59" t="s">
        <v>1</v>
      </c>
      <c r="H8" s="3"/>
      <c r="I8" s="3"/>
      <c r="J8" s="9"/>
    </row>
    <row r="9" spans="2:10" x14ac:dyDescent="0.2">
      <c r="B9" s="7"/>
      <c r="C9" s="3"/>
      <c r="D9" s="21"/>
      <c r="E9" s="3"/>
      <c r="F9" s="3"/>
      <c r="G9" s="43"/>
      <c r="H9" s="3"/>
      <c r="I9" s="3"/>
      <c r="J9" s="9"/>
    </row>
    <row r="10" spans="2:10" ht="13.5" thickBot="1" x14ac:dyDescent="0.25">
      <c r="B10" s="7"/>
      <c r="C10" s="3"/>
      <c r="D10" s="152" t="s">
        <v>2</v>
      </c>
      <c r="E10" s="153"/>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48</v>
      </c>
      <c r="F12" s="60" t="s">
        <v>4</v>
      </c>
      <c r="G12" s="17"/>
      <c r="H12" s="26"/>
      <c r="I12" s="3"/>
      <c r="J12" s="9"/>
    </row>
    <row r="13" spans="2:10" ht="13.5" thickBot="1" x14ac:dyDescent="0.25">
      <c r="B13" s="7"/>
      <c r="C13" s="3"/>
      <c r="D13" s="33" t="s">
        <v>5</v>
      </c>
      <c r="E13" s="14" t="s">
        <v>47</v>
      </c>
      <c r="F13" s="60" t="s">
        <v>6</v>
      </c>
      <c r="G13" s="18"/>
      <c r="H13" s="26"/>
      <c r="I13" s="3"/>
      <c r="J13" s="9"/>
    </row>
    <row r="14" spans="2:10" x14ac:dyDescent="0.2">
      <c r="B14" s="7"/>
      <c r="C14" s="3"/>
      <c r="D14" s="33" t="s">
        <v>7</v>
      </c>
      <c r="E14" s="15" t="s">
        <v>49</v>
      </c>
      <c r="F14" s="27"/>
      <c r="G14" s="28"/>
      <c r="H14" s="26"/>
      <c r="I14" s="3"/>
      <c r="J14" s="9"/>
    </row>
    <row r="15" spans="2:10" x14ac:dyDescent="0.2">
      <c r="B15" s="7"/>
      <c r="C15" s="3"/>
      <c r="D15" s="33" t="s">
        <v>8</v>
      </c>
      <c r="E15" s="14" t="s">
        <v>50</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54" t="s">
        <v>45</v>
      </c>
      <c r="E19" s="153"/>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33</v>
      </c>
      <c r="F21" s="34"/>
      <c r="G21" s="42" t="s">
        <v>10</v>
      </c>
      <c r="H21" s="26"/>
      <c r="I21" s="3"/>
      <c r="J21" s="9"/>
    </row>
    <row r="22" spans="2:10" x14ac:dyDescent="0.2">
      <c r="B22" s="7"/>
      <c r="C22" s="3"/>
      <c r="D22" s="33">
        <v>1</v>
      </c>
      <c r="E22" s="67">
        <v>0.1</v>
      </c>
      <c r="F22" s="34"/>
      <c r="G22" s="37"/>
      <c r="H22" s="26"/>
      <c r="I22" s="3"/>
      <c r="J22" s="9"/>
    </row>
    <row r="23" spans="2:10" x14ac:dyDescent="0.2">
      <c r="B23" s="7"/>
      <c r="C23" s="3"/>
      <c r="D23" s="35">
        <v>2</v>
      </c>
      <c r="E23" s="61">
        <v>0.18</v>
      </c>
      <c r="F23" s="34"/>
      <c r="G23" s="38"/>
      <c r="H23" s="26"/>
      <c r="I23" s="3"/>
      <c r="J23" s="9"/>
    </row>
    <row r="24" spans="2:10" ht="13.5" thickBot="1" x14ac:dyDescent="0.25">
      <c r="B24" s="7"/>
      <c r="C24" s="3"/>
      <c r="D24" s="35">
        <v>3</v>
      </c>
      <c r="E24" s="57">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46</v>
      </c>
      <c r="G27" s="68">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6"/>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55" t="str">
        <f>LOWER(TemplateInformation!B3)</f>
        <v>c:\program files\microsoft office\office\macrolib\factbd.xls</v>
      </c>
      <c r="G33" s="156"/>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52" t="s">
        <v>16</v>
      </c>
      <c r="E36" s="153"/>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0"/>
      <c r="G38" s="46"/>
      <c r="H38" s="47"/>
      <c r="I38" s="55"/>
      <c r="J38" s="22"/>
    </row>
    <row r="39" spans="2:10" ht="14.25" x14ac:dyDescent="0.2">
      <c r="B39" s="7"/>
      <c r="C39" s="3"/>
      <c r="D39" s="45"/>
      <c r="E39" s="46"/>
      <c r="F39" s="48"/>
      <c r="G39" s="46"/>
      <c r="H39" s="47"/>
      <c r="I39" s="55"/>
      <c r="J39" s="22"/>
    </row>
    <row r="40" spans="2:10" ht="14.25" x14ac:dyDescent="0.2">
      <c r="B40" s="7"/>
      <c r="C40" s="3"/>
      <c r="D40" s="45"/>
      <c r="E40" s="46"/>
      <c r="F40" s="46"/>
      <c r="G40" s="46"/>
      <c r="H40" s="47"/>
      <c r="I40" s="55"/>
      <c r="J40" s="22"/>
    </row>
    <row r="41" spans="2:10" ht="14.25" x14ac:dyDescent="0.2">
      <c r="B41" s="7"/>
      <c r="C41" s="3"/>
      <c r="D41" s="45"/>
      <c r="E41" s="46"/>
      <c r="F41" s="46"/>
      <c r="G41" s="46"/>
      <c r="H41" s="47"/>
      <c r="I41" s="55"/>
      <c r="J41" s="22"/>
    </row>
    <row r="42" spans="2:10" ht="20.100000000000001" customHeight="1" x14ac:dyDescent="0.2">
      <c r="B42" s="7"/>
      <c r="C42" s="3"/>
      <c r="D42" s="45"/>
      <c r="E42" s="46"/>
      <c r="F42" s="46"/>
      <c r="G42" s="46"/>
      <c r="H42" s="47"/>
      <c r="I42" s="55"/>
      <c r="J42" s="22"/>
    </row>
    <row r="43" spans="2:10" ht="14.25" x14ac:dyDescent="0.2">
      <c r="B43" s="7"/>
      <c r="C43" s="3"/>
      <c r="D43" s="45"/>
      <c r="E43" s="46"/>
      <c r="F43" s="46"/>
      <c r="G43" s="46"/>
      <c r="H43" s="47"/>
      <c r="I43" s="55"/>
      <c r="J43" s="22"/>
    </row>
    <row r="44" spans="2:10" ht="26.25" customHeight="1" thickBot="1" x14ac:dyDescent="0.25">
      <c r="B44" s="7"/>
      <c r="C44" s="3"/>
      <c r="D44" s="49"/>
      <c r="E44" s="50"/>
      <c r="F44" s="50"/>
      <c r="G44" s="50"/>
      <c r="H44" s="51"/>
      <c r="I44" s="55"/>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58">
        <v>0</v>
      </c>
    </row>
    <row r="49" spans="5:5" x14ac:dyDescent="0.2">
      <c r="E49" s="58" t="b">
        <v>0</v>
      </c>
    </row>
    <row r="50" spans="5:5" x14ac:dyDescent="0.2">
      <c r="E50" s="58" t="b">
        <v>0</v>
      </c>
    </row>
    <row r="51" spans="5:5" x14ac:dyDescent="0.2">
      <c r="E51" s="58" t="s">
        <v>17</v>
      </c>
    </row>
    <row r="52" spans="5:5" x14ac:dyDescent="0.2">
      <c r="E52" s="58"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75"/>
  <sheetViews>
    <sheetView showGridLines="0" showRowColHeaders="0" tabSelected="1" topLeftCell="C1" zoomScale="60" zoomScaleNormal="60" workbookViewId="0">
      <selection activeCell="D43" sqref="D43:L43"/>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2"/>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69"/>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00"/>
      <c r="K9" s="100"/>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98" t="s">
        <v>61</v>
      </c>
      <c r="E18" s="73"/>
      <c r="F18" s="73"/>
      <c r="G18" s="73"/>
      <c r="H18" s="3"/>
      <c r="I18" s="3"/>
      <c r="J18" s="3"/>
      <c r="K18" s="3"/>
      <c r="L18" s="165" t="s">
        <v>87</v>
      </c>
      <c r="M18" s="3"/>
      <c r="N18" s="3"/>
      <c r="O18" s="9"/>
    </row>
    <row r="19" spans="2:15" ht="21.95" customHeight="1" thickTop="1" x14ac:dyDescent="0.3">
      <c r="B19" s="7"/>
      <c r="C19" s="3"/>
      <c r="D19" s="53"/>
      <c r="E19" s="53"/>
      <c r="F19" s="53"/>
      <c r="G19" s="53"/>
      <c r="H19" s="53"/>
      <c r="I19" s="53"/>
      <c r="J19" s="54"/>
      <c r="K19" s="54"/>
      <c r="L19" s="166"/>
      <c r="M19" s="54"/>
      <c r="N19" s="20"/>
      <c r="O19" s="9"/>
    </row>
    <row r="20" spans="2:15" ht="21.95" customHeight="1" thickBot="1" x14ac:dyDescent="0.25">
      <c r="B20" s="7"/>
      <c r="C20" s="3"/>
      <c r="D20" s="3"/>
      <c r="E20" s="3"/>
      <c r="F20" s="3"/>
      <c r="G20" s="3"/>
      <c r="H20" s="3"/>
      <c r="I20" s="3"/>
      <c r="J20" s="3"/>
      <c r="K20" s="3"/>
      <c r="L20" s="167"/>
      <c r="M20" s="3"/>
      <c r="N20" s="3"/>
      <c r="O20" s="9"/>
    </row>
    <row r="21" spans="2:15" ht="13.5" thickTop="1" x14ac:dyDescent="0.2">
      <c r="B21" s="7"/>
      <c r="C21" s="3"/>
      <c r="D21" s="3"/>
      <c r="E21" s="3"/>
      <c r="F21" s="3"/>
      <c r="G21" s="3"/>
      <c r="H21" s="3"/>
      <c r="I21" s="3"/>
      <c r="J21" s="3"/>
      <c r="K21" s="3"/>
      <c r="L21" s="3"/>
      <c r="M21" s="3"/>
      <c r="N21" s="3"/>
      <c r="O21" s="9"/>
    </row>
    <row r="22" spans="2:15" ht="27.75" x14ac:dyDescent="0.4">
      <c r="B22" s="7"/>
      <c r="C22" s="3"/>
      <c r="D22" s="131" t="s">
        <v>52</v>
      </c>
      <c r="E22" s="135" t="s">
        <v>65</v>
      </c>
      <c r="F22" s="135"/>
      <c r="G22" s="134"/>
      <c r="H22" s="134"/>
      <c r="I22" s="159"/>
      <c r="J22" s="159"/>
      <c r="K22" s="133"/>
      <c r="L22" s="131" t="s">
        <v>19</v>
      </c>
      <c r="M22" s="168">
        <v>44090</v>
      </c>
      <c r="N22" s="169"/>
      <c r="O22" s="9"/>
    </row>
    <row r="23" spans="2:15" ht="23.25" x14ac:dyDescent="0.35">
      <c r="B23" s="7"/>
      <c r="C23" s="3"/>
      <c r="D23" s="131" t="s">
        <v>53</v>
      </c>
      <c r="E23" s="134" t="s">
        <v>67</v>
      </c>
      <c r="F23" s="134"/>
      <c r="G23" s="134"/>
      <c r="H23" s="134"/>
      <c r="I23" s="134"/>
      <c r="J23" s="134"/>
      <c r="K23" s="133"/>
      <c r="L23" s="131" t="s">
        <v>63</v>
      </c>
      <c r="M23" s="132" t="s">
        <v>86</v>
      </c>
      <c r="N23" s="132"/>
      <c r="O23" s="9"/>
    </row>
    <row r="24" spans="2:15" ht="23.25" x14ac:dyDescent="0.35">
      <c r="B24" s="7"/>
      <c r="C24" s="3"/>
      <c r="D24" s="131" t="s">
        <v>54</v>
      </c>
      <c r="E24" s="159">
        <v>2051</v>
      </c>
      <c r="F24" s="159"/>
      <c r="G24" s="159"/>
      <c r="H24" s="159"/>
      <c r="I24" s="159" t="s">
        <v>68</v>
      </c>
      <c r="J24" s="159" t="s">
        <v>58</v>
      </c>
      <c r="K24" s="133"/>
      <c r="L24" s="131" t="s">
        <v>20</v>
      </c>
      <c r="M24" s="170" t="s">
        <v>69</v>
      </c>
      <c r="N24" s="170"/>
      <c r="O24" s="9"/>
    </row>
    <row r="25" spans="2:15" ht="23.25" x14ac:dyDescent="0.35">
      <c r="B25" s="7"/>
      <c r="C25" s="3"/>
      <c r="D25" s="131" t="s">
        <v>55</v>
      </c>
      <c r="E25" s="164">
        <v>31358100</v>
      </c>
      <c r="F25" s="164"/>
      <c r="G25" s="134"/>
      <c r="H25" s="134"/>
      <c r="I25" s="134"/>
      <c r="J25" s="134"/>
      <c r="K25" s="133"/>
      <c r="L25" s="131" t="s">
        <v>64</v>
      </c>
      <c r="M25" s="171" t="s">
        <v>66</v>
      </c>
      <c r="N25" s="171"/>
      <c r="O25" s="9"/>
    </row>
    <row r="26" spans="2:15" x14ac:dyDescent="0.2">
      <c r="B26" s="7"/>
      <c r="C26" s="3"/>
      <c r="D26" s="71"/>
      <c r="E26" s="71"/>
      <c r="F26" s="71"/>
      <c r="G26" s="71"/>
      <c r="H26" s="71"/>
      <c r="I26" s="71"/>
      <c r="J26" s="71"/>
      <c r="K26" s="71"/>
      <c r="L26" s="71"/>
      <c r="M26" s="71"/>
      <c r="N26" s="3"/>
      <c r="O26" s="9"/>
    </row>
    <row r="27" spans="2:15" ht="18" x14ac:dyDescent="0.25">
      <c r="B27" s="7"/>
      <c r="C27" s="3"/>
      <c r="D27" s="84" t="s">
        <v>34</v>
      </c>
      <c r="E27" s="84" t="s">
        <v>22</v>
      </c>
      <c r="F27" s="160" t="s">
        <v>23</v>
      </c>
      <c r="G27" s="161"/>
      <c r="H27" s="161"/>
      <c r="I27" s="161"/>
      <c r="J27" s="161"/>
      <c r="K27" s="162"/>
      <c r="L27" s="84" t="s">
        <v>24</v>
      </c>
      <c r="M27" s="85" t="s">
        <v>25</v>
      </c>
      <c r="N27" s="86"/>
      <c r="O27" s="9"/>
    </row>
    <row r="28" spans="2:15" ht="30" x14ac:dyDescent="0.4">
      <c r="B28" s="7"/>
      <c r="C28" s="3"/>
      <c r="D28" s="126"/>
      <c r="E28" s="127"/>
      <c r="F28" s="130"/>
      <c r="G28" s="120"/>
      <c r="H28" s="120"/>
      <c r="I28" s="120"/>
      <c r="J28" s="120"/>
      <c r="K28" s="121"/>
      <c r="L28" s="96"/>
      <c r="M28" s="101" t="str">
        <f>IF(E28&lt;&gt;"",E28*L28,"")</f>
        <v/>
      </c>
      <c r="N28" s="52"/>
      <c r="O28" s="9"/>
    </row>
    <row r="29" spans="2:15" ht="30" x14ac:dyDescent="0.4">
      <c r="B29" s="7"/>
      <c r="C29" s="3"/>
      <c r="D29" s="126"/>
      <c r="E29" s="95"/>
      <c r="F29" s="105"/>
      <c r="G29" s="122"/>
      <c r="H29" s="122"/>
      <c r="I29" s="122"/>
      <c r="J29" s="122"/>
      <c r="K29" s="123"/>
      <c r="L29" s="97"/>
      <c r="M29" s="101" t="str">
        <f t="shared" ref="M29:M38" si="0">IF(E29&lt;&gt;"",E29*L29,"")</f>
        <v/>
      </c>
      <c r="N29" s="52"/>
      <c r="O29" s="9"/>
    </row>
    <row r="30" spans="2:15" ht="30" x14ac:dyDescent="0.4">
      <c r="B30" s="7"/>
      <c r="C30" s="3"/>
      <c r="D30" s="126">
        <v>2120</v>
      </c>
      <c r="E30" s="95">
        <v>5</v>
      </c>
      <c r="F30" s="105" t="s">
        <v>70</v>
      </c>
      <c r="G30" s="122"/>
      <c r="H30" s="122"/>
      <c r="I30" s="122"/>
      <c r="J30" s="122"/>
      <c r="K30" s="123"/>
      <c r="L30" s="97"/>
      <c r="M30" s="101"/>
      <c r="N30" s="52"/>
      <c r="O30" s="9"/>
    </row>
    <row r="31" spans="2:15" ht="30" x14ac:dyDescent="0.4">
      <c r="B31" s="7"/>
      <c r="C31" s="3"/>
      <c r="D31" s="126"/>
      <c r="E31" s="95"/>
      <c r="F31" s="122" t="s">
        <v>74</v>
      </c>
      <c r="G31" s="122"/>
      <c r="H31" s="122" t="s">
        <v>75</v>
      </c>
      <c r="I31" s="122"/>
      <c r="J31" s="122" t="s">
        <v>76</v>
      </c>
      <c r="K31" s="123"/>
      <c r="L31" s="97"/>
      <c r="M31" s="101"/>
      <c r="N31" s="52"/>
      <c r="O31" s="9"/>
    </row>
    <row r="32" spans="2:15" ht="30" x14ac:dyDescent="0.4">
      <c r="B32" s="7"/>
      <c r="C32" s="3"/>
      <c r="D32" s="126"/>
      <c r="E32" s="95"/>
      <c r="F32" s="122" t="s">
        <v>77</v>
      </c>
      <c r="G32" s="122"/>
      <c r="H32" s="122" t="s">
        <v>78</v>
      </c>
      <c r="I32" s="122"/>
      <c r="J32" s="122"/>
      <c r="K32" s="122"/>
      <c r="L32" s="97"/>
      <c r="M32" s="101"/>
      <c r="N32" s="52"/>
      <c r="O32" s="9"/>
    </row>
    <row r="33" spans="2:15" ht="30" x14ac:dyDescent="0.4">
      <c r="B33" s="7"/>
      <c r="C33" s="3"/>
      <c r="D33" s="126">
        <v>2643</v>
      </c>
      <c r="E33" s="95">
        <v>5</v>
      </c>
      <c r="F33" s="105" t="s">
        <v>71</v>
      </c>
      <c r="G33" s="122"/>
      <c r="H33" s="122"/>
      <c r="I33" s="122"/>
      <c r="J33" s="122"/>
      <c r="K33" s="122"/>
      <c r="L33" s="97"/>
      <c r="M33" s="101"/>
      <c r="N33" s="52"/>
      <c r="O33" s="9"/>
    </row>
    <row r="34" spans="2:15" ht="30" x14ac:dyDescent="0.4">
      <c r="B34" s="7"/>
      <c r="C34" s="3"/>
      <c r="D34" s="126"/>
      <c r="E34" s="95"/>
      <c r="F34" s="122" t="s">
        <v>79</v>
      </c>
      <c r="G34" s="122"/>
      <c r="H34" s="122" t="s">
        <v>80</v>
      </c>
      <c r="I34" s="122"/>
      <c r="J34" s="122" t="s">
        <v>81</v>
      </c>
      <c r="K34" s="123"/>
      <c r="L34" s="97"/>
      <c r="M34" s="101"/>
      <c r="N34" s="52"/>
      <c r="O34" s="9"/>
    </row>
    <row r="35" spans="2:15" ht="30" x14ac:dyDescent="0.4">
      <c r="B35" s="7"/>
      <c r="C35" s="3"/>
      <c r="D35" s="126"/>
      <c r="E35" s="95"/>
      <c r="F35" s="122" t="s">
        <v>82</v>
      </c>
      <c r="G35" s="122"/>
      <c r="H35" s="122" t="s">
        <v>83</v>
      </c>
      <c r="I35" s="122"/>
      <c r="J35" s="122"/>
      <c r="K35" s="122"/>
      <c r="L35" s="97"/>
      <c r="M35" s="101"/>
      <c r="N35" s="89"/>
      <c r="O35" s="9"/>
    </row>
    <row r="36" spans="2:15" ht="30" x14ac:dyDescent="0.4">
      <c r="B36" s="7"/>
      <c r="C36" s="3"/>
      <c r="D36" s="126">
        <v>2078</v>
      </c>
      <c r="E36" s="95">
        <v>2</v>
      </c>
      <c r="F36" s="143" t="s">
        <v>72</v>
      </c>
      <c r="G36" s="122"/>
      <c r="H36" s="122"/>
      <c r="I36" s="122"/>
      <c r="J36" s="122"/>
      <c r="K36" s="123"/>
      <c r="L36" s="97"/>
      <c r="M36" s="101"/>
      <c r="N36" s="89"/>
      <c r="O36" s="9"/>
    </row>
    <row r="37" spans="2:15" ht="30" x14ac:dyDescent="0.4">
      <c r="B37" s="7"/>
      <c r="C37" s="3"/>
      <c r="D37" s="126"/>
      <c r="E37" s="95"/>
      <c r="F37" s="122" t="s">
        <v>84</v>
      </c>
      <c r="G37" s="122"/>
      <c r="H37" s="122" t="s">
        <v>85</v>
      </c>
      <c r="I37" s="122"/>
      <c r="J37" s="122"/>
      <c r="K37" s="123"/>
      <c r="L37" s="172"/>
      <c r="M37" s="101"/>
      <c r="N37" s="89"/>
      <c r="O37" s="9"/>
    </row>
    <row r="38" spans="2:15" ht="30" x14ac:dyDescent="0.4">
      <c r="B38" s="7"/>
      <c r="C38" s="3"/>
      <c r="D38" s="136"/>
      <c r="E38" s="137"/>
      <c r="F38" s="138"/>
      <c r="G38" s="174"/>
      <c r="H38" s="174"/>
      <c r="I38" s="174"/>
      <c r="J38" s="174"/>
      <c r="K38" s="139"/>
      <c r="L38" s="173"/>
      <c r="M38" s="101" t="str">
        <f t="shared" si="0"/>
        <v/>
      </c>
      <c r="N38" s="52"/>
      <c r="O38" s="9"/>
    </row>
    <row r="39" spans="2:15" ht="35.25" x14ac:dyDescent="0.5">
      <c r="B39" s="7"/>
      <c r="C39" s="3"/>
      <c r="D39" s="81"/>
      <c r="E39" s="90"/>
      <c r="F39" s="110"/>
      <c r="G39" s="107"/>
      <c r="H39" s="107"/>
      <c r="I39" s="107"/>
      <c r="J39" s="108"/>
      <c r="K39" s="109"/>
      <c r="L39" s="144" t="s">
        <v>26</v>
      </c>
      <c r="M39" s="147"/>
      <c r="N39" s="52"/>
      <c r="O39" s="9"/>
    </row>
    <row r="40" spans="2:15" ht="35.25" x14ac:dyDescent="0.5">
      <c r="B40" s="7"/>
      <c r="C40" s="3"/>
      <c r="D40" s="93"/>
      <c r="E40" s="91" t="s">
        <v>56</v>
      </c>
      <c r="F40" s="75"/>
      <c r="G40" s="75"/>
      <c r="H40" s="75"/>
      <c r="I40" s="75"/>
      <c r="J40" s="76"/>
      <c r="K40" s="87"/>
      <c r="L40" s="145" t="s">
        <v>46</v>
      </c>
      <c r="M40" s="147"/>
      <c r="N40" s="52"/>
      <c r="O40" s="9"/>
    </row>
    <row r="41" spans="2:15" ht="35.25" customHeight="1" x14ac:dyDescent="0.5">
      <c r="B41" s="7"/>
      <c r="C41" s="3"/>
      <c r="D41" s="92"/>
      <c r="E41" s="91" t="s">
        <v>57</v>
      </c>
      <c r="F41" s="75"/>
      <c r="G41" s="75"/>
      <c r="H41" s="75"/>
      <c r="I41" s="75"/>
      <c r="J41" s="78"/>
      <c r="K41" s="88"/>
      <c r="L41" s="146">
        <v>0.19</v>
      </c>
      <c r="M41" s="147"/>
      <c r="N41" s="52"/>
      <c r="O41" s="9"/>
    </row>
    <row r="42" spans="2:15" ht="35.25" x14ac:dyDescent="0.5">
      <c r="B42" s="7"/>
      <c r="C42" s="3"/>
      <c r="D42" s="92"/>
      <c r="E42" s="91" t="s">
        <v>73</v>
      </c>
      <c r="F42" s="140"/>
      <c r="G42" s="141"/>
      <c r="H42" s="79"/>
      <c r="I42" s="75"/>
      <c r="J42" s="80"/>
      <c r="K42" s="87"/>
      <c r="L42" s="94" t="s">
        <v>27</v>
      </c>
      <c r="M42" s="147"/>
      <c r="N42" s="52"/>
      <c r="O42" s="9"/>
    </row>
    <row r="43" spans="2:15" ht="18" customHeight="1" x14ac:dyDescent="0.2">
      <c r="B43" s="7"/>
      <c r="C43" s="3"/>
      <c r="D43" s="175"/>
      <c r="E43" s="175"/>
      <c r="F43" s="175"/>
      <c r="G43" s="175"/>
      <c r="H43" s="175"/>
      <c r="I43" s="175"/>
      <c r="J43" s="175"/>
      <c r="K43" s="175"/>
      <c r="L43" s="175"/>
      <c r="M43" s="124"/>
      <c r="N43" s="52"/>
      <c r="O43" s="9"/>
    </row>
    <row r="44" spans="2:15" ht="34.5" customHeight="1" x14ac:dyDescent="0.45">
      <c r="B44" s="7"/>
      <c r="C44" s="3"/>
      <c r="D44" s="149"/>
      <c r="E44" s="149"/>
      <c r="F44" s="149"/>
      <c r="G44" s="149"/>
      <c r="H44" s="149"/>
      <c r="I44" s="149"/>
      <c r="J44" s="149"/>
      <c r="K44" s="149"/>
      <c r="L44" s="149"/>
      <c r="M44" s="125"/>
      <c r="N44" s="52"/>
      <c r="O44" s="9"/>
    </row>
    <row r="45" spans="2:15" ht="15" x14ac:dyDescent="0.2">
      <c r="B45" s="7"/>
      <c r="C45" s="148"/>
      <c r="D45" s="163"/>
      <c r="E45" s="163"/>
      <c r="F45" s="163"/>
      <c r="G45" s="163"/>
      <c r="H45" s="163"/>
      <c r="I45" s="163"/>
      <c r="J45" s="163"/>
      <c r="K45" s="163"/>
      <c r="L45" s="163"/>
      <c r="M45" s="106"/>
      <c r="N45" s="52"/>
      <c r="O45" s="9"/>
    </row>
    <row r="46" spans="2:15" ht="26.25" x14ac:dyDescent="0.4">
      <c r="B46" s="7"/>
      <c r="C46" s="3"/>
      <c r="D46" s="163"/>
      <c r="E46" s="163"/>
      <c r="F46" s="163"/>
      <c r="G46" s="163"/>
      <c r="H46" s="163"/>
      <c r="I46" s="163"/>
      <c r="J46" s="163"/>
      <c r="K46" s="163"/>
      <c r="L46" s="163"/>
      <c r="M46" s="113"/>
      <c r="N46" s="52"/>
      <c r="O46" s="9"/>
    </row>
    <row r="47" spans="2:15" ht="26.25" x14ac:dyDescent="0.4">
      <c r="B47" s="7"/>
      <c r="C47" s="3"/>
      <c r="D47" s="106"/>
      <c r="E47" s="106"/>
      <c r="F47" s="113"/>
      <c r="G47" s="118"/>
      <c r="H47" s="118"/>
      <c r="I47" s="118"/>
      <c r="J47" s="76"/>
      <c r="K47" s="104"/>
      <c r="L47" s="128" t="s">
        <v>62</v>
      </c>
      <c r="M47" s="128"/>
      <c r="N47" s="52"/>
      <c r="O47" s="9"/>
    </row>
    <row r="48" spans="2:15" ht="23.25" x14ac:dyDescent="0.25">
      <c r="B48" s="7"/>
      <c r="C48" s="3"/>
      <c r="D48" s="106"/>
      <c r="E48" s="106"/>
      <c r="F48" s="119"/>
      <c r="G48" s="158"/>
      <c r="H48" s="158"/>
      <c r="I48" s="158"/>
      <c r="J48" s="76"/>
      <c r="K48" s="104"/>
      <c r="L48" s="99"/>
      <c r="M48" s="99"/>
      <c r="N48" s="99"/>
      <c r="O48" s="9"/>
    </row>
    <row r="49" spans="2:16" ht="23.25" x14ac:dyDescent="0.2">
      <c r="B49" s="7"/>
      <c r="C49" s="3"/>
      <c r="D49" s="106"/>
      <c r="E49" s="106"/>
      <c r="F49" s="77"/>
      <c r="G49" s="76"/>
      <c r="H49" s="76"/>
      <c r="I49" s="76"/>
      <c r="J49" s="76"/>
      <c r="K49" s="104"/>
      <c r="L49" s="99"/>
      <c r="M49" s="99"/>
      <c r="N49" s="99"/>
      <c r="O49" s="9"/>
    </row>
    <row r="50" spans="2:16" ht="15" x14ac:dyDescent="0.2">
      <c r="B50" s="7"/>
      <c r="C50" s="3"/>
      <c r="D50" s="106"/>
      <c r="E50" s="106"/>
      <c r="F50" s="76"/>
      <c r="G50" s="76"/>
      <c r="H50" s="76"/>
      <c r="I50" s="76"/>
      <c r="J50" s="76"/>
      <c r="K50" s="99"/>
      <c r="L50" s="99"/>
      <c r="M50" s="99"/>
      <c r="N50" s="99"/>
      <c r="O50" s="9"/>
    </row>
    <row r="51" spans="2:16" ht="20.25" x14ac:dyDescent="0.3">
      <c r="B51" s="7"/>
      <c r="C51" s="3"/>
      <c r="D51" s="102" t="s">
        <v>59</v>
      </c>
      <c r="E51" s="129"/>
      <c r="F51" s="76"/>
      <c r="G51" s="76"/>
      <c r="H51" s="76"/>
      <c r="I51" s="76"/>
      <c r="J51" s="76"/>
      <c r="K51" s="82"/>
      <c r="L51" s="82"/>
      <c r="M51" s="83"/>
      <c r="N51" s="52"/>
      <c r="O51" s="9"/>
    </row>
    <row r="52" spans="2:16" ht="20.25" x14ac:dyDescent="0.3">
      <c r="B52" s="7"/>
      <c r="C52" s="3"/>
      <c r="D52" s="103" t="s">
        <v>60</v>
      </c>
      <c r="E52" s="103"/>
      <c r="F52" s="76"/>
      <c r="G52" s="76"/>
      <c r="H52" s="76"/>
      <c r="I52" s="76"/>
      <c r="J52" s="78"/>
      <c r="K52" s="82"/>
      <c r="L52" s="82"/>
      <c r="M52" s="82"/>
      <c r="N52" s="52"/>
      <c r="O52" s="9"/>
    </row>
    <row r="53" spans="2:16" ht="18" x14ac:dyDescent="0.25">
      <c r="B53" s="7"/>
      <c r="C53" s="3"/>
      <c r="D53" s="74"/>
      <c r="E53" s="74"/>
      <c r="F53" s="76"/>
      <c r="G53" s="76"/>
      <c r="H53" s="76"/>
      <c r="I53" s="76"/>
      <c r="J53" s="78"/>
      <c r="K53" s="82"/>
      <c r="L53" s="82"/>
      <c r="M53" s="82"/>
      <c r="N53" s="86"/>
      <c r="O53" s="9"/>
    </row>
    <row r="54" spans="2:16" ht="18" x14ac:dyDescent="0.25">
      <c r="B54" s="7"/>
      <c r="C54" s="3"/>
      <c r="D54" s="157" t="s">
        <v>51</v>
      </c>
      <c r="E54" s="157"/>
      <c r="F54" s="157"/>
      <c r="G54" s="157"/>
      <c r="H54" s="157"/>
      <c r="I54" s="157"/>
      <c r="J54" s="157"/>
      <c r="K54" s="157"/>
      <c r="L54" s="157"/>
      <c r="M54" s="82"/>
      <c r="N54" s="86"/>
      <c r="O54" s="9"/>
    </row>
    <row r="55" spans="2:16" ht="18" x14ac:dyDescent="0.25">
      <c r="B55" s="7"/>
      <c r="C55" s="3"/>
      <c r="D55" s="157"/>
      <c r="E55" s="157"/>
      <c r="F55" s="157"/>
      <c r="G55" s="157"/>
      <c r="H55" s="157"/>
      <c r="I55" s="157"/>
      <c r="J55" s="157"/>
      <c r="K55" s="157"/>
      <c r="L55" s="157"/>
      <c r="M55" s="83"/>
      <c r="N55" s="86"/>
      <c r="O55" s="9"/>
    </row>
    <row r="56" spans="2:16" ht="15" x14ac:dyDescent="0.2">
      <c r="B56" s="7"/>
      <c r="C56" s="3"/>
      <c r="D56" s="157"/>
      <c r="E56" s="157"/>
      <c r="F56" s="157"/>
      <c r="G56" s="157"/>
      <c r="H56" s="157"/>
      <c r="I56" s="157"/>
      <c r="J56" s="157"/>
      <c r="K56" s="157"/>
      <c r="L56" s="157"/>
      <c r="M56" s="83"/>
      <c r="N56" s="52"/>
      <c r="O56" s="9"/>
    </row>
    <row r="57" spans="2:16" ht="13.5" thickBot="1" x14ac:dyDescent="0.25">
      <c r="B57" s="7"/>
      <c r="C57" s="3"/>
      <c r="D57" s="3"/>
      <c r="E57" s="3"/>
      <c r="F57" s="3"/>
      <c r="G57" s="3"/>
      <c r="H57" s="3"/>
      <c r="I57" s="3"/>
      <c r="J57" s="3"/>
      <c r="K57" s="3"/>
      <c r="L57" s="3"/>
      <c r="M57" s="3"/>
      <c r="N57" s="52"/>
      <c r="O57" s="9"/>
    </row>
    <row r="58" spans="2:16" ht="15.75" thickTop="1" x14ac:dyDescent="0.2">
      <c r="B58" s="7"/>
      <c r="C58" s="3"/>
      <c r="D58" s="53"/>
      <c r="E58" s="53"/>
      <c r="F58" s="53"/>
      <c r="G58" s="53"/>
      <c r="H58" s="53"/>
      <c r="I58" s="53"/>
      <c r="J58" s="53"/>
      <c r="K58" s="53"/>
      <c r="L58" s="53"/>
      <c r="M58" s="53"/>
      <c r="N58" s="52"/>
      <c r="O58" s="114"/>
      <c r="P58" s="115"/>
    </row>
    <row r="59" spans="2:16" ht="15" x14ac:dyDescent="0.2">
      <c r="B59" s="7"/>
      <c r="C59" s="3"/>
      <c r="D59" s="111"/>
      <c r="E59" s="111"/>
      <c r="F59" s="111"/>
      <c r="G59" s="111"/>
      <c r="H59" s="111"/>
      <c r="I59" s="111"/>
      <c r="J59" s="111"/>
      <c r="K59" s="111"/>
      <c r="L59" s="111"/>
      <c r="M59" s="112"/>
      <c r="N59" s="52"/>
      <c r="O59" s="116"/>
      <c r="P59" s="117"/>
    </row>
    <row r="60" spans="2:16" x14ac:dyDescent="0.2">
      <c r="B60" s="7"/>
      <c r="C60" s="3"/>
      <c r="D60" s="124"/>
      <c r="E60" s="124"/>
      <c r="F60" s="124"/>
      <c r="G60" s="124"/>
      <c r="H60" s="124"/>
      <c r="I60" s="124"/>
      <c r="J60" s="124"/>
      <c r="K60" s="124"/>
      <c r="L60" s="124"/>
      <c r="M60" s="124"/>
      <c r="N60" s="52"/>
      <c r="O60" s="9"/>
    </row>
    <row r="61" spans="2:16" x14ac:dyDescent="0.2">
      <c r="B61" s="7"/>
      <c r="C61" s="3"/>
      <c r="D61" s="124"/>
      <c r="E61" s="124"/>
      <c r="F61" s="124"/>
      <c r="G61" s="124"/>
      <c r="H61" s="124"/>
      <c r="I61" s="124"/>
      <c r="J61" s="124"/>
      <c r="K61" s="124"/>
      <c r="L61" s="124"/>
      <c r="M61" s="124"/>
      <c r="N61" s="124"/>
      <c r="O61" s="9"/>
    </row>
    <row r="62" spans="2:16" x14ac:dyDescent="0.2">
      <c r="B62" s="7"/>
      <c r="C62" s="112"/>
      <c r="D62" s="124"/>
      <c r="E62" s="124"/>
      <c r="F62" s="124"/>
      <c r="G62" s="124"/>
      <c r="H62" s="124"/>
      <c r="I62" s="124"/>
      <c r="J62" s="124"/>
      <c r="K62" s="124"/>
      <c r="L62" s="124"/>
      <c r="M62" s="124"/>
      <c r="N62" s="124"/>
      <c r="O62" s="9"/>
    </row>
    <row r="63" spans="2:16" x14ac:dyDescent="0.2">
      <c r="B63" s="7"/>
      <c r="C63" s="112"/>
      <c r="D63" s="124"/>
      <c r="E63" s="124"/>
      <c r="F63" s="124"/>
      <c r="G63" s="124"/>
      <c r="H63" s="124"/>
      <c r="I63" s="124"/>
      <c r="J63" s="124"/>
      <c r="K63" s="124"/>
      <c r="L63" s="124"/>
      <c r="M63" s="124"/>
      <c r="N63" s="124"/>
      <c r="O63" s="9"/>
    </row>
    <row r="64" spans="2:16" x14ac:dyDescent="0.2">
      <c r="B64" s="7"/>
      <c r="C64" s="112"/>
      <c r="D64" s="124"/>
      <c r="E64" s="124"/>
      <c r="F64" s="124"/>
      <c r="G64" s="124"/>
      <c r="H64" s="124"/>
      <c r="I64" s="124"/>
      <c r="J64" s="124"/>
      <c r="K64" s="124"/>
      <c r="L64" s="124"/>
      <c r="M64" s="124"/>
      <c r="N64" s="124"/>
      <c r="O64" s="9"/>
    </row>
    <row r="65" spans="1:15" x14ac:dyDescent="0.2">
      <c r="B65" s="7"/>
      <c r="C65" s="112"/>
      <c r="D65" s="124"/>
      <c r="E65" s="124"/>
      <c r="F65" s="124"/>
      <c r="G65" s="124"/>
      <c r="H65" s="124"/>
      <c r="I65" s="124"/>
      <c r="J65" s="124"/>
      <c r="K65" s="124"/>
      <c r="L65" s="124"/>
      <c r="M65" s="124"/>
      <c r="N65" s="124"/>
      <c r="O65" s="9"/>
    </row>
    <row r="66" spans="1:15" ht="18" customHeight="1" x14ac:dyDescent="0.2">
      <c r="B66" s="7"/>
      <c r="C66" s="142"/>
      <c r="D66" s="124"/>
      <c r="E66" s="124"/>
      <c r="F66" s="124"/>
      <c r="G66" s="124"/>
      <c r="H66" s="124"/>
      <c r="I66" s="124"/>
      <c r="J66" s="124"/>
      <c r="K66" s="124"/>
      <c r="L66" s="124"/>
      <c r="M66" s="124"/>
      <c r="N66" s="124"/>
      <c r="O66" s="9"/>
    </row>
    <row r="67" spans="1:15" ht="15" customHeight="1" x14ac:dyDescent="0.2">
      <c r="B67" s="7"/>
      <c r="C67" s="124"/>
      <c r="D67" s="124"/>
      <c r="E67" s="124"/>
      <c r="F67" s="124"/>
      <c r="G67" s="124"/>
      <c r="H67" s="124"/>
      <c r="I67" s="124"/>
      <c r="J67" s="124"/>
      <c r="K67" s="124"/>
      <c r="L67" s="124"/>
      <c r="M67" s="124"/>
      <c r="N67" s="124"/>
    </row>
    <row r="68" spans="1:15" ht="20.100000000000001" customHeight="1" x14ac:dyDescent="0.2">
      <c r="B68" s="7"/>
      <c r="C68" s="124"/>
      <c r="D68" s="124"/>
      <c r="E68" s="124"/>
      <c r="F68" s="124"/>
      <c r="G68" s="124"/>
      <c r="H68" s="124"/>
      <c r="I68" s="124"/>
      <c r="J68" s="124"/>
      <c r="K68" s="124"/>
      <c r="L68" s="124"/>
      <c r="M68" s="124"/>
      <c r="N68" s="124"/>
    </row>
    <row r="69" spans="1:15" x14ac:dyDescent="0.2">
      <c r="B69" s="7"/>
      <c r="C69" s="124"/>
      <c r="D69" s="124"/>
      <c r="E69" s="124"/>
      <c r="F69" s="124"/>
      <c r="G69" s="124"/>
      <c r="H69" s="124"/>
      <c r="I69" s="124"/>
      <c r="J69" s="124"/>
      <c r="K69" s="124"/>
      <c r="L69" s="124"/>
      <c r="M69" s="124"/>
      <c r="N69" s="124"/>
    </row>
    <row r="70" spans="1:15" x14ac:dyDescent="0.2">
      <c r="B70" s="7"/>
      <c r="C70" s="124"/>
      <c r="D70" s="124"/>
      <c r="E70" s="124"/>
      <c r="F70" s="124"/>
      <c r="G70" s="124"/>
      <c r="H70" s="124"/>
      <c r="I70" s="124"/>
      <c r="J70" s="124"/>
      <c r="K70" s="124"/>
      <c r="L70" s="124"/>
      <c r="M70" s="124"/>
      <c r="N70" s="124"/>
    </row>
    <row r="71" spans="1:15" x14ac:dyDescent="0.2">
      <c r="A71" s="111"/>
      <c r="B71" s="111"/>
      <c r="C71" s="124"/>
      <c r="D71" s="124"/>
      <c r="E71" s="124"/>
      <c r="F71" s="124"/>
      <c r="G71" s="124"/>
      <c r="H71" s="124"/>
      <c r="I71" s="124"/>
      <c r="J71" s="124"/>
      <c r="K71" s="124"/>
      <c r="L71" s="124"/>
      <c r="M71" s="124"/>
      <c r="N71" s="124"/>
    </row>
    <row r="72" spans="1:15" x14ac:dyDescent="0.2">
      <c r="C72" s="124"/>
      <c r="D72" s="124"/>
      <c r="E72" s="124"/>
      <c r="F72" s="124"/>
      <c r="G72" s="124"/>
      <c r="H72" s="124"/>
      <c r="I72" s="124"/>
      <c r="J72" s="124"/>
      <c r="K72" s="124"/>
      <c r="L72" s="124"/>
      <c r="M72" s="124"/>
      <c r="N72" s="124"/>
    </row>
    <row r="73" spans="1:15" x14ac:dyDescent="0.2">
      <c r="C73" s="124"/>
      <c r="D73" s="124"/>
      <c r="E73" s="124"/>
      <c r="F73" s="124"/>
      <c r="G73" s="124"/>
      <c r="H73" s="124"/>
      <c r="I73" s="124"/>
      <c r="J73" s="124"/>
      <c r="K73" s="124"/>
      <c r="L73" s="124"/>
      <c r="M73" s="124"/>
      <c r="N73" s="124"/>
    </row>
    <row r="74" spans="1:15" x14ac:dyDescent="0.2">
      <c r="C74" s="124"/>
      <c r="D74" s="124"/>
      <c r="E74" s="124"/>
      <c r="F74" s="124"/>
      <c r="G74" s="124"/>
      <c r="H74" s="124"/>
      <c r="I74" s="124"/>
      <c r="J74" s="124"/>
      <c r="K74" s="124"/>
      <c r="L74" s="124"/>
      <c r="M74" s="124"/>
      <c r="N74" s="124"/>
    </row>
    <row r="75" spans="1:15" x14ac:dyDescent="0.2">
      <c r="C75" s="124"/>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5">
    <mergeCell ref="L18:L20"/>
    <mergeCell ref="M22:N22"/>
    <mergeCell ref="M24:N24"/>
    <mergeCell ref="M25:N25"/>
    <mergeCell ref="I22:J22"/>
    <mergeCell ref="D54:L56"/>
    <mergeCell ref="G48:I48"/>
    <mergeCell ref="G24:H24"/>
    <mergeCell ref="F27:K27"/>
    <mergeCell ref="D45:L45"/>
    <mergeCell ref="D46:L46"/>
    <mergeCell ref="E24:F24"/>
    <mergeCell ref="I24:J24"/>
    <mergeCell ref="E25:F25"/>
    <mergeCell ref="D43:L43"/>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48"/>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54"/>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47:M48"/>
    <dataValidation type="textLength" errorStyle="warning" allowBlank="1" showErrorMessage="1" errorTitle="T.V.A." error="Les cellules ombrées contiennent des formules et sont calculées automatiquement par Excel. N'y tapez aucune information." promptTitle="T.V.A." sqref="L41">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0">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1">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39">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59:L59"/>
    <dataValidation type="textLength" errorStyle="warning" allowBlank="1" showErrorMessage="1" errorTitle="Total" error="Les cellules ombrées contiennent des formules et sont calculées automatiquement par Excel. N'y tapez aucune information." promptTitle="Total" sqref="M44 M42">
      <formula1>0</formula1>
      <formula2>0</formula2>
    </dataValidation>
    <dataValidation type="decimal" allowBlank="1" showErrorMessage="1" errorTitle="Prix unitaire" error="Tapez un nombre dans cette cellule." promptTitle="Prix unitaire" sqref="L28:L38">
      <formula1>0</formula1>
      <formula2>1000000000</formula2>
    </dataValidation>
    <dataValidation type="whole" errorStyle="warning" allowBlank="1" showErrorMessage="1" errorTitle="Quantité" error="Tapez un nombre dans cette cellule." promptTitle="Quantité" sqref="E28:E38">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M38">
      <formula1>0</formula1>
      <formula2>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40</xdr:row>
                    <xdr:rowOff>114300</xdr:rowOff>
                  </from>
                  <to>
                    <xdr:col>3</xdr:col>
                    <xdr:colOff>1838325</xdr:colOff>
                    <xdr:row>40</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39</xdr:row>
                    <xdr:rowOff>95250</xdr:rowOff>
                  </from>
                  <to>
                    <xdr:col>3</xdr:col>
                    <xdr:colOff>1885950</xdr:colOff>
                    <xdr:row>39</xdr:row>
                    <xdr:rowOff>314325</xdr:rowOff>
                  </to>
                </anchor>
              </controlPr>
            </control>
          </mc:Choice>
        </mc:AlternateContent>
        <mc:AlternateContent xmlns:mc="http://schemas.openxmlformats.org/markup-compatibility/2006">
          <mc:Choice Requires="x14">
            <control shapeId="2130" r:id="rId6" name="Option Button 82">
              <controlPr defaultSize="0" autoFill="0" autoLine="0" autoPict="0" macro="[2]!INV_Payments">
                <anchor moveWithCells="1">
                  <from>
                    <xdr:col>3</xdr:col>
                    <xdr:colOff>1533525</xdr:colOff>
                    <xdr:row>41</xdr:row>
                    <xdr:rowOff>114300</xdr:rowOff>
                  </from>
                  <to>
                    <xdr:col>3</xdr:col>
                    <xdr:colOff>1838325</xdr:colOff>
                    <xdr:row>41</xdr:row>
                    <xdr:rowOff>333375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2"/>
  </cols>
  <sheetData>
    <row r="1" spans="1:11" x14ac:dyDescent="0.2">
      <c r="A1" s="62" t="s">
        <v>28</v>
      </c>
    </row>
    <row r="2" spans="1:11" x14ac:dyDescent="0.2">
      <c r="A2" s="62" t="s">
        <v>35</v>
      </c>
      <c r="B2" s="62" t="s">
        <v>29</v>
      </c>
    </row>
    <row r="3" spans="1:11" x14ac:dyDescent="0.2">
      <c r="A3" s="62" t="s">
        <v>36</v>
      </c>
      <c r="B3" s="62" t="s">
        <v>43</v>
      </c>
    </row>
    <row r="4" spans="1:11" x14ac:dyDescent="0.2">
      <c r="A4" s="62" t="s">
        <v>30</v>
      </c>
    </row>
    <row r="5" spans="1:11" x14ac:dyDescent="0.2">
      <c r="A5" s="62" t="s">
        <v>37</v>
      </c>
      <c r="B5" s="62">
        <v>1</v>
      </c>
    </row>
    <row r="6" spans="1:11" x14ac:dyDescent="0.2">
      <c r="A6" s="62">
        <v>1</v>
      </c>
      <c r="B6" s="62" t="s">
        <v>38</v>
      </c>
      <c r="C6" s="62" t="s">
        <v>42</v>
      </c>
      <c r="D6" s="62" t="s">
        <v>39</v>
      </c>
      <c r="E6" s="62">
        <v>10</v>
      </c>
      <c r="G6" s="62">
        <v>1197261567</v>
      </c>
    </row>
    <row r="7" spans="1:11" x14ac:dyDescent="0.2">
      <c r="A7" s="62" t="s">
        <v>40</v>
      </c>
      <c r="B7" s="62" t="s">
        <v>31</v>
      </c>
      <c r="C7" s="62" t="s">
        <v>19</v>
      </c>
      <c r="D7" s="62" t="s">
        <v>3</v>
      </c>
      <c r="E7" s="62" t="s">
        <v>5</v>
      </c>
      <c r="F7" s="62" t="s">
        <v>7</v>
      </c>
      <c r="G7" s="62" t="s">
        <v>8</v>
      </c>
      <c r="H7" s="62" t="s">
        <v>9</v>
      </c>
      <c r="I7" s="62" t="s">
        <v>21</v>
      </c>
      <c r="J7" s="62" t="s">
        <v>32</v>
      </c>
      <c r="K7" s="62" t="s">
        <v>20</v>
      </c>
    </row>
    <row r="8" spans="1:11" x14ac:dyDescent="0.2">
      <c r="A8" s="62" t="s">
        <v>41</v>
      </c>
      <c r="B8" s="63" t="str">
        <f>Facture!$M$4</f>
        <v/>
      </c>
      <c r="C8" s="64" t="str">
        <f>Facture!$L$22</f>
        <v>Date</v>
      </c>
      <c r="D8" s="65" t="str">
        <f>Facture!$E$22</f>
        <v xml:space="preserve">CROWN </v>
      </c>
      <c r="E8" s="62" t="str">
        <f>Facture!$E$23</f>
        <v xml:space="preserve">ZI EL AGBA </v>
      </c>
      <c r="F8" s="62">
        <f>Facture!$E$24</f>
        <v>2051</v>
      </c>
      <c r="G8" s="65">
        <f>Facture!$G$24</f>
        <v>0</v>
      </c>
      <c r="H8" s="65" t="str">
        <f>Facture!$J$24</f>
        <v>TN</v>
      </c>
      <c r="I8" s="62">
        <f>Facture!$E$25</f>
        <v>31358100</v>
      </c>
      <c r="J8" s="66">
        <f>Facture!$M$42</f>
        <v>0</v>
      </c>
      <c r="K8" s="62" t="str">
        <f>Facture!$L$24</f>
        <v>Responsable</v>
      </c>
    </row>
    <row r="9" spans="1:11" x14ac:dyDescent="0.2">
      <c r="A9" s="62" t="s">
        <v>30</v>
      </c>
    </row>
    <row r="10" spans="1:11" x14ac:dyDescent="0.2">
      <c r="G10" s="62">
        <v>733575679</v>
      </c>
    </row>
    <row r="14" spans="1:11" x14ac:dyDescent="0.2">
      <c r="G14" s="62">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62</vt:i4>
      </vt:variant>
    </vt:vector>
  </HeadingPairs>
  <TitlesOfParts>
    <vt:vector size="66"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2020-11-10T13:09:08Z</cp:lastPrinted>
  <dcterms:created xsi:type="dcterms:W3CDTF">1995-05-29T15:50:39Z</dcterms:created>
  <dcterms:modified xsi:type="dcterms:W3CDTF">2020-11-10T13:09:42Z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CROWN </vt:lpwstr>
  </property>
  <property fmtid="{D5CDD505-2E9C-101B-9397-08002B2CF9AE}" pid="11" name="Montant de la facture" linkTarget="TOT">
    <vt:lpwstr/>
  </property>
</Properties>
</file>