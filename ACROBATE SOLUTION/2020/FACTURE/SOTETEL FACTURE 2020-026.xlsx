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1" i="3" l="1"/>
  <c r="M32" i="3"/>
  <c r="M33" i="3"/>
  <c r="M30" i="3" l="1"/>
  <c r="M34" i="3"/>
  <c r="M28" i="3"/>
  <c r="M29" i="3"/>
  <c r="M35" i="3"/>
  <c r="M37" i="3"/>
  <c r="M38" i="3"/>
  <c r="M40" i="3"/>
  <c r="M41" i="3"/>
  <c r="M42" i="3"/>
  <c r="M48" i="3" l="1"/>
  <c r="M43" i="3"/>
  <c r="M44" i="3"/>
  <c r="M45" i="3"/>
  <c r="M46" i="3"/>
  <c r="M47" i="3"/>
  <c r="M50" i="3" l="1"/>
  <c r="M51"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<sst xmlns="http://schemas.openxmlformats.org/spreadsheetml/2006/main" count="89" uniqueCount="79">
  <si>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</si>
  <si>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</si>
  <si>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</si>
  <si>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</si>
  <si>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</si>
  <si>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</si>
  <si>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</si>
  <si>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</si>
  <si>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</si>
  <si>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</si>
  <si>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</si>
  <si>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</si>
  <si>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</si>
  <si>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</si>
  <si>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</si>
  <si>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</si>
  <si>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</si>
  <si>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</si>
  <si>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</si>
  <si>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</si>
  <si>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</si>
  <si>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</si>
  <si>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</si>
  <si>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</si>
  <si>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</si>
  <si>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</si>
  <si>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</si>
  <si>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</si>
  <si>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</si>
  <si>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</si>
  <si>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</si>
  <si>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</si>
  <si>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</si>
  <si>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</si>
  <si>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</si>
  <si>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</si>
  <si>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</si>
  <si>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</si>
  <si>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</si>
  <si>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</si>
  <si>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</si>
  <si>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</si>
  <si>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</si>
  <si>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</si>
  <si>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</si>
  <si>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</si>
  <si>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</si>
  <si>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</si>
  <si>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</si>
  <si>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</si>
  <si>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</si>
  <si>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</si>
  <si>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</si>
  <si>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</si>
  <si>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</si>
  <si>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</si>
  <si>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</si>
  <si>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</si>
  <si>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</si>
  <si>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</si>
  <si>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</si>
  <si>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</si>
  <si>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</si>
  <si>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</si>
  <si>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</si>
  <si>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</si>
  <si>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</si>
  <si>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</si>
  <si>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</si>
  <si>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</si>
  <si>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Responsable:Dous Boutheyna</t>
  </si>
  <si>
    <t>Date : 09/06/2020</t>
  </si>
  <si>
    <t>2024549</t>
  </si>
  <si>
    <t xml:space="preserve">ENTRETIEN DE HARNAIS ORBITAL ,LONGE DE </t>
  </si>
  <si>
    <t xml:space="preserve">MAINTIEN ,LINGE DOUBLE CORDAGE </t>
  </si>
  <si>
    <t>FACTURE  N° 2020-026</t>
  </si>
  <si>
    <t xml:space="preserve">C_EPI </t>
  </si>
  <si>
    <t>SCE900000004588</t>
  </si>
  <si>
    <t xml:space="preserve">ARRETE LE PRESENTE LA FACTURE A LA SOMME DE : SEPT CENT QUATORZE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</si>
</sst>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3"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4" zoomScale="60" zoomScaleNormal="60" workbookViewId="0">
      <selection activeCell="I42" sqref="I4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70" t="s">
        <v>75</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5" t="s">
        <v>65</v>
      </c>
      <c r="F22" s="175"/>
      <c r="G22" s="175"/>
      <c r="H22" s="175"/>
      <c r="I22" s="175"/>
      <c r="J22" s="175"/>
      <c r="K22" s="96"/>
      <c r="L22" s="173" t="s">
        <v>71</v>
      </c>
      <c r="M22" s="173"/>
      <c r="N22" s="52"/>
      <c r="O22" s="9"/>
    </row>
    <row r="23" spans="2:15" ht="33.75" x14ac:dyDescent="0.5">
      <c r="B23" s="7"/>
      <c r="C23" s="3"/>
      <c r="D23" s="95" t="s">
        <v>54</v>
      </c>
      <c r="E23" s="163" t="s">
        <v>66</v>
      </c>
      <c r="F23" s="163"/>
      <c r="G23" s="163"/>
      <c r="H23" s="163"/>
      <c r="I23" s="163"/>
      <c r="J23" s="163"/>
      <c r="K23" s="163"/>
      <c r="L23" s="97" t="s">
        <v>69</v>
      </c>
      <c r="M23" s="97" t="s">
        <v>72</v>
      </c>
      <c r="N23" s="53"/>
      <c r="O23" s="9"/>
    </row>
    <row r="24" spans="2:15" ht="33.75" x14ac:dyDescent="0.5">
      <c r="B24" s="7"/>
      <c r="C24" s="3"/>
      <c r="D24" s="95" t="s">
        <v>55</v>
      </c>
      <c r="E24" s="109">
        <v>1080</v>
      </c>
      <c r="F24" s="98" t="s">
        <v>8</v>
      </c>
      <c r="G24" s="164"/>
      <c r="H24" s="164"/>
      <c r="I24" s="99" t="s">
        <v>9</v>
      </c>
      <c r="J24" s="100" t="s">
        <v>59</v>
      </c>
      <c r="K24" s="96"/>
      <c r="L24" s="174" t="s">
        <v>70</v>
      </c>
      <c r="M24" s="174"/>
      <c r="N24" s="3"/>
      <c r="O24" s="9"/>
    </row>
    <row r="25" spans="2:15" ht="33.75" x14ac:dyDescent="0.5">
      <c r="B25" s="7"/>
      <c r="C25" s="3"/>
      <c r="D25" s="95" t="s">
        <v>56</v>
      </c>
      <c r="E25" s="176" t="s">
        <v>67</v>
      </c>
      <c r="F25" s="176"/>
      <c r="G25" s="176"/>
      <c r="H25" s="176"/>
      <c r="I25" s="176"/>
      <c r="J25" s="176"/>
      <c r="K25" s="96"/>
      <c r="L25" s="174" t="s">
        <v>68</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5" t="s">
        <v>23</v>
      </c>
      <c r="G27" s="166"/>
      <c r="H27" s="166"/>
      <c r="I27" s="166"/>
      <c r="J27" s="166"/>
      <c r="K27" s="167"/>
      <c r="L27" s="85" t="s">
        <v>24</v>
      </c>
      <c r="M27" s="86" t="s">
        <v>25</v>
      </c>
      <c r="N27" s="87"/>
      <c r="O27" s="9"/>
    </row>
    <row r="28" spans="2:15" ht="30" x14ac:dyDescent="0.4">
      <c r="B28" s="7"/>
      <c r="C28" s="3"/>
      <c r="D28" s="143"/>
      <c r="E28" s="145"/>
      <c r="F28" s="114"/>
      <c r="G28" s="135"/>
      <c r="H28" s="135"/>
      <c r="I28" s="137"/>
      <c r="J28" s="137"/>
      <c r="K28" s="138"/>
      <c r="L28" s="104"/>
      <c r="M28" s="110" t="str">
        <f t="shared" ref="M28:M34" si="0">IF(E28&lt;&gt;"",E28*L28,"")</f>
        <v/>
      </c>
      <c r="N28" s="87"/>
      <c r="O28" s="9"/>
    </row>
    <row r="29" spans="2:15" ht="30" x14ac:dyDescent="0.4">
      <c r="B29" s="7"/>
      <c r="C29" s="3"/>
      <c r="D29" s="143"/>
      <c r="E29" s="145"/>
      <c r="F29" s="151"/>
      <c r="G29" s="135"/>
      <c r="H29" s="135"/>
      <c r="I29" s="137"/>
      <c r="J29" s="137"/>
      <c r="K29" s="138"/>
      <c r="L29" s="104"/>
      <c r="M29" s="110" t="str">
        <f t="shared" si="0"/>
        <v/>
      </c>
      <c r="N29" s="87"/>
      <c r="O29" s="9"/>
    </row>
    <row r="30" spans="2:15" ht="30" x14ac:dyDescent="0.4">
      <c r="B30" s="7"/>
      <c r="C30" s="3"/>
      <c r="D30" s="143" t="s">
        <v>76</v>
      </c>
      <c r="E30" s="145">
        <v>1</v>
      </c>
      <c r="F30" s="151" t="s">
        <v>73</v>
      </c>
      <c r="G30" s="135"/>
      <c r="H30" s="135"/>
      <c r="I30" s="137"/>
      <c r="J30" s="137"/>
      <c r="K30" s="138"/>
      <c r="L30" s="104">
        <v>600</v>
      </c>
      <c r="M30" s="110">
        <f t="shared" si="0"/>
        <v>600</v>
      </c>
      <c r="N30" s="87"/>
      <c r="O30" s="9"/>
    </row>
    <row r="31" spans="2:15" ht="30" x14ac:dyDescent="0.4">
      <c r="B31" s="7"/>
      <c r="C31" s="3"/>
      <c r="D31" s="143" t="s">
        <v>77</v>
      </c>
      <c r="E31" s="145"/>
      <c r="F31" s="151" t="s">
        <v>74</v>
      </c>
      <c r="G31" s="135"/>
      <c r="H31" s="137"/>
      <c r="I31" s="137"/>
      <c r="J31" s="137"/>
      <c r="K31" s="138"/>
      <c r="L31" s="104"/>
      <c r="M31" s="110" t="str">
        <f t="shared" si="0"/>
        <v/>
      </c>
      <c r="N31" s="87"/>
      <c r="O31" s="9"/>
    </row>
    <row r="32" spans="2:15" ht="30" x14ac:dyDescent="0.4">
      <c r="B32" s="7"/>
      <c r="C32" s="3"/>
      <c r="D32" s="143"/>
      <c r="E32" s="145"/>
      <c r="F32" s="151"/>
      <c r="G32" s="135"/>
      <c r="H32" s="137"/>
      <c r="I32" s="137"/>
      <c r="J32" s="137"/>
      <c r="K32" s="138"/>
      <c r="L32" s="104"/>
      <c r="M32" s="110" t="str">
        <f t="shared" si="0"/>
        <v/>
      </c>
      <c r="N32" s="87"/>
      <c r="O32" s="9"/>
    </row>
    <row r="33" spans="2:15" ht="30" x14ac:dyDescent="0.4">
      <c r="B33" s="7"/>
      <c r="C33" s="3"/>
      <c r="D33" s="143"/>
      <c r="E33" s="145"/>
      <c r="F33" s="114"/>
      <c r="G33" s="135"/>
      <c r="H33" s="137"/>
      <c r="I33" s="137"/>
      <c r="J33" s="137"/>
      <c r="K33" s="138"/>
      <c r="L33" s="104"/>
      <c r="M33" s="110" t="str">
        <f t="shared" si="0"/>
        <v/>
      </c>
      <c r="N33" s="87"/>
      <c r="O33" s="9"/>
    </row>
    <row r="34" spans="2:15" ht="30" x14ac:dyDescent="0.4">
      <c r="B34" s="7"/>
      <c r="C34" s="3"/>
      <c r="D34" s="143"/>
      <c r="E34" s="145"/>
      <c r="F34" s="114"/>
      <c r="G34" s="135"/>
      <c r="H34" s="137"/>
      <c r="I34" s="137"/>
      <c r="J34" s="137"/>
      <c r="K34" s="138"/>
      <c r="L34" s="104"/>
      <c r="M34" s="110" t="str">
        <f t="shared" si="0"/>
        <v/>
      </c>
      <c r="N34" s="87"/>
      <c r="O34" s="9"/>
    </row>
    <row r="35" spans="2:15" ht="30" x14ac:dyDescent="0.4">
      <c r="B35" s="7"/>
      <c r="C35" s="3"/>
      <c r="D35" s="144"/>
      <c r="E35" s="102"/>
      <c r="F35" s="142"/>
      <c r="G35" s="135"/>
      <c r="H35" s="135"/>
      <c r="I35" s="135"/>
      <c r="J35" s="135"/>
      <c r="K35" s="136"/>
      <c r="L35" s="104"/>
      <c r="M35" s="110" t="str">
        <f t="shared" ref="M35:M42" si="1">IF(E35&lt;&gt;"",E35*L35,"")</f>
        <v/>
      </c>
      <c r="N35" s="54"/>
      <c r="O35" s="9"/>
    </row>
    <row r="36" spans="2:15" ht="30" x14ac:dyDescent="0.4">
      <c r="B36" s="7"/>
      <c r="C36" s="3"/>
      <c r="D36" s="144"/>
      <c r="E36" s="102"/>
      <c r="F36" s="114"/>
      <c r="G36" s="135"/>
      <c r="H36" s="135"/>
      <c r="I36" s="135"/>
      <c r="J36" s="135"/>
      <c r="K36" s="136"/>
      <c r="L36" s="104"/>
      <c r="M36" s="110"/>
      <c r="N36" s="54"/>
      <c r="O36" s="9"/>
    </row>
    <row r="37" spans="2:15" ht="30" x14ac:dyDescent="0.4">
      <c r="B37" s="7"/>
      <c r="C37" s="3"/>
      <c r="D37" s="139"/>
      <c r="E37" s="102"/>
      <c r="F37" s="114"/>
      <c r="G37" s="135"/>
      <c r="H37" s="135"/>
      <c r="I37" s="135"/>
      <c r="J37" s="135"/>
      <c r="K37" s="136"/>
      <c r="L37" s="105"/>
      <c r="M37" s="110" t="str">
        <f t="shared" si="1"/>
        <v/>
      </c>
      <c r="N37" s="54"/>
      <c r="O37" s="9"/>
    </row>
    <row r="38" spans="2:15" ht="30" x14ac:dyDescent="0.4">
      <c r="B38" s="7"/>
      <c r="C38" s="3"/>
      <c r="D38" s="139"/>
      <c r="E38" s="102"/>
      <c r="F38" s="114"/>
      <c r="G38" s="135"/>
      <c r="H38" s="135"/>
      <c r="I38" s="135"/>
      <c r="J38" s="135"/>
      <c r="K38" s="136"/>
      <c r="L38" s="105"/>
      <c r="M38" s="110" t="str">
        <f t="shared" si="1"/>
        <v/>
      </c>
      <c r="N38" s="54"/>
      <c r="O38" s="9"/>
    </row>
    <row r="39" spans="2:15" ht="30" x14ac:dyDescent="0.4">
      <c r="B39" s="7"/>
      <c r="C39" s="3"/>
      <c r="D39" s="139"/>
      <c r="E39" s="102"/>
      <c r="F39" s="114"/>
      <c r="G39" s="135"/>
      <c r="H39" s="135"/>
      <c r="I39" s="135"/>
      <c r="J39" s="135"/>
      <c r="K39" s="136"/>
      <c r="L39" s="105"/>
      <c r="M39" s="110"/>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ref="M43:M47" si="2">IF(E43&lt;&gt;"",E43*L43,"")</f>
        <v/>
      </c>
      <c r="N43" s="54"/>
      <c r="O43" s="9"/>
    </row>
    <row r="44" spans="2:15" ht="30" x14ac:dyDescent="0.4">
      <c r="B44" s="7"/>
      <c r="C44" s="3"/>
      <c r="D44" s="116"/>
      <c r="E44" s="103"/>
      <c r="F44" s="11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35">
      <c r="B47" s="7"/>
      <c r="C47" s="3"/>
      <c r="D47" s="131"/>
      <c r="E47" s="124"/>
      <c r="F47" s="140" t="s">
        <v>64</v>
      </c>
      <c r="G47" s="141"/>
      <c r="H47" s="141"/>
      <c r="I47" s="132"/>
      <c r="J47" s="132"/>
      <c r="K47" s="133"/>
      <c r="L47" s="146"/>
      <c r="M47" s="110" t="str">
        <f t="shared" si="2"/>
        <v/>
      </c>
      <c r="N47" s="54"/>
      <c r="O47" s="9"/>
    </row>
    <row r="48" spans="2:15" ht="35.25" x14ac:dyDescent="0.5">
      <c r="B48" s="7"/>
      <c r="C48" s="3"/>
      <c r="D48" s="81"/>
      <c r="E48" s="90"/>
      <c r="F48" s="120"/>
      <c r="G48" s="117"/>
      <c r="H48" s="117"/>
      <c r="I48" s="117"/>
      <c r="J48" s="118"/>
      <c r="K48" s="119"/>
      <c r="L48" s="147" t="s">
        <v>26</v>
      </c>
      <c r="M48" s="101">
        <f>SUM(M28:M47)</f>
        <v>600</v>
      </c>
      <c r="N48" s="54"/>
      <c r="O48" s="9"/>
    </row>
    <row r="49" spans="1:16" ht="35.25" x14ac:dyDescent="0.5">
      <c r="B49" s="7"/>
      <c r="C49" s="3"/>
      <c r="D49" s="94"/>
      <c r="E49" s="91" t="s">
        <v>57</v>
      </c>
      <c r="F49" s="77"/>
      <c r="G49" s="77"/>
      <c r="H49" s="77"/>
      <c r="I49" s="77"/>
      <c r="J49" s="78"/>
      <c r="K49" s="88"/>
      <c r="L49" s="148" t="s">
        <v>47</v>
      </c>
      <c r="M49" s="101">
        <v>0.6</v>
      </c>
      <c r="N49" s="54"/>
      <c r="O49" s="9"/>
    </row>
    <row r="50" spans="1:16" ht="35.25" x14ac:dyDescent="0.5">
      <c r="B50" s="7"/>
      <c r="C50" s="3"/>
      <c r="D50" s="92"/>
      <c r="E50" s="91" t="s">
        <v>58</v>
      </c>
      <c r="F50" s="77"/>
      <c r="G50" s="77"/>
      <c r="H50" s="77"/>
      <c r="I50" s="77"/>
      <c r="J50" s="79"/>
      <c r="K50" s="89"/>
      <c r="L50" s="149">
        <v>0.19</v>
      </c>
      <c r="M50" s="101">
        <f>+M48*19%</f>
        <v>114</v>
      </c>
      <c r="N50" s="54"/>
      <c r="O50" s="9"/>
    </row>
    <row r="51" spans="1:16" ht="35.25" x14ac:dyDescent="0.5">
      <c r="B51" s="7"/>
      <c r="C51" s="3"/>
      <c r="D51" s="76"/>
      <c r="E51" s="82"/>
      <c r="F51" s="93"/>
      <c r="G51" s="77"/>
      <c r="H51" s="64"/>
      <c r="I51" s="77"/>
      <c r="J51" s="80" t="s">
        <v>27</v>
      </c>
      <c r="K51" s="78"/>
      <c r="L51" s="150" t="s">
        <v>28</v>
      </c>
      <c r="M51" s="101">
        <f>+M48+M49+M50</f>
        <v>714.6</v>
      </c>
      <c r="N51" s="54"/>
      <c r="O51" s="9"/>
    </row>
    <row r="52" spans="1:16" ht="15.75" x14ac:dyDescent="0.25">
      <c r="B52" s="7"/>
      <c r="C52" s="3"/>
      <c r="D52" s="168"/>
      <c r="E52" s="169"/>
      <c r="F52" s="169"/>
      <c r="G52" s="169"/>
      <c r="H52" s="169"/>
      <c r="I52" s="169"/>
      <c r="J52" s="169"/>
      <c r="K52" s="169"/>
      <c r="L52" s="169"/>
      <c r="M52" s="115"/>
      <c r="N52" s="54"/>
      <c r="O52" s="9"/>
    </row>
    <row r="53" spans="1:16" ht="26.25" x14ac:dyDescent="0.4">
      <c r="B53" s="7"/>
      <c r="C53" s="3"/>
      <c r="D53" s="177" t="s">
        <v>78</v>
      </c>
      <c r="E53" s="177"/>
      <c r="F53" s="177"/>
      <c r="G53" s="177"/>
      <c r="H53" s="177"/>
      <c r="I53" s="177"/>
      <c r="J53" s="177"/>
      <c r="K53" s="177"/>
      <c r="L53" s="177"/>
      <c r="M53" s="123"/>
      <c r="N53" s="54"/>
      <c r="O53" s="9"/>
    </row>
    <row r="54" spans="1:16" ht="26.25" x14ac:dyDescent="0.4">
      <c r="B54" s="7"/>
      <c r="C54" s="3"/>
      <c r="D54" s="115"/>
      <c r="E54" s="115"/>
      <c r="F54" s="123"/>
      <c r="G54" s="129"/>
      <c r="H54" s="129"/>
      <c r="I54" s="129"/>
      <c r="J54" s="78"/>
      <c r="K54" s="113"/>
      <c r="L54" s="153" t="s">
        <v>63</v>
      </c>
      <c r="M54" s="153"/>
      <c r="N54" s="107"/>
      <c r="O54" s="9"/>
    </row>
    <row r="55" spans="1:16" ht="23.25" x14ac:dyDescent="0.25">
      <c r="B55" s="7"/>
      <c r="C55" s="3"/>
      <c r="D55" s="115"/>
      <c r="E55" s="115"/>
      <c r="F55" s="130"/>
      <c r="G55" s="162"/>
      <c r="H55" s="162"/>
      <c r="I55" s="162"/>
      <c r="J55" s="78"/>
      <c r="K55" s="113"/>
      <c r="L55" s="107"/>
      <c r="M55" s="107"/>
      <c r="N55" s="107"/>
      <c r="O55" s="9"/>
    </row>
    <row r="56" spans="1:16" ht="20.25" x14ac:dyDescent="0.3">
      <c r="B56" s="7"/>
      <c r="C56" s="3"/>
      <c r="D56" s="111" t="s">
        <v>60</v>
      </c>
      <c r="E56" s="152"/>
      <c r="F56" s="78"/>
      <c r="G56" s="78"/>
      <c r="H56" s="78"/>
      <c r="I56" s="78"/>
      <c r="J56" s="78"/>
      <c r="K56" s="83"/>
      <c r="L56" s="83"/>
      <c r="M56" s="84"/>
      <c r="N56" s="54"/>
      <c r="O56" s="125"/>
      <c r="P56" s="126"/>
    </row>
    <row r="57" spans="1:16" ht="20.25" x14ac:dyDescent="0.3">
      <c r="B57" s="7"/>
      <c r="C57" s="3"/>
      <c r="D57" s="112" t="s">
        <v>61</v>
      </c>
      <c r="E57" s="112"/>
      <c r="F57" s="78"/>
      <c r="G57" s="78"/>
      <c r="H57" s="78"/>
      <c r="I57" s="78"/>
      <c r="J57" s="78"/>
      <c r="K57" s="83"/>
      <c r="L57" s="83"/>
      <c r="M57" s="83"/>
      <c r="N57" s="87"/>
      <c r="O57" s="127"/>
      <c r="P57" s="128"/>
    </row>
    <row r="58" spans="1:16" ht="18" customHeight="1" x14ac:dyDescent="0.25">
      <c r="B58" s="7"/>
      <c r="C58" s="3"/>
      <c r="D58" s="161" t="s">
        <v>52</v>
      </c>
      <c r="E58" s="161"/>
      <c r="F58" s="161"/>
      <c r="G58" s="161"/>
      <c r="H58" s="161"/>
      <c r="I58" s="161"/>
      <c r="J58" s="161"/>
      <c r="K58" s="161"/>
      <c r="L58" s="161"/>
      <c r="M58" s="83"/>
      <c r="N58" s="87"/>
      <c r="O58" s="9"/>
    </row>
    <row r="59" spans="1:16" ht="15" customHeight="1" x14ac:dyDescent="0.2">
      <c r="B59" s="7"/>
      <c r="C59" s="3"/>
      <c r="D59" s="161"/>
      <c r="E59" s="161"/>
      <c r="F59" s="161"/>
      <c r="G59" s="161"/>
      <c r="H59" s="161"/>
      <c r="I59" s="161"/>
      <c r="J59" s="161"/>
      <c r="K59" s="161"/>
      <c r="L59" s="161"/>
      <c r="M59" s="84"/>
      <c r="N59" s="54"/>
      <c r="O59" s="9"/>
    </row>
    <row r="60" spans="1:16" ht="20.100000000000001" customHeight="1" x14ac:dyDescent="0.2">
      <c r="B60" s="7"/>
      <c r="C60" s="3"/>
      <c r="D60" s="161"/>
      <c r="E60" s="161"/>
      <c r="F60" s="161"/>
      <c r="G60" s="161"/>
      <c r="H60" s="161"/>
      <c r="I60" s="161"/>
      <c r="J60" s="161"/>
      <c r="K60" s="161"/>
      <c r="L60" s="161"/>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1"/>
      <c r="B63" s="121"/>
      <c r="C63" s="121"/>
      <c r="D63" s="121"/>
      <c r="E63" s="121"/>
      <c r="F63" s="121"/>
      <c r="G63" s="121"/>
      <c r="H63" s="121"/>
      <c r="I63" s="121"/>
      <c r="J63" s="121"/>
      <c r="K63" s="121"/>
      <c r="L63" s="121"/>
      <c r="M63" s="122"/>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8:L60"/>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09/06/2020</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714.6</v>
      </c>
      <c r="K8" s="64" t="str">
        <f>Facture!$L$24</f>
        <v>Responsable:Dous Boutheyna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2020-05-27T09:30:54Z</cp:lastPrinted>
  <dcterms:created xsi:type="dcterms:W3CDTF">1995-05-29T15:50:39Z</dcterms:created>
  <dcterms:modified xsi:type="dcterms:W3CDTF">2020-06-09T15:07:35Z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714.6</vt:r8>
  </property>
</Properties>
</file>