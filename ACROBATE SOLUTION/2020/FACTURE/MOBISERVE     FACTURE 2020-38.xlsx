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1" i="3" l="1"/>
  <c r="M32" i="3" l="1"/>
  <c r="M33" i="3"/>
  <c r="M34" i="3"/>
  <c r="M40" i="3" l="1"/>
  <c r="M41" i="3"/>
  <c r="M42" i="3"/>
  <c r="M43" i="3"/>
  <c r="M44" i="3"/>
  <c r="M45" i="3"/>
  <c r="M46" i="3"/>
  <c r="M36" i="3" l="1"/>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<sst xmlns="http://schemas.openxmlformats.org/spreadsheetml/2006/main" count="83" uniqueCount="73">
  <si>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</si>
  <si>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</si>
  <si>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</si>
  <si>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</si>
  <si>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</si>
  <si>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</si>
  <si>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</si>
  <si>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</si>
  <si>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</si>
  <si>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</si>
  <si>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</si>
  <si>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</si>
  <si>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</si>
  <si>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</si>
  <si>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</si>
  <si>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</si>
  <si>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</si>
  <si>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</si>
  <si>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</si>
  <si>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</si>
  <si>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</si>
  <si>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</si>
  <si>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</si>
  <si>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</si>
  <si>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</si>
  <si>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</si>
  <si>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</si>
  <si>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</si>
  <si>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</si>
  <si>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</si>
  <si>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</si>
  <si>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</si>
  <si>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</si>
  <si>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</si>
  <si>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</si>
  <si>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</si>
  <si>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</si>
  <si>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</si>
  <si>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</si>
  <si>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</si>
  <si>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</si>
  <si>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</si>
  <si>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</si>
  <si>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</si>
  <si>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</si>
  <si>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</si>
  <si>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</si>
  <si>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</si>
  <si>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</si>
  <si>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</si>
  <si>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</si>
  <si>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</si>
  <si>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</si>
  <si>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</si>
  <si>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</si>
  <si>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</si>
  <si>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</si>
  <si>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</si>
  <si>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</si>
  <si>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</si>
  <si>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</si>
  <si>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</si>
  <si>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</si>
  <si>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</si>
  <si>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</si>
  <si>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</si>
  <si>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</si>
  <si>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</si>
  <si>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FACTURE N° 2020-038</t>
  </si>
  <si>
    <t xml:space="preserve">Consultation:  </t>
  </si>
  <si>
    <t>TOOLS BAG</t>
  </si>
  <si>
    <t>ARRETE LA PRESENTE FACTURE A LA SOMME DE:  SOIXANTE  DINARS ET 810 MILLIMES,</t>
  </si>
  <si>
    <t>Date : 13/07/2020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</si>
</sst>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37"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9" t="s">
        <v>68</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4" t="s">
        <v>64</v>
      </c>
      <c r="F22" s="174"/>
      <c r="G22" s="174"/>
      <c r="H22" s="174"/>
      <c r="I22" s="174"/>
      <c r="J22" s="174"/>
      <c r="K22" s="104"/>
      <c r="L22" s="172" t="s">
        <v>72</v>
      </c>
      <c r="M22" s="172"/>
      <c r="N22" s="52"/>
      <c r="O22" s="9"/>
    </row>
    <row r="23" spans="2:15" ht="33.75" x14ac:dyDescent="0.5">
      <c r="B23" s="7"/>
      <c r="C23" s="3"/>
      <c r="D23" s="103" t="s">
        <v>54</v>
      </c>
      <c r="E23" s="178" t="s">
        <v>65</v>
      </c>
      <c r="F23" s="178"/>
      <c r="G23" s="178"/>
      <c r="H23" s="178"/>
      <c r="I23" s="178"/>
      <c r="J23" s="178"/>
      <c r="K23" s="178"/>
      <c r="L23" s="105" t="s">
        <v>69</v>
      </c>
      <c r="M23" s="105"/>
      <c r="N23" s="53"/>
      <c r="O23" s="9"/>
    </row>
    <row r="24" spans="2:15" ht="33.75" x14ac:dyDescent="0.5">
      <c r="B24" s="7"/>
      <c r="C24" s="3"/>
      <c r="D24" s="103" t="s">
        <v>55</v>
      </c>
      <c r="E24" s="117"/>
      <c r="F24" s="106" t="s">
        <v>8</v>
      </c>
      <c r="G24" s="179"/>
      <c r="H24" s="179"/>
      <c r="I24" s="107" t="s">
        <v>9</v>
      </c>
      <c r="J24" s="108" t="s">
        <v>59</v>
      </c>
      <c r="K24" s="104"/>
      <c r="L24" s="173" t="s">
        <v>67</v>
      </c>
      <c r="M24" s="173"/>
      <c r="N24" s="3"/>
      <c r="O24" s="9"/>
    </row>
    <row r="25" spans="2:15" ht="33.75" x14ac:dyDescent="0.5">
      <c r="B25" s="7"/>
      <c r="C25" s="3"/>
      <c r="D25" s="103" t="s">
        <v>56</v>
      </c>
      <c r="E25" s="175"/>
      <c r="F25" s="175"/>
      <c r="G25" s="175"/>
      <c r="H25" s="175"/>
      <c r="I25" s="175"/>
      <c r="J25" s="175"/>
      <c r="K25" s="104"/>
      <c r="L25" s="173" t="s">
        <v>66</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0" t="s">
        <v>23</v>
      </c>
      <c r="G27" s="181"/>
      <c r="H27" s="181"/>
      <c r="I27" s="181"/>
      <c r="J27" s="181"/>
      <c r="K27" s="182"/>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v>2195</v>
      </c>
      <c r="E30" s="154">
        <v>2</v>
      </c>
      <c r="F30" s="122" t="s">
        <v>70</v>
      </c>
      <c r="G30" s="145"/>
      <c r="H30" s="145"/>
      <c r="I30" s="145"/>
      <c r="J30" s="145"/>
      <c r="K30" s="146"/>
      <c r="L30" s="112">
        <v>29.5</v>
      </c>
      <c r="M30" s="118">
        <f t="shared" ref="M30:M31" si="0">IF(E30&lt;&gt;"",E30*L30,"")</f>
        <v>59</v>
      </c>
      <c r="N30" s="54"/>
      <c r="O30" s="9"/>
    </row>
    <row r="31" spans="2:15" ht="30" x14ac:dyDescent="0.4">
      <c r="B31" s="7"/>
      <c r="C31" s="3"/>
      <c r="D31" s="153"/>
      <c r="E31" s="111"/>
      <c r="F31" s="155"/>
      <c r="G31" s="145"/>
      <c r="H31" s="145"/>
      <c r="I31" s="145"/>
      <c r="J31" s="145"/>
      <c r="K31" s="146"/>
      <c r="L31" s="112"/>
      <c r="M31" s="118" t="str">
        <f t="shared" si="0"/>
        <v/>
      </c>
      <c r="N31" s="54"/>
      <c r="O31" s="9"/>
    </row>
    <row r="32" spans="2:15" ht="30" x14ac:dyDescent="0.4">
      <c r="B32" s="7"/>
      <c r="C32" s="3"/>
      <c r="D32" s="153"/>
      <c r="E32" s="111"/>
      <c r="F32" s="159"/>
      <c r="G32" s="145"/>
      <c r="H32" s="145"/>
      <c r="I32" s="145"/>
      <c r="J32" s="145"/>
      <c r="K32" s="146"/>
      <c r="L32" s="112"/>
      <c r="M32" s="118" t="str">
        <f t="shared" ref="M32:M34" si="1">IF(E32&lt;&gt;"",E32*L32,"")</f>
        <v/>
      </c>
      <c r="N32" s="54"/>
      <c r="O32" s="9"/>
    </row>
    <row r="33" spans="2:15" ht="30" x14ac:dyDescent="0.4">
      <c r="B33" s="7"/>
      <c r="C33" s="3"/>
      <c r="D33" s="153"/>
      <c r="E33" s="111"/>
      <c r="F33" s="155"/>
      <c r="G33" s="145"/>
      <c r="H33" s="145"/>
      <c r="I33" s="145"/>
      <c r="J33" s="145"/>
      <c r="K33" s="146"/>
      <c r="L33" s="112"/>
      <c r="M33" s="118" t="str">
        <f t="shared" si="1"/>
        <v/>
      </c>
      <c r="N33" s="54"/>
      <c r="O33" s="9"/>
    </row>
    <row r="34" spans="2:15" ht="30" x14ac:dyDescent="0.4">
      <c r="B34" s="7"/>
      <c r="C34" s="3"/>
      <c r="D34" s="153"/>
      <c r="E34" s="111"/>
      <c r="F34" s="159"/>
      <c r="G34" s="145"/>
      <c r="H34" s="145"/>
      <c r="I34" s="145"/>
      <c r="J34" s="145"/>
      <c r="K34" s="146"/>
      <c r="L34" s="113"/>
      <c r="M34" s="118" t="str">
        <f t="shared" si="1"/>
        <v/>
      </c>
      <c r="N34" s="54"/>
      <c r="O34" s="9"/>
    </row>
    <row r="35" spans="2:15" ht="30" x14ac:dyDescent="0.4">
      <c r="B35" s="7"/>
      <c r="C35" s="3"/>
      <c r="D35" s="153"/>
      <c r="E35" s="111"/>
      <c r="F35" s="155"/>
      <c r="G35" s="145"/>
      <c r="H35" s="145"/>
      <c r="I35" s="145"/>
      <c r="J35" s="145"/>
      <c r="K35" s="146"/>
      <c r="L35" s="113"/>
      <c r="M35" s="118"/>
      <c r="N35" s="54"/>
      <c r="O35" s="9"/>
    </row>
    <row r="36" spans="2:15" ht="30" x14ac:dyDescent="0.4">
      <c r="B36" s="7"/>
      <c r="C36" s="3"/>
      <c r="D36" s="153"/>
      <c r="E36" s="111"/>
      <c r="F36" s="159"/>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47"/>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59</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11.21</v>
      </c>
      <c r="N49" s="54"/>
      <c r="O49" s="9"/>
    </row>
    <row r="50" spans="2:16" ht="35.25" x14ac:dyDescent="0.5">
      <c r="B50" s="7"/>
      <c r="C50" s="3"/>
      <c r="D50" s="85"/>
      <c r="E50" s="101"/>
      <c r="F50" s="97"/>
      <c r="G50" s="82"/>
      <c r="H50" s="81"/>
      <c r="I50" s="77"/>
      <c r="J50" s="83"/>
      <c r="K50" s="93"/>
      <c r="L50" s="110" t="s">
        <v>28</v>
      </c>
      <c r="M50" s="109">
        <f>+M47+M48+M49</f>
        <v>70.81</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83" t="s">
        <v>71</v>
      </c>
      <c r="E53" s="183"/>
      <c r="F53" s="183"/>
      <c r="G53" s="183"/>
      <c r="H53" s="183"/>
      <c r="I53" s="183"/>
      <c r="J53" s="183"/>
      <c r="K53" s="183"/>
      <c r="L53" s="183"/>
      <c r="M53" s="124"/>
      <c r="N53" s="54"/>
      <c r="O53" s="9"/>
    </row>
    <row r="54" spans="2:16" ht="26.25" x14ac:dyDescent="0.4">
      <c r="B54" s="7"/>
      <c r="C54" s="3"/>
      <c r="D54" s="183"/>
      <c r="E54" s="183"/>
      <c r="F54" s="183"/>
      <c r="G54" s="183"/>
      <c r="H54" s="183"/>
      <c r="I54" s="183"/>
      <c r="J54" s="183"/>
      <c r="K54" s="183"/>
      <c r="L54" s="183"/>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7"/>
      <c r="H56" s="177"/>
      <c r="I56" s="177"/>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6" t="s">
        <v>52</v>
      </c>
      <c r="E62" s="176"/>
      <c r="F62" s="176"/>
      <c r="G62" s="176"/>
      <c r="H62" s="176"/>
      <c r="I62" s="176"/>
      <c r="J62" s="176"/>
      <c r="K62" s="176"/>
      <c r="L62" s="176"/>
      <c r="M62" s="88"/>
      <c r="N62" s="92"/>
      <c r="O62" s="9"/>
    </row>
    <row r="63" spans="2:16" ht="15" x14ac:dyDescent="0.2">
      <c r="B63" s="7"/>
      <c r="C63" s="3"/>
      <c r="D63" s="176"/>
      <c r="E63" s="176"/>
      <c r="F63" s="176"/>
      <c r="G63" s="176"/>
      <c r="H63" s="176"/>
      <c r="I63" s="176"/>
      <c r="J63" s="176"/>
      <c r="K63" s="176"/>
      <c r="L63" s="176"/>
      <c r="M63" s="89"/>
      <c r="N63" s="54"/>
      <c r="O63" s="9"/>
    </row>
    <row r="64" spans="2:16" ht="15" x14ac:dyDescent="0.2">
      <c r="B64" s="7"/>
      <c r="C64" s="3"/>
      <c r="D64" s="176"/>
      <c r="E64" s="176"/>
      <c r="F64" s="176"/>
      <c r="G64" s="176"/>
      <c r="H64" s="176"/>
      <c r="I64" s="176"/>
      <c r="J64" s="176"/>
      <c r="K64" s="176"/>
      <c r="L64" s="176"/>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13/07/2020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70.81</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2020-07-13T11:33:37Z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70.81</vt:r8>
  </property>
</Properties>
</file>