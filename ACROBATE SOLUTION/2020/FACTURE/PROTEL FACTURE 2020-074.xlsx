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28" i="3" l="1"/>
  <c r="O29" i="3"/>
  <c r="O30" i="3"/>
  <c r="O31" i="3"/>
  <c r="O26" i="3" l="1"/>
  <c r="O27"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<sst xmlns="http://schemas.openxmlformats.org/spreadsheetml/2006/main" count="87" uniqueCount="71">
  <si>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</si>
  <si>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</si>
  <si>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</si>
  <si>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</si>
  <si>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</si>
  <si>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</si>
  <si>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</si>
  <si>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</si>
  <si>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</si>
  <si>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</si>
  <si>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</si>
  <si>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</si>
  <si>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</si>
  <si>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</si>
  <si>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</si>
  <si>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</si>
  <si>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</si>
  <si>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</si>
  <si>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</si>
  <si>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</si>
  <si>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</si>
  <si>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</si>
  <si>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</si>
  <si>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</si>
  <si>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</si>
  <si>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</si>
  <si>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</si>
  <si>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</si>
  <si>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</si>
  <si>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</si>
  <si>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</si>
  <si>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</si>
  <si>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</si>
  <si>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</si>
  <si>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</si>
  <si>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</si>
  <si>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</si>
  <si>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</si>
  <si>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</si>
  <si>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</si>
  <si>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</si>
  <si>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</si>
  <si>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</si>
  <si>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</si>
  <si>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</si>
  <si>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</si>
  <si>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</si>
  <si>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</si>
  <si>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</si>
  <si>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</si>
  <si>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</si>
  <si>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</si>
  <si>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</si>
  <si>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</si>
  <si>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</si>
  <si>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</si>
  <si>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</si>
  <si>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</si>
  <si>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</si>
  <si>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</si>
  <si>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</si>
  <si>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</si>
  <si>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</si>
  <si>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LIGNE DE VIE  SECUROP 15M</t>
  </si>
  <si>
    <t xml:space="preserve">MR TAREK </t>
  </si>
  <si>
    <t>LDV015</t>
  </si>
  <si>
    <t xml:space="preserve">Virement </t>
  </si>
  <si>
    <t xml:space="preserve">ARRETE LA PRESENTE FACTURE A LA SOMME DE : MILLE HUIT CENT SOIXANTE HUIT DINARS ET 900 MILLIMES </t>
  </si>
  <si>
    <t>2000063</t>
  </si>
  <si>
    <t>FACTURE 2020-074</t>
  </si>
  <si>
    <t>TAT_1076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</si>
</sst>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zoomScale="95" workbookViewId="0">
      <selection activeCell="C52" sqref="C52:M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0"/>
      <c r="O9" s="161"/>
      <c r="P9" s="3"/>
      <c r="Q9" s="9"/>
    </row>
    <row r="10" spans="2:17" x14ac:dyDescent="0.2">
      <c r="B10" s="7"/>
      <c r="C10" s="3"/>
      <c r="D10" s="3"/>
      <c r="E10" s="3"/>
      <c r="F10" s="3"/>
      <c r="G10" s="3"/>
      <c r="H10" s="3"/>
      <c r="I10" s="3"/>
      <c r="J10" s="3"/>
      <c r="K10" s="3"/>
      <c r="L10" s="3"/>
      <c r="M10" s="3"/>
      <c r="N10" s="174"/>
      <c r="O10" s="175"/>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69</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70" t="s">
        <v>56</v>
      </c>
      <c r="F19" s="171"/>
      <c r="G19" s="171"/>
      <c r="H19" s="171"/>
      <c r="I19" s="171"/>
      <c r="J19" s="171"/>
      <c r="K19" s="91"/>
      <c r="L19" s="91"/>
      <c r="M19" s="93" t="s">
        <v>18</v>
      </c>
      <c r="N19" s="162">
        <v>44166</v>
      </c>
      <c r="O19" s="163"/>
      <c r="P19" s="57"/>
      <c r="Q19" s="9"/>
    </row>
    <row r="20" spans="2:17" x14ac:dyDescent="0.2">
      <c r="B20" s="7"/>
      <c r="C20" s="3"/>
      <c r="D20" s="91" t="s">
        <v>5</v>
      </c>
      <c r="E20" s="168" t="s">
        <v>57</v>
      </c>
      <c r="F20" s="169"/>
      <c r="G20" s="169"/>
      <c r="H20" s="169"/>
      <c r="I20" s="169"/>
      <c r="J20" s="169"/>
      <c r="K20" s="91"/>
      <c r="L20" s="91"/>
      <c r="M20" s="140" t="s">
        <v>62</v>
      </c>
      <c r="N20" s="129" t="s">
        <v>68</v>
      </c>
      <c r="O20" s="97"/>
      <c r="P20" s="58"/>
      <c r="Q20" s="9"/>
    </row>
    <row r="21" spans="2:17" x14ac:dyDescent="0.2">
      <c r="B21" s="7"/>
      <c r="C21" s="3"/>
      <c r="D21" s="91" t="s">
        <v>7</v>
      </c>
      <c r="E21" s="98"/>
      <c r="F21" s="99" t="s">
        <v>8</v>
      </c>
      <c r="G21" s="167"/>
      <c r="H21" s="167"/>
      <c r="I21" s="100" t="s">
        <v>9</v>
      </c>
      <c r="J21" s="97" t="s">
        <v>52</v>
      </c>
      <c r="K21" s="91"/>
      <c r="L21" s="91"/>
      <c r="M21" s="93" t="s">
        <v>19</v>
      </c>
      <c r="N21" s="164" t="s">
        <v>64</v>
      </c>
      <c r="O21" s="165"/>
      <c r="P21" s="3"/>
      <c r="Q21" s="9"/>
    </row>
    <row r="22" spans="2:17" x14ac:dyDescent="0.2">
      <c r="B22" s="7"/>
      <c r="C22" s="3"/>
      <c r="D22" s="109" t="s">
        <v>20</v>
      </c>
      <c r="E22" s="172" t="s">
        <v>58</v>
      </c>
      <c r="F22" s="173"/>
      <c r="G22" s="173"/>
      <c r="H22" s="173"/>
      <c r="I22" s="173"/>
      <c r="J22" s="173"/>
      <c r="K22" s="91"/>
      <c r="L22" s="91"/>
      <c r="M22" s="93" t="s">
        <v>48</v>
      </c>
      <c r="N22" s="166" t="s">
        <v>59</v>
      </c>
      <c r="O22" s="165"/>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81" t="s">
        <v>22</v>
      </c>
      <c r="G24" s="182"/>
      <c r="H24" s="182"/>
      <c r="I24" s="182"/>
      <c r="J24" s="182"/>
      <c r="K24" s="183"/>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87"/>
      <c r="G26" s="188"/>
      <c r="H26" s="188"/>
      <c r="I26" s="188"/>
      <c r="J26" s="188"/>
      <c r="K26" s="189"/>
      <c r="L26" s="125"/>
      <c r="M26" s="82">
        <v>2</v>
      </c>
      <c r="N26" s="83"/>
      <c r="O26" s="78" t="str">
        <f t="shared" si="0"/>
        <v/>
      </c>
      <c r="P26" s="59"/>
      <c r="Q26" s="9"/>
    </row>
    <row r="27" spans="2:17" ht="15" x14ac:dyDescent="0.2">
      <c r="B27" s="7"/>
      <c r="C27" s="3"/>
      <c r="D27" s="143" t="s">
        <v>65</v>
      </c>
      <c r="E27" s="81">
        <v>1</v>
      </c>
      <c r="F27" s="184" t="s">
        <v>63</v>
      </c>
      <c r="G27" s="185"/>
      <c r="H27" s="185"/>
      <c r="I27" s="185"/>
      <c r="J27" s="185"/>
      <c r="K27" s="186"/>
      <c r="L27" s="126"/>
      <c r="M27" s="82">
        <v>2</v>
      </c>
      <c r="N27" s="83">
        <v>1570</v>
      </c>
      <c r="O27" s="78">
        <f t="shared" si="0"/>
        <v>1570</v>
      </c>
      <c r="P27" s="59"/>
      <c r="Q27" s="9"/>
    </row>
    <row r="28" spans="2:17" ht="25.5" customHeight="1" x14ac:dyDescent="0.2">
      <c r="B28" s="7"/>
      <c r="C28" s="3"/>
      <c r="D28" s="131"/>
      <c r="E28" s="81"/>
      <c r="F28" s="200" t="s">
        <v>70</v>
      </c>
      <c r="G28" s="201"/>
      <c r="H28" s="141"/>
      <c r="I28" s="141"/>
      <c r="J28" s="141"/>
      <c r="K28" s="142"/>
      <c r="L28" s="126"/>
      <c r="M28" s="82"/>
      <c r="N28" s="83"/>
      <c r="O28" s="78" t="str">
        <f t="shared" si="0"/>
        <v/>
      </c>
      <c r="P28" s="59"/>
      <c r="Q28" s="9"/>
    </row>
    <row r="29" spans="2:17" ht="15" x14ac:dyDescent="0.2">
      <c r="B29" s="7"/>
      <c r="C29" s="3"/>
      <c r="D29" s="143"/>
      <c r="E29" s="81"/>
      <c r="F29" s="184"/>
      <c r="G29" s="185"/>
      <c r="H29" s="185"/>
      <c r="I29" s="138"/>
      <c r="J29" s="138"/>
      <c r="K29" s="139"/>
      <c r="L29" s="126"/>
      <c r="M29" s="82"/>
      <c r="N29" s="83"/>
      <c r="O29" s="78" t="str">
        <f t="shared" si="0"/>
        <v/>
      </c>
      <c r="P29" s="59"/>
      <c r="Q29" s="9"/>
    </row>
    <row r="30" spans="2:17" ht="15" x14ac:dyDescent="0.2">
      <c r="B30" s="7"/>
      <c r="C30" s="3"/>
      <c r="D30" s="143"/>
      <c r="E30" s="81"/>
      <c r="F30" s="184"/>
      <c r="G30" s="185"/>
      <c r="H30" s="185"/>
      <c r="I30" s="185"/>
      <c r="J30" s="185"/>
      <c r="K30" s="186"/>
      <c r="L30" s="126"/>
      <c r="M30" s="82"/>
      <c r="N30" s="83"/>
      <c r="O30" s="78" t="str">
        <f t="shared" si="0"/>
        <v/>
      </c>
      <c r="P30" s="59"/>
      <c r="Q30" s="9"/>
    </row>
    <row r="31" spans="2:17" ht="15" x14ac:dyDescent="0.2">
      <c r="B31" s="7"/>
      <c r="C31" s="3"/>
      <c r="D31" s="143"/>
      <c r="E31" s="81"/>
      <c r="F31" s="200"/>
      <c r="G31" s="201"/>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97"/>
      <c r="G34" s="198"/>
      <c r="H34" s="198"/>
      <c r="I34" s="198"/>
      <c r="J34" s="198"/>
      <c r="K34" s="199"/>
      <c r="L34" s="126"/>
      <c r="M34" s="82"/>
      <c r="N34" s="83"/>
      <c r="O34" s="78"/>
      <c r="P34" s="59"/>
      <c r="Q34" s="9"/>
    </row>
    <row r="35" spans="2:17" ht="15" x14ac:dyDescent="0.2">
      <c r="B35" s="7"/>
      <c r="C35" s="3"/>
      <c r="D35" s="143"/>
      <c r="E35" s="81"/>
      <c r="F35" s="197"/>
      <c r="G35" s="198"/>
      <c r="H35" s="198"/>
      <c r="I35" s="198"/>
      <c r="J35" s="198"/>
      <c r="K35" s="199"/>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94"/>
      <c r="G43" s="195"/>
      <c r="H43" s="195"/>
      <c r="I43" s="195"/>
      <c r="J43" s="195"/>
      <c r="K43" s="196"/>
      <c r="L43" s="126"/>
      <c r="M43" s="82"/>
      <c r="N43" s="83"/>
      <c r="O43" s="78" t="str">
        <f t="shared" si="0"/>
        <v/>
      </c>
      <c r="P43" s="59"/>
      <c r="Q43" s="9"/>
    </row>
    <row r="44" spans="2:17" ht="15" x14ac:dyDescent="0.2">
      <c r="B44" s="7"/>
      <c r="C44" s="3"/>
      <c r="D44" s="131"/>
      <c r="E44" s="81"/>
      <c r="F44" s="187"/>
      <c r="G44" s="188"/>
      <c r="H44" s="188"/>
      <c r="I44" s="188"/>
      <c r="J44" s="188"/>
      <c r="K44" s="189"/>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92"/>
      <c r="G46" s="193"/>
      <c r="H46" s="193"/>
      <c r="I46" s="193"/>
      <c r="J46" s="193"/>
      <c r="K46" s="193"/>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1570</v>
      </c>
      <c r="P47" s="59"/>
      <c r="Q47" s="9"/>
    </row>
    <row r="48" spans="2:17" ht="15" x14ac:dyDescent="0.2">
      <c r="B48" s="7"/>
      <c r="C48" s="3"/>
      <c r="D48" s="3"/>
      <c r="E48" s="91"/>
      <c r="F48" s="91"/>
      <c r="G48" s="91"/>
      <c r="H48" s="91"/>
      <c r="I48" s="91"/>
      <c r="J48" s="85"/>
      <c r="K48" s="85"/>
      <c r="L48" s="85"/>
      <c r="M48" s="85"/>
      <c r="N48" s="136" t="s">
        <v>47</v>
      </c>
      <c r="O48" s="133">
        <v>0.6</v>
      </c>
      <c r="P48" s="59"/>
      <c r="Q48" s="9"/>
    </row>
    <row r="49" spans="2:17" ht="15" x14ac:dyDescent="0.2">
      <c r="B49" s="7"/>
      <c r="C49" s="3"/>
      <c r="D49" s="3"/>
      <c r="E49" s="92"/>
      <c r="F49" s="93" t="s">
        <v>26</v>
      </c>
      <c r="G49" s="91"/>
      <c r="H49" s="91"/>
      <c r="I49" s="91"/>
      <c r="J49" s="87"/>
      <c r="K49" s="87"/>
      <c r="L49" s="87"/>
      <c r="M49" s="86"/>
      <c r="N49" s="134">
        <v>0.19</v>
      </c>
      <c r="O49" s="133">
        <f>+O47*19%</f>
        <v>298.3</v>
      </c>
      <c r="P49" s="59"/>
      <c r="Q49" s="9"/>
    </row>
    <row r="50" spans="2:17" ht="15.75" x14ac:dyDescent="0.25">
      <c r="B50" s="7"/>
      <c r="C50" s="3"/>
      <c r="D50" s="3"/>
      <c r="E50" s="94"/>
      <c r="F50" s="140" t="s">
        <v>60</v>
      </c>
      <c r="G50" s="151"/>
      <c r="H50" s="94"/>
      <c r="I50" s="91"/>
      <c r="J50" s="88"/>
      <c r="K50" s="85"/>
      <c r="L50" s="85"/>
      <c r="M50" s="85"/>
      <c r="N50" s="135" t="s">
        <v>27</v>
      </c>
      <c r="O50" s="108">
        <f>O47+O48+O49</f>
        <v>1868.8999999999999</v>
      </c>
      <c r="P50" s="59"/>
      <c r="Q50" s="9"/>
    </row>
    <row r="51" spans="2:17" x14ac:dyDescent="0.2">
      <c r="B51" s="7"/>
      <c r="C51" s="130"/>
      <c r="D51" s="130"/>
      <c r="E51" s="130"/>
      <c r="F51" s="152" t="s">
        <v>66</v>
      </c>
      <c r="G51" s="130"/>
      <c r="H51" s="130"/>
      <c r="I51" s="130"/>
      <c r="J51" s="130"/>
      <c r="K51" s="130"/>
      <c r="L51" s="130"/>
      <c r="M51" s="130"/>
      <c r="N51" s="130"/>
      <c r="O51" s="130"/>
      <c r="P51" s="59"/>
      <c r="Q51" s="9"/>
    </row>
    <row r="52" spans="2:17" ht="17.100000000000001" customHeight="1" x14ac:dyDescent="0.2">
      <c r="B52" s="7"/>
      <c r="C52" s="176" t="s">
        <v>67</v>
      </c>
      <c r="D52" s="176"/>
      <c r="E52" s="176"/>
      <c r="F52" s="176"/>
      <c r="G52" s="176"/>
      <c r="H52" s="176"/>
      <c r="I52" s="176"/>
      <c r="J52" s="176"/>
      <c r="K52" s="176"/>
      <c r="L52" s="176"/>
      <c r="M52" s="176"/>
      <c r="N52" s="130"/>
      <c r="O52" s="130"/>
      <c r="P52" s="59"/>
      <c r="Q52" s="9"/>
    </row>
    <row r="53" spans="2:17" ht="17.100000000000001" customHeight="1" x14ac:dyDescent="0.2">
      <c r="B53" s="7"/>
      <c r="C53" s="3"/>
      <c r="D53" s="3"/>
      <c r="E53" s="96"/>
      <c r="F53" s="190"/>
      <c r="G53" s="191"/>
      <c r="H53" s="191"/>
      <c r="I53" s="191"/>
      <c r="J53" s="87"/>
      <c r="K53" s="85"/>
      <c r="L53" s="85"/>
      <c r="M53" s="85"/>
      <c r="N53" s="85"/>
      <c r="O53" s="85"/>
      <c r="P53" s="59"/>
      <c r="Q53" s="9"/>
    </row>
    <row r="54" spans="2:17" ht="15.75" x14ac:dyDescent="0.2">
      <c r="B54" s="7"/>
      <c r="C54" s="3"/>
      <c r="D54" s="3"/>
      <c r="E54" s="20"/>
      <c r="F54" s="179"/>
      <c r="G54" s="180"/>
      <c r="H54" s="180"/>
      <c r="I54" s="180"/>
      <c r="J54" s="87"/>
      <c r="K54" s="110" t="s">
        <v>55</v>
      </c>
      <c r="L54" s="121"/>
      <c r="M54" s="111"/>
      <c r="N54" s="111"/>
      <c r="O54" s="112"/>
      <c r="P54" s="59"/>
      <c r="Q54" s="9"/>
    </row>
    <row r="55" spans="2:17" ht="15" customHeight="1" x14ac:dyDescent="0.2">
      <c r="B55" s="7"/>
      <c r="C55" s="3"/>
      <c r="D55" s="3"/>
      <c r="E55" s="20"/>
      <c r="F55" s="86"/>
      <c r="G55" s="177"/>
      <c r="H55" s="178"/>
      <c r="I55" s="178"/>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44166</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1868.8999999999999</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2019-10-10T13:32:29Z</cp:lastPrinted>
  <dcterms:created xsi:type="dcterms:W3CDTF">1995-05-29T15:50:39Z</dcterms:created>
  <dcterms:modified xsi:type="dcterms:W3CDTF">2020-12-01T12:52:21Z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1868.9</vt:r8>
  </property>
</Properties>
</file>