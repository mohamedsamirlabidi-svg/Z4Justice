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Facture!$L$55</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Facture!$E$53</definedName>
    <definedName name="data63">Facture!$E$54</definedName>
    <definedName name="data64">Facture!$E$55</definedName>
    <definedName name="data65">Facture!#REF!</definedName>
    <definedName name="data66">Facture!#REF!</definedName>
    <definedName name="data67">Facture!$F$60</definedName>
    <definedName name="data68">Facture!$G$60</definedName>
    <definedName name="data69">Facture!$K$60</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Facture!$F$59:$I$59</definedName>
    <definedName name="qzqzqz29">Facture!$L$59:$M$60</definedName>
    <definedName name="qzqzqz3">Facture!$E$23:$J$23</definedName>
    <definedName name="qzqzqz30">Facture!$G$60:$I$60</definedName>
    <definedName name="qzqzqz31">Facture!$G$60:$H$60</definedName>
    <definedName name="qzqzqz32">Facture!$L$58:$M$60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3" i="3" l="1"/>
  <c r="M34" i="3"/>
  <c r="M35" i="3"/>
  <c r="M36" i="3"/>
  <c r="M37" i="3"/>
  <c r="M38" i="3"/>
  <c r="M39" i="3"/>
  <c r="M40" i="3"/>
  <c r="M41" i="3"/>
  <c r="M42" i="3"/>
  <c r="M43" i="3"/>
  <c r="M44" i="3"/>
  <c r="M45" i="3"/>
  <c r="M46" i="3"/>
  <c r="M47" i="3"/>
  <c r="M48" i="3"/>
  <c r="M49" i="3"/>
  <c r="M50" i="3"/>
  <c r="M51" i="3"/>
  <c r="M28" i="3" l="1"/>
  <c r="M29" i="3"/>
  <c r="M32" i="3"/>
  <c r="M52" i="3" l="1"/>
  <c r="M53" i="3" l="1"/>
  <c r="M55" i="3" s="1"/>
  <c r="M56"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<sst xmlns="http://schemas.openxmlformats.org/spreadsheetml/2006/main" count="127" uniqueCount="115">
  <si>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</si>
  <si>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</si>
  <si>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</si>
  <si>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</si>
  <si>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</si>
  <si>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</si>
  <si>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</si>
  <si>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</si>
  <si>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</si>
  <si>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</si>
  <si>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</si>
  <si>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</si>
  <si>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</si>
  <si>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</si>
  <si>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</si>
  <si>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</si>
  <si>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</si>
  <si>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</si>
  <si>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</si>
  <si>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</si>
  <si>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</si>
  <si>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</si>
  <si>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</si>
  <si>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</si>
  <si>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</si>
  <si>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</si>
  <si>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</si>
  <si>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</si>
  <si>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</si>
  <si>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</si>
  <si>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</si>
  <si>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</si>
  <si>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</si>
  <si>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</si>
  <si>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</si>
  <si>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</si>
  <si>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</si>
  <si>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</si>
  <si>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</si>
  <si>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</si>
  <si>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</si>
  <si>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</si>
  <si>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</si>
  <si>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</si>
  <si>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</si>
  <si>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</si>
  <si>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</si>
  <si>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</si>
  <si>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</si>
  <si>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</si>
  <si>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</si>
  <si>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</si>
  <si>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</si>
  <si>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</si>
  <si>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</si>
  <si>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</si>
  <si>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</si>
  <si>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</si>
  <si>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</si>
  <si>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</si>
  <si>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</si>
  <si>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</si>
  <si>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</si>
  <si>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</si>
  <si>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</si>
  <si>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</si>
  <si>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</si>
  <si>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</si>
  <si>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</si>
  <si>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</si>
  <si>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 xml:space="preserve">Responsable :SERVICE ACHAT </t>
  </si>
  <si>
    <t>OUT0100270EN397</t>
  </si>
  <si>
    <t>Date : 04/02/2020</t>
  </si>
  <si>
    <t>FACTURE N°2020-008</t>
  </si>
  <si>
    <t>2022774</t>
  </si>
  <si>
    <t>OUT990000000130</t>
  </si>
  <si>
    <t xml:space="preserve">LONGE DE MAINTIEN </t>
  </si>
  <si>
    <t>OUT010034000003</t>
  </si>
  <si>
    <t xml:space="preserve">CEINTURE DE SECURITE </t>
  </si>
  <si>
    <t>KIT COMPLET COMPOSE :</t>
  </si>
  <si>
    <t xml:space="preserve">*HARNAIS GOLDEN TOP PLUS </t>
  </si>
  <si>
    <t>*LONGE DOUBLE ELASTIQUE</t>
  </si>
  <si>
    <t>*LONGE DE MAINTIEN</t>
  </si>
  <si>
    <t>ID:1119/0161</t>
  </si>
  <si>
    <t>ID:1119/0147</t>
  </si>
  <si>
    <t>ID:1119/0146</t>
  </si>
  <si>
    <t>ID:1119/0148</t>
  </si>
  <si>
    <t>ID:1119/0032</t>
  </si>
  <si>
    <t>ID:1119/0163</t>
  </si>
  <si>
    <t>ID:1119/0092</t>
  </si>
  <si>
    <t>ID:0518/0306</t>
  </si>
  <si>
    <t>ID:0518/0151</t>
  </si>
  <si>
    <t>ID:0518/0107</t>
  </si>
  <si>
    <t>ID:1218/0135</t>
  </si>
  <si>
    <t>ID:1218/0119</t>
  </si>
  <si>
    <t>ID:0518/0089</t>
  </si>
  <si>
    <t>ID:0518/0062</t>
  </si>
  <si>
    <t>ID:0419/0036</t>
  </si>
  <si>
    <t>ID:0419/2411</t>
  </si>
  <si>
    <t>ID:0419/2419</t>
  </si>
  <si>
    <t>ID:0419/4506</t>
  </si>
  <si>
    <t>ID:0419/3945</t>
  </si>
  <si>
    <t>ID:0419/3906</t>
  </si>
  <si>
    <t>ID:0419/2690</t>
  </si>
  <si>
    <t>ID:1119/0026</t>
  </si>
  <si>
    <t>ID:1119/0159</t>
  </si>
  <si>
    <t>ID:1119/0144</t>
  </si>
  <si>
    <t>ID:1119/0018</t>
  </si>
  <si>
    <t>ID:1119/0025</t>
  </si>
  <si>
    <t>ID:1119/0020</t>
  </si>
  <si>
    <t>ID:1119/0160</t>
  </si>
  <si>
    <t>CASQUE DE SECURITE EN397</t>
  </si>
  <si>
    <t>OUT400000000000</t>
  </si>
  <si>
    <t>GANTS</t>
  </si>
  <si>
    <t>ARRETE LE PRESENTE LA FACTURE A LA SOMME DE ONZE MILLE QUATRE CENT VINGT CINQ  DINARS ET 790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</si>
</sst>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name val="Arial"/>
      <family val="2"/>
    </font>
    <font>
      <b/>
      <u/>
      <sz val="18"/>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5" fillId="0" borderId="0" xfId="0"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49" fontId="45" fillId="0" borderId="28" xfId="0" applyNumberFormat="1" applyFont="1" applyFill="1" applyBorder="1" applyAlignment="1"/>
    <xf numFmtId="49" fontId="45" fillId="0" borderId="0" xfId="0" applyNumberFormat="1" applyFont="1" applyFill="1" applyBorder="1" applyAlignment="1"/>
    <xf numFmtId="49" fontId="42" fillId="0" borderId="39"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54</xdr:row>
          <xdr:rowOff>114300</xdr:rowOff>
        </xdr:from>
        <xdr:to>
          <xdr:col>3</xdr:col>
          <xdr:colOff>1838325</xdr:colOff>
          <xdr:row>54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53</xdr:row>
          <xdr:rowOff>95250</xdr:rowOff>
        </xdr:from>
        <xdr:to>
          <xdr:col>3</xdr:col>
          <xdr:colOff>1885950</xdr:colOff>
          <xdr:row>53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1" zoomScale="60" zoomScaleNormal="60" workbookViewId="0">
      <selection activeCell="M61" sqref="M6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72" t="s">
        <v>73</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7" t="s">
        <v>65</v>
      </c>
      <c r="F22" s="177"/>
      <c r="G22" s="177"/>
      <c r="H22" s="177"/>
      <c r="I22" s="177"/>
      <c r="J22" s="177"/>
      <c r="K22" s="96"/>
      <c r="L22" s="175" t="s">
        <v>72</v>
      </c>
      <c r="M22" s="175"/>
      <c r="N22" s="52"/>
      <c r="O22" s="9"/>
    </row>
    <row r="23" spans="2:15" ht="33.75" x14ac:dyDescent="0.5">
      <c r="B23" s="7"/>
      <c r="C23" s="3"/>
      <c r="D23" s="95" t="s">
        <v>54</v>
      </c>
      <c r="E23" s="165" t="s">
        <v>66</v>
      </c>
      <c r="F23" s="165"/>
      <c r="G23" s="165"/>
      <c r="H23" s="165"/>
      <c r="I23" s="165"/>
      <c r="J23" s="165"/>
      <c r="K23" s="165"/>
      <c r="L23" s="97" t="s">
        <v>69</v>
      </c>
      <c r="M23" s="97" t="s">
        <v>74</v>
      </c>
      <c r="N23" s="53"/>
      <c r="O23" s="9"/>
    </row>
    <row r="24" spans="2:15" ht="33.75" x14ac:dyDescent="0.5">
      <c r="B24" s="7"/>
      <c r="C24" s="3"/>
      <c r="D24" s="95" t="s">
        <v>55</v>
      </c>
      <c r="E24" s="107">
        <v>1080</v>
      </c>
      <c r="F24" s="98" t="s">
        <v>8</v>
      </c>
      <c r="G24" s="166"/>
      <c r="H24" s="166"/>
      <c r="I24" s="99" t="s">
        <v>9</v>
      </c>
      <c r="J24" s="100" t="s">
        <v>59</v>
      </c>
      <c r="K24" s="96"/>
      <c r="L24" s="176" t="s">
        <v>70</v>
      </c>
      <c r="M24" s="176"/>
      <c r="N24" s="3"/>
      <c r="O24" s="9"/>
    </row>
    <row r="25" spans="2:15" ht="33.75" x14ac:dyDescent="0.5">
      <c r="B25" s="7"/>
      <c r="C25" s="3"/>
      <c r="D25" s="95" t="s">
        <v>56</v>
      </c>
      <c r="E25" s="178" t="s">
        <v>67</v>
      </c>
      <c r="F25" s="178"/>
      <c r="G25" s="178"/>
      <c r="H25" s="178"/>
      <c r="I25" s="178"/>
      <c r="J25" s="178"/>
      <c r="K25" s="96"/>
      <c r="L25" s="176" t="s">
        <v>68</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7" t="s">
        <v>23</v>
      </c>
      <c r="G27" s="168"/>
      <c r="H27" s="168"/>
      <c r="I27" s="168"/>
      <c r="J27" s="168"/>
      <c r="K27" s="169"/>
      <c r="L27" s="85" t="s">
        <v>24</v>
      </c>
      <c r="M27" s="86" t="s">
        <v>25</v>
      </c>
      <c r="N27" s="87"/>
      <c r="O27" s="9"/>
    </row>
    <row r="28" spans="2:15" ht="30" x14ac:dyDescent="0.4">
      <c r="B28" s="7"/>
      <c r="C28" s="3"/>
      <c r="D28" s="137" t="s">
        <v>75</v>
      </c>
      <c r="E28" s="138">
        <v>7</v>
      </c>
      <c r="F28" s="112" t="s">
        <v>76</v>
      </c>
      <c r="G28" s="133"/>
      <c r="H28" s="133"/>
      <c r="I28" s="133"/>
      <c r="J28" s="133"/>
      <c r="K28" s="134"/>
      <c r="L28" s="103">
        <v>175</v>
      </c>
      <c r="M28" s="108">
        <f t="shared" ref="M28:M51" si="0">IF(E28&lt;&gt;"",E28*L28,"")</f>
        <v>1225</v>
      </c>
      <c r="N28" s="54"/>
      <c r="O28" s="9"/>
    </row>
    <row r="29" spans="2:15" ht="30" x14ac:dyDescent="0.4">
      <c r="B29" s="7"/>
      <c r="C29" s="3"/>
      <c r="D29" s="114"/>
      <c r="E29" s="102"/>
      <c r="F29" s="153" t="s">
        <v>83</v>
      </c>
      <c r="G29" s="150"/>
      <c r="H29" s="154" t="s">
        <v>84</v>
      </c>
      <c r="I29" s="150"/>
      <c r="J29" s="154" t="s">
        <v>85</v>
      </c>
      <c r="K29" s="155"/>
      <c r="L29" s="103"/>
      <c r="M29" s="108" t="str">
        <f t="shared" si="0"/>
        <v/>
      </c>
      <c r="N29" s="54"/>
      <c r="O29" s="9"/>
    </row>
    <row r="30" spans="2:15" ht="30" x14ac:dyDescent="0.4">
      <c r="B30" s="7"/>
      <c r="C30" s="3"/>
      <c r="D30" s="114"/>
      <c r="E30" s="102"/>
      <c r="F30" s="153" t="s">
        <v>86</v>
      </c>
      <c r="G30" s="150"/>
      <c r="H30" s="154" t="s">
        <v>87</v>
      </c>
      <c r="I30" s="150"/>
      <c r="J30" s="154" t="s">
        <v>88</v>
      </c>
      <c r="K30" s="155"/>
      <c r="L30" s="103"/>
      <c r="M30" s="108"/>
      <c r="N30" s="54"/>
      <c r="O30" s="9"/>
    </row>
    <row r="31" spans="2:15" ht="30" x14ac:dyDescent="0.4">
      <c r="B31" s="7"/>
      <c r="C31" s="3"/>
      <c r="D31" s="114"/>
      <c r="E31" s="102"/>
      <c r="F31" s="153" t="s">
        <v>89</v>
      </c>
      <c r="G31" s="150"/>
      <c r="H31" s="154"/>
      <c r="I31" s="150"/>
      <c r="J31" s="154"/>
      <c r="K31" s="155"/>
      <c r="L31" s="103"/>
      <c r="M31" s="108"/>
      <c r="N31" s="54"/>
      <c r="O31" s="9"/>
    </row>
    <row r="32" spans="2:15" ht="30" x14ac:dyDescent="0.4">
      <c r="B32" s="7"/>
      <c r="C32" s="3"/>
      <c r="D32" s="137" t="s">
        <v>77</v>
      </c>
      <c r="E32" s="102">
        <v>7</v>
      </c>
      <c r="F32" s="112" t="s">
        <v>78</v>
      </c>
      <c r="G32" s="133"/>
      <c r="H32" s="133"/>
      <c r="I32" s="133"/>
      <c r="J32" s="133"/>
      <c r="K32" s="134"/>
      <c r="L32" s="103">
        <v>973</v>
      </c>
      <c r="M32" s="108">
        <f t="shared" si="0"/>
        <v>6811</v>
      </c>
      <c r="N32" s="54"/>
      <c r="O32" s="9"/>
    </row>
    <row r="33" spans="2:15" ht="30" x14ac:dyDescent="0.4">
      <c r="B33" s="7"/>
      <c r="C33" s="3"/>
      <c r="D33" s="114"/>
      <c r="E33" s="102"/>
      <c r="F33" s="151" t="s">
        <v>79</v>
      </c>
      <c r="G33" s="152"/>
      <c r="H33" s="152"/>
      <c r="I33" s="152"/>
      <c r="J33" s="133"/>
      <c r="K33" s="134"/>
      <c r="L33" s="103"/>
      <c r="M33" s="108" t="str">
        <f t="shared" si="0"/>
        <v/>
      </c>
      <c r="N33" s="54"/>
      <c r="O33" s="9"/>
    </row>
    <row r="34" spans="2:15" ht="30" x14ac:dyDescent="0.4">
      <c r="B34" s="7"/>
      <c r="C34" s="3"/>
      <c r="D34" s="114"/>
      <c r="E34" s="102"/>
      <c r="F34" s="112" t="s">
        <v>80</v>
      </c>
      <c r="G34" s="133"/>
      <c r="H34" s="133"/>
      <c r="I34" s="133"/>
      <c r="J34" s="133"/>
      <c r="K34" s="134"/>
      <c r="L34" s="103"/>
      <c r="M34" s="108" t="str">
        <f t="shared" si="0"/>
        <v/>
      </c>
      <c r="N34" s="54"/>
      <c r="O34" s="9"/>
    </row>
    <row r="35" spans="2:15" ht="30" x14ac:dyDescent="0.4">
      <c r="B35" s="7"/>
      <c r="C35" s="3"/>
      <c r="D35" s="114"/>
      <c r="E35" s="102"/>
      <c r="F35" s="153" t="s">
        <v>90</v>
      </c>
      <c r="G35" s="150"/>
      <c r="H35" s="154" t="s">
        <v>91</v>
      </c>
      <c r="I35" s="150"/>
      <c r="J35" s="154" t="s">
        <v>92</v>
      </c>
      <c r="K35" s="155"/>
      <c r="L35" s="103"/>
      <c r="M35" s="108" t="str">
        <f t="shared" si="0"/>
        <v/>
      </c>
      <c r="N35" s="54"/>
      <c r="O35" s="9"/>
    </row>
    <row r="36" spans="2:15" ht="30" x14ac:dyDescent="0.4">
      <c r="B36" s="7"/>
      <c r="C36" s="3"/>
      <c r="D36" s="114"/>
      <c r="E36" s="102"/>
      <c r="F36" s="153" t="s">
        <v>93</v>
      </c>
      <c r="G36" s="150"/>
      <c r="H36" s="154" t="s">
        <v>94</v>
      </c>
      <c r="I36" s="150"/>
      <c r="J36" s="154" t="s">
        <v>95</v>
      </c>
      <c r="K36" s="155"/>
      <c r="L36" s="103"/>
      <c r="M36" s="108" t="str">
        <f t="shared" si="0"/>
        <v/>
      </c>
      <c r="N36" s="54"/>
      <c r="O36" s="9"/>
    </row>
    <row r="37" spans="2:15" ht="30" x14ac:dyDescent="0.4">
      <c r="B37" s="7"/>
      <c r="C37" s="3"/>
      <c r="D37" s="114"/>
      <c r="E37" s="102"/>
      <c r="F37" s="153" t="s">
        <v>96</v>
      </c>
      <c r="G37" s="150"/>
      <c r="H37" s="150"/>
      <c r="I37" s="150"/>
      <c r="J37" s="150"/>
      <c r="K37" s="155"/>
      <c r="L37" s="103"/>
      <c r="M37" s="108" t="str">
        <f t="shared" si="0"/>
        <v/>
      </c>
      <c r="N37" s="54"/>
      <c r="O37" s="9"/>
    </row>
    <row r="38" spans="2:15" ht="30" x14ac:dyDescent="0.4">
      <c r="B38" s="7"/>
      <c r="C38" s="3"/>
      <c r="D38" s="114"/>
      <c r="E38" s="102"/>
      <c r="F38" s="112" t="s">
        <v>81</v>
      </c>
      <c r="G38" s="133"/>
      <c r="H38" s="133"/>
      <c r="I38" s="133"/>
      <c r="J38" s="133"/>
      <c r="K38" s="134"/>
      <c r="L38" s="103"/>
      <c r="M38" s="108" t="str">
        <f t="shared" si="0"/>
        <v/>
      </c>
      <c r="N38" s="54"/>
      <c r="O38" s="9"/>
    </row>
    <row r="39" spans="2:15" ht="30" x14ac:dyDescent="0.4">
      <c r="B39" s="7"/>
      <c r="C39" s="3"/>
      <c r="D39" s="114"/>
      <c r="E39" s="102"/>
      <c r="F39" s="153" t="s">
        <v>97</v>
      </c>
      <c r="G39" s="150"/>
      <c r="H39" s="154" t="s">
        <v>98</v>
      </c>
      <c r="I39" s="150"/>
      <c r="J39" s="154" t="s">
        <v>99</v>
      </c>
      <c r="K39" s="155"/>
      <c r="L39" s="103"/>
      <c r="M39" s="108" t="str">
        <f t="shared" si="0"/>
        <v/>
      </c>
      <c r="N39" s="54"/>
      <c r="O39" s="9"/>
    </row>
    <row r="40" spans="2:15" ht="30" x14ac:dyDescent="0.4">
      <c r="B40" s="7"/>
      <c r="C40" s="3"/>
      <c r="D40" s="114"/>
      <c r="E40" s="102"/>
      <c r="F40" s="153" t="s">
        <v>100</v>
      </c>
      <c r="G40" s="150"/>
      <c r="H40" s="154" t="s">
        <v>101</v>
      </c>
      <c r="I40" s="150"/>
      <c r="J40" s="154" t="s">
        <v>102</v>
      </c>
      <c r="K40" s="155"/>
      <c r="L40" s="103"/>
      <c r="M40" s="108" t="str">
        <f t="shared" si="0"/>
        <v/>
      </c>
      <c r="N40" s="54"/>
      <c r="O40" s="9"/>
    </row>
    <row r="41" spans="2:15" ht="30" x14ac:dyDescent="0.4">
      <c r="B41" s="7"/>
      <c r="C41" s="3"/>
      <c r="D41" s="114"/>
      <c r="E41" s="102"/>
      <c r="F41" s="153" t="s">
        <v>103</v>
      </c>
      <c r="G41" s="150"/>
      <c r="H41" s="154"/>
      <c r="I41" s="150"/>
      <c r="J41" s="154"/>
      <c r="K41" s="155"/>
      <c r="L41" s="103"/>
      <c r="M41" s="108" t="str">
        <f t="shared" si="0"/>
        <v/>
      </c>
      <c r="N41" s="54"/>
      <c r="O41" s="9"/>
    </row>
    <row r="42" spans="2:15" ht="30" x14ac:dyDescent="0.4">
      <c r="B42" s="7"/>
      <c r="C42" s="3"/>
      <c r="D42" s="114"/>
      <c r="E42" s="102"/>
      <c r="F42" s="112" t="s">
        <v>82</v>
      </c>
      <c r="G42" s="133"/>
      <c r="H42" s="149"/>
      <c r="I42" s="133"/>
      <c r="J42" s="149"/>
      <c r="K42" s="134"/>
      <c r="L42" s="103"/>
      <c r="M42" s="108" t="str">
        <f t="shared" si="0"/>
        <v/>
      </c>
      <c r="N42" s="54"/>
      <c r="O42" s="9"/>
    </row>
    <row r="43" spans="2:15" ht="30" x14ac:dyDescent="0.4">
      <c r="B43" s="7"/>
      <c r="C43" s="3"/>
      <c r="D43" s="114"/>
      <c r="E43" s="102"/>
      <c r="F43" s="153" t="s">
        <v>104</v>
      </c>
      <c r="G43" s="150"/>
      <c r="H43" s="154" t="s">
        <v>105</v>
      </c>
      <c r="I43" s="150"/>
      <c r="J43" s="154" t="s">
        <v>106</v>
      </c>
      <c r="K43" s="155"/>
      <c r="L43" s="103"/>
      <c r="M43" s="108" t="str">
        <f t="shared" si="0"/>
        <v/>
      </c>
      <c r="N43" s="54"/>
      <c r="O43" s="9"/>
    </row>
    <row r="44" spans="2:15" ht="30" x14ac:dyDescent="0.4">
      <c r="B44" s="7"/>
      <c r="C44" s="3"/>
      <c r="D44" s="114"/>
      <c r="E44" s="102"/>
      <c r="F44" s="153" t="s">
        <v>107</v>
      </c>
      <c r="G44" s="150"/>
      <c r="H44" s="154" t="s">
        <v>108</v>
      </c>
      <c r="I44" s="150"/>
      <c r="J44" s="154" t="s">
        <v>109</v>
      </c>
      <c r="K44" s="155"/>
      <c r="L44" s="103"/>
      <c r="M44" s="108" t="str">
        <f t="shared" si="0"/>
        <v/>
      </c>
      <c r="N44" s="54"/>
      <c r="O44" s="9"/>
    </row>
    <row r="45" spans="2:15" ht="30" x14ac:dyDescent="0.4">
      <c r="B45" s="7"/>
      <c r="C45" s="3"/>
      <c r="D45" s="114"/>
      <c r="E45" s="102"/>
      <c r="F45" s="153" t="s">
        <v>110</v>
      </c>
      <c r="G45" s="150"/>
      <c r="H45" s="154"/>
      <c r="I45" s="150"/>
      <c r="J45" s="154"/>
      <c r="K45" s="155"/>
      <c r="L45" s="103"/>
      <c r="M45" s="108" t="str">
        <f t="shared" si="0"/>
        <v/>
      </c>
      <c r="N45" s="54"/>
      <c r="O45" s="9"/>
    </row>
    <row r="46" spans="2:15" ht="30" x14ac:dyDescent="0.4">
      <c r="B46" s="7"/>
      <c r="C46" s="3"/>
      <c r="D46" s="114" t="s">
        <v>71</v>
      </c>
      <c r="E46" s="102">
        <v>5</v>
      </c>
      <c r="F46" s="153" t="s">
        <v>111</v>
      </c>
      <c r="G46" s="150"/>
      <c r="H46" s="154"/>
      <c r="I46" s="150"/>
      <c r="J46" s="154"/>
      <c r="K46" s="155"/>
      <c r="L46" s="103">
        <v>45</v>
      </c>
      <c r="M46" s="108">
        <f t="shared" si="0"/>
        <v>225</v>
      </c>
      <c r="N46" s="54"/>
      <c r="O46" s="9"/>
    </row>
    <row r="47" spans="2:15" ht="30" customHeight="1" x14ac:dyDescent="0.4">
      <c r="B47" s="7"/>
      <c r="C47" s="3"/>
      <c r="D47" s="114" t="s">
        <v>71</v>
      </c>
      <c r="E47" s="102">
        <v>20</v>
      </c>
      <c r="F47" s="153" t="s">
        <v>111</v>
      </c>
      <c r="G47" s="150"/>
      <c r="H47" s="154"/>
      <c r="I47" s="150"/>
      <c r="J47" s="154"/>
      <c r="K47" s="155"/>
      <c r="L47" s="103">
        <v>45</v>
      </c>
      <c r="M47" s="108">
        <f t="shared" si="0"/>
        <v>900</v>
      </c>
      <c r="N47" s="54"/>
      <c r="O47" s="9"/>
    </row>
    <row r="48" spans="2:15" ht="30" x14ac:dyDescent="0.4">
      <c r="B48" s="7"/>
      <c r="C48" s="3"/>
      <c r="D48" s="114" t="s">
        <v>112</v>
      </c>
      <c r="E48" s="102">
        <v>20</v>
      </c>
      <c r="F48" s="153" t="s">
        <v>113</v>
      </c>
      <c r="G48" s="150"/>
      <c r="H48" s="154"/>
      <c r="I48" s="150"/>
      <c r="J48" s="154"/>
      <c r="K48" s="155"/>
      <c r="L48" s="103">
        <v>22</v>
      </c>
      <c r="M48" s="108">
        <f t="shared" si="0"/>
        <v>440</v>
      </c>
      <c r="N48" s="54"/>
      <c r="O48" s="9"/>
    </row>
    <row r="49" spans="1:16" ht="30" x14ac:dyDescent="0.4">
      <c r="B49" s="7"/>
      <c r="C49" s="3"/>
      <c r="D49" s="114"/>
      <c r="E49" s="102"/>
      <c r="F49" s="153"/>
      <c r="G49" s="150"/>
      <c r="H49" s="154"/>
      <c r="I49" s="150"/>
      <c r="J49" s="154"/>
      <c r="K49" s="155"/>
      <c r="L49" s="103"/>
      <c r="M49" s="108" t="str">
        <f t="shared" si="0"/>
        <v/>
      </c>
      <c r="N49" s="54"/>
      <c r="O49" s="9"/>
    </row>
    <row r="50" spans="1:16" ht="30" x14ac:dyDescent="0.4">
      <c r="B50" s="7"/>
      <c r="C50" s="3"/>
      <c r="D50" s="114"/>
      <c r="E50" s="102"/>
      <c r="F50" s="153"/>
      <c r="G50" s="150"/>
      <c r="H50" s="154"/>
      <c r="I50" s="150"/>
      <c r="J50" s="154"/>
      <c r="K50" s="155"/>
      <c r="L50" s="103"/>
      <c r="M50" s="108" t="str">
        <f t="shared" si="0"/>
        <v/>
      </c>
      <c r="N50" s="54"/>
      <c r="O50" s="9"/>
    </row>
    <row r="51" spans="1:16" ht="30" x14ac:dyDescent="0.4">
      <c r="B51" s="7"/>
      <c r="C51" s="3"/>
      <c r="D51" s="114"/>
      <c r="E51" s="102"/>
      <c r="F51" s="132"/>
      <c r="G51" s="133"/>
      <c r="H51" s="133"/>
      <c r="I51" s="133"/>
      <c r="J51" s="133"/>
      <c r="K51" s="134"/>
      <c r="L51" s="103"/>
      <c r="M51" s="108" t="str">
        <f t="shared" si="0"/>
        <v/>
      </c>
      <c r="N51" s="54"/>
      <c r="O51" s="9"/>
    </row>
    <row r="52" spans="1:16" ht="26.25" x14ac:dyDescent="0.35">
      <c r="B52" s="7"/>
      <c r="C52" s="3"/>
      <c r="D52" s="129"/>
      <c r="E52" s="122"/>
      <c r="F52" s="135" t="s">
        <v>64</v>
      </c>
      <c r="G52" s="136"/>
      <c r="H52" s="136"/>
      <c r="I52" s="130"/>
      <c r="J52" s="130"/>
      <c r="K52" s="131"/>
      <c r="L52" s="139"/>
      <c r="M52" s="108" t="str">
        <f t="shared" ref="M52" si="1">IF(E52&lt;&gt;"",E52*L52,"")</f>
        <v/>
      </c>
      <c r="N52" s="54"/>
      <c r="O52" s="9"/>
    </row>
    <row r="53" spans="1:16" ht="35.25" x14ac:dyDescent="0.5">
      <c r="B53" s="7"/>
      <c r="C53" s="3"/>
      <c r="D53" s="81"/>
      <c r="E53" s="90"/>
      <c r="F53" s="118"/>
      <c r="G53" s="115"/>
      <c r="H53" s="115"/>
      <c r="I53" s="115"/>
      <c r="J53" s="116"/>
      <c r="K53" s="117"/>
      <c r="L53" s="140" t="s">
        <v>26</v>
      </c>
      <c r="M53" s="101">
        <f>SUM(M28:M52)</f>
        <v>9601</v>
      </c>
      <c r="N53" s="54"/>
      <c r="O53" s="9"/>
    </row>
    <row r="54" spans="1:16" ht="35.25" x14ac:dyDescent="0.5">
      <c r="B54" s="7"/>
      <c r="C54" s="3"/>
      <c r="D54" s="94"/>
      <c r="E54" s="91" t="s">
        <v>57</v>
      </c>
      <c r="F54" s="77"/>
      <c r="G54" s="77"/>
      <c r="H54" s="77"/>
      <c r="I54" s="77"/>
      <c r="J54" s="78"/>
      <c r="K54" s="88"/>
      <c r="L54" s="141" t="s">
        <v>47</v>
      </c>
      <c r="M54" s="101">
        <v>0.6</v>
      </c>
      <c r="N54" s="54"/>
      <c r="O54" s="9"/>
    </row>
    <row r="55" spans="1:16" ht="35.25" x14ac:dyDescent="0.5">
      <c r="B55" s="7"/>
      <c r="C55" s="3"/>
      <c r="D55" s="92"/>
      <c r="E55" s="91" t="s">
        <v>58</v>
      </c>
      <c r="F55" s="77"/>
      <c r="G55" s="77"/>
      <c r="H55" s="77"/>
      <c r="I55" s="77"/>
      <c r="J55" s="79"/>
      <c r="K55" s="89"/>
      <c r="L55" s="142">
        <v>0.19</v>
      </c>
      <c r="M55" s="101">
        <f>+M53*19%</f>
        <v>1824.19</v>
      </c>
      <c r="N55" s="54"/>
      <c r="O55" s="9"/>
    </row>
    <row r="56" spans="1:16" ht="35.25" x14ac:dyDescent="0.5">
      <c r="B56" s="7"/>
      <c r="C56" s="3"/>
      <c r="D56" s="76"/>
      <c r="E56" s="82"/>
      <c r="F56" s="93"/>
      <c r="G56" s="77"/>
      <c r="H56" s="64"/>
      <c r="I56" s="77"/>
      <c r="J56" s="80" t="s">
        <v>27</v>
      </c>
      <c r="K56" s="78"/>
      <c r="L56" s="143" t="s">
        <v>28</v>
      </c>
      <c r="M56" s="101">
        <f>+M53+M54+M55</f>
        <v>11425.79</v>
      </c>
      <c r="N56" s="54"/>
      <c r="O56" s="9"/>
    </row>
    <row r="57" spans="1:16" ht="15.75" x14ac:dyDescent="0.25">
      <c r="B57" s="7"/>
      <c r="C57" s="3"/>
      <c r="D57" s="170" t="s">
        <v>114</v>
      </c>
      <c r="E57" s="171"/>
      <c r="F57" s="171"/>
      <c r="G57" s="171"/>
      <c r="H57" s="171"/>
      <c r="I57" s="171"/>
      <c r="J57" s="171"/>
      <c r="K57" s="171"/>
      <c r="L57" s="171"/>
      <c r="M57" s="113"/>
      <c r="N57" s="54"/>
      <c r="O57" s="123"/>
      <c r="P57" s="124"/>
    </row>
    <row r="58" spans="1:16" ht="18" customHeight="1" x14ac:dyDescent="0.4">
      <c r="B58" s="7"/>
      <c r="C58" s="3"/>
      <c r="D58" s="171"/>
      <c r="E58" s="171"/>
      <c r="F58" s="171"/>
      <c r="G58" s="171"/>
      <c r="H58" s="171"/>
      <c r="I58" s="171"/>
      <c r="J58" s="171"/>
      <c r="K58" s="171"/>
      <c r="L58" s="171"/>
      <c r="M58" s="121"/>
      <c r="N58" s="54"/>
      <c r="O58" s="125"/>
      <c r="P58" s="126"/>
    </row>
    <row r="59" spans="1:16" ht="15" customHeight="1" x14ac:dyDescent="0.4">
      <c r="B59" s="7"/>
      <c r="C59" s="3"/>
      <c r="D59" s="113"/>
      <c r="E59" s="113"/>
      <c r="F59" s="121"/>
      <c r="G59" s="127"/>
      <c r="H59" s="127"/>
      <c r="I59" s="127"/>
      <c r="J59" s="78"/>
      <c r="K59" s="111"/>
      <c r="L59" s="145" t="s">
        <v>63</v>
      </c>
      <c r="M59" s="145"/>
      <c r="N59" s="105"/>
      <c r="O59" s="9"/>
    </row>
    <row r="60" spans="1:16" ht="20.100000000000001" customHeight="1" x14ac:dyDescent="0.25">
      <c r="A60" s="146"/>
      <c r="B60" s="147"/>
      <c r="C60" s="3"/>
      <c r="D60" s="113"/>
      <c r="E60" s="113"/>
      <c r="F60" s="128"/>
      <c r="G60" s="164"/>
      <c r="H60" s="164"/>
      <c r="I60" s="164"/>
      <c r="J60" s="78"/>
      <c r="K60" s="111"/>
      <c r="L60" s="105"/>
      <c r="M60" s="105"/>
      <c r="N60" s="105"/>
      <c r="O60" s="9"/>
    </row>
    <row r="61" spans="1:16" ht="20.25" x14ac:dyDescent="0.3">
      <c r="A61" s="146"/>
      <c r="B61" s="147"/>
      <c r="C61" s="3"/>
      <c r="D61" s="109" t="s">
        <v>60</v>
      </c>
      <c r="E61" s="144"/>
      <c r="F61" s="78"/>
      <c r="G61" s="78"/>
      <c r="H61" s="78"/>
      <c r="I61" s="78"/>
      <c r="J61" s="78"/>
      <c r="K61" s="83"/>
      <c r="L61" s="83"/>
      <c r="M61" s="84"/>
      <c r="N61" s="54"/>
      <c r="O61" s="9"/>
    </row>
    <row r="62" spans="1:16" ht="20.25" x14ac:dyDescent="0.3">
      <c r="A62" s="146"/>
      <c r="B62" s="147"/>
      <c r="C62" s="3"/>
      <c r="D62" s="110" t="s">
        <v>61</v>
      </c>
      <c r="E62" s="110"/>
      <c r="F62" s="78"/>
      <c r="G62" s="78"/>
      <c r="H62" s="78"/>
      <c r="I62" s="78"/>
      <c r="J62" s="78"/>
      <c r="K62" s="83"/>
      <c r="L62" s="83"/>
      <c r="M62" s="83"/>
      <c r="N62" s="87"/>
      <c r="O62" s="9"/>
    </row>
    <row r="63" spans="1:16" ht="18" x14ac:dyDescent="0.25">
      <c r="A63" s="119"/>
      <c r="B63" s="119"/>
      <c r="C63" s="3"/>
      <c r="D63" s="163" t="s">
        <v>52</v>
      </c>
      <c r="E63" s="163"/>
      <c r="F63" s="163"/>
      <c r="G63" s="163"/>
      <c r="H63" s="163"/>
      <c r="I63" s="163"/>
      <c r="J63" s="163"/>
      <c r="K63" s="163"/>
      <c r="L63" s="163"/>
      <c r="M63" s="83"/>
      <c r="N63" s="87"/>
      <c r="O63" s="9"/>
    </row>
    <row r="64" spans="1:16" ht="15" x14ac:dyDescent="0.2">
      <c r="C64" s="119"/>
      <c r="D64" s="163"/>
      <c r="E64" s="163"/>
      <c r="F64" s="163"/>
      <c r="G64" s="163"/>
      <c r="H64" s="163"/>
      <c r="I64" s="163"/>
      <c r="J64" s="163"/>
      <c r="K64" s="163"/>
      <c r="L64" s="163"/>
      <c r="M64" s="84"/>
      <c r="N64" s="54"/>
      <c r="O64" s="9"/>
    </row>
    <row r="65" spans="3:14" ht="15" x14ac:dyDescent="0.2">
      <c r="C65" s="146"/>
      <c r="D65" s="163"/>
      <c r="E65" s="163"/>
      <c r="F65" s="163"/>
      <c r="G65" s="163"/>
      <c r="H65" s="163"/>
      <c r="I65" s="163"/>
      <c r="J65" s="163"/>
      <c r="K65" s="163"/>
      <c r="L65" s="163"/>
      <c r="M65" s="84"/>
      <c r="N65" s="54"/>
    </row>
    <row r="66" spans="3:14" ht="13.5" thickBot="1" x14ac:dyDescent="0.25">
      <c r="C66" s="146"/>
      <c r="D66" s="3"/>
      <c r="E66" s="3"/>
      <c r="F66" s="3"/>
      <c r="G66" s="3"/>
      <c r="H66" s="3"/>
      <c r="I66" s="3"/>
      <c r="J66" s="3"/>
      <c r="K66" s="3"/>
      <c r="L66" s="3"/>
      <c r="M66" s="3"/>
      <c r="N66" s="54"/>
    </row>
    <row r="67" spans="3:14" ht="13.5" thickTop="1" x14ac:dyDescent="0.2">
      <c r="C67" s="146"/>
      <c r="D67" s="55"/>
      <c r="E67" s="55"/>
      <c r="F67" s="55"/>
      <c r="G67" s="55"/>
      <c r="H67" s="55"/>
      <c r="I67" s="55"/>
      <c r="J67" s="55"/>
      <c r="K67" s="55"/>
      <c r="L67" s="55"/>
      <c r="M67" s="55"/>
      <c r="N67" s="54"/>
    </row>
    <row r="68" spans="3:14" x14ac:dyDescent="0.2">
      <c r="D68" s="119"/>
      <c r="E68" s="119"/>
      <c r="F68" s="119"/>
      <c r="G68" s="119"/>
      <c r="H68" s="119"/>
      <c r="I68" s="119"/>
      <c r="J68" s="119"/>
      <c r="K68" s="119"/>
      <c r="L68" s="119"/>
      <c r="M68" s="120"/>
      <c r="N68" s="148"/>
    </row>
    <row r="69" spans="3:14" x14ac:dyDescent="0.2">
      <c r="D69" s="146"/>
      <c r="E69" s="146"/>
      <c r="F69" s="146"/>
      <c r="G69" s="146"/>
      <c r="H69" s="146"/>
      <c r="I69" s="146"/>
      <c r="J69" s="146"/>
      <c r="K69" s="146"/>
      <c r="L69" s="146"/>
      <c r="M69" s="146"/>
      <c r="N69" s="146"/>
    </row>
    <row r="70" spans="3:14" x14ac:dyDescent="0.2">
      <c r="D70" s="146"/>
      <c r="E70" s="146"/>
      <c r="F70" s="146"/>
      <c r="G70" s="146"/>
      <c r="H70" s="146"/>
      <c r="I70" s="146"/>
      <c r="J70" s="146"/>
      <c r="K70" s="146"/>
      <c r="L70" s="146"/>
      <c r="M70" s="146"/>
      <c r="N70" s="146"/>
    </row>
    <row r="71" spans="3:14" x14ac:dyDescent="0.2">
      <c r="D71" s="146"/>
      <c r="E71" s="146"/>
      <c r="F71" s="146"/>
      <c r="G71" s="146"/>
      <c r="H71" s="146"/>
      <c r="I71" s="146"/>
      <c r="J71" s="146"/>
      <c r="K71" s="146"/>
      <c r="L71" s="146"/>
      <c r="M71" s="146"/>
      <c r="N71" s="14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3:L65"/>
    <mergeCell ref="G60:I60"/>
    <mergeCell ref="E23:K23"/>
    <mergeCell ref="G24:H24"/>
    <mergeCell ref="F27:K27"/>
    <mergeCell ref="D57:L57"/>
    <mergeCell ref="D58:L5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M60"/>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28:L52">
      <formula1>0</formula1>
      <formula2>1000000000</formula2>
    </dataValidation>
    <dataValidation type="whole" errorStyle="warning" allowBlank="1" showErrorMessage="1" errorTitle="Quantité" error="Tapez un nombre dans cette cellule." promptTitle="Quantité" sqref="E28:E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2">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54</xdr:row>
                    <xdr:rowOff>114300</xdr:rowOff>
                  </from>
                  <to>
                    <xdr:col>3</xdr:col>
                    <xdr:colOff>1838325</xdr:colOff>
                    <xdr:row>54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53</xdr:row>
                    <xdr:rowOff>95250</xdr:rowOff>
                  </from>
                  <to>
                    <xdr:col>3</xdr:col>
                    <xdr:colOff>1885950</xdr:colOff>
                    <xdr:row>53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04/02/2020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Facture!$M$56</f>
        <v>11425.79</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2020-02-04T14:59:29Z</cp:lastPrinted>
  <dcterms:created xsi:type="dcterms:W3CDTF">1995-05-29T15:50:39Z</dcterms:created>
  <dcterms:modified xsi:type="dcterms:W3CDTF">2020-02-04T14:59:37Z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11425.79</vt:r8>
  </property>
</Properties>
</file>