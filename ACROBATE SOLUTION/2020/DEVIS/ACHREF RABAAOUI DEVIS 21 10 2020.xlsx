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<sst xmlns="http://schemas.openxmlformats.org/spreadsheetml/2006/main" count="83" uniqueCount="72">
  <si>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</si>
  <si>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</si>
  <si>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</si>
  <si>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</si>
  <si>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</si>
  <si>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</si>
  <si>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</si>
  <si>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</si>
  <si>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</si>
  <si>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</si>
  <si>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</si>
  <si>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</si>
  <si>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</si>
  <si>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</si>
  <si>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</si>
  <si>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</si>
  <si>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</si>
  <si>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</si>
  <si>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</si>
  <si>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</si>
  <si>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</si>
  <si>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</si>
  <si>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</si>
  <si>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</si>
  <si>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</si>
  <si>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</si>
  <si>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</si>
  <si>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</si>
  <si>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</si>
  <si>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</si>
  <si>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</si>
  <si>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</si>
  <si>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</si>
  <si>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</si>
  <si>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</si>
  <si>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</si>
  <si>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</si>
  <si>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</si>
  <si>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</si>
  <si>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</si>
  <si>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</si>
  <si>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</si>
  <si>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</si>
  <si>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</si>
  <si>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</si>
  <si>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</si>
  <si>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</si>
  <si>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</si>
  <si>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</si>
  <si>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</si>
  <si>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</si>
  <si>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</si>
  <si>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</si>
  <si>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</si>
  <si>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</si>
  <si>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</si>
  <si>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</si>
  <si>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</si>
  <si>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</si>
  <si>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RIB: 10 000 000 080746 3788 95</t>
  </si>
  <si>
    <t>STB THAMEUR</t>
  </si>
  <si>
    <t>RC:B161701999  MF:645 267 KMA 000</t>
  </si>
  <si>
    <t>SIGNATURE :</t>
  </si>
  <si>
    <t>Consultation:</t>
  </si>
  <si>
    <t>NAIAD PRO - Poulie</t>
  </si>
  <si>
    <t>EN 12278</t>
  </si>
  <si>
    <t>SPHINX - Poulie</t>
  </si>
  <si>
    <t xml:space="preserve">ARRETE LA PRESENTE DEVIS  A LA SOMME DE:TROIS CENT TRENTE  NEUF DINARS ET 750 MILLES </t>
  </si>
  <si>
    <r>
      <t>Responsable:</t>
    </r>
    <r>
      <rPr>
        <b/>
        <sz val="18"/>
        <rFont val="Arial"/>
        <family val="2"/>
      </rPr>
      <t xml:space="preserve"> MR ACHREF RABAAOUI </t>
    </r>
  </si>
  <si>
    <t xml:space="preserve">ACHREF RABAAOUI </t>
  </si>
  <si>
    <t>Offre de prix N° 2020-1052</t>
  </si>
  <si>
    <t>Date : 21/10/2020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</si>
</sst>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sz val="20"/>
      <color theme="1"/>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0"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80" t="s">
        <v>70</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t="s">
        <v>69</v>
      </c>
      <c r="F22" s="185"/>
      <c r="G22" s="185"/>
      <c r="H22" s="185"/>
      <c r="I22" s="185"/>
      <c r="J22" s="185"/>
      <c r="K22" s="104"/>
      <c r="L22" s="183" t="s">
        <v>71</v>
      </c>
      <c r="M22" s="183"/>
      <c r="N22" s="52"/>
      <c r="O22" s="9"/>
    </row>
    <row r="23" spans="2:15" ht="33.75" x14ac:dyDescent="0.5">
      <c r="B23" s="7"/>
      <c r="C23" s="3"/>
      <c r="D23" s="103" t="s">
        <v>54</v>
      </c>
      <c r="E23" s="174"/>
      <c r="F23" s="174"/>
      <c r="G23" s="174"/>
      <c r="H23" s="174"/>
      <c r="I23" s="174"/>
      <c r="J23" s="174"/>
      <c r="K23" s="174"/>
      <c r="L23" s="105" t="s">
        <v>63</v>
      </c>
      <c r="M23" s="105"/>
      <c r="N23" s="53"/>
      <c r="O23" s="9"/>
    </row>
    <row r="24" spans="2:15" ht="33.75" x14ac:dyDescent="0.5">
      <c r="B24" s="7"/>
      <c r="C24" s="3"/>
      <c r="D24" s="103" t="s">
        <v>55</v>
      </c>
      <c r="E24" s="117"/>
      <c r="F24" s="106" t="s">
        <v>8</v>
      </c>
      <c r="G24" s="175"/>
      <c r="H24" s="175"/>
      <c r="I24" s="107" t="s">
        <v>9</v>
      </c>
      <c r="J24" s="108"/>
      <c r="K24" s="104"/>
      <c r="L24" s="184" t="s">
        <v>68</v>
      </c>
      <c r="M24" s="184"/>
      <c r="N24" s="3"/>
      <c r="O24" s="9"/>
    </row>
    <row r="25" spans="2:15" ht="33.75" x14ac:dyDescent="0.5">
      <c r="B25" s="7"/>
      <c r="C25" s="3"/>
      <c r="D25" s="103" t="s">
        <v>56</v>
      </c>
      <c r="E25" s="186"/>
      <c r="F25" s="186"/>
      <c r="G25" s="186"/>
      <c r="H25" s="186"/>
      <c r="I25" s="186"/>
      <c r="J25" s="186"/>
      <c r="K25" s="104"/>
      <c r="L25" s="184"/>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4">
        <v>2159</v>
      </c>
      <c r="E28" s="155">
        <v>1</v>
      </c>
      <c r="F28" s="164" t="s">
        <v>64</v>
      </c>
      <c r="G28" s="144"/>
      <c r="H28" s="144"/>
      <c r="I28" s="144"/>
      <c r="J28" s="144"/>
      <c r="K28" s="145"/>
      <c r="L28" s="112">
        <v>175</v>
      </c>
      <c r="M28" s="118">
        <f>IF(E28&lt;&gt;"",E28*L28,"")</f>
        <v>175</v>
      </c>
      <c r="N28" s="54"/>
      <c r="O28" s="9"/>
    </row>
    <row r="29" spans="2:15" ht="30" x14ac:dyDescent="0.4">
      <c r="B29" s="7"/>
      <c r="C29" s="3"/>
      <c r="D29" s="154"/>
      <c r="E29" s="111"/>
      <c r="F29" s="156" t="s">
        <v>65</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v>2152</v>
      </c>
      <c r="E31" s="111">
        <v>1</v>
      </c>
      <c r="F31" s="164" t="s">
        <v>66</v>
      </c>
      <c r="G31" s="146"/>
      <c r="H31" s="146"/>
      <c r="I31" s="146"/>
      <c r="J31" s="146"/>
      <c r="K31" s="147"/>
      <c r="L31" s="113">
        <v>110</v>
      </c>
      <c r="M31" s="118">
        <f t="shared" si="0"/>
        <v>110</v>
      </c>
      <c r="N31" s="54"/>
      <c r="O31" s="9"/>
    </row>
    <row r="32" spans="2:15" ht="30" x14ac:dyDescent="0.4">
      <c r="B32" s="7"/>
      <c r="C32" s="3"/>
      <c r="D32" s="154"/>
      <c r="E32" s="111"/>
      <c r="F32" s="156" t="s">
        <v>65</v>
      </c>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64"/>
      <c r="G34" s="161"/>
      <c r="H34" s="161"/>
      <c r="I34" s="161"/>
      <c r="J34" s="146"/>
      <c r="K34" s="147"/>
      <c r="L34" s="113"/>
      <c r="M34" s="118" t="str">
        <f t="shared" ref="M34:M44" si="1">IF(E34&lt;&gt;"",E34*L34,"")</f>
        <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3"/>
      <c r="G41" s="162"/>
      <c r="H41" s="162"/>
      <c r="I41" s="162"/>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285</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54.15</v>
      </c>
      <c r="N47" s="54"/>
      <c r="O47" s="9"/>
    </row>
    <row r="48" spans="2:15" ht="35.25" x14ac:dyDescent="0.5">
      <c r="B48" s="7"/>
      <c r="C48" s="3"/>
      <c r="D48" s="85"/>
      <c r="E48" s="101"/>
      <c r="F48" s="97"/>
      <c r="G48" s="82"/>
      <c r="H48" s="81"/>
      <c r="I48" s="77"/>
      <c r="J48" s="83"/>
      <c r="K48" s="93"/>
      <c r="L48" s="110" t="s">
        <v>28</v>
      </c>
      <c r="M48" s="109">
        <f>+M45+M46+M47</f>
        <v>339.75</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79" t="s">
        <v>67</v>
      </c>
      <c r="E51" s="179"/>
      <c r="F51" s="179"/>
      <c r="G51" s="179"/>
      <c r="H51" s="179"/>
      <c r="I51" s="179"/>
      <c r="J51" s="179"/>
      <c r="K51" s="179"/>
      <c r="L51" s="179"/>
      <c r="M51" s="124"/>
      <c r="N51" s="54"/>
      <c r="O51" s="9"/>
    </row>
    <row r="52" spans="2:16" ht="26.25" x14ac:dyDescent="0.4">
      <c r="B52" s="7"/>
      <c r="C52" s="3"/>
      <c r="D52" s="179"/>
      <c r="E52" s="179"/>
      <c r="F52" s="179"/>
      <c r="G52" s="179"/>
      <c r="H52" s="179"/>
      <c r="I52" s="179"/>
      <c r="J52" s="179"/>
      <c r="K52" s="179"/>
      <c r="L52" s="179"/>
      <c r="M52" s="134"/>
      <c r="N52" s="54"/>
      <c r="O52" s="9"/>
    </row>
    <row r="53" spans="2:16" ht="26.25" x14ac:dyDescent="0.4">
      <c r="B53" s="7"/>
      <c r="C53" s="3"/>
      <c r="D53" s="124"/>
      <c r="E53" s="124"/>
      <c r="F53" s="134"/>
      <c r="G53" s="140"/>
      <c r="H53" s="140"/>
      <c r="I53" s="140"/>
      <c r="J53" s="78"/>
      <c r="K53" s="121"/>
      <c r="L53" s="159" t="s">
        <v>62</v>
      </c>
      <c r="M53" s="159"/>
      <c r="N53" s="115"/>
      <c r="O53" s="9"/>
    </row>
    <row r="54" spans="2:16" ht="23.25" x14ac:dyDescent="0.25">
      <c r="B54" s="7"/>
      <c r="C54" s="3"/>
      <c r="D54" s="124"/>
      <c r="E54" s="124"/>
      <c r="F54" s="141"/>
      <c r="G54" s="173"/>
      <c r="H54" s="173"/>
      <c r="I54" s="173"/>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59</v>
      </c>
      <c r="E57" s="160"/>
      <c r="F57" s="78"/>
      <c r="G57" s="78"/>
      <c r="H57" s="78"/>
      <c r="I57" s="78"/>
      <c r="J57" s="78"/>
      <c r="K57" s="88"/>
      <c r="L57" s="88"/>
      <c r="M57" s="89"/>
      <c r="N57" s="54"/>
      <c r="O57" s="136"/>
      <c r="P57" s="137"/>
    </row>
    <row r="58" spans="2:16" ht="20.25" x14ac:dyDescent="0.3">
      <c r="B58" s="7"/>
      <c r="C58" s="3"/>
      <c r="D58" s="120" t="s">
        <v>60</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2" t="s">
        <v>52</v>
      </c>
      <c r="E60" s="172"/>
      <c r="F60" s="172"/>
      <c r="G60" s="172"/>
      <c r="H60" s="172"/>
      <c r="I60" s="172"/>
      <c r="J60" s="172"/>
      <c r="K60" s="172"/>
      <c r="L60" s="172"/>
      <c r="M60" s="88"/>
      <c r="N60" s="92"/>
      <c r="O60" s="9"/>
    </row>
    <row r="61" spans="2:16" ht="15" customHeight="1" x14ac:dyDescent="0.2">
      <c r="B61" s="7"/>
      <c r="C61" s="3"/>
      <c r="D61" s="172"/>
      <c r="E61" s="172"/>
      <c r="F61" s="172"/>
      <c r="G61" s="172"/>
      <c r="H61" s="172"/>
      <c r="I61" s="172"/>
      <c r="J61" s="172"/>
      <c r="K61" s="172"/>
      <c r="L61" s="172"/>
      <c r="M61" s="89"/>
      <c r="N61" s="54"/>
      <c r="O61" s="9"/>
    </row>
    <row r="62" spans="2:16" ht="20.100000000000001" customHeight="1" x14ac:dyDescent="0.2">
      <c r="B62" s="7"/>
      <c r="C62" s="3"/>
      <c r="D62" s="172"/>
      <c r="E62" s="172"/>
      <c r="F62" s="172"/>
      <c r="G62" s="172"/>
      <c r="H62" s="172"/>
      <c r="I62" s="172"/>
      <c r="J62" s="172"/>
      <c r="K62" s="172"/>
      <c r="L62" s="172"/>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21/10/2020</v>
      </c>
      <c r="D8" s="67" t="str">
        <f>Facture!$E$22</f>
        <v xml:space="preserve">ACHREF RABAAOUI </v>
      </c>
      <c r="E8" s="64">
        <f>Facture!$E$23</f>
        <v>0</v>
      </c>
      <c r="F8" s="64">
        <f>Facture!$E$24</f>
        <v>0</v>
      </c>
      <c r="G8" s="67">
        <f>Facture!$G$24</f>
        <v>0</v>
      </c>
      <c r="H8" s="67">
        <f>Facture!$J$24</f>
        <v>0</v>
      </c>
      <c r="I8" s="64">
        <f>Facture!$E$25</f>
        <v>0</v>
      </c>
      <c r="J8" s="68">
        <f>Facture!$M$48</f>
        <v>339.75</v>
      </c>
      <c r="K8" s="64" t="str">
        <f>Facture!$L$24</f>
        <v xml:space="preserve">Responsable: MR ACHREF RABAAOUI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2020-10-21T10:50:42Z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ACHREF RABAAOUI </vt:lpwstr>
  </property>
  <property fmtid="{D5CDD505-2E9C-101B-9397-08002B2CF9AE}" pid="11" name="Montant de la facture" linkTarget="TOT">
    <vt:r8>339.75</vt:r8>
  </property>
</Properties>
</file>