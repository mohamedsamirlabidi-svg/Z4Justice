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<sst xmlns="http://schemas.openxmlformats.org/spreadsheetml/2006/main" count="87" uniqueCount="77">
  <si>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</si>
  <si>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</si>
  <si>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</si>
  <si>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</si>
  <si>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</si>
  <si>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</si>
  <si>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</si>
  <si>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</si>
  <si>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</si>
  <si>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</si>
  <si>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</si>
  <si>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</si>
  <si>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</si>
  <si>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</si>
  <si>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</si>
  <si>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</si>
  <si>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</si>
  <si>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</si>
  <si>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</si>
  <si>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</si>
  <si>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</si>
  <si>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</si>
  <si>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</si>
  <si>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</si>
  <si>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</si>
  <si>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</si>
  <si>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</si>
  <si>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</si>
  <si>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</si>
  <si>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</si>
  <si>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</si>
  <si>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</si>
  <si>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</si>
  <si>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</si>
  <si>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</si>
  <si>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</si>
  <si>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</si>
  <si>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</si>
  <si>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</si>
  <si>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</si>
  <si>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</si>
  <si>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</si>
  <si>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</si>
  <si>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</si>
  <si>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</si>
  <si>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</si>
  <si>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</si>
  <si>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</si>
  <si>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</si>
  <si>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</si>
  <si>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</si>
  <si>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</si>
  <si>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</si>
  <si>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</si>
  <si>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</si>
  <si>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</si>
  <si>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</si>
  <si>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</si>
  <si>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</si>
  <si>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</si>
  <si>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</si>
  <si>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</si>
  <si>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</si>
  <si>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</si>
  <si>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</si>
  <si>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PROTEL </t>
  </si>
  <si>
    <t>MF:1156910Z/A/M/000</t>
  </si>
  <si>
    <t>Date : 26/06/2020</t>
  </si>
  <si>
    <t>Offre de prix 2020-0702</t>
  </si>
  <si>
    <t xml:space="preserve">Responsable: SERVICE ACHAT </t>
  </si>
  <si>
    <t>SPHINX - Poulie</t>
  </si>
  <si>
    <t>EN 12278</t>
  </si>
  <si>
    <t xml:space="preserve">OVAL STANDARD LOCK - Mousqueton
</t>
  </si>
  <si>
    <t>0981</t>
  </si>
  <si>
    <t>EN 362</t>
  </si>
  <si>
    <t xml:space="preserve">PAIEMENT AU COMPTANT </t>
  </si>
  <si>
    <t xml:space="preserve">ARRETE LA PRESENTE OFFRE DE PRIX A LA SOMME DE:TROIS CENT DINARS ET 480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</si>
</sst>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20"/>
      <color rgb="FFFF0000"/>
      <name val="Arial"/>
      <family val="2"/>
    </font>
    <font>
      <i/>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4"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68</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4" t="s">
        <v>65</v>
      </c>
      <c r="F22" s="174"/>
      <c r="G22" s="174"/>
      <c r="H22" s="174"/>
      <c r="I22" s="174"/>
      <c r="J22" s="174"/>
      <c r="K22" s="104"/>
      <c r="L22" s="172" t="s">
        <v>67</v>
      </c>
      <c r="M22" s="172"/>
      <c r="N22" s="52"/>
      <c r="O22" s="9"/>
    </row>
    <row r="23" spans="2:15" ht="33.75" x14ac:dyDescent="0.5">
      <c r="B23" s="7"/>
      <c r="C23" s="3"/>
      <c r="D23" s="103" t="s">
        <v>54</v>
      </c>
      <c r="E23" s="178"/>
      <c r="F23" s="178"/>
      <c r="G23" s="178"/>
      <c r="H23" s="178"/>
      <c r="I23" s="178"/>
      <c r="J23" s="178"/>
      <c r="K23" s="178"/>
      <c r="L23" s="105" t="s">
        <v>64</v>
      </c>
      <c r="M23" s="105"/>
      <c r="N23" s="53"/>
      <c r="O23" s="9"/>
    </row>
    <row r="24" spans="2:15" ht="33.75" x14ac:dyDescent="0.5">
      <c r="B24" s="7"/>
      <c r="C24" s="3"/>
      <c r="D24" s="103" t="s">
        <v>55</v>
      </c>
      <c r="E24" s="117"/>
      <c r="F24" s="106" t="s">
        <v>8</v>
      </c>
      <c r="G24" s="179"/>
      <c r="H24" s="179"/>
      <c r="I24" s="107" t="s">
        <v>9</v>
      </c>
      <c r="J24" s="108" t="s">
        <v>59</v>
      </c>
      <c r="K24" s="104"/>
      <c r="L24" s="173" t="s">
        <v>69</v>
      </c>
      <c r="M24" s="173"/>
      <c r="N24" s="3"/>
      <c r="O24" s="9"/>
    </row>
    <row r="25" spans="2:15" ht="33.75" x14ac:dyDescent="0.5">
      <c r="B25" s="7"/>
      <c r="C25" s="3"/>
      <c r="D25" s="103" t="s">
        <v>56</v>
      </c>
      <c r="E25" s="175"/>
      <c r="F25" s="175"/>
      <c r="G25" s="175"/>
      <c r="H25" s="175"/>
      <c r="I25" s="175"/>
      <c r="J25" s="175"/>
      <c r="K25" s="104"/>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4">
        <v>2152</v>
      </c>
      <c r="E28" s="155">
        <v>2</v>
      </c>
      <c r="F28" s="122" t="s">
        <v>70</v>
      </c>
      <c r="G28" s="144"/>
      <c r="H28" s="144"/>
      <c r="I28" s="144"/>
      <c r="J28" s="144"/>
      <c r="K28" s="145"/>
      <c r="L28" s="112">
        <v>108</v>
      </c>
      <c r="M28" s="118">
        <f>IF(E28&lt;&gt;"",E28*L28,"")</f>
        <v>216</v>
      </c>
      <c r="N28" s="54"/>
      <c r="O28" s="9"/>
    </row>
    <row r="29" spans="2:15" ht="30" x14ac:dyDescent="0.4">
      <c r="B29" s="7"/>
      <c r="C29" s="3"/>
      <c r="D29" s="154"/>
      <c r="E29" s="111"/>
      <c r="F29" s="156" t="s">
        <v>71</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t="s">
        <v>73</v>
      </c>
      <c r="E31" s="111">
        <v>2</v>
      </c>
      <c r="F31" s="122" t="s">
        <v>72</v>
      </c>
      <c r="G31" s="146"/>
      <c r="H31" s="146"/>
      <c r="I31" s="146"/>
      <c r="J31" s="146"/>
      <c r="K31" s="147"/>
      <c r="L31" s="113">
        <v>18</v>
      </c>
      <c r="M31" s="118">
        <f t="shared" si="0"/>
        <v>36</v>
      </c>
      <c r="N31" s="54"/>
      <c r="O31" s="9"/>
    </row>
    <row r="32" spans="2:15" ht="30" x14ac:dyDescent="0.4">
      <c r="B32" s="7"/>
      <c r="C32" s="3"/>
      <c r="D32" s="154"/>
      <c r="E32" s="111"/>
      <c r="F32" s="156" t="s">
        <v>74</v>
      </c>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ref="M30:M44" si="1">IF(E34&lt;&gt;"",E34*L34,"")</f>
        <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22"/>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85" t="s">
        <v>75</v>
      </c>
      <c r="G40" s="146"/>
      <c r="H40" s="146"/>
      <c r="I40" s="146"/>
      <c r="J40" s="146"/>
      <c r="K40" s="147"/>
      <c r="L40" s="113"/>
      <c r="M40" s="118" t="str">
        <f t="shared" si="1"/>
        <v/>
      </c>
      <c r="N40" s="54"/>
      <c r="O40" s="9"/>
    </row>
    <row r="41" spans="2:15" ht="30" x14ac:dyDescent="0.4">
      <c r="B41" s="7"/>
      <c r="C41" s="3"/>
      <c r="D41" s="154"/>
      <c r="E41" s="111"/>
      <c r="F41" s="161"/>
      <c r="G41" s="146"/>
      <c r="H41" s="146"/>
      <c r="I41" s="146"/>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252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47.88</v>
      </c>
      <c r="N47" s="54"/>
      <c r="O47" s="9"/>
    </row>
    <row r="48" spans="2:15" ht="35.25" x14ac:dyDescent="0.5">
      <c r="B48" s="7"/>
      <c r="C48" s="3"/>
      <c r="D48" s="85"/>
      <c r="E48" s="101"/>
      <c r="F48" s="97"/>
      <c r="G48" s="82"/>
      <c r="H48" s="81"/>
      <c r="I48" s="77"/>
      <c r="J48" s="83"/>
      <c r="K48" s="93"/>
      <c r="L48" s="110" t="s">
        <v>28</v>
      </c>
      <c r="M48" s="109">
        <f>+M45+M46+M47</f>
        <v>300.48</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ht="15" x14ac:dyDescent="0.2">
      <c r="B51" s="7"/>
      <c r="C51" s="3"/>
      <c r="D51" s="183" t="s">
        <v>76</v>
      </c>
      <c r="E51" s="183"/>
      <c r="F51" s="183"/>
      <c r="G51" s="183"/>
      <c r="H51" s="183"/>
      <c r="I51" s="183"/>
      <c r="J51" s="183"/>
      <c r="K51" s="183"/>
      <c r="L51" s="183"/>
      <c r="M51" s="124"/>
      <c r="N51" s="54"/>
      <c r="O51" s="9"/>
    </row>
    <row r="52" spans="2:16" ht="26.25" x14ac:dyDescent="0.4">
      <c r="B52" s="7"/>
      <c r="C52" s="3"/>
      <c r="D52" s="184"/>
      <c r="E52" s="184"/>
      <c r="F52" s="184"/>
      <c r="G52" s="184"/>
      <c r="H52" s="184"/>
      <c r="I52" s="184"/>
      <c r="J52" s="184"/>
      <c r="K52" s="184"/>
      <c r="L52" s="184"/>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7"/>
      <c r="H54" s="177"/>
      <c r="I54" s="177"/>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6" t="s">
        <v>52</v>
      </c>
      <c r="E60" s="176"/>
      <c r="F60" s="176"/>
      <c r="G60" s="176"/>
      <c r="H60" s="176"/>
      <c r="I60" s="176"/>
      <c r="J60" s="176"/>
      <c r="K60" s="176"/>
      <c r="L60" s="176"/>
      <c r="M60" s="88"/>
      <c r="N60" s="92"/>
      <c r="O60" s="9"/>
    </row>
    <row r="61" spans="2:16" ht="15" customHeight="1" x14ac:dyDescent="0.2">
      <c r="B61" s="7"/>
      <c r="C61" s="3"/>
      <c r="D61" s="176"/>
      <c r="E61" s="176"/>
      <c r="F61" s="176"/>
      <c r="G61" s="176"/>
      <c r="H61" s="176"/>
      <c r="I61" s="176"/>
      <c r="J61" s="176"/>
      <c r="K61" s="176"/>
      <c r="L61" s="176"/>
      <c r="M61" s="89"/>
      <c r="N61" s="54"/>
      <c r="O61" s="9"/>
    </row>
    <row r="62" spans="2:16" ht="20.100000000000001" customHeight="1" x14ac:dyDescent="0.2">
      <c r="B62" s="7"/>
      <c r="C62" s="3"/>
      <c r="D62" s="176"/>
      <c r="E62" s="176"/>
      <c r="F62" s="176"/>
      <c r="G62" s="176"/>
      <c r="H62" s="176"/>
      <c r="I62" s="176"/>
      <c r="J62" s="176"/>
      <c r="K62" s="176"/>
      <c r="L62" s="176"/>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26/06/2020</v>
      </c>
      <c r="D8" s="67" t="str">
        <f>Facture!$E$22</f>
        <v xml:space="preserve">PROTEL </v>
      </c>
      <c r="E8" s="64">
        <f>Facture!$E$23</f>
        <v>0</v>
      </c>
      <c r="F8" s="64">
        <f>Facture!$E$24</f>
        <v>0</v>
      </c>
      <c r="G8" s="67">
        <f>Facture!$G$24</f>
        <v>0</v>
      </c>
      <c r="H8" s="67" t="str">
        <f>Facture!$J$24</f>
        <v>TN</v>
      </c>
      <c r="I8" s="64">
        <f>Facture!$E$25</f>
        <v>0</v>
      </c>
      <c r="J8" s="68">
        <f>Facture!$M$48</f>
        <v>300.48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2020-06-26T09:59:45Z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300.48</vt:r8>
  </property>
</Properties>
</file>