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<sst xmlns="http://schemas.openxmlformats.org/spreadsheetml/2006/main" count="87" uniqueCount="77">
  <si>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</si>
  <si>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</si>
  <si>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</si>
  <si>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</si>
  <si>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</si>
  <si>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</si>
  <si>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</si>
  <si>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</si>
  <si>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</si>
  <si>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</si>
  <si>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</si>
  <si>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</si>
  <si>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</si>
  <si>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</si>
  <si>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</si>
  <si>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</si>
  <si>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</si>
  <si>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</si>
  <si>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</si>
  <si>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</si>
  <si>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</si>
  <si>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</si>
  <si>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</si>
  <si>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</si>
  <si>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</si>
  <si>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</si>
  <si>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</si>
  <si>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</si>
  <si>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</si>
  <si>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</si>
  <si>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</si>
  <si>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</si>
  <si>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</si>
  <si>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</si>
  <si>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</si>
  <si>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</si>
  <si>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</si>
  <si>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</si>
  <si>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</si>
  <si>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</si>
  <si>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</si>
  <si>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</si>
  <si>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</si>
  <si>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</si>
  <si>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</si>
  <si>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</si>
  <si>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</si>
  <si>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</si>
  <si>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</si>
  <si>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</si>
  <si>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</si>
  <si>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</si>
  <si>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</si>
  <si>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</si>
  <si>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</si>
  <si>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</si>
  <si>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</si>
  <si>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</si>
  <si>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</si>
  <si>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</si>
  <si>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</si>
  <si>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</si>
  <si>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</si>
  <si>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MF:872341T/A/M/000</t>
  </si>
  <si>
    <t>CROWN</t>
  </si>
  <si>
    <t xml:space="preserve">ZI DE AGBA </t>
  </si>
  <si>
    <t>TUNIS</t>
  </si>
  <si>
    <t>31358 100 / Fax : 71 938 001</t>
  </si>
  <si>
    <t xml:space="preserve">VIREMENT </t>
  </si>
  <si>
    <t xml:space="preserve">CHEQUE </t>
  </si>
  <si>
    <t>Responsable: Mme Lamia HIMILI</t>
  </si>
  <si>
    <t>PAIRE DE GANTS ISOLANTS 36 KV</t>
  </si>
  <si>
    <t xml:space="preserve">  SG-40-T10/CLASSE 4</t>
  </si>
  <si>
    <t>Date : 09/10/2020</t>
  </si>
  <si>
    <t>DEVIS N°2020-1405</t>
  </si>
  <si>
    <t>SG-40</t>
  </si>
  <si>
    <t>ARRETE LA PRESENTE DEVIS  A LA SOMME DE : SIX CENT TRENTE ET UN  DINARS ET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</si>
</sst>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48</xdr:row>
      <xdr:rowOff>381000</xdr:rowOff>
    </xdr:from>
    <xdr:to>
      <xdr:col>12</xdr:col>
      <xdr:colOff>1879600</xdr:colOff>
      <xdr:row>57</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4" zoomScale="60" zoomScaleNormal="60" workbookViewId="0">
      <selection activeCell="J36" sqref="J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74</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3" t="s">
        <v>64</v>
      </c>
      <c r="F22" s="194"/>
      <c r="G22" s="194"/>
      <c r="H22" s="194"/>
      <c r="I22" s="194"/>
      <c r="J22" s="194"/>
      <c r="K22" s="103"/>
      <c r="L22" s="190" t="s">
        <v>73</v>
      </c>
      <c r="M22" s="190"/>
      <c r="N22" s="52"/>
      <c r="O22" s="9"/>
    </row>
    <row r="23" spans="2:15" ht="33.75" x14ac:dyDescent="0.5">
      <c r="B23" s="7"/>
      <c r="C23" s="3"/>
      <c r="D23" s="102" t="s">
        <v>54</v>
      </c>
      <c r="E23" s="180" t="s">
        <v>65</v>
      </c>
      <c r="F23" s="181"/>
      <c r="G23" s="181"/>
      <c r="H23" s="181"/>
      <c r="I23" s="181"/>
      <c r="J23" s="181"/>
      <c r="K23" s="181"/>
      <c r="L23" s="104" t="s">
        <v>62</v>
      </c>
      <c r="M23" s="104"/>
      <c r="N23" s="53"/>
      <c r="O23" s="9"/>
    </row>
    <row r="24" spans="2:15" ht="33.75" x14ac:dyDescent="0.5">
      <c r="B24" s="7"/>
      <c r="C24" s="3"/>
      <c r="D24" s="102" t="s">
        <v>55</v>
      </c>
      <c r="E24" s="151">
        <v>2051</v>
      </c>
      <c r="F24" s="105" t="s">
        <v>8</v>
      </c>
      <c r="G24" s="182" t="s">
        <v>66</v>
      </c>
      <c r="H24" s="182"/>
      <c r="I24" s="106" t="s">
        <v>9</v>
      </c>
      <c r="J24" s="149" t="s">
        <v>57</v>
      </c>
      <c r="K24" s="103"/>
      <c r="L24" s="191" t="s">
        <v>70</v>
      </c>
      <c r="M24" s="191"/>
      <c r="N24" s="3"/>
      <c r="O24" s="9"/>
    </row>
    <row r="25" spans="2:15" ht="33.75" x14ac:dyDescent="0.5">
      <c r="B25" s="7"/>
      <c r="C25" s="3"/>
      <c r="D25" s="102" t="s">
        <v>56</v>
      </c>
      <c r="E25" s="195" t="s">
        <v>67</v>
      </c>
      <c r="F25" s="195"/>
      <c r="G25" s="195"/>
      <c r="H25" s="195"/>
      <c r="I25" s="195"/>
      <c r="J25" s="195"/>
      <c r="K25" s="103"/>
      <c r="L25" s="192" t="s">
        <v>63</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t="s">
        <v>75</v>
      </c>
      <c r="E30" s="165">
        <v>1</v>
      </c>
      <c r="F30" s="120" t="s">
        <v>71</v>
      </c>
      <c r="G30" s="163"/>
      <c r="H30" s="163"/>
      <c r="I30" s="163"/>
      <c r="J30" s="163"/>
      <c r="K30" s="164"/>
      <c r="L30" s="110">
        <v>530</v>
      </c>
      <c r="M30" s="115">
        <f t="shared" ref="M30:M38" si="0">IF(E30&lt;&gt;"",E30*L30,"")</f>
        <v>530</v>
      </c>
      <c r="N30" s="54"/>
      <c r="O30" s="9"/>
    </row>
    <row r="31" spans="2:15" ht="30" x14ac:dyDescent="0.4">
      <c r="B31" s="7"/>
      <c r="C31" s="3"/>
      <c r="D31" s="150"/>
      <c r="E31" s="108"/>
      <c r="F31" s="120" t="s">
        <v>72</v>
      </c>
      <c r="G31" s="120"/>
      <c r="H31" s="120"/>
      <c r="I31" s="120"/>
      <c r="J31" s="120"/>
      <c r="K31" s="121"/>
      <c r="L31" s="111"/>
      <c r="M31" s="115" t="str">
        <f t="shared" si="0"/>
        <v/>
      </c>
      <c r="N31" s="54"/>
      <c r="O31" s="9"/>
    </row>
    <row r="32" spans="2:15" ht="30" x14ac:dyDescent="0.4">
      <c r="B32" s="7"/>
      <c r="C32" s="3"/>
      <c r="D32" s="150"/>
      <c r="E32" s="108"/>
      <c r="F32" s="120"/>
      <c r="G32" s="120"/>
      <c r="H32" s="120"/>
      <c r="I32" s="120"/>
      <c r="J32" s="120"/>
      <c r="K32" s="121"/>
      <c r="L32" s="111"/>
      <c r="M32" s="115"/>
      <c r="N32" s="54"/>
      <c r="O32" s="9"/>
    </row>
    <row r="33" spans="2:15" ht="30" x14ac:dyDescent="0.4">
      <c r="B33" s="7"/>
      <c r="C33" s="3"/>
      <c r="D33" s="150"/>
      <c r="E33" s="108"/>
      <c r="F33" s="120"/>
      <c r="G33" s="120"/>
      <c r="H33" s="148"/>
      <c r="I33" s="120"/>
      <c r="J33" s="120"/>
      <c r="K33" s="121"/>
      <c r="L33" s="111"/>
      <c r="M33" s="115" t="str">
        <f t="shared" si="0"/>
        <v/>
      </c>
      <c r="N33" s="54"/>
      <c r="O33" s="9"/>
    </row>
    <row r="34" spans="2:15" ht="30" x14ac:dyDescent="0.4">
      <c r="B34" s="7"/>
      <c r="C34" s="3"/>
      <c r="D34" s="150"/>
      <c r="E34" s="108"/>
      <c r="F34" s="119"/>
      <c r="G34" s="120"/>
      <c r="H34" s="120"/>
      <c r="I34" s="120"/>
      <c r="J34" s="120"/>
      <c r="K34" s="121"/>
      <c r="L34" s="111"/>
      <c r="M34" s="115" t="str">
        <f t="shared" si="0"/>
        <v/>
      </c>
      <c r="N34" s="54"/>
      <c r="O34" s="9"/>
    </row>
    <row r="35" spans="2:15" ht="30" x14ac:dyDescent="0.4">
      <c r="B35" s="7"/>
      <c r="C35" s="3"/>
      <c r="D35" s="150"/>
      <c r="E35" s="108"/>
      <c r="F35" s="119"/>
      <c r="G35" s="120"/>
      <c r="H35" s="120"/>
      <c r="I35" s="120"/>
      <c r="J35" s="120"/>
      <c r="K35" s="121"/>
      <c r="L35" s="111"/>
      <c r="M35" s="115" t="str">
        <f t="shared" si="0"/>
        <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76"/>
      <c r="G42" s="177"/>
      <c r="H42" s="177"/>
      <c r="I42" s="177"/>
      <c r="J42" s="177"/>
      <c r="K42" s="178"/>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530</v>
      </c>
      <c r="N44" s="54"/>
      <c r="O44" s="9"/>
    </row>
    <row r="45" spans="2:15" ht="30" customHeight="1" x14ac:dyDescent="0.5">
      <c r="B45" s="7"/>
      <c r="C45" s="3"/>
      <c r="D45" s="101"/>
      <c r="E45" s="97" t="s">
        <v>69</v>
      </c>
      <c r="F45" s="77"/>
      <c r="G45" s="77"/>
      <c r="H45" s="77"/>
      <c r="I45" s="77"/>
      <c r="J45" s="78"/>
      <c r="K45" s="93"/>
      <c r="L45" s="142" t="s">
        <v>47</v>
      </c>
      <c r="M45" s="141">
        <v>0.6</v>
      </c>
      <c r="N45" s="54"/>
      <c r="O45" s="9"/>
    </row>
    <row r="46" spans="2:15" ht="30" customHeight="1" x14ac:dyDescent="0.5">
      <c r="B46" s="7"/>
      <c r="C46" s="3"/>
      <c r="D46" s="98"/>
      <c r="E46" s="97" t="s">
        <v>68</v>
      </c>
      <c r="F46" s="77"/>
      <c r="G46" s="77"/>
      <c r="H46" s="77"/>
      <c r="I46" s="77"/>
      <c r="J46" s="80"/>
      <c r="K46" s="94"/>
      <c r="L46" s="143">
        <v>0.19</v>
      </c>
      <c r="M46" s="144">
        <f>+M44*19%</f>
        <v>100.7</v>
      </c>
      <c r="N46" s="54"/>
      <c r="O46" s="9"/>
    </row>
    <row r="47" spans="2:15" ht="35.25" x14ac:dyDescent="0.5">
      <c r="B47" s="7"/>
      <c r="C47" s="3"/>
      <c r="D47" s="85"/>
      <c r="E47" s="100"/>
      <c r="F47" s="96"/>
      <c r="G47" s="82"/>
      <c r="H47" s="81"/>
      <c r="I47" s="77"/>
      <c r="J47" s="83"/>
      <c r="K47" s="93"/>
      <c r="L47" s="142" t="s">
        <v>28</v>
      </c>
      <c r="M47" s="141">
        <f>+M44+M45+M46</f>
        <v>631.30000000000007</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86" t="s">
        <v>76</v>
      </c>
      <c r="E50" s="186"/>
      <c r="F50" s="186"/>
      <c r="G50" s="186"/>
      <c r="H50" s="186"/>
      <c r="I50" s="186"/>
      <c r="J50" s="186"/>
      <c r="K50" s="186"/>
      <c r="L50" s="186"/>
      <c r="M50" s="123"/>
      <c r="N50" s="54"/>
      <c r="O50" s="9"/>
    </row>
    <row r="51" spans="2:16" ht="26.25" x14ac:dyDescent="0.4">
      <c r="B51" s="7"/>
      <c r="C51" s="3"/>
      <c r="D51" s="186"/>
      <c r="E51" s="186"/>
      <c r="F51" s="186"/>
      <c r="G51" s="186"/>
      <c r="H51" s="186"/>
      <c r="I51" s="186"/>
      <c r="J51" s="186"/>
      <c r="K51" s="186"/>
      <c r="L51" s="186"/>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79"/>
      <c r="H53" s="179"/>
      <c r="I53" s="179"/>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75" t="s">
        <v>52</v>
      </c>
      <c r="E59" s="175"/>
      <c r="F59" s="175"/>
      <c r="G59" s="175"/>
      <c r="H59" s="175"/>
      <c r="I59" s="175"/>
      <c r="J59" s="175"/>
      <c r="K59" s="175"/>
      <c r="L59" s="175"/>
      <c r="M59" s="88"/>
      <c r="N59" s="54"/>
      <c r="O59" s="9"/>
    </row>
    <row r="60" spans="2:16" ht="18" customHeight="1" x14ac:dyDescent="0.2">
      <c r="B60" s="7"/>
      <c r="C60" s="3"/>
      <c r="D60" s="175"/>
      <c r="E60" s="175"/>
      <c r="F60" s="175"/>
      <c r="G60" s="175"/>
      <c r="H60" s="175"/>
      <c r="I60" s="175"/>
      <c r="J60" s="175"/>
      <c r="K60" s="175"/>
      <c r="L60" s="175"/>
      <c r="M60" s="89"/>
      <c r="N60" s="54"/>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09/10/2020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631.30000000000007</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2020-10-09T08:01:58Z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631.3</vt:r8>
  </property>
</Properties>
</file>