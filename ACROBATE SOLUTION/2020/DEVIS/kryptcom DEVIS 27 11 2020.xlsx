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7" i="3" l="1"/>
  <c r="M43" i="3"/>
  <c r="M44" i="3"/>
  <c r="M45" i="3"/>
  <c r="M38" i="3" l="1"/>
  <c r="M39" i="3"/>
  <c r="M40" i="3"/>
  <c r="M41" i="3"/>
  <c r="M42" i="3"/>
  <c r="M36" i="3" l="1"/>
  <c r="M37" i="3"/>
  <c r="M29" i="3" l="1"/>
  <c r="M30" i="3"/>
  <c r="M31" i="3"/>
  <c r="M32" i="3"/>
  <c r="M28" i="3"/>
  <c r="M34" i="3"/>
  <c r="M46" i="3" l="1"/>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<sst xmlns="http://schemas.openxmlformats.org/spreadsheetml/2006/main" count="92" uniqueCount="81">
  <si>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</si>
  <si>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</si>
  <si>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</si>
  <si>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</si>
  <si>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</si>
  <si>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</si>
  <si>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</si>
  <si>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</si>
  <si>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</si>
  <si>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</si>
  <si>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</si>
  <si>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</si>
  <si>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</si>
  <si>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</si>
  <si>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</si>
  <si>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</si>
  <si>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</si>
  <si>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</si>
  <si>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</si>
  <si>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</si>
  <si>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</si>
  <si>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</si>
  <si>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</si>
  <si>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</si>
  <si>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</si>
  <si>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</si>
  <si>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</si>
  <si>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</si>
  <si>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</si>
  <si>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</si>
  <si>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</si>
  <si>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</si>
  <si>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</si>
  <si>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</si>
  <si>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</si>
  <si>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</si>
  <si>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</si>
  <si>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</si>
  <si>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</si>
  <si>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</si>
  <si>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</si>
  <si>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</si>
  <si>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</si>
  <si>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</si>
  <si>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</si>
  <si>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</si>
  <si>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</si>
  <si>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</si>
  <si>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</si>
  <si>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</si>
  <si>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</si>
  <si>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</si>
  <si>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</si>
  <si>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</si>
  <si>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</si>
  <si>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</si>
  <si>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</si>
  <si>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</si>
  <si>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</si>
  <si>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</si>
  <si>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</si>
  <si>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</si>
  <si>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</si>
  <si>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</si>
  <si>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</si>
  <si>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</si>
  <si>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SPHINX - Poulie</t>
  </si>
  <si>
    <t>ARES AIR PRO - Casque</t>
  </si>
  <si>
    <t>EN 397 + -20°C</t>
  </si>
  <si>
    <t xml:space="preserve">CO_POL </t>
  </si>
  <si>
    <t>D12</t>
  </si>
  <si>
    <t>CORDE POLYAMIDE pour manutention</t>
  </si>
  <si>
    <t xml:space="preserve">*HARNAIS ORBITAL  CONFORME 2 NORMES </t>
  </si>
  <si>
    <t xml:space="preserve">EN 361 + EN 358 </t>
  </si>
  <si>
    <t xml:space="preserve">LONGE DOUBLE ELASTIQUE </t>
  </si>
  <si>
    <t xml:space="preserve">DIVERS </t>
  </si>
  <si>
    <t xml:space="preserve">CHAUSSURE DE SECURITE </t>
  </si>
  <si>
    <t xml:space="preserve">  GANT AXION</t>
  </si>
  <si>
    <t>Offre de prix             N°2020-05003</t>
  </si>
  <si>
    <t xml:space="preserve">MR IMED </t>
  </si>
  <si>
    <t>kryptcom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</si>
</sst>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0"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9" zoomScale="60" zoomScaleNormal="60" workbookViewId="0">
      <selection activeCell="G44" sqref="G4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75" t="s">
        <v>78</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80</v>
      </c>
      <c r="F22" s="148"/>
      <c r="G22" s="147"/>
      <c r="H22" s="147"/>
      <c r="I22" s="168"/>
      <c r="J22" s="168"/>
      <c r="K22" s="146"/>
      <c r="L22" s="144" t="s">
        <v>19</v>
      </c>
      <c r="M22" s="178">
        <v>44162</v>
      </c>
      <c r="N22" s="179"/>
      <c r="O22" s="9"/>
    </row>
    <row r="23" spans="2:15" ht="23.25" x14ac:dyDescent="0.35">
      <c r="B23" s="7"/>
      <c r="C23" s="3"/>
      <c r="D23" s="144" t="s">
        <v>54</v>
      </c>
      <c r="E23" s="147"/>
      <c r="F23" s="147"/>
      <c r="G23" s="147"/>
      <c r="H23" s="147"/>
      <c r="I23" s="147"/>
      <c r="J23" s="147"/>
      <c r="K23" s="146"/>
      <c r="L23" s="144" t="s">
        <v>64</v>
      </c>
      <c r="M23" s="145"/>
      <c r="N23" s="145"/>
      <c r="O23" s="9"/>
    </row>
    <row r="24" spans="2:15" ht="23.25" x14ac:dyDescent="0.35">
      <c r="B24" s="7"/>
      <c r="C24" s="3"/>
      <c r="D24" s="144" t="s">
        <v>55</v>
      </c>
      <c r="E24" s="168"/>
      <c r="F24" s="168"/>
      <c r="G24" s="168"/>
      <c r="H24" s="168"/>
      <c r="I24" s="168" t="s">
        <v>9</v>
      </c>
      <c r="J24" s="168" t="s">
        <v>59</v>
      </c>
      <c r="K24" s="146"/>
      <c r="L24" s="144" t="s">
        <v>20</v>
      </c>
      <c r="M24" s="180" t="s">
        <v>79</v>
      </c>
      <c r="N24" s="180"/>
      <c r="O24" s="9"/>
    </row>
    <row r="25" spans="2:15" ht="23.25" x14ac:dyDescent="0.35">
      <c r="B25" s="7"/>
      <c r="C25" s="3"/>
      <c r="D25" s="144" t="s">
        <v>56</v>
      </c>
      <c r="E25" s="173"/>
      <c r="F25" s="174"/>
      <c r="G25" s="147"/>
      <c r="H25" s="147"/>
      <c r="I25" s="147"/>
      <c r="J25" s="147"/>
      <c r="K25" s="146"/>
      <c r="L25" s="144" t="s">
        <v>65</v>
      </c>
      <c r="M25" s="181"/>
      <c r="N25" s="181"/>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9" t="s">
        <v>23</v>
      </c>
      <c r="G27" s="170"/>
      <c r="H27" s="170"/>
      <c r="I27" s="170"/>
      <c r="J27" s="170"/>
      <c r="K27" s="171"/>
      <c r="L27" s="88" t="s">
        <v>24</v>
      </c>
      <c r="M27" s="89" t="s">
        <v>25</v>
      </c>
      <c r="N27" s="90"/>
      <c r="O27" s="9"/>
    </row>
    <row r="28" spans="2:15" ht="30" x14ac:dyDescent="0.4">
      <c r="B28" s="7"/>
      <c r="C28" s="3"/>
      <c r="D28" s="139">
        <v>2120</v>
      </c>
      <c r="E28" s="140">
        <v>3</v>
      </c>
      <c r="F28" s="158" t="s">
        <v>72</v>
      </c>
      <c r="G28" s="132"/>
      <c r="H28" s="132"/>
      <c r="I28" s="132"/>
      <c r="J28" s="132"/>
      <c r="K28" s="133"/>
      <c r="L28" s="103">
        <v>250</v>
      </c>
      <c r="M28" s="108">
        <f>IF(E28&lt;&gt;"",E28*L28,"")</f>
        <v>750</v>
      </c>
      <c r="N28" s="52"/>
      <c r="O28" s="9"/>
    </row>
    <row r="29" spans="2:15" ht="30" x14ac:dyDescent="0.4">
      <c r="B29" s="7"/>
      <c r="C29" s="3"/>
      <c r="D29" s="139"/>
      <c r="E29" s="140"/>
      <c r="F29" s="155" t="s">
        <v>73</v>
      </c>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v>2643</v>
      </c>
      <c r="E31" s="140">
        <v>3</v>
      </c>
      <c r="F31" s="143" t="s">
        <v>67</v>
      </c>
      <c r="G31" s="134"/>
      <c r="H31" s="134"/>
      <c r="I31" s="134"/>
      <c r="J31" s="134"/>
      <c r="K31" s="135"/>
      <c r="L31" s="103">
        <v>145</v>
      </c>
      <c r="M31" s="108">
        <f t="shared" si="0"/>
        <v>435</v>
      </c>
      <c r="N31" s="52"/>
      <c r="O31" s="9"/>
    </row>
    <row r="32" spans="2:15" ht="30" x14ac:dyDescent="0.4">
      <c r="B32" s="7"/>
      <c r="C32" s="3"/>
      <c r="D32" s="139"/>
      <c r="E32" s="140"/>
      <c r="F32" s="143" t="s">
        <v>68</v>
      </c>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v>2152</v>
      </c>
      <c r="E34" s="102">
        <v>3</v>
      </c>
      <c r="F34" s="112" t="s">
        <v>66</v>
      </c>
      <c r="G34" s="134"/>
      <c r="H34" s="134"/>
      <c r="I34" s="134"/>
      <c r="J34" s="134"/>
      <c r="K34" s="135"/>
      <c r="L34" s="104">
        <v>108</v>
      </c>
      <c r="M34" s="108">
        <f t="shared" ref="M34:M46" si="1">IF(E34&lt;&gt;"",E34*L34,"")</f>
        <v>324</v>
      </c>
      <c r="N34" s="52"/>
      <c r="O34" s="9"/>
    </row>
    <row r="35" spans="2:15" ht="30" x14ac:dyDescent="0.4">
      <c r="B35" s="7"/>
      <c r="C35" s="3"/>
      <c r="D35" s="139"/>
      <c r="E35" s="102"/>
      <c r="F35" s="112"/>
      <c r="G35" s="134"/>
      <c r="H35" s="134"/>
      <c r="I35" s="134"/>
      <c r="J35" s="134"/>
      <c r="K35" s="134"/>
      <c r="L35" s="104"/>
      <c r="M35" s="108"/>
      <c r="N35" s="52"/>
      <c r="O35" s="9"/>
    </row>
    <row r="36" spans="2:15" ht="30" x14ac:dyDescent="0.4">
      <c r="B36" s="7"/>
      <c r="C36" s="3"/>
      <c r="D36" s="139"/>
      <c r="E36" s="102"/>
      <c r="F36" s="112"/>
      <c r="G36" s="134"/>
      <c r="H36" s="134"/>
      <c r="I36" s="134"/>
      <c r="J36" s="134"/>
      <c r="K36" s="134"/>
      <c r="L36" s="104"/>
      <c r="M36" s="108" t="str">
        <f t="shared" si="1"/>
        <v/>
      </c>
      <c r="N36" s="52"/>
      <c r="O36" s="9"/>
    </row>
    <row r="37" spans="2:15" ht="30" x14ac:dyDescent="0.4">
      <c r="B37" s="7"/>
      <c r="C37" s="3"/>
      <c r="D37" s="139" t="s">
        <v>69</v>
      </c>
      <c r="E37" s="102">
        <v>153</v>
      </c>
      <c r="F37" s="153" t="s">
        <v>71</v>
      </c>
      <c r="G37" s="134"/>
      <c r="H37" s="134"/>
      <c r="I37" s="134"/>
      <c r="J37" s="134"/>
      <c r="K37" s="134"/>
      <c r="L37" s="104">
        <v>5.5</v>
      </c>
      <c r="M37" s="108">
        <f t="shared" si="1"/>
        <v>841.5</v>
      </c>
      <c r="N37" s="52"/>
      <c r="O37" s="9"/>
    </row>
    <row r="38" spans="2:15" ht="30" x14ac:dyDescent="0.4">
      <c r="B38" s="7"/>
      <c r="C38" s="3"/>
      <c r="D38" s="139"/>
      <c r="E38" s="102"/>
      <c r="F38" s="153" t="s">
        <v>70</v>
      </c>
      <c r="G38" s="134"/>
      <c r="H38" s="134"/>
      <c r="I38" s="134"/>
      <c r="J38" s="134"/>
      <c r="K38" s="134"/>
      <c r="L38" s="104"/>
      <c r="M38" s="108" t="str">
        <f t="shared" si="1"/>
        <v/>
      </c>
      <c r="N38" s="52"/>
      <c r="O38" s="9"/>
    </row>
    <row r="39" spans="2:15" ht="30" x14ac:dyDescent="0.4">
      <c r="B39" s="7"/>
      <c r="C39" s="3"/>
      <c r="D39" s="139"/>
      <c r="E39" s="102"/>
      <c r="F39" s="153"/>
      <c r="G39" s="134"/>
      <c r="H39" s="134"/>
      <c r="I39" s="134"/>
      <c r="J39" s="134"/>
      <c r="K39" s="134"/>
      <c r="L39" s="104"/>
      <c r="M39" s="108" t="str">
        <f t="shared" si="1"/>
        <v/>
      </c>
      <c r="N39" s="52"/>
      <c r="O39" s="9"/>
    </row>
    <row r="40" spans="2:15" ht="30" x14ac:dyDescent="0.4">
      <c r="B40" s="7"/>
      <c r="C40" s="3"/>
      <c r="D40" s="139">
        <v>7030201</v>
      </c>
      <c r="E40" s="102">
        <v>3</v>
      </c>
      <c r="F40" s="153" t="s">
        <v>74</v>
      </c>
      <c r="G40" s="134"/>
      <c r="H40" s="134"/>
      <c r="I40" s="134"/>
      <c r="J40" s="134"/>
      <c r="K40" s="134"/>
      <c r="L40" s="104">
        <v>202.3</v>
      </c>
      <c r="M40" s="108">
        <f t="shared" si="1"/>
        <v>606.90000000000009</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39" t="s">
        <v>75</v>
      </c>
      <c r="E42" s="102">
        <v>3</v>
      </c>
      <c r="F42" s="153" t="s">
        <v>76</v>
      </c>
      <c r="G42" s="134"/>
      <c r="H42" s="134"/>
      <c r="I42" s="134"/>
      <c r="J42" s="134"/>
      <c r="K42" s="134"/>
      <c r="L42" s="104">
        <v>120</v>
      </c>
      <c r="M42" s="108">
        <f t="shared" si="1"/>
        <v>360</v>
      </c>
      <c r="N42" s="52"/>
      <c r="O42" s="9"/>
    </row>
    <row r="43" spans="2:15" ht="30" x14ac:dyDescent="0.4">
      <c r="B43" s="7"/>
      <c r="C43" s="3"/>
      <c r="D43" s="139"/>
      <c r="E43" s="102"/>
      <c r="F43" s="153"/>
      <c r="G43" s="134"/>
      <c r="H43" s="134"/>
      <c r="I43" s="134"/>
      <c r="J43" s="134"/>
      <c r="K43" s="134"/>
      <c r="L43" s="104"/>
      <c r="M43" s="108" t="str">
        <f t="shared" si="1"/>
        <v/>
      </c>
      <c r="N43" s="52"/>
      <c r="O43" s="9"/>
    </row>
    <row r="44" spans="2:15" ht="30" x14ac:dyDescent="0.4">
      <c r="B44" s="7"/>
      <c r="C44" s="3"/>
      <c r="D44" s="139">
        <v>1879</v>
      </c>
      <c r="E44" s="102">
        <v>3</v>
      </c>
      <c r="F44" s="153" t="s">
        <v>77</v>
      </c>
      <c r="G44" s="134"/>
      <c r="H44" s="134"/>
      <c r="I44" s="134"/>
      <c r="J44" s="134"/>
      <c r="K44" s="134"/>
      <c r="L44" s="104">
        <v>75</v>
      </c>
      <c r="M44" s="108">
        <f t="shared" si="1"/>
        <v>225</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3542.4</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673.05600000000004</v>
      </c>
      <c r="N49" s="52"/>
      <c r="O49" s="9"/>
    </row>
    <row r="50" spans="2:16" ht="35.25" x14ac:dyDescent="0.5">
      <c r="B50" s="7"/>
      <c r="C50" s="3"/>
      <c r="D50" s="83"/>
      <c r="E50" s="98"/>
      <c r="F50" s="94"/>
      <c r="G50" s="80"/>
      <c r="H50" s="79"/>
      <c r="I50" s="75"/>
      <c r="J50" s="81"/>
      <c r="K50" s="91"/>
      <c r="L50" s="101" t="s">
        <v>28</v>
      </c>
      <c r="M50" s="100">
        <f>+M47+M48+M49</f>
        <v>4216.0560000000005</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x14ac:dyDescent="0.2">
      <c r="B53" s="7"/>
      <c r="C53" s="3"/>
      <c r="D53" s="172"/>
      <c r="E53" s="172"/>
      <c r="F53" s="172"/>
      <c r="G53" s="172"/>
      <c r="H53" s="172"/>
      <c r="I53" s="172"/>
      <c r="J53" s="172"/>
      <c r="K53" s="172"/>
      <c r="L53" s="172"/>
      <c r="M53" s="114"/>
      <c r="N53" s="52"/>
      <c r="O53" s="9"/>
    </row>
    <row r="54" spans="2:16" ht="26.25" x14ac:dyDescent="0.4">
      <c r="B54" s="7"/>
      <c r="C54" s="3"/>
      <c r="D54" s="172"/>
      <c r="E54" s="172"/>
      <c r="F54" s="172"/>
      <c r="G54" s="172"/>
      <c r="H54" s="172"/>
      <c r="I54" s="172"/>
      <c r="J54" s="172"/>
      <c r="K54" s="172"/>
      <c r="L54" s="172"/>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67"/>
      <c r="H56" s="167"/>
      <c r="I56" s="167"/>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66" t="s">
        <v>52</v>
      </c>
      <c r="E62" s="166"/>
      <c r="F62" s="166"/>
      <c r="G62" s="166"/>
      <c r="H62" s="166"/>
      <c r="I62" s="166"/>
      <c r="J62" s="166"/>
      <c r="K62" s="166"/>
      <c r="L62" s="166"/>
      <c r="M62" s="86"/>
      <c r="N62" s="90"/>
      <c r="O62" s="9"/>
    </row>
    <row r="63" spans="2:16" ht="18" x14ac:dyDescent="0.25">
      <c r="B63" s="7"/>
      <c r="C63" s="3"/>
      <c r="D63" s="166"/>
      <c r="E63" s="166"/>
      <c r="F63" s="166"/>
      <c r="G63" s="166"/>
      <c r="H63" s="166"/>
      <c r="I63" s="166"/>
      <c r="J63" s="166"/>
      <c r="K63" s="166"/>
      <c r="L63" s="166"/>
      <c r="M63" s="87"/>
      <c r="N63" s="90"/>
      <c r="O63" s="9"/>
    </row>
    <row r="64" spans="2:16" ht="15" x14ac:dyDescent="0.2">
      <c r="B64" s="7"/>
      <c r="C64" s="3"/>
      <c r="D64" s="166"/>
      <c r="E64" s="166"/>
      <c r="F64" s="166"/>
      <c r="G64" s="166"/>
      <c r="H64" s="166"/>
      <c r="I64" s="166"/>
      <c r="J64" s="166"/>
      <c r="K64" s="166"/>
      <c r="L64" s="166"/>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M22:N22"/>
    <mergeCell ref="M24:N24"/>
    <mergeCell ref="M25:N25"/>
    <mergeCell ref="I22:J22"/>
    <mergeCell ref="D62:L64"/>
    <mergeCell ref="G56:I56"/>
    <mergeCell ref="G24:H24"/>
    <mergeCell ref="F27:K27"/>
    <mergeCell ref="D53:L53"/>
    <mergeCell ref="D54:L54"/>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f>Facture!$E$23</f>
        <v>0</v>
      </c>
      <c r="F8" s="62">
        <f>Facture!$E$24</f>
        <v>0</v>
      </c>
      <c r="G8" s="65">
        <f>Facture!$G$24</f>
        <v>0</v>
      </c>
      <c r="H8" s="65" t="str">
        <f>Facture!$J$24</f>
        <v>TN</v>
      </c>
      <c r="I8" s="62">
        <f>Facture!$E$25</f>
        <v>0</v>
      </c>
      <c r="J8" s="66">
        <f>Facture!$M$50</f>
        <v>4216.0560000000005</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2020-11-27T15:11:38Z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4216.056</vt:r8>
  </property>
</Properties>
</file>