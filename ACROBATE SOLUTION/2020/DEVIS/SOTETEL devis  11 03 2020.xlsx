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2" i="3"/>
  <c r="M33" i="3"/>
  <c r="M30" i="3" l="1"/>
  <c r="M48" i="3" s="1"/>
  <c r="M34" i="3"/>
  <c r="M28" i="3"/>
  <c r="M29" i="3"/>
  <c r="M35" i="3"/>
  <c r="M37" i="3"/>
  <c r="M38" i="3"/>
  <c r="M40" i="3"/>
  <c r="M41" i="3"/>
  <c r="M42" i="3"/>
  <c r="M43" i="3" l="1"/>
  <c r="M44" i="3"/>
  <c r="M45" i="3"/>
  <c r="M46" i="3"/>
  <c r="M47" i="3"/>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<sst xmlns="http://schemas.openxmlformats.org/spreadsheetml/2006/main" count="87" uniqueCount="77">
  <si>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</si>
  <si>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</si>
  <si>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</si>
  <si>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</si>
  <si>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</si>
  <si>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</si>
  <si>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</si>
  <si>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</si>
  <si>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</si>
  <si>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</si>
  <si>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</si>
  <si>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</si>
  <si>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</si>
  <si>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</si>
  <si>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</si>
  <si>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</si>
  <si>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</si>
  <si>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</si>
  <si>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</si>
  <si>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</si>
  <si>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</si>
  <si>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</si>
  <si>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</si>
  <si>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</si>
  <si>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</si>
  <si>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</si>
  <si>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</si>
  <si>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</si>
  <si>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</si>
  <si>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</si>
  <si>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</si>
  <si>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</si>
  <si>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</si>
  <si>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</si>
  <si>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</si>
  <si>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</si>
  <si>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</si>
  <si>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</si>
  <si>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</si>
  <si>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</si>
  <si>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</si>
  <si>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</si>
  <si>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</si>
  <si>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</si>
  <si>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</si>
  <si>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</si>
  <si>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</si>
  <si>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</si>
  <si>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</si>
  <si>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</si>
  <si>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</si>
  <si>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</si>
  <si>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</si>
  <si>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</si>
  <si>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</si>
  <si>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</si>
  <si>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</si>
  <si>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</si>
  <si>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</si>
  <si>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</si>
  <si>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</si>
  <si>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</si>
  <si>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</si>
  <si>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</si>
  <si>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</si>
  <si>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</si>
  <si>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</si>
  <si>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</si>
  <si>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</si>
  <si>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</si>
  <si>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Responsable:Dous Boutheyna</t>
  </si>
  <si>
    <t>CONTRÔLE DES E.P.I</t>
  </si>
  <si>
    <t xml:space="preserve">HARNAIS ORBITAL </t>
  </si>
  <si>
    <t xml:space="preserve">LONGE DE MAINTIEN </t>
  </si>
  <si>
    <t xml:space="preserve">LONGE DOUBLE CORDAGE </t>
  </si>
  <si>
    <t>Date : 11/03/2020</t>
  </si>
  <si>
    <t>Devis N° 2020-0198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</si>
</sst>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9" zoomScale="60" zoomScaleNormal="60" workbookViewId="0">
      <selection activeCell="L46" sqref="L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76</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75</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70</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c r="E28" s="145"/>
      <c r="F28" s="114" t="s">
        <v>71</v>
      </c>
      <c r="G28" s="135"/>
      <c r="H28" s="135"/>
      <c r="I28" s="137"/>
      <c r="J28" s="137"/>
      <c r="K28" s="138"/>
      <c r="L28" s="104"/>
      <c r="M28" s="110" t="str">
        <f t="shared" ref="M28:M34" si="0">IF(E28&lt;&gt;"",E28*L28,"")</f>
        <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v>2152</v>
      </c>
      <c r="E30" s="145">
        <v>12</v>
      </c>
      <c r="F30" s="151" t="s">
        <v>72</v>
      </c>
      <c r="G30" s="135"/>
      <c r="H30" s="135"/>
      <c r="I30" s="137"/>
      <c r="J30" s="137"/>
      <c r="K30" s="138"/>
      <c r="L30" s="104">
        <v>30</v>
      </c>
      <c r="M30" s="110">
        <f t="shared" si="0"/>
        <v>360</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v>203115</v>
      </c>
      <c r="E32" s="145">
        <v>6</v>
      </c>
      <c r="F32" s="151" t="s">
        <v>73</v>
      </c>
      <c r="G32" s="135"/>
      <c r="H32" s="137"/>
      <c r="I32" s="137"/>
      <c r="J32" s="137"/>
      <c r="K32" s="138"/>
      <c r="L32" s="104">
        <v>20</v>
      </c>
      <c r="M32" s="110">
        <f t="shared" si="0"/>
        <v>120</v>
      </c>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v>203008</v>
      </c>
      <c r="E34" s="145">
        <v>6</v>
      </c>
      <c r="F34" s="114" t="s">
        <v>74</v>
      </c>
      <c r="G34" s="135"/>
      <c r="H34" s="137"/>
      <c r="I34" s="137"/>
      <c r="J34" s="137"/>
      <c r="K34" s="138"/>
      <c r="L34" s="104">
        <v>20</v>
      </c>
      <c r="M34" s="110">
        <f t="shared" si="0"/>
        <v>120</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600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114</v>
      </c>
      <c r="N50" s="54"/>
      <c r="O50" s="9"/>
    </row>
    <row r="51" spans="1:16" ht="35.25" x14ac:dyDescent="0.5">
      <c r="B51" s="7"/>
      <c r="C51" s="3"/>
      <c r="D51" s="76"/>
      <c r="E51" s="82"/>
      <c r="F51" s="93"/>
      <c r="G51" s="77"/>
      <c r="H51" s="64"/>
      <c r="I51" s="77"/>
      <c r="J51" s="80" t="s">
        <v>27</v>
      </c>
      <c r="K51" s="78"/>
      <c r="L51" s="150" t="s">
        <v>28</v>
      </c>
      <c r="M51" s="101">
        <f>+M48+M49+M50</f>
        <v>714.6</v>
      </c>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714.6</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2020-05-27T09:30:54Z</cp:lastPrinted>
  <dcterms:created xsi:type="dcterms:W3CDTF">1995-05-29T15:50:39Z</dcterms:created>
  <dcterms:modified xsi:type="dcterms:W3CDTF">2020-05-27T09:47:48Z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714.6</vt:r8>
  </property>
</Properties>
</file>