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3" i="3"/>
  <c r="N34" i="3"/>
  <c r="N35" i="3"/>
  <c r="N29" i="3"/>
  <c r="N30" i="3"/>
  <c r="N31"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<sst xmlns="http://schemas.openxmlformats.org/spreadsheetml/2006/main" count="92" uniqueCount="76">
  <si>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</si>
  <si>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</si>
  <si>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</si>
  <si>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</si>
  <si>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</si>
  <si>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</si>
  <si>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</si>
  <si>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</si>
  <si>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</si>
  <si>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</si>
  <si>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</si>
  <si>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</si>
  <si>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</si>
  <si>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</si>
  <si>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</si>
  <si>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</si>
  <si>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</si>
  <si>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</si>
  <si>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</si>
  <si>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</si>
  <si>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</si>
  <si>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</si>
  <si>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</si>
  <si>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</si>
  <si>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</si>
  <si>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</si>
  <si>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</si>
  <si>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</si>
  <si>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</si>
  <si>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</si>
  <si>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</si>
  <si>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</si>
  <si>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</si>
  <si>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</si>
  <si>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</si>
  <si>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</si>
  <si>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</si>
  <si>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</si>
  <si>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</si>
  <si>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</si>
  <si>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</si>
  <si>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</si>
  <si>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</si>
  <si>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</si>
  <si>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</si>
  <si>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</si>
  <si>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</si>
  <si>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</si>
  <si>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</si>
  <si>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</si>
  <si>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</si>
  <si>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</si>
  <si>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</si>
  <si>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</si>
  <si>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</si>
  <si>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</si>
  <si>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</si>
  <si>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</si>
  <si>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</si>
  <si>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</si>
  <si>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</si>
  <si>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</si>
  <si>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</si>
  <si>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</si>
  <si>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</si>
  <si>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</si>
  <si>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</si>
  <si>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Corde semi-statique EN 1891 Type A</t>
  </si>
  <si>
    <t xml:space="preserve">Chèque 30 jours date de réception de facture </t>
  </si>
  <si>
    <t>devis  2020/0632</t>
  </si>
  <si>
    <t>Diametre 12 pour manutention</t>
  </si>
  <si>
    <t>Poulie  EN 12278</t>
  </si>
  <si>
    <t>SAC OUTILLAGE</t>
  </si>
  <si>
    <t>D_CORDE</t>
  </si>
  <si>
    <t xml:space="preserve">D_SAC </t>
  </si>
  <si>
    <t>ARRETE LA PRESENTE DEVIS A LA SOMME DE:TROIS MILLE SEPT CENT QUATRE VINGT DIX NEUF DINARS ET 080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</si>
</sst>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2"/>
      <color rgb="FF2222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1"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9" zoomScale="95"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69</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44001</v>
      </c>
      <c r="N21" s="165"/>
      <c r="O21" s="55"/>
      <c r="P21" s="8"/>
    </row>
    <row r="22" spans="1:16" ht="14.25" x14ac:dyDescent="0.2">
      <c r="B22" s="7"/>
      <c r="C22" s="3"/>
      <c r="D22" s="82" t="s">
        <v>5</v>
      </c>
      <c r="E22" s="173" t="s">
        <v>64</v>
      </c>
      <c r="F22" s="174"/>
      <c r="G22" s="174"/>
      <c r="H22" s="174"/>
      <c r="I22" s="174"/>
      <c r="J22" s="174"/>
      <c r="K22" s="82"/>
      <c r="L22" s="129" t="s">
        <v>60</v>
      </c>
      <c r="M22" s="157"/>
      <c r="N22" s="158"/>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3" t="s">
        <v>22</v>
      </c>
      <c r="G26" s="154"/>
      <c r="H26" s="154"/>
      <c r="I26" s="154"/>
      <c r="J26" s="154"/>
      <c r="K26" s="154"/>
      <c r="L26" s="155"/>
      <c r="M26" s="52" t="s">
        <v>53</v>
      </c>
      <c r="N26" s="114" t="s">
        <v>23</v>
      </c>
      <c r="O26" s="57"/>
      <c r="P26" s="8"/>
    </row>
    <row r="27" spans="1:16" ht="15.75" x14ac:dyDescent="0.25">
      <c r="B27" s="7"/>
      <c r="C27" s="3"/>
      <c r="D27" s="93"/>
      <c r="E27" s="75"/>
      <c r="F27" s="179"/>
      <c r="G27" s="180"/>
      <c r="H27" s="180"/>
      <c r="I27" s="180"/>
      <c r="J27" s="180"/>
      <c r="K27" s="180"/>
      <c r="L27" s="134"/>
      <c r="M27" s="133"/>
      <c r="N27" s="96" t="str">
        <f t="shared" ref="N27" si="0">IF(E27&lt;&gt;"",E27*M27,"")</f>
        <v/>
      </c>
      <c r="O27" s="57"/>
      <c r="P27" s="8"/>
    </row>
    <row r="28" spans="1:16" ht="18" x14ac:dyDescent="0.25">
      <c r="B28" s="7"/>
      <c r="C28" s="3"/>
      <c r="D28" s="108" t="s">
        <v>73</v>
      </c>
      <c r="E28" s="75">
        <v>400</v>
      </c>
      <c r="F28" s="127" t="s">
        <v>67</v>
      </c>
      <c r="G28" s="128"/>
      <c r="H28" s="81"/>
      <c r="I28" s="109"/>
      <c r="J28" s="109"/>
      <c r="K28" s="81"/>
      <c r="L28" s="135"/>
      <c r="M28" s="117">
        <v>6.45</v>
      </c>
      <c r="N28" s="96">
        <f>IF(E28&lt;&gt;"",E28*M28,"")</f>
        <v>2580</v>
      </c>
      <c r="O28" s="57"/>
      <c r="P28" s="8"/>
    </row>
    <row r="29" spans="1:16" ht="18" x14ac:dyDescent="0.25">
      <c r="A29" s="99" t="s">
        <v>55</v>
      </c>
      <c r="B29" s="7"/>
      <c r="C29" s="3"/>
      <c r="D29" s="108"/>
      <c r="E29" s="75"/>
      <c r="F29" s="127" t="s">
        <v>70</v>
      </c>
      <c r="G29" s="128"/>
      <c r="H29" s="81"/>
      <c r="I29" s="109"/>
      <c r="J29" s="109"/>
      <c r="K29" s="81"/>
      <c r="L29" s="135"/>
      <c r="M29" s="117"/>
      <c r="N29" s="96" t="str">
        <f t="shared" ref="N29:N35" si="1">IF(E29&lt;&gt;"",E29*M29,"")</f>
        <v/>
      </c>
      <c r="O29" s="57"/>
      <c r="P29" s="8"/>
    </row>
    <row r="30" spans="1:16" ht="18" x14ac:dyDescent="0.25">
      <c r="B30" s="7"/>
      <c r="C30" s="3"/>
      <c r="D30" s="108"/>
      <c r="E30" s="75"/>
      <c r="F30" s="127"/>
      <c r="G30" s="128"/>
      <c r="H30" s="81"/>
      <c r="I30" s="109"/>
      <c r="J30" s="109"/>
      <c r="K30" s="81"/>
      <c r="L30" s="135"/>
      <c r="M30" s="117"/>
      <c r="N30" s="96" t="str">
        <f t="shared" si="1"/>
        <v/>
      </c>
      <c r="O30" s="57"/>
      <c r="P30" s="8"/>
    </row>
    <row r="31" spans="1:16" ht="18" x14ac:dyDescent="0.25">
      <c r="B31" s="7"/>
      <c r="C31" s="3"/>
      <c r="D31" s="108">
        <v>2152</v>
      </c>
      <c r="E31" s="75">
        <v>4</v>
      </c>
      <c r="F31" s="127" t="s">
        <v>71</v>
      </c>
      <c r="G31" s="128"/>
      <c r="H31" s="81"/>
      <c r="I31" s="109"/>
      <c r="J31" s="109"/>
      <c r="K31" s="81"/>
      <c r="L31" s="135"/>
      <c r="M31" s="117">
        <v>108</v>
      </c>
      <c r="N31" s="96">
        <f t="shared" si="1"/>
        <v>432</v>
      </c>
      <c r="O31" s="57"/>
      <c r="P31" s="8"/>
    </row>
    <row r="32" spans="1:16" ht="18" x14ac:dyDescent="0.25">
      <c r="B32" s="7"/>
      <c r="C32" s="3"/>
      <c r="D32" s="108"/>
      <c r="E32" s="75"/>
      <c r="F32" s="81"/>
      <c r="G32" s="128"/>
      <c r="H32" s="81"/>
      <c r="I32" s="109"/>
      <c r="J32" s="81"/>
      <c r="K32" s="81"/>
      <c r="L32" s="135"/>
      <c r="M32" s="117"/>
      <c r="N32" s="96" t="str">
        <f t="shared" si="1"/>
        <v/>
      </c>
      <c r="O32" s="57"/>
      <c r="P32" s="8"/>
    </row>
    <row r="33" spans="2:16" ht="18" x14ac:dyDescent="0.25">
      <c r="B33" s="7"/>
      <c r="C33" s="3"/>
      <c r="D33" s="108"/>
      <c r="E33" s="75"/>
      <c r="F33" s="81"/>
      <c r="G33" s="128"/>
      <c r="H33" s="81"/>
      <c r="I33" s="109"/>
      <c r="J33" s="81"/>
      <c r="K33" s="81"/>
      <c r="L33" s="109"/>
      <c r="M33" s="96"/>
      <c r="N33" s="96" t="str">
        <f t="shared" si="1"/>
        <v/>
      </c>
      <c r="O33" s="57"/>
      <c r="P33" s="8"/>
    </row>
    <row r="34" spans="2:16" ht="18" x14ac:dyDescent="0.25">
      <c r="B34" s="7"/>
      <c r="C34" s="3"/>
      <c r="D34" s="108" t="s">
        <v>74</v>
      </c>
      <c r="E34" s="75">
        <v>4</v>
      </c>
      <c r="F34" s="186" t="s">
        <v>72</v>
      </c>
      <c r="G34" s="128"/>
      <c r="H34" s="81"/>
      <c r="I34" s="109"/>
      <c r="J34" s="109"/>
      <c r="K34" s="81"/>
      <c r="L34" s="109"/>
      <c r="M34" s="96">
        <v>45</v>
      </c>
      <c r="N34" s="96">
        <f t="shared" si="1"/>
        <v>180</v>
      </c>
      <c r="O34" s="57"/>
      <c r="P34" s="8"/>
    </row>
    <row r="35" spans="2:16" ht="18" x14ac:dyDescent="0.25">
      <c r="B35" s="7"/>
      <c r="C35" s="3"/>
      <c r="D35" s="108"/>
      <c r="E35" s="75"/>
      <c r="F35" s="81"/>
      <c r="G35" s="128"/>
      <c r="H35" s="81"/>
      <c r="I35" s="109"/>
      <c r="J35" s="81"/>
      <c r="K35" s="81"/>
      <c r="L35" s="109"/>
      <c r="M35" s="96"/>
      <c r="N35" s="96" t="str">
        <f t="shared" si="1"/>
        <v/>
      </c>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62"/>
      <c r="G44" s="163"/>
      <c r="H44" s="163"/>
      <c r="I44" s="163"/>
      <c r="J44" s="163"/>
      <c r="K44" s="163"/>
      <c r="L44" s="119"/>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3192</v>
      </c>
      <c r="O45" s="57"/>
      <c r="P45" s="8"/>
    </row>
    <row r="46" spans="2:16" ht="15" customHeight="1" x14ac:dyDescent="0.2">
      <c r="B46" s="7"/>
      <c r="C46" s="3"/>
      <c r="D46" s="3"/>
      <c r="E46" s="82"/>
      <c r="F46" s="82"/>
      <c r="G46" s="82"/>
      <c r="H46" s="82"/>
      <c r="I46" s="82"/>
      <c r="J46" s="76"/>
      <c r="K46" s="76"/>
      <c r="L46" s="76"/>
      <c r="M46" s="106" t="s">
        <v>46</v>
      </c>
      <c r="N46" s="104">
        <v>0.6</v>
      </c>
      <c r="O46" s="57"/>
      <c r="P46" s="8"/>
    </row>
    <row r="47" spans="2:16" ht="15" customHeight="1" x14ac:dyDescent="0.2">
      <c r="B47" s="7"/>
      <c r="C47" s="3"/>
      <c r="D47" s="3"/>
      <c r="E47" s="83"/>
      <c r="F47" s="107" t="s">
        <v>25</v>
      </c>
      <c r="G47" s="82"/>
      <c r="H47" s="82"/>
      <c r="I47" s="82"/>
      <c r="J47" s="78"/>
      <c r="K47" s="78"/>
      <c r="L47" s="77"/>
      <c r="M47" s="105">
        <v>0.19</v>
      </c>
      <c r="N47" s="104">
        <f>N45*0.19</f>
        <v>606.48</v>
      </c>
      <c r="O47" s="57"/>
      <c r="P47" s="8"/>
    </row>
    <row r="48" spans="2:16" ht="15" customHeight="1" x14ac:dyDescent="0.25">
      <c r="B48" s="7"/>
      <c r="C48" s="3"/>
      <c r="D48" s="3"/>
      <c r="E48" s="85"/>
      <c r="F48" s="136" t="s">
        <v>68</v>
      </c>
      <c r="G48" s="87"/>
      <c r="H48" s="85"/>
      <c r="I48" s="82"/>
      <c r="J48" s="79"/>
      <c r="K48" s="76"/>
      <c r="L48" s="76"/>
      <c r="M48" s="144" t="s">
        <v>27</v>
      </c>
      <c r="N48" s="145">
        <f>+N45+N46+N47</f>
        <v>3799.08</v>
      </c>
      <c r="O48" s="57"/>
      <c r="P48" s="8"/>
    </row>
    <row r="49" spans="1:16" ht="15" x14ac:dyDescent="0.2">
      <c r="B49" s="7"/>
      <c r="C49" s="3"/>
      <c r="D49" s="3"/>
      <c r="E49" s="85">
        <v>2</v>
      </c>
      <c r="F49" s="107" t="s">
        <v>57</v>
      </c>
      <c r="G49" s="82"/>
      <c r="H49" s="86"/>
      <c r="I49" s="82"/>
      <c r="J49" s="80" t="s">
        <v>26</v>
      </c>
      <c r="K49" s="76"/>
      <c r="L49" s="76"/>
      <c r="M49" s="144"/>
      <c r="N49" s="146"/>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t="s">
        <v>75</v>
      </c>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62</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56"/>
      <c r="D55" s="156"/>
      <c r="E55" s="156"/>
      <c r="F55" s="156"/>
      <c r="G55" s="156"/>
      <c r="H55" s="156"/>
      <c r="I55" s="156"/>
      <c r="J55" s="156"/>
      <c r="K55" s="156"/>
      <c r="L55" s="156"/>
      <c r="M55" s="100"/>
      <c r="N55" s="101"/>
      <c r="O55" s="57"/>
      <c r="P55" s="8"/>
    </row>
    <row r="56" spans="1:16" ht="15.75" x14ac:dyDescent="0.2">
      <c r="B56" s="7"/>
      <c r="C56" s="3"/>
      <c r="D56" s="3"/>
      <c r="E56" s="18"/>
      <c r="F56" s="183"/>
      <c r="G56" s="183"/>
      <c r="H56" s="183"/>
      <c r="I56" s="183"/>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59</v>
      </c>
      <c r="F58" s="124"/>
      <c r="G58" s="124"/>
      <c r="H58" s="124"/>
      <c r="I58" s="124"/>
      <c r="J58" s="124"/>
      <c r="K58" s="124"/>
      <c r="L58" s="124"/>
      <c r="M58" s="124"/>
      <c r="N58" s="98"/>
      <c r="O58" s="57"/>
      <c r="P58" s="8"/>
    </row>
    <row r="59" spans="1:16" ht="0.95" customHeight="1" thickBot="1" x14ac:dyDescent="0.25">
      <c r="A59" s="121"/>
      <c r="B59" s="7"/>
      <c r="C59" s="3"/>
      <c r="D59" s="3"/>
      <c r="E59" s="18"/>
      <c r="F59" s="184" t="s">
        <v>56</v>
      </c>
      <c r="G59" s="184"/>
      <c r="H59" s="184"/>
      <c r="I59" s="184"/>
      <c r="J59" s="184"/>
      <c r="K59" s="184"/>
      <c r="L59" s="184"/>
      <c r="M59" s="98"/>
      <c r="N59" s="98"/>
      <c r="O59" s="57"/>
      <c r="P59" s="8"/>
    </row>
    <row r="60" spans="1:16" ht="6" customHeight="1" thickTop="1" x14ac:dyDescent="0.2">
      <c r="A60" s="121"/>
      <c r="B60" s="58"/>
      <c r="C60" s="3"/>
      <c r="D60" s="3"/>
      <c r="E60" s="185" t="s">
        <v>58</v>
      </c>
      <c r="F60" s="185"/>
      <c r="G60" s="185"/>
      <c r="H60" s="185"/>
      <c r="I60" s="185"/>
      <c r="J60" s="185"/>
      <c r="K60" s="185"/>
      <c r="L60" s="185"/>
      <c r="M60" s="185"/>
      <c r="N60" s="98"/>
      <c r="O60" s="57"/>
    </row>
    <row r="61" spans="1:16" ht="15.75" x14ac:dyDescent="0.2">
      <c r="A61" s="121"/>
      <c r="B61" s="126"/>
      <c r="C61" s="3"/>
      <c r="D61" s="3"/>
      <c r="E61" s="185"/>
      <c r="F61" s="185"/>
      <c r="G61" s="185"/>
      <c r="H61" s="185"/>
      <c r="I61" s="185"/>
      <c r="J61" s="185"/>
      <c r="K61" s="185"/>
      <c r="L61" s="185"/>
      <c r="M61" s="185"/>
      <c r="N61" s="98"/>
      <c r="O61" s="57"/>
    </row>
    <row r="62" spans="1:16" ht="13.5" thickBot="1" x14ac:dyDescent="0.25">
      <c r="A62" s="121"/>
      <c r="B62" s="125"/>
      <c r="C62" s="120"/>
      <c r="D62" s="120"/>
      <c r="E62" s="121"/>
      <c r="F62" s="121"/>
      <c r="G62" s="121"/>
      <c r="H62" s="182"/>
      <c r="I62" s="182"/>
      <c r="J62" s="182"/>
      <c r="K62" s="182"/>
      <c r="L62" s="182"/>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81"/>
      <c r="L64" s="181"/>
      <c r="M64" s="181"/>
      <c r="N64" s="181"/>
      <c r="O64" s="181"/>
    </row>
    <row r="65" spans="1:15" x14ac:dyDescent="0.2">
      <c r="A65" s="121"/>
      <c r="C65" s="125"/>
      <c r="D65" s="125"/>
      <c r="E65" s="125"/>
      <c r="F65" s="125"/>
      <c r="G65" s="125"/>
      <c r="H65" s="125"/>
      <c r="I65" s="125"/>
      <c r="J65" s="125"/>
      <c r="K65" s="182"/>
      <c r="L65" s="182"/>
      <c r="M65" s="182"/>
      <c r="N65" s="182"/>
      <c r="O65" s="182"/>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4:O65"/>
    <mergeCell ref="F56:I56"/>
    <mergeCell ref="F59:L59"/>
    <mergeCell ref="H62:L62"/>
    <mergeCell ref="E60:M61"/>
    <mergeCell ref="H14:L15"/>
    <mergeCell ref="M9:N9"/>
    <mergeCell ref="F44:K44"/>
    <mergeCell ref="M21:N21"/>
    <mergeCell ref="M23:N23"/>
    <mergeCell ref="M24:N24"/>
    <mergeCell ref="M13:N13"/>
    <mergeCell ref="G23:H23"/>
    <mergeCell ref="E22:J22"/>
    <mergeCell ref="E21:J21"/>
    <mergeCell ref="E24:J24"/>
    <mergeCell ref="F27:K27"/>
    <mergeCell ref="M48:M49"/>
    <mergeCell ref="N48:N49"/>
    <mergeCell ref="M17:N19"/>
    <mergeCell ref="F26:L26"/>
    <mergeCell ref="C55:L55"/>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44001</v>
      </c>
      <c r="D8" s="71" t="str">
        <f>Facture!$E$21</f>
        <v>NXT</v>
      </c>
      <c r="E8" s="68" t="str">
        <f>Facture!$E$22</f>
        <v>AV MOSBAH JARBOU EL MANAR II</v>
      </c>
      <c r="F8" s="68">
        <f>Facture!$E$23</f>
        <v>0</v>
      </c>
      <c r="G8" s="71">
        <f>Facture!$G$23</f>
        <v>0</v>
      </c>
      <c r="H8" s="71" t="str">
        <f>Facture!$J$23</f>
        <v>TN</v>
      </c>
      <c r="I8" s="68" t="str">
        <f>Facture!$E$24</f>
        <v xml:space="preserve">     71882832       Fax: </v>
      </c>
      <c r="J8" s="72">
        <f>Facture!$N$48</f>
        <v>3799.08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2020-06-19T16:08:36Z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3799.08</vt:r8>
  </property>
</Properties>
</file>