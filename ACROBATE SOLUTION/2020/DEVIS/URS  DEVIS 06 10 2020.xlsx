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9" i="3" l="1"/>
  <c r="M40" i="3"/>
  <c r="M41" i="3"/>
  <c r="M42" i="3"/>
  <c r="M43" i="3"/>
  <c r="M44" i="3"/>
  <c r="M45" i="3"/>
  <c r="M29" i="3"/>
  <c r="M30" i="3"/>
  <c r="M28" i="3" l="1"/>
  <c r="M32" i="3"/>
  <c r="M35" i="3"/>
  <c r="M36" i="3"/>
  <c r="M37" i="3"/>
  <c r="M38" i="3"/>
  <c r="M46" i="3" l="1"/>
  <c r="F33" i="2"/>
  <c r="K8" i="8"/>
  <c r="I8" i="8"/>
  <c r="H8" i="8"/>
  <c r="G8" i="8"/>
  <c r="F8" i="8"/>
  <c r="E8" i="8"/>
  <c r="D8" i="8"/>
  <c r="C8" i="8"/>
  <c r="B8" i="8"/>
  <c r="M49" i="3" l="1"/>
  <c r="J8" i="8" s="1"/>
</calcChain>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<sst xmlns="http://schemas.openxmlformats.org/spreadsheetml/2006/main" count="86" uniqueCount="76">
  <si>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</si>
  <si>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</si>
  <si>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</si>
  <si>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</si>
  <si>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</si>
  <si>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</si>
  <si>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</si>
  <si>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</si>
  <si>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</si>
  <si>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</si>
  <si>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</si>
  <si>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</si>
  <si>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</si>
  <si>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</si>
  <si>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</si>
  <si>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</si>
  <si>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</si>
  <si>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</si>
  <si>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</si>
  <si>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</si>
  <si>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</si>
  <si>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</si>
  <si>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</si>
  <si>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</si>
  <si>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</si>
  <si>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</si>
  <si>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</si>
  <si>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</si>
  <si>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</si>
  <si>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</si>
  <si>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</si>
  <si>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</si>
  <si>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</si>
  <si>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</si>
  <si>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</si>
  <si>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</si>
  <si>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</si>
  <si>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</si>
  <si>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</si>
  <si>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</si>
  <si>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</si>
  <si>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</si>
  <si>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</si>
  <si>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</si>
  <si>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</si>
  <si>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</si>
  <si>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</si>
  <si>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</si>
  <si>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</si>
  <si>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</si>
  <si>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</si>
  <si>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</si>
  <si>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</si>
  <si>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</si>
  <si>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</si>
  <si>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</si>
  <si>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</si>
  <si>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</si>
  <si>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</si>
  <si>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</si>
  <si>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</si>
  <si>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</si>
  <si>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</si>
  <si>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</si>
  <si>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</si>
  <si>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URS</t>
  </si>
  <si>
    <t>LAC FORUM BUSINESS LES BERGES DE LAC II</t>
  </si>
  <si>
    <t>Mr:1465946H/A/M/000</t>
  </si>
  <si>
    <t>70020498             fax:</t>
  </si>
  <si>
    <t>Responsable :Mr Yassine Bousnina</t>
  </si>
  <si>
    <t>OFFRE DE PRIX                          N° 2020-1080</t>
  </si>
  <si>
    <t>ARES VISOR - Visière</t>
  </si>
  <si>
    <t>EN 166- EN 170- EN 172</t>
  </si>
  <si>
    <t xml:space="preserve">Virement </t>
  </si>
  <si>
    <t>ARRETE LA PRESENTE OFFRE DE PRIX A LA SOMME DE :  CENT QUATRE VINGT DOUZE  DINARS ET 600 MILLIME</t>
  </si>
  <si>
    <t>DATE :06/10/2020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</si>
</sst>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150452</xdr:colOff>
      <xdr:row>7</xdr:row>
      <xdr:rowOff>142875</xdr:rowOff>
    </xdr:from>
    <xdr:to>
      <xdr:col>13</xdr:col>
      <xdr:colOff>217320</xdr:colOff>
      <xdr:row>12</xdr:row>
      <xdr:rowOff>111125</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11374077" y="1127125"/>
          <a:ext cx="2257618" cy="825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317500</xdr:colOff>
      <xdr:row>6</xdr:row>
      <xdr:rowOff>82004</xdr:rowOff>
    </xdr:from>
    <xdr:to>
      <xdr:col>11</xdr:col>
      <xdr:colOff>952500</xdr:colOff>
      <xdr:row>12</xdr:row>
      <xdr:rowOff>127000</xdr:rowOff>
    </xdr:to>
    <xdr:pic>
      <xdr:nvPicPr>
        <xdr:cNvPr id="8" name="Imag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907504"/>
          <a:ext cx="4143375" cy="1060996"/>
        </a:xfrm>
        <a:prstGeom prst="rect">
          <a:avLst/>
        </a:prstGeom>
      </xdr:spPr>
    </xdr:pic>
    <xdr:clientData/>
  </xdr:twoCellAnchor>
  <xdr:twoCellAnchor editAs="oneCell">
    <xdr:from>
      <xdr:col>11</xdr:col>
      <xdr:colOff>904876</xdr:colOff>
      <xdr:row>7</xdr:row>
      <xdr:rowOff>0</xdr:rowOff>
    </xdr:from>
    <xdr:to>
      <xdr:col>12</xdr:col>
      <xdr:colOff>111126</xdr:colOff>
      <xdr:row>12</xdr:row>
      <xdr:rowOff>95250</xdr:rowOff>
    </xdr:to>
    <xdr:pic>
      <xdr:nvPicPr>
        <xdr:cNvPr id="10" name="Image 9"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01" y="984250"/>
          <a:ext cx="2190750" cy="952500"/>
        </a:xfrm>
        <a:prstGeom prst="rect">
          <a:avLst/>
        </a:prstGeom>
        <a:noFill/>
        <a:ln>
          <a:noFill/>
        </a:ln>
      </xdr:spPr>
    </xdr:pic>
    <xdr:clientData/>
  </xdr:twoCellAnchor>
  <mc:AlternateContent xmlns:mc="http://schemas.openxmlformats.org/markup-compatibility/2006">
    <mc:Choice xmlns:a14="http://schemas.microsoft.com/office/drawing/2010/main" Requires="a14">
      <xdr:oneCellAnchor>
        <xdr:from>
          <xdr:col>3</xdr:col>
          <xdr:colOff>1590675</xdr:colOff>
          <xdr:row>48</xdr:row>
          <xdr:rowOff>95250</xdr:rowOff>
        </xdr:from>
        <xdr:ext cx="295275" cy="219075"/>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3"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70</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65</v>
      </c>
      <c r="F22" s="184"/>
      <c r="G22" s="184"/>
      <c r="H22" s="184"/>
      <c r="I22" s="184"/>
      <c r="J22" s="184"/>
      <c r="K22" s="104"/>
      <c r="L22" s="182" t="s">
        <v>75</v>
      </c>
      <c r="M22" s="182"/>
      <c r="N22" s="52"/>
      <c r="O22" s="9"/>
    </row>
    <row r="23" spans="2:15" ht="33.75" x14ac:dyDescent="0.5">
      <c r="B23" s="7"/>
      <c r="C23" s="3"/>
      <c r="D23" s="103" t="s">
        <v>54</v>
      </c>
      <c r="E23" s="172" t="s">
        <v>66</v>
      </c>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3" t="s">
        <v>69</v>
      </c>
      <c r="M24" s="183"/>
      <c r="N24" s="3"/>
      <c r="O24" s="9"/>
    </row>
    <row r="25" spans="2:15" ht="33.75" x14ac:dyDescent="0.5">
      <c r="B25" s="7"/>
      <c r="C25" s="3"/>
      <c r="D25" s="103" t="s">
        <v>56</v>
      </c>
      <c r="E25" s="103" t="s">
        <v>68</v>
      </c>
      <c r="F25" s="103"/>
      <c r="G25" s="103"/>
      <c r="H25" s="103"/>
      <c r="I25" s="103"/>
      <c r="J25" s="103"/>
      <c r="K25" s="104"/>
      <c r="L25" s="183" t="s">
        <v>67</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c r="E30" s="111"/>
      <c r="F30" s="122"/>
      <c r="G30" s="145"/>
      <c r="H30" s="145"/>
      <c r="I30" s="145"/>
      <c r="J30" s="145"/>
      <c r="K30" s="146"/>
      <c r="L30" s="113"/>
      <c r="M30" s="118" t="str">
        <f t="shared" ref="M30:M45" si="0">IF(E30&lt;&gt;"",E30*L30,"")</f>
        <v/>
      </c>
      <c r="N30" s="54"/>
      <c r="O30" s="9"/>
    </row>
    <row r="31" spans="2:15" ht="30" x14ac:dyDescent="0.4">
      <c r="B31" s="7"/>
      <c r="C31" s="3"/>
      <c r="D31" s="153"/>
      <c r="E31" s="158"/>
      <c r="F31" s="145"/>
      <c r="G31" s="159"/>
      <c r="H31" s="159"/>
      <c r="I31" s="159"/>
      <c r="J31" s="159"/>
      <c r="K31" s="159"/>
      <c r="L31" s="113"/>
      <c r="M31" s="118"/>
      <c r="N31" s="54"/>
      <c r="O31" s="9"/>
    </row>
    <row r="32" spans="2:15" ht="30" x14ac:dyDescent="0.4">
      <c r="B32" s="7"/>
      <c r="C32" s="3"/>
      <c r="D32" s="153">
        <v>749</v>
      </c>
      <c r="E32" s="154">
        <v>1</v>
      </c>
      <c r="F32" s="122" t="s">
        <v>71</v>
      </c>
      <c r="G32" s="145"/>
      <c r="H32" s="145"/>
      <c r="I32" s="145"/>
      <c r="J32" s="145"/>
      <c r="K32" s="146"/>
      <c r="L32" s="113">
        <v>192</v>
      </c>
      <c r="M32" s="118">
        <f t="shared" si="0"/>
        <v>192</v>
      </c>
      <c r="N32" s="54"/>
      <c r="O32" s="9"/>
    </row>
    <row r="33" spans="2:15" ht="26.25" x14ac:dyDescent="0.35">
      <c r="B33" s="7"/>
      <c r="C33" s="3"/>
      <c r="D33" s="153"/>
      <c r="E33" s="154"/>
      <c r="F33" s="122" t="s">
        <v>72</v>
      </c>
      <c r="G33" s="145"/>
      <c r="H33" s="145"/>
      <c r="I33" s="145"/>
      <c r="J33" s="145"/>
      <c r="K33" s="146"/>
      <c r="L33" s="159"/>
      <c r="M33" s="118"/>
      <c r="N33" s="54"/>
      <c r="O33" s="9"/>
    </row>
    <row r="34" spans="2:15" ht="26.25" x14ac:dyDescent="0.35">
      <c r="B34" s="7"/>
      <c r="C34" s="3"/>
      <c r="D34" s="153"/>
      <c r="E34" s="154"/>
      <c r="F34" s="122"/>
      <c r="G34" s="145"/>
      <c r="H34" s="145"/>
      <c r="I34" s="145"/>
      <c r="J34" s="145"/>
      <c r="K34" s="146"/>
      <c r="L34" s="159"/>
      <c r="M34" s="118"/>
      <c r="N34" s="54"/>
      <c r="O34" s="9"/>
    </row>
    <row r="35" spans="2:15" ht="30" x14ac:dyDescent="0.4">
      <c r="B35" s="7"/>
      <c r="C35" s="3"/>
      <c r="D35" s="153"/>
      <c r="E35" s="154"/>
      <c r="F35" s="122"/>
      <c r="G35" s="145"/>
      <c r="H35" s="145"/>
      <c r="I35" s="145"/>
      <c r="J35" s="145"/>
      <c r="K35" s="146"/>
      <c r="L35" s="113"/>
      <c r="M35" s="118" t="str">
        <f t="shared" si="0"/>
        <v/>
      </c>
      <c r="N35" s="95"/>
      <c r="O35" s="9"/>
    </row>
    <row r="36" spans="2:15" ht="30" x14ac:dyDescent="0.4">
      <c r="B36" s="7"/>
      <c r="C36" s="3"/>
      <c r="D36" s="153"/>
      <c r="E36" s="154"/>
      <c r="F36" s="122"/>
      <c r="G36" s="145"/>
      <c r="H36" s="145"/>
      <c r="I36" s="145"/>
      <c r="J36" s="145"/>
      <c r="K36" s="146"/>
      <c r="L36" s="113"/>
      <c r="M36" s="118" t="str">
        <f t="shared" si="0"/>
        <v/>
      </c>
      <c r="N36" s="95"/>
      <c r="O36" s="9"/>
    </row>
    <row r="37" spans="2:15" ht="30" x14ac:dyDescent="0.4">
      <c r="B37" s="7"/>
      <c r="C37" s="3"/>
      <c r="D37" s="153"/>
      <c r="E37" s="154"/>
      <c r="F37" s="122"/>
      <c r="G37" s="145"/>
      <c r="H37" s="145"/>
      <c r="I37" s="145"/>
      <c r="J37" s="145"/>
      <c r="K37" s="146"/>
      <c r="L37" s="113"/>
      <c r="M37" s="118" t="str">
        <f t="shared" si="0"/>
        <v/>
      </c>
      <c r="N37" s="95"/>
      <c r="O37" s="9"/>
    </row>
    <row r="38" spans="2:15" ht="30" x14ac:dyDescent="0.4">
      <c r="B38" s="7"/>
      <c r="C38" s="3"/>
      <c r="D38" s="153"/>
      <c r="E38" s="154"/>
      <c r="F38" s="122"/>
      <c r="G38" s="145"/>
      <c r="H38" s="145"/>
      <c r="I38" s="145"/>
      <c r="J38" s="145"/>
      <c r="K38" s="146"/>
      <c r="L38" s="113"/>
      <c r="M38" s="118" t="str">
        <f t="shared" si="0"/>
        <v/>
      </c>
      <c r="N38" s="95"/>
      <c r="O38" s="9"/>
    </row>
    <row r="39" spans="2:15" ht="30" x14ac:dyDescent="0.4">
      <c r="B39" s="7"/>
      <c r="C39" s="3"/>
      <c r="D39" s="153"/>
      <c r="E39" s="154"/>
      <c r="F39" s="122"/>
      <c r="G39" s="145"/>
      <c r="H39" s="145"/>
      <c r="I39" s="145"/>
      <c r="J39" s="145"/>
      <c r="K39" s="146"/>
      <c r="L39" s="113"/>
      <c r="M39" s="118" t="str">
        <f t="shared" si="0"/>
        <v/>
      </c>
      <c r="N39" s="54"/>
      <c r="O39" s="9"/>
    </row>
    <row r="40" spans="2:15" ht="30" x14ac:dyDescent="0.4">
      <c r="B40" s="7"/>
      <c r="C40" s="3"/>
      <c r="D40" s="153"/>
      <c r="E40" s="111"/>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5"/>
      <c r="E45" s="149"/>
      <c r="F45" s="150"/>
      <c r="G45" s="142"/>
      <c r="H45" s="142"/>
      <c r="I45" s="142"/>
      <c r="J45" s="142"/>
      <c r="K45" s="143"/>
      <c r="L45" s="151"/>
      <c r="M45" s="152" t="str">
        <f t="shared" si="0"/>
        <v/>
      </c>
      <c r="N45" s="54"/>
      <c r="O45" s="9"/>
    </row>
    <row r="46" spans="2:15" ht="35.25" x14ac:dyDescent="0.5">
      <c r="B46" s="7"/>
      <c r="C46" s="3"/>
      <c r="D46" s="85"/>
      <c r="E46" s="96"/>
      <c r="F46" s="128"/>
      <c r="G46" s="125"/>
      <c r="H46" s="125"/>
      <c r="I46" s="125"/>
      <c r="J46" s="126"/>
      <c r="K46" s="127"/>
      <c r="L46" s="130" t="s">
        <v>26</v>
      </c>
      <c r="M46" s="135">
        <f>SUM(M28:M45)</f>
        <v>192</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c r="N48" s="54"/>
      <c r="O48" s="9"/>
    </row>
    <row r="49" spans="2:16" ht="35.25" x14ac:dyDescent="0.5">
      <c r="B49" s="7"/>
      <c r="C49" s="3"/>
      <c r="D49" s="102"/>
      <c r="E49" s="98" t="s">
        <v>73</v>
      </c>
      <c r="F49" s="97"/>
      <c r="G49" s="82"/>
      <c r="H49" s="81"/>
      <c r="I49" s="77"/>
      <c r="J49" s="83"/>
      <c r="K49" s="93"/>
      <c r="L49" s="110" t="s">
        <v>28</v>
      </c>
      <c r="M49" s="109">
        <f>+M46+M47+M48</f>
        <v>192.6</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ht="20.25" x14ac:dyDescent="0.3">
      <c r="B52" s="7"/>
      <c r="C52" s="3"/>
      <c r="D52" s="177" t="s">
        <v>74</v>
      </c>
      <c r="E52" s="178"/>
      <c r="F52" s="178"/>
      <c r="G52" s="178"/>
      <c r="H52" s="178"/>
      <c r="I52" s="178"/>
      <c r="J52" s="178"/>
      <c r="K52" s="178"/>
      <c r="L52" s="178"/>
      <c r="M52" s="124"/>
      <c r="N52" s="54"/>
      <c r="O52" s="9"/>
    </row>
    <row r="53" spans="2:16" ht="26.25" x14ac:dyDescent="0.4">
      <c r="B53" s="7"/>
      <c r="C53" s="3"/>
      <c r="D53" s="178"/>
      <c r="E53" s="178"/>
      <c r="F53" s="178"/>
      <c r="G53" s="178"/>
      <c r="H53" s="178"/>
      <c r="I53" s="178"/>
      <c r="J53" s="178"/>
      <c r="K53" s="178"/>
      <c r="L53" s="178"/>
      <c r="M53" s="134"/>
      <c r="N53" s="54"/>
      <c r="O53" s="9"/>
    </row>
    <row r="54" spans="2:16" ht="26.25" x14ac:dyDescent="0.4">
      <c r="B54" s="7"/>
      <c r="C54" s="3"/>
      <c r="D54" s="124"/>
      <c r="E54" s="124"/>
      <c r="F54" s="134"/>
      <c r="G54" s="140"/>
      <c r="H54" s="140"/>
      <c r="I54" s="140"/>
      <c r="J54" s="78"/>
      <c r="K54" s="121"/>
      <c r="L54" s="156" t="s">
        <v>63</v>
      </c>
      <c r="M54" s="156"/>
      <c r="N54" s="115"/>
      <c r="O54" s="9"/>
    </row>
    <row r="55" spans="2:16" ht="23.25" x14ac:dyDescent="0.25">
      <c r="B55" s="7"/>
      <c r="C55" s="3"/>
      <c r="D55" s="124"/>
      <c r="E55" s="124"/>
      <c r="F55" s="141"/>
      <c r="G55" s="171"/>
      <c r="H55" s="171"/>
      <c r="I55" s="171"/>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9"/>
    </row>
    <row r="58" spans="2:16" ht="20.25" x14ac:dyDescent="0.3">
      <c r="B58" s="7"/>
      <c r="C58" s="3"/>
      <c r="D58" s="119" t="s">
        <v>60</v>
      </c>
      <c r="E58" s="157"/>
      <c r="F58" s="78"/>
      <c r="G58" s="78"/>
      <c r="H58" s="78"/>
      <c r="I58" s="78"/>
      <c r="J58" s="78"/>
      <c r="K58" s="88"/>
      <c r="L58" s="88"/>
      <c r="M58" s="89"/>
      <c r="N58" s="54"/>
      <c r="O58" s="136"/>
      <c r="P58" s="137"/>
    </row>
    <row r="59" spans="2:16" ht="20.25" x14ac:dyDescent="0.3">
      <c r="B59" s="7"/>
      <c r="C59" s="3"/>
      <c r="D59" s="120" t="s">
        <v>61</v>
      </c>
      <c r="E59" s="120"/>
      <c r="F59" s="78"/>
      <c r="G59" s="78"/>
      <c r="H59" s="78"/>
      <c r="I59" s="78"/>
      <c r="J59" s="80"/>
      <c r="K59" s="88"/>
      <c r="L59" s="88"/>
      <c r="M59" s="88"/>
      <c r="N59" s="92"/>
      <c r="O59" s="138"/>
      <c r="P59" s="13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70" t="s">
        <v>52</v>
      </c>
      <c r="E61" s="170"/>
      <c r="F61" s="170"/>
      <c r="G61" s="170"/>
      <c r="H61" s="170"/>
      <c r="I61" s="170"/>
      <c r="J61" s="170"/>
      <c r="K61" s="170"/>
      <c r="L61" s="170"/>
      <c r="M61" s="88"/>
      <c r="N61" s="92"/>
      <c r="O61" s="9"/>
    </row>
    <row r="62" spans="2:16" ht="20.100000000000001" customHeight="1" x14ac:dyDescent="0.2">
      <c r="B62" s="7"/>
      <c r="C62" s="3"/>
      <c r="D62" s="170"/>
      <c r="E62" s="170"/>
      <c r="F62" s="170"/>
      <c r="G62" s="170"/>
      <c r="H62" s="170"/>
      <c r="I62" s="170"/>
      <c r="J62" s="170"/>
      <c r="K62" s="170"/>
      <c r="L62" s="170"/>
      <c r="M62" s="89"/>
      <c r="N62" s="54"/>
      <c r="O62" s="9"/>
    </row>
    <row r="63" spans="2:16" ht="15" x14ac:dyDescent="0.2">
      <c r="B63" s="7"/>
      <c r="C63" s="3"/>
      <c r="D63" s="170"/>
      <c r="E63" s="170"/>
      <c r="F63" s="170"/>
      <c r="G63" s="170"/>
      <c r="H63" s="170"/>
      <c r="I63" s="170"/>
      <c r="J63" s="170"/>
      <c r="K63" s="170"/>
      <c r="L63" s="17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D61:L63"/>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:06/10/2020</v>
      </c>
      <c r="D8" s="67" t="str">
        <f>Facture!$E$22</f>
        <v>URS</v>
      </c>
      <c r="E8" s="64" t="str">
        <f>Facture!$E$23</f>
        <v>LAC FORUM BUSINESS LES BERGES DE LAC II</v>
      </c>
      <c r="F8" s="64">
        <f>Facture!$E$24</f>
        <v>0</v>
      </c>
      <c r="G8" s="67">
        <f>Facture!$G$24</f>
        <v>0</v>
      </c>
      <c r="H8" s="67" t="str">
        <f>Facture!$J$24</f>
        <v>TN</v>
      </c>
      <c r="I8" s="64" t="str">
        <f>Facture!$E$25</f>
        <v>70020498             fax:</v>
      </c>
      <c r="J8" s="68">
        <f>Facture!$M$49</f>
        <v>192.6</v>
      </c>
      <c r="K8" s="64" t="str">
        <f>Facture!$L$24</f>
        <v>Responsable :Mr Yassine Bousnina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2019-02-01T13:42:38Z</cp:lastPrinted>
  <dcterms:created xsi:type="dcterms:W3CDTF">1995-05-29T15:50:39Z</dcterms:created>
  <dcterms:modified xsi:type="dcterms:W3CDTF">2020-10-06T10:51:50Z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192.6</vt:r8>
  </property>
</Properties>
</file>