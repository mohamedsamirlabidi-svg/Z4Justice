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3" i="3"/>
  <c r="M34" i="3"/>
  <c r="M35" i="3"/>
  <c r="M38" i="3" l="1"/>
  <c r="M39" i="3"/>
  <c r="M40" i="3"/>
  <c r="M41" i="3"/>
  <c r="M42" i="3"/>
  <c r="M43" i="3"/>
  <c r="M44" i="3"/>
  <c r="M28" i="3" l="1"/>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<sst xmlns="http://schemas.openxmlformats.org/spreadsheetml/2006/main" count="89" uniqueCount="79">
  <si>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</si>
  <si>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</si>
  <si>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</si>
  <si>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</si>
  <si>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</si>
  <si>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</si>
  <si>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</si>
  <si>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</si>
  <si>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</si>
  <si>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</si>
  <si>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</si>
  <si>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</si>
  <si>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</si>
  <si>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</si>
  <si>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</si>
  <si>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</si>
  <si>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</si>
  <si>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</si>
  <si>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</si>
  <si>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</si>
  <si>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</si>
  <si>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</si>
  <si>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</si>
  <si>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</si>
  <si>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</si>
  <si>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</si>
  <si>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</si>
  <si>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</si>
  <si>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</si>
  <si>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</si>
  <si>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</si>
  <si>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</si>
  <si>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</si>
  <si>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</si>
  <si>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</si>
  <si>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</si>
  <si>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</si>
  <si>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</si>
  <si>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</si>
  <si>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</si>
  <si>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</si>
  <si>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</si>
  <si>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</si>
  <si>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</si>
  <si>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</si>
  <si>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</si>
  <si>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</si>
  <si>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</si>
  <si>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</si>
  <si>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</si>
  <si>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</si>
  <si>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</si>
  <si>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</si>
  <si>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</si>
  <si>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</si>
  <si>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</si>
  <si>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</si>
  <si>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</si>
  <si>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</si>
  <si>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</si>
  <si>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</si>
  <si>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</si>
  <si>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</si>
  <si>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</si>
  <si>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</si>
  <si>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</si>
  <si>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</si>
  <si>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</si>
  <si>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</si>
  <si>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</si>
  <si>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Offre de prix 2020-555</t>
  </si>
  <si>
    <t>Date : 10/06/2020</t>
  </si>
  <si>
    <t>GF_002</t>
  </si>
  <si>
    <t>GF_001</t>
  </si>
  <si>
    <t>GILET FLUORESCENT 001</t>
  </si>
  <si>
    <t>GILET FLUORESCENT 002</t>
  </si>
  <si>
    <t xml:space="preserve">PAIEMENT AU COMPTANT </t>
  </si>
  <si>
    <t xml:space="preserve">ARRETE LA PRESENTE DEVIS  A LA SOMME DE:  CENT SOIXANTE ET UN DINARS ET 250 MELLIMES </t>
  </si>
  <si>
    <t>Responsable: Mme.Boutheina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</si>
</sst>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sz val="20"/>
      <color theme="1"/>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twoCellAnchor editAs="oneCell">
    <xdr:from>
      <xdr:col>8</xdr:col>
      <xdr:colOff>904876</xdr:colOff>
      <xdr:row>27</xdr:row>
      <xdr:rowOff>190500</xdr:rowOff>
    </xdr:from>
    <xdr:to>
      <xdr:col>10</xdr:col>
      <xdr:colOff>920751</xdr:colOff>
      <xdr:row>32</xdr:row>
      <xdr:rowOff>301625</xdr:rowOff>
    </xdr:to>
    <xdr:pic>
      <xdr:nvPicPr>
        <xdr:cNvPr id="11" name="Image 10" descr="C:\Users\User\Desktop\téléchargement.jpg"/>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56376" y="6016625"/>
          <a:ext cx="1619250" cy="2016125"/>
        </a:xfrm>
        <a:prstGeom prst="rect">
          <a:avLst/>
        </a:prstGeom>
        <a:noFill/>
        <a:ln>
          <a:noFill/>
        </a:ln>
      </xdr:spPr>
    </xdr:pic>
    <xdr:clientData/>
  </xdr:twoCellAnchor>
  <xdr:twoCellAnchor editAs="oneCell">
    <xdr:from>
      <xdr:col>8</xdr:col>
      <xdr:colOff>63499</xdr:colOff>
      <xdr:row>33</xdr:row>
      <xdr:rowOff>254000</xdr:rowOff>
    </xdr:from>
    <xdr:to>
      <xdr:col>10</xdr:col>
      <xdr:colOff>888999</xdr:colOff>
      <xdr:row>41</xdr:row>
      <xdr:rowOff>174625</xdr:rowOff>
    </xdr:to>
    <xdr:pic>
      <xdr:nvPicPr>
        <xdr:cNvPr id="12" name="Image 11" descr="C:\Users\User\Desktop\gilet-haute-visibilite-multi-poches.jpg"/>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4999" y="8366125"/>
          <a:ext cx="2428875" cy="29686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0" t="s">
        <v>70</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64</v>
      </c>
      <c r="F22" s="185"/>
      <c r="G22" s="185"/>
      <c r="H22" s="185"/>
      <c r="I22" s="185"/>
      <c r="J22" s="185"/>
      <c r="K22" s="104"/>
      <c r="L22" s="183" t="s">
        <v>71</v>
      </c>
      <c r="M22" s="183"/>
      <c r="N22" s="52"/>
      <c r="O22" s="9"/>
    </row>
    <row r="23" spans="2:15" ht="33.75" x14ac:dyDescent="0.5">
      <c r="B23" s="7"/>
      <c r="C23" s="3"/>
      <c r="D23" s="103" t="s">
        <v>54</v>
      </c>
      <c r="E23" s="174" t="s">
        <v>68</v>
      </c>
      <c r="F23" s="174"/>
      <c r="G23" s="174"/>
      <c r="H23" s="174"/>
      <c r="I23" s="174"/>
      <c r="J23" s="174"/>
      <c r="K23" s="174"/>
      <c r="L23" s="105" t="s">
        <v>65</v>
      </c>
      <c r="M23" s="105"/>
      <c r="N23" s="53"/>
      <c r="O23" s="9"/>
    </row>
    <row r="24" spans="2:15" ht="33.75" x14ac:dyDescent="0.5">
      <c r="B24" s="7"/>
      <c r="C24" s="3"/>
      <c r="D24" s="103" t="s">
        <v>55</v>
      </c>
      <c r="E24" s="117">
        <v>2088</v>
      </c>
      <c r="F24" s="106" t="s">
        <v>8</v>
      </c>
      <c r="G24" s="175" t="s">
        <v>69</v>
      </c>
      <c r="H24" s="175"/>
      <c r="I24" s="107" t="s">
        <v>9</v>
      </c>
      <c r="J24" s="108" t="s">
        <v>59</v>
      </c>
      <c r="K24" s="104"/>
      <c r="L24" s="184" t="s">
        <v>78</v>
      </c>
      <c r="M24" s="184"/>
      <c r="N24" s="3"/>
      <c r="O24" s="9"/>
    </row>
    <row r="25" spans="2:15" ht="33.75" x14ac:dyDescent="0.5">
      <c r="B25" s="7"/>
      <c r="C25" s="3"/>
      <c r="D25" s="103" t="s">
        <v>56</v>
      </c>
      <c r="E25" s="186" t="s">
        <v>67</v>
      </c>
      <c r="F25" s="186"/>
      <c r="G25" s="186"/>
      <c r="H25" s="186"/>
      <c r="I25" s="186"/>
      <c r="J25" s="186"/>
      <c r="K25" s="104"/>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4" t="s">
        <v>73</v>
      </c>
      <c r="E28" s="155">
        <v>3</v>
      </c>
      <c r="F28" s="156" t="s">
        <v>74</v>
      </c>
      <c r="G28" s="144"/>
      <c r="H28" s="144"/>
      <c r="I28" s="144"/>
      <c r="J28" s="144"/>
      <c r="K28" s="145"/>
      <c r="L28" s="112">
        <v>15</v>
      </c>
      <c r="M28" s="118">
        <f>IF(E28&lt;&gt;"",E28*L28,"")</f>
        <v>45</v>
      </c>
      <c r="N28" s="54"/>
      <c r="O28" s="9"/>
    </row>
    <row r="29" spans="2:15" ht="30" x14ac:dyDescent="0.4">
      <c r="B29" s="7"/>
      <c r="C29" s="3"/>
      <c r="D29" s="154"/>
      <c r="E29" s="111"/>
      <c r="F29" s="156"/>
      <c r="G29" s="146"/>
      <c r="H29" s="146"/>
      <c r="I29" s="146"/>
      <c r="J29" s="146"/>
      <c r="K29" s="147"/>
      <c r="L29" s="113"/>
      <c r="M29" s="118" t="str">
        <f t="shared" ref="M29:M35"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c r="E31" s="111"/>
      <c r="F31" s="156"/>
      <c r="G31" s="146"/>
      <c r="H31" s="146"/>
      <c r="I31" s="146"/>
      <c r="J31" s="146"/>
      <c r="K31" s="147"/>
      <c r="L31" s="113"/>
      <c r="M31" s="118" t="str">
        <f t="shared" si="0"/>
        <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t="s">
        <v>72</v>
      </c>
      <c r="E33" s="111">
        <v>3</v>
      </c>
      <c r="F33" s="156" t="s">
        <v>75</v>
      </c>
      <c r="G33" s="146"/>
      <c r="H33" s="146"/>
      <c r="I33" s="146"/>
      <c r="J33" s="146"/>
      <c r="K33" s="147"/>
      <c r="L33" s="113">
        <v>30</v>
      </c>
      <c r="M33" s="118">
        <f t="shared" si="0"/>
        <v>90</v>
      </c>
      <c r="N33" s="54"/>
      <c r="O33" s="9"/>
    </row>
    <row r="34" spans="2:15" ht="30" x14ac:dyDescent="0.4">
      <c r="B34" s="7"/>
      <c r="C34" s="3"/>
      <c r="D34" s="154"/>
      <c r="E34" s="111"/>
      <c r="F34" s="164"/>
      <c r="G34" s="161"/>
      <c r="H34" s="161"/>
      <c r="I34" s="161"/>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58"/>
      <c r="G36" s="146"/>
      <c r="H36" s="146"/>
      <c r="I36" s="146"/>
      <c r="J36" s="146"/>
      <c r="K36" s="147"/>
      <c r="L36" s="113"/>
      <c r="M36" s="118" t="str">
        <f t="shared" ref="M34:M44" si="1">IF(E36&lt;&gt;"",E36*L36,"")</f>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3"/>
      <c r="G41" s="162"/>
      <c r="H41" s="162"/>
      <c r="I41" s="162"/>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87" t="s">
        <v>76</v>
      </c>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135</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25.65</v>
      </c>
      <c r="N47" s="54"/>
      <c r="O47" s="9"/>
    </row>
    <row r="48" spans="2:15" ht="35.25" x14ac:dyDescent="0.5">
      <c r="B48" s="7"/>
      <c r="C48" s="3"/>
      <c r="D48" s="85"/>
      <c r="E48" s="101"/>
      <c r="F48" s="97"/>
      <c r="G48" s="82"/>
      <c r="H48" s="81"/>
      <c r="I48" s="77"/>
      <c r="J48" s="83"/>
      <c r="K48" s="93"/>
      <c r="L48" s="110" t="s">
        <v>28</v>
      </c>
      <c r="M48" s="109">
        <f>+M45+M46+M47</f>
        <v>161.25</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9" t="s">
        <v>77</v>
      </c>
      <c r="E51" s="179"/>
      <c r="F51" s="179"/>
      <c r="G51" s="179"/>
      <c r="H51" s="179"/>
      <c r="I51" s="179"/>
      <c r="J51" s="179"/>
      <c r="K51" s="179"/>
      <c r="L51" s="179"/>
      <c r="M51" s="124"/>
      <c r="N51" s="54"/>
      <c r="O51" s="9"/>
    </row>
    <row r="52" spans="2:16" ht="26.25" x14ac:dyDescent="0.4">
      <c r="B52" s="7"/>
      <c r="C52" s="3"/>
      <c r="D52" s="179"/>
      <c r="E52" s="179"/>
      <c r="F52" s="179"/>
      <c r="G52" s="179"/>
      <c r="H52" s="179"/>
      <c r="I52" s="179"/>
      <c r="J52" s="179"/>
      <c r="K52" s="179"/>
      <c r="L52" s="179"/>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3"/>
      <c r="H54" s="173"/>
      <c r="I54" s="173"/>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161.25</v>
      </c>
      <c r="K8" s="64" t="str">
        <f>Facture!$L$24</f>
        <v>Responsable: Mme.Boutheina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2020-06-10T14:08:52Z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161.25</vt:r8>
  </property>
</Properties>
</file>