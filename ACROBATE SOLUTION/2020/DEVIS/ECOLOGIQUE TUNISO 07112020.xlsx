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<sst xmlns="http://schemas.openxmlformats.org/spreadsheetml/2006/main" count="82" uniqueCount="71">
  <si>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</si>
  <si>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</si>
  <si>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</si>
  <si>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</si>
  <si>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</si>
  <si>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</si>
  <si>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</si>
  <si>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</si>
  <si>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</si>
  <si>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</si>
  <si>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</si>
  <si>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</si>
  <si>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</si>
  <si>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</si>
  <si>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</si>
  <si>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</si>
  <si>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</si>
  <si>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</si>
  <si>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</si>
  <si>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</si>
  <si>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</si>
  <si>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</si>
  <si>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</si>
  <si>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</si>
  <si>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</si>
  <si>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</si>
  <si>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</si>
  <si>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</si>
  <si>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</si>
  <si>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</si>
  <si>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</si>
  <si>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</si>
  <si>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</si>
  <si>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</si>
  <si>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</si>
  <si>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</si>
  <si>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</si>
  <si>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</si>
  <si>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</si>
  <si>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</si>
  <si>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</si>
  <si>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</si>
  <si>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</si>
  <si>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</si>
  <si>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</si>
  <si>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</si>
  <si>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</si>
  <si>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</si>
  <si>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</si>
  <si>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</si>
  <si>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</si>
  <si>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</si>
  <si>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</si>
  <si>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</si>
  <si>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</si>
  <si>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</si>
  <si>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</si>
  <si>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</si>
  <si>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</si>
  <si>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</si>
  <si>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</si>
  <si>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</si>
  <si>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</si>
  <si>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</si>
  <si>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</si>
  <si>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</si>
  <si>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CASQUE DE SECURITE V-GARD MSA</t>
  </si>
  <si>
    <t>Mr Soltani amed</t>
  </si>
  <si>
    <t>ECOLOGIQUE TUNISO ITALIENNE</t>
  </si>
  <si>
    <t xml:space="preserve">TUNIS </t>
  </si>
  <si>
    <t>Offre de prix N°2020-1250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</si>
</sst>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7"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4" t="s">
        <v>70</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68</v>
      </c>
      <c r="F22" s="148"/>
      <c r="G22" s="147"/>
      <c r="H22" s="147"/>
      <c r="I22" s="167"/>
      <c r="J22" s="167"/>
      <c r="K22" s="146"/>
      <c r="L22" s="144" t="s">
        <v>19</v>
      </c>
      <c r="M22" s="177">
        <v>44142</v>
      </c>
      <c r="N22" s="178"/>
      <c r="O22" s="9"/>
    </row>
    <row r="23" spans="2:15" ht="23.25" x14ac:dyDescent="0.35">
      <c r="B23" s="7"/>
      <c r="C23" s="3"/>
      <c r="D23" s="144" t="s">
        <v>54</v>
      </c>
      <c r="E23" s="147" t="s">
        <v>69</v>
      </c>
      <c r="F23" s="147"/>
      <c r="G23" s="147"/>
      <c r="H23" s="147"/>
      <c r="I23" s="147"/>
      <c r="J23" s="147"/>
      <c r="K23" s="146"/>
      <c r="L23" s="144" t="s">
        <v>64</v>
      </c>
      <c r="M23" s="145"/>
      <c r="N23" s="145"/>
      <c r="O23" s="9"/>
    </row>
    <row r="24" spans="2:15" ht="23.25" x14ac:dyDescent="0.35">
      <c r="B24" s="7"/>
      <c r="C24" s="3"/>
      <c r="D24" s="144" t="s">
        <v>55</v>
      </c>
      <c r="E24" s="167"/>
      <c r="F24" s="167"/>
      <c r="G24" s="167"/>
      <c r="H24" s="167"/>
      <c r="I24" s="167" t="s">
        <v>9</v>
      </c>
      <c r="J24" s="167" t="s">
        <v>59</v>
      </c>
      <c r="K24" s="146"/>
      <c r="L24" s="144" t="s">
        <v>20</v>
      </c>
      <c r="M24" s="179" t="s">
        <v>67</v>
      </c>
      <c r="N24" s="179"/>
      <c r="O24" s="9"/>
    </row>
    <row r="25" spans="2:15" ht="23.25" x14ac:dyDescent="0.35">
      <c r="B25" s="7"/>
      <c r="C25" s="3"/>
      <c r="D25" s="144" t="s">
        <v>56</v>
      </c>
      <c r="E25" s="172"/>
      <c r="F25" s="173"/>
      <c r="G25" s="147"/>
      <c r="H25" s="147"/>
      <c r="I25" s="147"/>
      <c r="J25" s="147"/>
      <c r="K25" s="146"/>
      <c r="L25" s="144" t="s">
        <v>65</v>
      </c>
      <c r="M25" s="180"/>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c r="E31" s="140"/>
      <c r="F31" s="155"/>
      <c r="G31" s="134"/>
      <c r="H31" s="134"/>
      <c r="I31" s="134"/>
      <c r="J31" s="134"/>
      <c r="K31" s="135"/>
      <c r="L31" s="103"/>
      <c r="M31" s="108" t="str">
        <f t="shared" si="0"/>
        <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c r="E35" s="140">
        <v>10</v>
      </c>
      <c r="F35" s="143" t="s">
        <v>66</v>
      </c>
      <c r="G35" s="134"/>
      <c r="H35" s="134"/>
      <c r="I35" s="134"/>
      <c r="J35" s="134"/>
      <c r="K35" s="135"/>
      <c r="L35" s="103">
        <v>45</v>
      </c>
      <c r="M35" s="108">
        <f t="shared" si="0"/>
        <v>450</v>
      </c>
      <c r="N35" s="52"/>
      <c r="O35" s="9"/>
    </row>
    <row r="36" spans="2:15" ht="30" x14ac:dyDescent="0.4">
      <c r="B36" s="7"/>
      <c r="C36" s="3"/>
      <c r="D36" s="139"/>
      <c r="E36" s="140"/>
      <c r="F36" s="143"/>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450</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85.5</v>
      </c>
      <c r="N49" s="52"/>
      <c r="O49" s="9"/>
    </row>
    <row r="50" spans="2:15" ht="35.25" x14ac:dyDescent="0.5">
      <c r="B50" s="7"/>
      <c r="C50" s="3"/>
      <c r="D50" s="83"/>
      <c r="E50" s="98"/>
      <c r="F50" s="94"/>
      <c r="G50" s="80"/>
      <c r="H50" s="79"/>
      <c r="I50" s="75"/>
      <c r="J50" s="81"/>
      <c r="K50" s="91"/>
      <c r="L50" s="101" t="s">
        <v>28</v>
      </c>
      <c r="M50" s="100">
        <f>+M47+M48+M49</f>
        <v>536.1</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1"/>
      <c r="E53" s="171"/>
      <c r="F53" s="171"/>
      <c r="G53" s="171"/>
      <c r="H53" s="171"/>
      <c r="I53" s="171"/>
      <c r="J53" s="171"/>
      <c r="K53" s="171"/>
      <c r="L53" s="171"/>
      <c r="M53" s="114"/>
      <c r="N53" s="52"/>
      <c r="O53" s="9"/>
    </row>
    <row r="54" spans="2:15" ht="26.25" x14ac:dyDescent="0.4">
      <c r="B54" s="7"/>
      <c r="C54" s="3"/>
      <c r="D54" s="171"/>
      <c r="E54" s="171"/>
      <c r="F54" s="171"/>
      <c r="G54" s="171"/>
      <c r="H54" s="171"/>
      <c r="I54" s="171"/>
      <c r="J54" s="171"/>
      <c r="K54" s="171"/>
      <c r="L54" s="171"/>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6"/>
      <c r="H56" s="166"/>
      <c r="I56" s="166"/>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5" t="s">
        <v>52</v>
      </c>
      <c r="E62" s="165"/>
      <c r="F62" s="165"/>
      <c r="G62" s="165"/>
      <c r="H62" s="165"/>
      <c r="I62" s="165"/>
      <c r="J62" s="165"/>
      <c r="K62" s="165"/>
      <c r="L62" s="165"/>
      <c r="M62" s="86"/>
      <c r="N62" s="90"/>
      <c r="O62" s="9"/>
    </row>
    <row r="63" spans="2:15" ht="18" x14ac:dyDescent="0.25">
      <c r="B63" s="7"/>
      <c r="C63" s="3"/>
      <c r="D63" s="165"/>
      <c r="E63" s="165"/>
      <c r="F63" s="165"/>
      <c r="G63" s="165"/>
      <c r="H63" s="165"/>
      <c r="I63" s="165"/>
      <c r="J63" s="165"/>
      <c r="K63" s="165"/>
      <c r="L63" s="165"/>
      <c r="M63" s="87"/>
      <c r="N63" s="90"/>
      <c r="O63" s="9"/>
    </row>
    <row r="64" spans="2:15" ht="15" x14ac:dyDescent="0.2">
      <c r="B64" s="7"/>
      <c r="C64" s="3"/>
      <c r="D64" s="165"/>
      <c r="E64" s="165"/>
      <c r="F64" s="165"/>
      <c r="G64" s="165"/>
      <c r="H64" s="165"/>
      <c r="I64" s="165"/>
      <c r="J64" s="165"/>
      <c r="K64" s="165"/>
      <c r="L64" s="165"/>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ECOLOGIQUE TUNISO ITALIENNE</v>
      </c>
      <c r="E8" s="62" t="str">
        <f>Facture!$E$23</f>
        <v xml:space="preserve">TUNIS </v>
      </c>
      <c r="F8" s="62">
        <f>Facture!$E$24</f>
        <v>0</v>
      </c>
      <c r="G8" s="65">
        <f>Facture!$G$24</f>
        <v>0</v>
      </c>
      <c r="H8" s="65" t="str">
        <f>Facture!$J$24</f>
        <v>TN</v>
      </c>
      <c r="I8" s="62">
        <f>Facture!$E$25</f>
        <v>0</v>
      </c>
      <c r="J8" s="66">
        <f>Facture!$M$50</f>
        <v>536.1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2020-11-07T09:35:18Z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ECOLOGIQUE TUNISO ITALIENNE</vt:lpwstr>
  </property>
  <property fmtid="{D5CDD505-2E9C-101B-9397-08002B2CF9AE}" pid="11" name="Montant de la facture" linkTarget="TOT">
    <vt:r8>536.1</vt:r8>
  </property>
</Properties>
</file>