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PDF\"/>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1" i="3" l="1"/>
  <c r="N41" i="3" l="1"/>
  <c r="N42" i="3"/>
  <c r="N43" i="3"/>
  <c r="N44" i="3"/>
  <c r="N40" i="3"/>
  <c r="N34" i="3"/>
  <c r="N38" i="3" l="1"/>
  <c r="N31" i="3"/>
  <c r="N32" i="3"/>
  <c r="N35" i="3"/>
  <c r="N36" i="3"/>
  <c r="N37" i="3"/>
  <c r="N39" i="3" l="1"/>
  <c r="N49" i="3" l="1"/>
  <c r="N50" i="3"/>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<sst xmlns="http://schemas.openxmlformats.org/spreadsheetml/2006/main" count="93" uniqueCount="76">
  <si>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</si>
  <si>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</si>
  <si>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</si>
  <si>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</si>
  <si>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</si>
  <si>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</si>
  <si>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</si>
  <si>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</si>
  <si>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</si>
  <si>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</si>
  <si>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</si>
  <si>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</si>
  <si>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</si>
  <si>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</si>
  <si>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</si>
  <si>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</si>
  <si>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</si>
  <si>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</si>
  <si>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</si>
  <si>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</si>
  <si>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</si>
  <si>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</si>
  <si>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</si>
  <si>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</si>
  <si>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</si>
  <si>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</si>
  <si>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</si>
  <si>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</si>
  <si>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</si>
  <si>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</si>
  <si>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</si>
  <si>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</si>
  <si>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</si>
  <si>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</si>
  <si>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</si>
  <si>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</si>
  <si>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</si>
  <si>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</si>
  <si>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</si>
  <si>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</si>
  <si>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</si>
  <si>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</si>
  <si>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</si>
  <si>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</si>
  <si>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</si>
  <si>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</si>
  <si>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</si>
  <si>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</si>
  <si>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</si>
  <si>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</si>
  <si>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</si>
  <si>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</si>
  <si>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</si>
  <si>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</si>
  <si>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</si>
  <si>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</si>
  <si>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</si>
  <si>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</si>
  <si>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</si>
  <si>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</si>
  <si>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</si>
  <si>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</si>
  <si>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</si>
  <si>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ARRETE LA PRESENTE FACTURE A LA SOMME DE: MILLE CENT SEPT DINARS ET 300 MILLIMES.</t>
  </si>
  <si>
    <t>250 RUE DES ENTREPRENEURS ZI CHARGUIA II</t>
  </si>
  <si>
    <t xml:space="preserve">HAYAT COM </t>
  </si>
  <si>
    <t>ARIANA</t>
  </si>
  <si>
    <t xml:space="preserve">     70 103 800        Fax: 71 942 046</t>
  </si>
  <si>
    <t xml:space="preserve">MR Naoufel BEN CHAABANE </t>
  </si>
  <si>
    <t xml:space="preserve">Chèque </t>
  </si>
  <si>
    <t>DEVIS N° 2020-0859</t>
  </si>
  <si>
    <t>ARES AIR - Casque</t>
  </si>
  <si>
    <t>EN 12492 + exigences de performances de la EN 397</t>
  </si>
  <si>
    <t>AXION - Gant</t>
  </si>
  <si>
    <t>EN 388</t>
  </si>
  <si>
    <t>ARRETE LA PRESENTE DEVIS A LA SOMME DE:DEUX MILLE HUIT CENT ET UN DINARS ET 860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</si>
</sst>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50</xdr:row>
      <xdr:rowOff>60160</xdr:rowOff>
    </xdr:from>
    <xdr:to>
      <xdr:col>11</xdr:col>
      <xdr:colOff>641684</xdr:colOff>
      <xdr:row>55</xdr:row>
      <xdr:rowOff>160421</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9" zoomScale="95" workbookViewId="0">
      <selection activeCell="H53" sqref="H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70</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65</v>
      </c>
      <c r="F21" s="169"/>
      <c r="G21" s="169"/>
      <c r="H21" s="169"/>
      <c r="I21" s="169"/>
      <c r="J21" s="169"/>
      <c r="K21" s="82"/>
      <c r="L21" s="84" t="s">
        <v>18</v>
      </c>
      <c r="M21" s="157">
        <v>43959</v>
      </c>
      <c r="N21" s="158"/>
      <c r="O21" s="55"/>
      <c r="P21" s="8"/>
    </row>
    <row r="22" spans="1:16" ht="14.25" x14ac:dyDescent="0.2">
      <c r="B22" s="7"/>
      <c r="C22" s="3"/>
      <c r="D22" s="82" t="s">
        <v>5</v>
      </c>
      <c r="E22" s="166" t="s">
        <v>64</v>
      </c>
      <c r="F22" s="167"/>
      <c r="G22" s="167"/>
      <c r="H22" s="167"/>
      <c r="I22" s="167"/>
      <c r="J22" s="167"/>
      <c r="K22" s="82"/>
      <c r="L22" s="127" t="s">
        <v>60</v>
      </c>
      <c r="M22" s="187"/>
      <c r="N22" s="188"/>
      <c r="O22" s="56"/>
      <c r="P22" s="8"/>
    </row>
    <row r="23" spans="1:16" x14ac:dyDescent="0.2">
      <c r="B23" s="7"/>
      <c r="C23" s="3"/>
      <c r="D23" s="82" t="s">
        <v>7</v>
      </c>
      <c r="E23" s="89">
        <v>2035</v>
      </c>
      <c r="F23" s="90" t="s">
        <v>8</v>
      </c>
      <c r="G23" s="164" t="s">
        <v>66</v>
      </c>
      <c r="H23" s="165"/>
      <c r="I23" s="91" t="s">
        <v>9</v>
      </c>
      <c r="J23" s="88" t="s">
        <v>51</v>
      </c>
      <c r="K23" s="82"/>
      <c r="L23" s="84" t="s">
        <v>19</v>
      </c>
      <c r="M23" s="159" t="s">
        <v>68</v>
      </c>
      <c r="N23" s="160"/>
      <c r="O23" s="3"/>
      <c r="P23" s="8"/>
    </row>
    <row r="24" spans="1:16" x14ac:dyDescent="0.2">
      <c r="B24" s="7"/>
      <c r="C24" s="3"/>
      <c r="D24" s="82" t="s">
        <v>20</v>
      </c>
      <c r="E24" s="170" t="s">
        <v>67</v>
      </c>
      <c r="F24" s="171"/>
      <c r="G24" s="171"/>
      <c r="H24" s="171"/>
      <c r="I24" s="171"/>
      <c r="J24" s="171"/>
      <c r="K24" s="82"/>
      <c r="L24" s="84" t="s">
        <v>47</v>
      </c>
      <c r="M24" s="161" t="s">
        <v>62</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7" si="1">IF(E31&lt;&gt;"",E31*M31,"")</f>
        <v/>
      </c>
      <c r="O31" s="57"/>
      <c r="P31" s="8"/>
    </row>
    <row r="32" spans="1:16" ht="15" x14ac:dyDescent="0.2">
      <c r="A32" s="99"/>
      <c r="B32" s="7"/>
      <c r="C32" s="3"/>
      <c r="D32" s="108">
        <v>748</v>
      </c>
      <c r="E32" s="75">
        <v>11</v>
      </c>
      <c r="F32" s="137" t="s">
        <v>71</v>
      </c>
      <c r="G32" s="138"/>
      <c r="H32" s="81"/>
      <c r="I32" s="109"/>
      <c r="J32" s="109"/>
      <c r="K32" s="81"/>
      <c r="L32" s="133"/>
      <c r="M32" s="116">
        <v>145</v>
      </c>
      <c r="N32" s="96">
        <f t="shared" si="1"/>
        <v>1595</v>
      </c>
      <c r="O32" s="57"/>
      <c r="P32" s="8"/>
    </row>
    <row r="33" spans="1:16" ht="15" x14ac:dyDescent="0.2">
      <c r="A33" s="99"/>
      <c r="B33" s="7"/>
      <c r="C33" s="3"/>
      <c r="D33" s="108"/>
      <c r="E33" s="75"/>
      <c r="F33" s="137" t="s">
        <v>72</v>
      </c>
      <c r="G33" s="138"/>
      <c r="H33" s="81"/>
      <c r="I33" s="109"/>
      <c r="J33" s="109"/>
      <c r="K33" s="81"/>
      <c r="L33" s="133"/>
      <c r="M33" s="116"/>
      <c r="N33" s="96"/>
      <c r="O33" s="57"/>
      <c r="P33" s="8"/>
    </row>
    <row r="34" spans="1:16" ht="15" x14ac:dyDescent="0.2">
      <c r="B34" s="7"/>
      <c r="C34" s="3"/>
      <c r="D34" s="108"/>
      <c r="E34" s="75"/>
      <c r="F34" s="137"/>
      <c r="G34" s="138"/>
      <c r="H34" s="81"/>
      <c r="I34" s="109"/>
      <c r="J34" s="109"/>
      <c r="K34" s="81"/>
      <c r="L34" s="133"/>
      <c r="M34" s="116"/>
      <c r="N34" s="96" t="str">
        <f t="shared" ref="N34" si="2">IF(E34&lt;&gt;"",E34*M34,"")</f>
        <v/>
      </c>
      <c r="O34" s="57"/>
      <c r="P34" s="8"/>
    </row>
    <row r="35" spans="1:16" ht="15" x14ac:dyDescent="0.2">
      <c r="B35" s="7"/>
      <c r="C35" s="3"/>
      <c r="D35" s="108"/>
      <c r="E35" s="75"/>
      <c r="F35" s="137"/>
      <c r="G35" s="138"/>
      <c r="H35" s="81"/>
      <c r="I35" s="109"/>
      <c r="J35" s="109"/>
      <c r="K35" s="81"/>
      <c r="L35" s="133"/>
      <c r="M35" s="116"/>
      <c r="N35" s="96" t="str">
        <f t="shared" si="1"/>
        <v/>
      </c>
      <c r="O35" s="57"/>
      <c r="P35" s="8"/>
    </row>
    <row r="36" spans="1:16" ht="15" x14ac:dyDescent="0.2">
      <c r="B36" s="7"/>
      <c r="C36" s="3"/>
      <c r="D36" s="108">
        <v>1879</v>
      </c>
      <c r="E36" s="75">
        <v>11</v>
      </c>
      <c r="F36" s="137" t="s">
        <v>73</v>
      </c>
      <c r="G36" s="138"/>
      <c r="H36" s="81"/>
      <c r="I36" s="109"/>
      <c r="J36" s="109"/>
      <c r="K36" s="81"/>
      <c r="L36" s="133"/>
      <c r="M36" s="116">
        <v>69</v>
      </c>
      <c r="N36" s="96">
        <f t="shared" si="1"/>
        <v>759</v>
      </c>
      <c r="O36" s="57"/>
      <c r="P36" s="8"/>
    </row>
    <row r="37" spans="1:16" ht="15" x14ac:dyDescent="0.2">
      <c r="B37" s="7"/>
      <c r="C37" s="3"/>
      <c r="D37" s="108"/>
      <c r="E37" s="75"/>
      <c r="F37" s="137" t="s">
        <v>74</v>
      </c>
      <c r="G37" s="138"/>
      <c r="H37" s="81"/>
      <c r="I37" s="109"/>
      <c r="J37" s="109"/>
      <c r="K37" s="81"/>
      <c r="L37" s="133"/>
      <c r="M37" s="116"/>
      <c r="N37" s="96" t="str">
        <f t="shared" si="1"/>
        <v/>
      </c>
      <c r="O37" s="57"/>
      <c r="P37" s="8"/>
    </row>
    <row r="38" spans="1:16" ht="15" x14ac:dyDescent="0.2">
      <c r="B38" s="7"/>
      <c r="C38" s="3"/>
      <c r="D38" s="108"/>
      <c r="E38" s="75"/>
      <c r="F38" s="81"/>
      <c r="G38" s="138"/>
      <c r="H38" s="81"/>
      <c r="I38" s="109"/>
      <c r="J38" s="81"/>
      <c r="K38" s="81"/>
      <c r="L38" s="133"/>
      <c r="M38" s="116"/>
      <c r="N38" s="96" t="str">
        <f>IF(E38&lt;&gt;"",E38*M38,"")</f>
        <v/>
      </c>
      <c r="O38" s="57"/>
      <c r="P38" s="8"/>
    </row>
    <row r="39" spans="1:16" ht="18" x14ac:dyDescent="0.25">
      <c r="B39" s="7"/>
      <c r="C39" s="3"/>
      <c r="D39" s="108"/>
      <c r="E39" s="75"/>
      <c r="F39" s="81"/>
      <c r="G39" s="126"/>
      <c r="H39" s="81"/>
      <c r="I39" s="109"/>
      <c r="J39" s="81"/>
      <c r="K39" s="81"/>
      <c r="L39" s="109"/>
      <c r="M39" s="96"/>
      <c r="N39" s="96" t="str">
        <f t="shared" ref="N39:N44" si="3">IF(E39&lt;&gt;"",E39*M39,"")</f>
        <v/>
      </c>
      <c r="O39" s="57"/>
      <c r="P39" s="8"/>
    </row>
    <row r="40" spans="1:16" ht="18" x14ac:dyDescent="0.25">
      <c r="B40" s="7"/>
      <c r="C40" s="3"/>
      <c r="D40" s="108"/>
      <c r="E40" s="75"/>
      <c r="F40" s="81"/>
      <c r="G40" s="126"/>
      <c r="H40" s="81"/>
      <c r="I40" s="109"/>
      <c r="J40" s="109"/>
      <c r="K40" s="81"/>
      <c r="L40" s="109"/>
      <c r="M40" s="96"/>
      <c r="N40" s="96" t="str">
        <f t="shared" si="3"/>
        <v/>
      </c>
      <c r="O40" s="57"/>
      <c r="P40" s="8"/>
    </row>
    <row r="41" spans="1:16" ht="18" x14ac:dyDescent="0.25">
      <c r="B41" s="7"/>
      <c r="C41" s="3"/>
      <c r="D41" s="108"/>
      <c r="E41" s="75"/>
      <c r="F41" s="81"/>
      <c r="G41" s="126"/>
      <c r="H41" s="81"/>
      <c r="I41" s="109"/>
      <c r="J41" s="81"/>
      <c r="K41" s="81"/>
      <c r="L41" s="109"/>
      <c r="M41" s="96"/>
      <c r="N41" s="96" t="str">
        <f t="shared" si="3"/>
        <v/>
      </c>
      <c r="O41" s="57"/>
      <c r="P41" s="8"/>
    </row>
    <row r="42" spans="1:16" ht="18" x14ac:dyDescent="0.25">
      <c r="B42" s="7"/>
      <c r="C42" s="3"/>
      <c r="D42" s="108"/>
      <c r="E42" s="75"/>
      <c r="F42" s="81"/>
      <c r="G42" s="126"/>
      <c r="H42" s="81"/>
      <c r="I42" s="109"/>
      <c r="J42" s="81"/>
      <c r="K42" s="81"/>
      <c r="L42" s="109"/>
      <c r="M42" s="96"/>
      <c r="N42" s="96" t="str">
        <f t="shared" si="3"/>
        <v/>
      </c>
      <c r="O42" s="57"/>
      <c r="P42" s="8"/>
    </row>
    <row r="43" spans="1:16" ht="17.100000000000001" customHeight="1" x14ac:dyDescent="0.2">
      <c r="B43" s="7"/>
      <c r="C43" s="3"/>
      <c r="D43" s="108"/>
      <c r="E43" s="75"/>
      <c r="F43" s="81"/>
      <c r="G43" s="109"/>
      <c r="H43" s="81"/>
      <c r="I43" s="109"/>
      <c r="J43" s="81"/>
      <c r="K43" s="81"/>
      <c r="L43" s="109"/>
      <c r="M43" s="96"/>
      <c r="N43" s="96" t="str">
        <f t="shared" si="3"/>
        <v/>
      </c>
      <c r="O43" s="57"/>
      <c r="P43" s="8"/>
    </row>
    <row r="44" spans="1:16" ht="17.100000000000001" customHeight="1" x14ac:dyDescent="0.2">
      <c r="B44" s="7"/>
      <c r="C44" s="3"/>
      <c r="D44" s="108"/>
      <c r="E44" s="75"/>
      <c r="F44" s="81"/>
      <c r="G44" s="109"/>
      <c r="H44" s="81"/>
      <c r="I44" s="109"/>
      <c r="J44" s="109"/>
      <c r="K44" s="81"/>
      <c r="L44" s="109"/>
      <c r="M44" s="96"/>
      <c r="N44" s="96" t="str">
        <f t="shared" si="3"/>
        <v/>
      </c>
      <c r="O44" s="57"/>
      <c r="P44" s="8"/>
    </row>
    <row r="45" spans="1:16" ht="15" x14ac:dyDescent="0.2">
      <c r="B45" s="7"/>
      <c r="C45" s="3"/>
      <c r="D45" s="108"/>
      <c r="E45" s="75"/>
      <c r="F45" s="115"/>
      <c r="G45" s="109"/>
      <c r="H45" s="81"/>
      <c r="I45" s="109"/>
      <c r="J45" s="109"/>
      <c r="K45" s="81"/>
      <c r="L45" s="109"/>
      <c r="M45" s="96"/>
      <c r="N45" s="96"/>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53"/>
      <c r="F48" s="115"/>
      <c r="G48" s="109"/>
      <c r="H48" s="81"/>
      <c r="I48" s="109"/>
      <c r="J48" s="109"/>
      <c r="K48" s="81"/>
      <c r="L48" s="109"/>
      <c r="M48" s="96"/>
      <c r="N48" s="96"/>
      <c r="O48" s="57"/>
      <c r="P48" s="8"/>
    </row>
    <row r="49" spans="2:16" ht="15.75" x14ac:dyDescent="0.25">
      <c r="B49" s="7"/>
      <c r="C49" s="3"/>
      <c r="D49" s="93"/>
      <c r="E49" s="53"/>
      <c r="F49" s="95"/>
      <c r="G49" s="117"/>
      <c r="H49" s="117"/>
      <c r="I49" s="117"/>
      <c r="J49" s="117"/>
      <c r="K49" s="117"/>
      <c r="L49" s="81"/>
      <c r="M49" s="96"/>
      <c r="N49" s="96" t="str">
        <f>IF(E50&lt;&gt;"",E50*M49,"")</f>
        <v/>
      </c>
      <c r="O49" s="57"/>
      <c r="P49" s="8"/>
    </row>
    <row r="50" spans="2:16" ht="15" x14ac:dyDescent="0.2">
      <c r="B50" s="7"/>
      <c r="C50" s="3"/>
      <c r="D50" s="94"/>
      <c r="E50" s="54"/>
      <c r="F50" s="155"/>
      <c r="G50" s="156"/>
      <c r="H50" s="156"/>
      <c r="I50" s="156"/>
      <c r="J50" s="156"/>
      <c r="K50" s="156"/>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2354</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447.26</v>
      </c>
      <c r="O53" s="57"/>
      <c r="P53" s="8"/>
    </row>
    <row r="54" spans="2:16" ht="12.75" customHeight="1" x14ac:dyDescent="0.25">
      <c r="B54" s="7"/>
      <c r="C54" s="3"/>
      <c r="D54" s="3"/>
      <c r="E54" s="85"/>
      <c r="F54" s="134" t="s">
        <v>69</v>
      </c>
      <c r="G54" s="87"/>
      <c r="H54" s="85"/>
      <c r="I54" s="82"/>
      <c r="J54" s="79"/>
      <c r="K54" s="76"/>
      <c r="L54" s="76"/>
      <c r="M54" s="174" t="s">
        <v>27</v>
      </c>
      <c r="N54" s="175">
        <f>+N51+N52+N53</f>
        <v>2801.8599999999997</v>
      </c>
      <c r="O54" s="57"/>
      <c r="P54" s="8"/>
    </row>
    <row r="55" spans="2:16" ht="3" customHeight="1" x14ac:dyDescent="0.2">
      <c r="B55" s="7"/>
      <c r="C55" s="3"/>
      <c r="D55" s="3"/>
      <c r="E55" s="85">
        <v>2</v>
      </c>
      <c r="F55" s="107" t="s">
        <v>57</v>
      </c>
      <c r="G55" s="82"/>
      <c r="H55" s="86"/>
      <c r="I55" s="82"/>
      <c r="J55" s="80" t="s">
        <v>26</v>
      </c>
      <c r="K55" s="76"/>
      <c r="L55" s="76"/>
      <c r="M55" s="174"/>
      <c r="N55" s="176"/>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75</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63</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86"/>
      <c r="D61" s="186"/>
      <c r="E61" s="186"/>
      <c r="F61" s="186"/>
      <c r="G61" s="186"/>
      <c r="H61" s="186"/>
      <c r="I61" s="186"/>
      <c r="J61" s="186"/>
      <c r="K61" s="186"/>
      <c r="L61" s="186"/>
      <c r="M61" s="100"/>
      <c r="N61" s="101"/>
      <c r="O61" s="57"/>
      <c r="P61" s="8"/>
    </row>
    <row r="62" spans="2:16" ht="15.75" x14ac:dyDescent="0.2">
      <c r="B62" s="7"/>
      <c r="C62" s="3"/>
      <c r="D62" s="3"/>
      <c r="E62" s="18"/>
      <c r="F62" s="149"/>
      <c r="G62" s="149"/>
      <c r="H62" s="149"/>
      <c r="I62" s="149"/>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50" t="s">
        <v>56</v>
      </c>
      <c r="G65" s="150"/>
      <c r="H65" s="150"/>
      <c r="I65" s="150"/>
      <c r="J65" s="150"/>
      <c r="K65" s="150"/>
      <c r="L65" s="150"/>
      <c r="M65" s="98"/>
      <c r="N65" s="98"/>
      <c r="O65" s="57"/>
      <c r="P65" s="8"/>
    </row>
    <row r="66" spans="1:16" ht="15.75" x14ac:dyDescent="0.2">
      <c r="B66" s="125"/>
      <c r="C66" s="3"/>
      <c r="D66" s="3"/>
      <c r="E66" s="151" t="s">
        <v>58</v>
      </c>
      <c r="F66" s="151"/>
      <c r="G66" s="151"/>
      <c r="H66" s="151"/>
      <c r="I66" s="151"/>
      <c r="J66" s="151"/>
      <c r="K66" s="151"/>
      <c r="L66" s="151"/>
      <c r="M66" s="151"/>
      <c r="N66" s="98"/>
      <c r="O66" s="57"/>
    </row>
    <row r="67" spans="1:16" ht="15.75" x14ac:dyDescent="0.2">
      <c r="B67" s="124"/>
      <c r="C67" s="3"/>
      <c r="D67" s="3"/>
      <c r="E67" s="151"/>
      <c r="F67" s="151"/>
      <c r="G67" s="151"/>
      <c r="H67" s="151"/>
      <c r="I67" s="151"/>
      <c r="J67" s="151"/>
      <c r="K67" s="151"/>
      <c r="L67" s="151"/>
      <c r="M67" s="151"/>
      <c r="N67" s="98"/>
      <c r="O67" s="57"/>
    </row>
    <row r="68" spans="1:16" ht="13.5" thickBot="1" x14ac:dyDescent="0.25">
      <c r="C68" s="119"/>
      <c r="D68" s="119"/>
      <c r="E68" s="120"/>
      <c r="F68" s="120"/>
      <c r="G68" s="120"/>
      <c r="H68" s="148"/>
      <c r="I68" s="148"/>
      <c r="J68" s="148"/>
      <c r="K68" s="148"/>
      <c r="L68" s="148"/>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47"/>
      <c r="L70" s="147"/>
      <c r="M70" s="147"/>
      <c r="N70" s="147"/>
      <c r="O70" s="147"/>
    </row>
    <row r="71" spans="1:16" x14ac:dyDescent="0.2">
      <c r="C71" s="124"/>
      <c r="D71" s="124"/>
      <c r="E71" s="124"/>
      <c r="F71" s="124"/>
      <c r="G71" s="124"/>
      <c r="H71" s="124"/>
      <c r="I71" s="124"/>
      <c r="J71" s="124"/>
      <c r="K71" s="148"/>
      <c r="L71" s="148"/>
      <c r="M71" s="148"/>
      <c r="N71" s="148"/>
      <c r="O71" s="148"/>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43959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Facture!$N$54</f>
        <v>2801.8599999999997</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2020-05-08T12:03:51Z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2801.86</vt:r8>
  </property>
</Properties>
</file>