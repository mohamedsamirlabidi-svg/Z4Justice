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49" i="3" s="1"/>
  <c r="M32" i="3"/>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<sst xmlns="http://schemas.openxmlformats.org/spreadsheetml/2006/main" count="89" uniqueCount="79">
  <si>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</si>
  <si>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</si>
  <si>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</si>
  <si>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</si>
  <si>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</si>
  <si>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</si>
  <si>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</si>
  <si>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</si>
  <si>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</si>
  <si>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</si>
  <si>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</si>
  <si>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</si>
  <si>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</si>
  <si>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</si>
  <si>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</si>
  <si>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</si>
  <si>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</si>
  <si>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</si>
  <si>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</si>
  <si>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</si>
  <si>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</si>
  <si>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</si>
  <si>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</si>
  <si>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</si>
  <si>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</si>
  <si>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</si>
  <si>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</si>
  <si>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</si>
  <si>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</si>
  <si>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</si>
  <si>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</si>
  <si>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</si>
  <si>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</si>
  <si>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</si>
  <si>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</si>
  <si>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</si>
  <si>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</si>
  <si>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</si>
  <si>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</si>
  <si>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</si>
  <si>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</si>
  <si>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</si>
  <si>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</si>
  <si>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</si>
  <si>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</si>
  <si>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</si>
  <si>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</si>
  <si>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</si>
  <si>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</si>
  <si>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</si>
  <si>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</si>
  <si>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</si>
  <si>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</si>
  <si>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</si>
  <si>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</si>
  <si>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</si>
  <si>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</si>
  <si>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</si>
  <si>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</si>
  <si>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</si>
  <si>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</si>
  <si>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</si>
  <si>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</si>
  <si>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</si>
  <si>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</si>
  <si>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GP1, KM 12 BOUMHEL</t>
  </si>
  <si>
    <t>74273888      Fax: 74273889</t>
  </si>
  <si>
    <t>VERIFICATION ETAT GENERAL DU TOUCAN</t>
  </si>
  <si>
    <t>SYNCRONISATION MODULE DE FREINAGE/SYSTÈME ANTIPANIQUE</t>
  </si>
  <si>
    <t>ESSAI SUR TOUR</t>
  </si>
  <si>
    <t>ENTRETIEN GENERAL</t>
  </si>
  <si>
    <t>REMISE EN CONFORMITE</t>
  </si>
  <si>
    <t>MR 209</t>
  </si>
  <si>
    <t>ARRETE LA PRESENTE FACYURE  A LA SOMME DE :SIX CENT SOIXANTE DIX HUIT DINARS ET 900 MILLIMES,</t>
  </si>
  <si>
    <t xml:space="preserve">ALMES SFAX </t>
  </si>
  <si>
    <t>MF:0005381APM000</t>
  </si>
  <si>
    <t>Date : 10/11/2020</t>
  </si>
  <si>
    <t>Responsable:</t>
  </si>
  <si>
    <t>DEVIS  N°2020-05635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</si>
</sst>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0" zoomScale="60" zoomScaleNormal="60" workbookViewId="0">
      <selection activeCell="I38" sqref="I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0" t="s">
        <v>78</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96" t="s">
        <v>74</v>
      </c>
      <c r="F22" s="196"/>
      <c r="G22" s="196"/>
      <c r="H22" s="196"/>
      <c r="I22" s="196"/>
      <c r="J22" s="196"/>
      <c r="K22" s="103"/>
      <c r="L22" s="193" t="s">
        <v>76</v>
      </c>
      <c r="M22" s="193"/>
      <c r="N22" s="52"/>
      <c r="O22" s="9"/>
    </row>
    <row r="23" spans="2:15" ht="33.75" x14ac:dyDescent="0.5">
      <c r="B23" s="7"/>
      <c r="C23" s="3"/>
      <c r="D23" s="102" t="s">
        <v>54</v>
      </c>
      <c r="E23" s="184" t="s">
        <v>65</v>
      </c>
      <c r="F23" s="184"/>
      <c r="G23" s="184"/>
      <c r="H23" s="184"/>
      <c r="I23" s="184"/>
      <c r="J23" s="184"/>
      <c r="K23" s="184"/>
      <c r="L23" s="104" t="s">
        <v>64</v>
      </c>
      <c r="M23" s="104"/>
      <c r="N23" s="53"/>
      <c r="O23" s="9"/>
    </row>
    <row r="24" spans="2:15" ht="33.75" x14ac:dyDescent="0.5">
      <c r="B24" s="7"/>
      <c r="C24" s="3"/>
      <c r="D24" s="102" t="s">
        <v>55</v>
      </c>
      <c r="E24" s="115">
        <v>1053</v>
      </c>
      <c r="F24" s="105" t="s">
        <v>8</v>
      </c>
      <c r="G24" s="185"/>
      <c r="H24" s="185"/>
      <c r="I24" s="106" t="s">
        <v>9</v>
      </c>
      <c r="J24" s="107" t="s">
        <v>59</v>
      </c>
      <c r="K24" s="103"/>
      <c r="L24" s="194" t="s">
        <v>77</v>
      </c>
      <c r="M24" s="195"/>
      <c r="N24" s="3"/>
      <c r="O24" s="9"/>
    </row>
    <row r="25" spans="2:15" ht="33.75" x14ac:dyDescent="0.5">
      <c r="B25" s="7"/>
      <c r="C25" s="3"/>
      <c r="D25" s="102" t="s">
        <v>56</v>
      </c>
      <c r="E25" s="197" t="s">
        <v>66</v>
      </c>
      <c r="F25" s="197"/>
      <c r="G25" s="197"/>
      <c r="H25" s="197"/>
      <c r="I25" s="197"/>
      <c r="J25" s="197"/>
      <c r="K25" s="103"/>
      <c r="L25" s="195" t="s">
        <v>75</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18" x14ac:dyDescent="0.25">
      <c r="B30" s="7"/>
      <c r="C30" s="3"/>
      <c r="D30" s="159"/>
      <c r="E30" s="159"/>
      <c r="F30" s="160"/>
      <c r="G30" s="160"/>
      <c r="H30" s="160"/>
      <c r="I30" s="160"/>
      <c r="J30" s="160"/>
      <c r="K30" s="160"/>
      <c r="L30" s="159"/>
      <c r="M30" s="161"/>
      <c r="N30" s="91"/>
      <c r="O30" s="9"/>
    </row>
    <row r="31" spans="2:15" ht="30" x14ac:dyDescent="0.4">
      <c r="B31" s="7"/>
      <c r="C31" s="3"/>
      <c r="D31" s="159" t="s">
        <v>72</v>
      </c>
      <c r="E31" s="158">
        <v>1</v>
      </c>
      <c r="F31" s="100" t="s">
        <v>67</v>
      </c>
      <c r="G31" s="100"/>
      <c r="H31" s="100"/>
      <c r="I31" s="100"/>
      <c r="J31" s="100"/>
      <c r="K31" s="100"/>
      <c r="L31" s="110">
        <v>570</v>
      </c>
      <c r="M31" s="116">
        <f>IF(E31&lt;&gt;"",E31*L31,"")</f>
        <v>570</v>
      </c>
      <c r="N31" s="54"/>
      <c r="O31" s="9"/>
    </row>
    <row r="32" spans="2:15" ht="30" x14ac:dyDescent="0.4">
      <c r="B32" s="7"/>
      <c r="C32" s="3"/>
      <c r="D32" s="127"/>
      <c r="E32" s="108"/>
      <c r="F32" s="100" t="s">
        <v>68</v>
      </c>
      <c r="G32" s="100"/>
      <c r="H32" s="100"/>
      <c r="I32" s="100"/>
      <c r="J32" s="100"/>
      <c r="K32" s="100"/>
      <c r="L32" s="111"/>
      <c r="M32" s="116" t="str">
        <f t="shared" ref="M32:M46" si="0">IF(E32&lt;&gt;"",E32*L32,"")</f>
        <v/>
      </c>
      <c r="N32" s="54"/>
      <c r="O32" s="9"/>
    </row>
    <row r="33" spans="2:15" ht="30" x14ac:dyDescent="0.4">
      <c r="B33" s="7"/>
      <c r="C33" s="3"/>
      <c r="D33" s="127"/>
      <c r="E33" s="108"/>
      <c r="F33" s="100" t="s">
        <v>69</v>
      </c>
      <c r="G33" s="100"/>
      <c r="H33" s="100"/>
      <c r="I33" s="100"/>
      <c r="J33" s="100"/>
      <c r="K33" s="100"/>
      <c r="L33" s="111"/>
      <c r="M33" s="116" t="str">
        <f t="shared" si="0"/>
        <v/>
      </c>
      <c r="N33" s="54"/>
      <c r="O33" s="9"/>
    </row>
    <row r="34" spans="2:15" ht="30" x14ac:dyDescent="0.4">
      <c r="B34" s="7"/>
      <c r="C34" s="3"/>
      <c r="D34" s="127"/>
      <c r="E34" s="108"/>
      <c r="F34" s="153" t="s">
        <v>70</v>
      </c>
      <c r="G34" s="100"/>
      <c r="H34" s="100"/>
      <c r="I34" s="100"/>
      <c r="J34" s="100"/>
      <c r="K34" s="100"/>
      <c r="L34" s="111"/>
      <c r="M34" s="116" t="str">
        <f t="shared" si="0"/>
        <v/>
      </c>
      <c r="N34" s="54"/>
      <c r="O34" s="9"/>
    </row>
    <row r="35" spans="2:15" ht="30" x14ac:dyDescent="0.4">
      <c r="B35" s="7"/>
      <c r="C35" s="3"/>
      <c r="D35" s="127"/>
      <c r="E35" s="108"/>
      <c r="F35" s="157" t="s">
        <v>71</v>
      </c>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7"/>
      <c r="G40" s="178"/>
      <c r="H40" s="178"/>
      <c r="I40" s="178"/>
      <c r="J40" s="178"/>
      <c r="K40" s="179"/>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0"/>
      <c r="G48" s="181"/>
      <c r="H48" s="181"/>
      <c r="I48" s="181"/>
      <c r="J48" s="181"/>
      <c r="K48" s="182"/>
      <c r="L48" s="152"/>
      <c r="M48" s="138"/>
      <c r="N48" s="54"/>
      <c r="O48" s="9"/>
    </row>
    <row r="49" spans="2:16" ht="35.25" x14ac:dyDescent="0.5">
      <c r="B49" s="7"/>
      <c r="C49" s="3"/>
      <c r="D49" s="85"/>
      <c r="E49" s="95"/>
      <c r="F49" s="133"/>
      <c r="G49" s="130"/>
      <c r="H49" s="130"/>
      <c r="I49" s="130"/>
      <c r="J49" s="131"/>
      <c r="K49" s="132"/>
      <c r="L49" s="163" t="s">
        <v>26</v>
      </c>
      <c r="M49" s="164">
        <f>M31</f>
        <v>570</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108.3</v>
      </c>
      <c r="N51" s="54"/>
      <c r="O51" s="9"/>
    </row>
    <row r="52" spans="2:16" ht="35.25" x14ac:dyDescent="0.5">
      <c r="B52" s="7"/>
      <c r="C52" s="3"/>
      <c r="D52" s="85"/>
      <c r="E52" s="100"/>
      <c r="F52" s="96"/>
      <c r="G52" s="82"/>
      <c r="H52" s="81"/>
      <c r="I52" s="77"/>
      <c r="J52" s="83"/>
      <c r="K52" s="92"/>
      <c r="L52" s="167" t="s">
        <v>28</v>
      </c>
      <c r="M52" s="168">
        <f>+M49+M50+M51</f>
        <v>678.9</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89" t="s">
        <v>73</v>
      </c>
      <c r="E54" s="189"/>
      <c r="F54" s="189"/>
      <c r="G54" s="189"/>
      <c r="H54" s="189"/>
      <c r="I54" s="189"/>
      <c r="J54" s="189"/>
      <c r="K54" s="189"/>
      <c r="L54" s="189"/>
      <c r="M54" s="126"/>
      <c r="N54" s="54"/>
      <c r="O54" s="9"/>
    </row>
    <row r="55" spans="2:16" ht="26.25" x14ac:dyDescent="0.4">
      <c r="B55" s="7"/>
      <c r="C55" s="3"/>
      <c r="D55" s="189"/>
      <c r="E55" s="189"/>
      <c r="F55" s="189"/>
      <c r="G55" s="189"/>
      <c r="H55" s="189"/>
      <c r="I55" s="189"/>
      <c r="J55" s="189"/>
      <c r="K55" s="189"/>
      <c r="L55" s="189"/>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83"/>
      <c r="H57" s="183"/>
      <c r="I57" s="183"/>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10/11/2020</v>
      </c>
      <c r="D8" s="67" t="str">
        <f>Facture!$E$22</f>
        <v xml:space="preserve">ALMES SFAX </v>
      </c>
      <c r="E8" s="64" t="str">
        <f>Facture!$E$23</f>
        <v>GP1, KM 12 BOUMHEL</v>
      </c>
      <c r="F8" s="64">
        <f>Facture!$E$24</f>
        <v>1053</v>
      </c>
      <c r="G8" s="67">
        <f>Facture!$G$24</f>
        <v>0</v>
      </c>
      <c r="H8" s="67" t="str">
        <f>Facture!$J$24</f>
        <v>TN</v>
      </c>
      <c r="I8" s="64" t="str">
        <f>Facture!$E$25</f>
        <v>74273888      Fax: 74273889</v>
      </c>
      <c r="J8" s="68">
        <f>Facture!$M$52</f>
        <v>678.9</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2020-11-10T10:58:26Z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 </vt:lpwstr>
  </property>
  <property fmtid="{D5CDD505-2E9C-101B-9397-08002B2CF9AE}" pid="11" name="Montant de la facture" linkTarget="TOT">
    <vt:r8>678.9</vt:r8>
  </property>
</Properties>
</file>