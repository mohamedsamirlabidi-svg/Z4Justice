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<sst xmlns="http://schemas.openxmlformats.org/spreadsheetml/2006/main" count="93" uniqueCount="77">
  <si>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</si>
  <si>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</si>
  <si>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</si>
  <si>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</si>
  <si>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</si>
  <si>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</si>
  <si>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</si>
  <si>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</si>
  <si>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</si>
  <si>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</si>
  <si>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</si>
  <si>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</si>
  <si>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</si>
  <si>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</si>
  <si>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</si>
  <si>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</si>
  <si>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</si>
  <si>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</si>
  <si>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</si>
  <si>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</si>
  <si>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</si>
  <si>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</si>
  <si>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</si>
  <si>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</si>
  <si>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</si>
  <si>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</si>
  <si>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</si>
  <si>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</si>
  <si>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</si>
  <si>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</si>
  <si>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</si>
  <si>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</si>
  <si>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</si>
  <si>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</si>
  <si>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</si>
  <si>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</si>
  <si>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</si>
  <si>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</si>
  <si>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</si>
  <si>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</si>
  <si>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</si>
  <si>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</si>
  <si>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</si>
  <si>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</si>
  <si>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</si>
  <si>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</si>
  <si>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</si>
  <si>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</si>
  <si>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</si>
  <si>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</si>
  <si>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</si>
  <si>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</si>
  <si>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</si>
  <si>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</si>
  <si>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</si>
  <si>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</si>
  <si>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</si>
  <si>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</si>
  <si>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</si>
  <si>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</si>
  <si>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</si>
  <si>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</si>
  <si>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</si>
  <si>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</si>
  <si>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</si>
  <si>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</si>
  <si>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</si>
  <si>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</si>
  <si>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</si>
  <si>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</si>
  <si>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</si>
  <si>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LDV15M</t>
  </si>
  <si>
    <t>LONGUEUR  15M</t>
  </si>
  <si>
    <t xml:space="preserve">NOVA SERVICE </t>
  </si>
  <si>
    <t>1318844G/A/M/000</t>
  </si>
  <si>
    <t>Devis  N° 2023-1309</t>
  </si>
  <si>
    <t xml:space="preserve">MR YAAKOUBI JILANI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</si>
</sst>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7" zoomScale="95" workbookViewId="0">
      <selection activeCell="K30" sqref="K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75</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5" t="s">
        <v>73</v>
      </c>
      <c r="E21" s="186"/>
      <c r="F21" s="186"/>
      <c r="G21" s="186"/>
      <c r="H21" s="186"/>
      <c r="I21" s="186"/>
      <c r="J21" s="82"/>
      <c r="K21" s="84" t="s">
        <v>18</v>
      </c>
      <c r="L21" s="174">
        <v>45260</v>
      </c>
      <c r="M21" s="175"/>
      <c r="N21" s="55"/>
      <c r="O21" s="8"/>
    </row>
    <row r="22" spans="1:15" ht="14.25" x14ac:dyDescent="0.2">
      <c r="A22" s="7"/>
      <c r="B22" s="3"/>
      <c r="C22" s="82" t="s">
        <v>5</v>
      </c>
      <c r="D22" s="183"/>
      <c r="E22" s="184"/>
      <c r="F22" s="184"/>
      <c r="G22" s="184"/>
      <c r="H22" s="184"/>
      <c r="I22" s="184"/>
      <c r="J22" s="82"/>
      <c r="K22" s="125" t="s">
        <v>59</v>
      </c>
      <c r="L22" s="163"/>
      <c r="M22" s="164"/>
      <c r="N22" s="56"/>
      <c r="O22" s="8"/>
    </row>
    <row r="23" spans="1:15" x14ac:dyDescent="0.2">
      <c r="A23" s="7"/>
      <c r="B23" s="3"/>
      <c r="C23" s="82" t="s">
        <v>7</v>
      </c>
      <c r="D23" s="89"/>
      <c r="E23" s="90" t="s">
        <v>8</v>
      </c>
      <c r="F23" s="181"/>
      <c r="G23" s="182"/>
      <c r="H23" s="91" t="s">
        <v>9</v>
      </c>
      <c r="I23" s="88" t="s">
        <v>51</v>
      </c>
      <c r="J23" s="82"/>
      <c r="K23" s="84" t="s">
        <v>19</v>
      </c>
      <c r="L23" s="176" t="s">
        <v>76</v>
      </c>
      <c r="M23" s="177"/>
      <c r="N23" s="3"/>
      <c r="O23" s="8"/>
    </row>
    <row r="24" spans="1:15" x14ac:dyDescent="0.2">
      <c r="A24" s="7"/>
      <c r="B24" s="3"/>
      <c r="C24" s="82" t="s">
        <v>20</v>
      </c>
      <c r="D24" s="187"/>
      <c r="E24" s="188"/>
      <c r="F24" s="188"/>
      <c r="G24" s="188"/>
      <c r="H24" s="188"/>
      <c r="I24" s="188"/>
      <c r="J24" s="82"/>
      <c r="K24" s="84" t="s">
        <v>47</v>
      </c>
      <c r="L24" s="178" t="s">
        <v>74</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3" t="s">
        <v>23</v>
      </c>
      <c r="N26" s="57"/>
      <c r="O26" s="8"/>
    </row>
    <row r="27" spans="1:15" ht="15.75" x14ac:dyDescent="0.25">
      <c r="A27" s="7"/>
      <c r="B27" s="3"/>
      <c r="C27" s="93"/>
      <c r="D27" s="75"/>
      <c r="E27" s="138" t="s">
        <v>70</v>
      </c>
      <c r="F27" s="139"/>
      <c r="G27" s="139"/>
      <c r="H27" s="139"/>
      <c r="I27" s="140"/>
      <c r="J27" s="140"/>
      <c r="K27" s="130"/>
      <c r="L27" s="129"/>
      <c r="M27" s="96" t="str">
        <f t="shared" ref="M27" si="0">IF(D27&lt;&gt;"",D27*L27,"")</f>
        <v/>
      </c>
      <c r="N27" s="57"/>
      <c r="O27" s="8"/>
    </row>
    <row r="28" spans="1:15" ht="15.75" x14ac:dyDescent="0.25">
      <c r="A28" s="7"/>
      <c r="B28" s="3"/>
      <c r="C28" s="93"/>
      <c r="D28" s="75"/>
      <c r="E28" s="143" t="s">
        <v>66</v>
      </c>
      <c r="F28" s="141"/>
      <c r="G28" s="141"/>
      <c r="H28" s="141"/>
      <c r="I28" s="142"/>
      <c r="J28" s="142"/>
      <c r="K28" s="131"/>
      <c r="L28" s="129"/>
      <c r="M28" s="96"/>
      <c r="N28" s="57"/>
      <c r="O28" s="8"/>
    </row>
    <row r="29" spans="1:15" ht="15" x14ac:dyDescent="0.2">
      <c r="A29" s="7"/>
      <c r="B29" s="3"/>
      <c r="C29" s="107"/>
      <c r="D29" s="75"/>
      <c r="E29" s="165" t="s">
        <v>67</v>
      </c>
      <c r="F29" s="166"/>
      <c r="G29" s="166"/>
      <c r="H29" s="166"/>
      <c r="I29" s="166"/>
      <c r="J29" s="166"/>
      <c r="K29" s="131"/>
      <c r="L29" s="115"/>
      <c r="M29" s="96"/>
      <c r="N29" s="57"/>
      <c r="O29" s="8"/>
    </row>
    <row r="30" spans="1:15" ht="15.75" x14ac:dyDescent="0.25">
      <c r="A30" s="7"/>
      <c r="B30" s="3"/>
      <c r="C30" s="107"/>
      <c r="D30" s="75"/>
      <c r="E30" s="167" t="s">
        <v>68</v>
      </c>
      <c r="F30" s="168"/>
      <c r="G30" s="168"/>
      <c r="H30" s="168"/>
      <c r="I30" s="168"/>
      <c r="J30" s="168"/>
      <c r="K30" s="131"/>
      <c r="L30" s="115"/>
      <c r="M30" s="96"/>
      <c r="N30" s="57"/>
      <c r="O30" s="8"/>
    </row>
    <row r="31" spans="1:15" ht="15.75" x14ac:dyDescent="0.25">
      <c r="A31" s="7"/>
      <c r="B31" s="3"/>
      <c r="C31" s="107"/>
      <c r="D31" s="75"/>
      <c r="E31" s="167" t="s">
        <v>69</v>
      </c>
      <c r="F31" s="168"/>
      <c r="G31" s="168"/>
      <c r="H31" s="168"/>
      <c r="I31" s="168"/>
      <c r="J31" s="168"/>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71</v>
      </c>
      <c r="D33" s="75">
        <v>1</v>
      </c>
      <c r="E33" s="135" t="s">
        <v>72</v>
      </c>
      <c r="F33" s="137"/>
      <c r="G33" s="81"/>
      <c r="H33" s="108"/>
      <c r="I33" s="81"/>
      <c r="J33" s="81"/>
      <c r="K33" s="108"/>
      <c r="L33" s="96">
        <v>1757</v>
      </c>
      <c r="M33" s="96">
        <f>L33*D33</f>
        <v>1757</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2"/>
      <c r="F44" s="173"/>
      <c r="G44" s="173"/>
      <c r="H44" s="173"/>
      <c r="I44" s="173"/>
      <c r="J44" s="173"/>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1757</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5">
      <c r="A47" s="7"/>
      <c r="B47" s="3"/>
      <c r="C47" s="3"/>
      <c r="D47" s="83"/>
      <c r="E47" s="196" t="s">
        <v>25</v>
      </c>
      <c r="F47" s="82"/>
      <c r="G47" s="82"/>
      <c r="H47" s="82"/>
      <c r="I47" s="78"/>
      <c r="J47" s="78"/>
      <c r="K47" s="77"/>
      <c r="L47" s="104">
        <v>0.19</v>
      </c>
      <c r="M47" s="103">
        <f>M45*0.19</f>
        <v>333.83</v>
      </c>
      <c r="N47" s="57"/>
      <c r="O47" s="8"/>
    </row>
    <row r="48" spans="1:15" ht="3" customHeight="1" x14ac:dyDescent="0.25">
      <c r="A48" s="7"/>
      <c r="B48" s="3"/>
      <c r="C48" s="3"/>
      <c r="D48" s="85"/>
      <c r="E48" s="132" t="s">
        <v>61</v>
      </c>
      <c r="F48" s="87"/>
      <c r="G48" s="85"/>
      <c r="H48" s="82"/>
      <c r="I48" s="79"/>
      <c r="J48" s="76"/>
      <c r="K48" s="76"/>
      <c r="L48" s="151" t="s">
        <v>27</v>
      </c>
      <c r="M48" s="152">
        <f>+M45+M46+M47</f>
        <v>2091.83</v>
      </c>
      <c r="N48" s="57"/>
      <c r="O48" s="8"/>
    </row>
    <row r="49" spans="1:15" ht="15" x14ac:dyDescent="0.2">
      <c r="A49" s="7"/>
      <c r="B49" s="3"/>
      <c r="C49" s="3"/>
      <c r="D49" s="85">
        <v>1</v>
      </c>
      <c r="E49" s="106" t="s">
        <v>62</v>
      </c>
      <c r="F49" s="82"/>
      <c r="G49" s="86"/>
      <c r="H49" s="82"/>
      <c r="I49" s="80" t="s">
        <v>26</v>
      </c>
      <c r="J49" s="76"/>
      <c r="K49" s="76"/>
      <c r="L49" s="151"/>
      <c r="M49" s="153"/>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89" t="s">
        <v>64</v>
      </c>
      <c r="C54" s="189"/>
      <c r="D54" s="189"/>
      <c r="E54" s="189"/>
      <c r="F54" s="189"/>
      <c r="G54" s="125"/>
      <c r="H54" s="125"/>
      <c r="I54" s="125"/>
      <c r="J54" s="125"/>
      <c r="K54" s="125"/>
      <c r="L54" s="133" t="s">
        <v>63</v>
      </c>
      <c r="M54" s="101"/>
      <c r="N54" s="57"/>
      <c r="O54" s="8"/>
    </row>
    <row r="55" spans="1:15" ht="15.75" x14ac:dyDescent="0.2">
      <c r="A55" s="7"/>
      <c r="B55" s="190" t="s">
        <v>65</v>
      </c>
      <c r="C55" s="190"/>
      <c r="D55" s="190"/>
      <c r="E55" s="190"/>
      <c r="F55" s="190"/>
      <c r="G55" s="134"/>
      <c r="H55" s="134"/>
      <c r="I55" s="134"/>
      <c r="J55" s="134"/>
      <c r="K55" s="134"/>
      <c r="L55" s="99"/>
      <c r="M55" s="100"/>
      <c r="N55" s="57"/>
      <c r="O55" s="8"/>
    </row>
    <row r="56" spans="1:15" ht="15.75" x14ac:dyDescent="0.2">
      <c r="A56" s="7"/>
      <c r="B56" s="3"/>
      <c r="C56" s="3"/>
      <c r="D56" s="18"/>
      <c r="E56" s="193"/>
      <c r="F56" s="193"/>
      <c r="G56" s="193"/>
      <c r="H56" s="193"/>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94" t="s">
        <v>55</v>
      </c>
      <c r="F59" s="194"/>
      <c r="G59" s="194"/>
      <c r="H59" s="194"/>
      <c r="I59" s="194"/>
      <c r="J59" s="194"/>
      <c r="K59" s="194"/>
      <c r="L59" s="98"/>
      <c r="M59" s="98"/>
      <c r="N59" s="57"/>
      <c r="O59" s="8"/>
    </row>
    <row r="60" spans="1:15" ht="15.75" x14ac:dyDescent="0.2">
      <c r="A60" s="124"/>
      <c r="B60" s="3"/>
      <c r="C60" s="3"/>
      <c r="D60" s="195" t="s">
        <v>57</v>
      </c>
      <c r="E60" s="195"/>
      <c r="F60" s="195"/>
      <c r="G60" s="195"/>
      <c r="H60" s="195"/>
      <c r="I60" s="195"/>
      <c r="J60" s="195"/>
      <c r="K60" s="195"/>
      <c r="L60" s="195"/>
      <c r="M60" s="98"/>
      <c r="N60" s="57"/>
    </row>
    <row r="61" spans="1:15" ht="15.75" x14ac:dyDescent="0.2">
      <c r="A61" s="123"/>
      <c r="B61" s="3"/>
      <c r="C61" s="3"/>
      <c r="D61" s="195"/>
      <c r="E61" s="195"/>
      <c r="F61" s="195"/>
      <c r="G61" s="195"/>
      <c r="H61" s="195"/>
      <c r="I61" s="195"/>
      <c r="J61" s="195"/>
      <c r="K61" s="195"/>
      <c r="L61" s="195"/>
      <c r="M61" s="98"/>
      <c r="N61" s="57"/>
    </row>
    <row r="62" spans="1:15" ht="13.5" thickBot="1" x14ac:dyDescent="0.25">
      <c r="B62" s="118"/>
      <c r="C62" s="118"/>
      <c r="D62" s="119"/>
      <c r="E62" s="119"/>
      <c r="F62" s="119"/>
      <c r="G62" s="192"/>
      <c r="H62" s="192"/>
      <c r="I62" s="192"/>
      <c r="J62" s="192"/>
      <c r="K62" s="192"/>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91"/>
      <c r="K64" s="191"/>
      <c r="L64" s="191"/>
      <c r="M64" s="191"/>
      <c r="N64" s="191"/>
    </row>
    <row r="65" spans="2:14" x14ac:dyDescent="0.2">
      <c r="B65" s="123"/>
      <c r="C65" s="123"/>
      <c r="D65" s="123"/>
      <c r="E65" s="123"/>
      <c r="F65" s="123"/>
      <c r="G65" s="123"/>
      <c r="H65" s="123"/>
      <c r="I65" s="123"/>
      <c r="J65" s="192"/>
      <c r="K65" s="192"/>
      <c r="L65" s="192"/>
      <c r="M65" s="192"/>
      <c r="N65"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45260</v>
      </c>
      <c r="D8" s="71" t="str">
        <f>Facture!$D$21</f>
        <v xml:space="preserve">NOVA SERVICE </v>
      </c>
      <c r="E8" s="68">
        <f>Facture!$D$22</f>
        <v>0</v>
      </c>
      <c r="F8" s="68">
        <f>Facture!$D$23</f>
        <v>0</v>
      </c>
      <c r="G8" s="71">
        <f>Facture!$F$23</f>
        <v>0</v>
      </c>
      <c r="H8" s="71" t="str">
        <f>Facture!$I$23</f>
        <v>TN</v>
      </c>
      <c r="I8" s="68">
        <f>Facture!$D$24</f>
        <v>0</v>
      </c>
      <c r="J8" s="72">
        <f>Facture!$M$48</f>
        <v>2091.83</v>
      </c>
      <c r="K8" s="68" t="str">
        <f>Facture!$L$23</f>
        <v xml:space="preserve">MR YAAKOUBI JILANI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2023-11-30T11:06:03Z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2091.83</vt:r8>
  </property>
</Properties>
</file>