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7" i="3" l="1"/>
  <c r="M30" i="3" l="1"/>
  <c r="M49" i="3" l="1"/>
  <c r="M50" i="3" s="1"/>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<sst xmlns="http://schemas.openxmlformats.org/spreadsheetml/2006/main" count="87" uniqueCount="77">
  <si>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</si>
  <si>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</si>
  <si>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</si>
  <si>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</si>
  <si>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</si>
  <si>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</si>
  <si>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</si>
  <si>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</si>
  <si>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</si>
  <si>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</si>
  <si>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</si>
  <si>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</si>
  <si>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</si>
  <si>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</si>
  <si>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</si>
  <si>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</si>
  <si>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</si>
  <si>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</si>
  <si>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</si>
  <si>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</si>
  <si>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</si>
  <si>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</si>
  <si>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</si>
  <si>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</si>
  <si>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</si>
  <si>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</si>
  <si>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</si>
  <si>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</si>
  <si>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</si>
  <si>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</si>
  <si>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</si>
  <si>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</si>
  <si>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</si>
  <si>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</si>
  <si>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</si>
  <si>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</si>
  <si>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</si>
  <si>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</si>
  <si>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</si>
  <si>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</si>
  <si>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</si>
  <si>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</si>
  <si>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</si>
  <si>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</si>
  <si>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</si>
  <si>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</si>
  <si>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</si>
  <si>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</si>
  <si>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</si>
  <si>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</si>
  <si>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</si>
  <si>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</si>
  <si>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</si>
  <si>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</si>
  <si>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</si>
  <si>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</si>
  <si>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</si>
  <si>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</si>
  <si>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</si>
  <si>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</si>
  <si>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</si>
  <si>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</si>
  <si>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</si>
  <si>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</si>
  <si>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</si>
  <si>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</si>
  <si>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</si>
  <si>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</si>
  <si>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</si>
  <si>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</si>
  <si>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Réf commande: </t>
  </si>
  <si>
    <t xml:space="preserve">Responsable :service achat 
 </t>
  </si>
  <si>
    <t>DEVIS     N°2023-701</t>
  </si>
  <si>
    <t>Chaussure de securité TN/BLEU S3</t>
  </si>
  <si>
    <t>Chaussure de securité TN/BLACK S3</t>
  </si>
  <si>
    <t>GANTS DE MANUTENTION LEGERE</t>
  </si>
  <si>
    <t>Date : 06/04/2023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</si>
</sst>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u/>
      <sz val="14"/>
      <color theme="10"/>
      <name val="Arial"/>
      <family val="2"/>
    </font>
    <font>
      <b/>
      <sz val="22"/>
      <color theme="1"/>
      <name val="Times New Roman"/>
      <family val="1"/>
    </font>
    <font>
      <b/>
      <u/>
      <sz val="14"/>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4"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5" fillId="3"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6"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49" fontId="4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31" fillId="0" borderId="28" xfId="0" applyNumberFormat="1" applyFont="1" applyFill="1" applyBorder="1" applyAlignment="1"/>
    <xf numFmtId="1" fontId="47" fillId="0" borderId="2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30</xdr:row>
      <xdr:rowOff>190501</xdr:rowOff>
    </xdr:from>
    <xdr:to>
      <xdr:col>10</xdr:col>
      <xdr:colOff>841375</xdr:colOff>
      <xdr:row>33</xdr:row>
      <xdr:rowOff>146657</xdr:rowOff>
    </xdr:to>
    <xdr:pic>
      <xdr:nvPicPr>
        <xdr:cNvPr id="10" name="Imag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9625" y="7159626"/>
          <a:ext cx="2206625" cy="1099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254000</xdr:colOff>
      <xdr:row>36</xdr:row>
      <xdr:rowOff>143084</xdr:rowOff>
    </xdr:from>
    <xdr:to>
      <xdr:col>10</xdr:col>
      <xdr:colOff>940468</xdr:colOff>
      <xdr:row>39</xdr:row>
      <xdr:rowOff>269875</xdr:rowOff>
    </xdr:to>
    <xdr:pic>
      <xdr:nvPicPr>
        <xdr:cNvPr id="11" name="Imag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05500" y="9398209"/>
          <a:ext cx="2289843" cy="1269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952500</xdr:colOff>
      <xdr:row>41</xdr:row>
      <xdr:rowOff>63500</xdr:rowOff>
    </xdr:from>
    <xdr:to>
      <xdr:col>10</xdr:col>
      <xdr:colOff>904875</xdr:colOff>
      <xdr:row>45</xdr:row>
      <xdr:rowOff>248135</xdr:rowOff>
    </xdr:to>
    <xdr:pic>
      <xdr:nvPicPr>
        <xdr:cNvPr id="12" name="Image 11"/>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604000" y="11223625"/>
          <a:ext cx="1555750" cy="1708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C4"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71" t="s">
        <v>72</v>
      </c>
      <c r="M18" s="3"/>
      <c r="N18" s="3"/>
    </row>
    <row r="19" spans="2:14" ht="21.95" customHeight="1" thickTop="1" x14ac:dyDescent="0.3">
      <c r="B19" s="7"/>
      <c r="C19" s="3"/>
      <c r="D19" s="55"/>
      <c r="E19" s="55"/>
      <c r="F19" s="55"/>
      <c r="G19" s="55"/>
      <c r="H19" s="55"/>
      <c r="I19" s="55"/>
      <c r="J19" s="56"/>
      <c r="K19" s="56"/>
      <c r="L19" s="172"/>
      <c r="M19" s="56"/>
      <c r="N19" s="20"/>
    </row>
    <row r="20" spans="2:14" ht="21.95" customHeight="1" thickBot="1" x14ac:dyDescent="0.25">
      <c r="B20" s="7"/>
      <c r="C20" s="3"/>
      <c r="D20" s="3"/>
      <c r="E20" s="3"/>
      <c r="F20" s="3"/>
      <c r="G20" s="3"/>
      <c r="H20" s="3"/>
      <c r="I20" s="3"/>
      <c r="J20" s="3"/>
      <c r="K20" s="3"/>
      <c r="L20" s="17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7" t="s">
        <v>65</v>
      </c>
      <c r="F22" s="177"/>
      <c r="G22" s="177"/>
      <c r="H22" s="177"/>
      <c r="I22" s="177"/>
      <c r="J22" s="177"/>
      <c r="K22" s="96"/>
      <c r="L22" s="174" t="s">
        <v>76</v>
      </c>
      <c r="M22" s="174"/>
      <c r="N22" s="52"/>
    </row>
    <row r="23" spans="2:14" ht="33.75" x14ac:dyDescent="0.5">
      <c r="B23" s="7"/>
      <c r="C23" s="3"/>
      <c r="D23" s="95" t="s">
        <v>53</v>
      </c>
      <c r="E23" s="181" t="s">
        <v>64</v>
      </c>
      <c r="F23" s="182"/>
      <c r="G23" s="182"/>
      <c r="H23" s="182"/>
      <c r="I23" s="182"/>
      <c r="J23" s="182"/>
      <c r="K23" s="182"/>
      <c r="L23" s="97" t="s">
        <v>70</v>
      </c>
      <c r="M23" s="97"/>
      <c r="N23" s="53"/>
    </row>
    <row r="24" spans="2:14" ht="33.75" x14ac:dyDescent="0.5">
      <c r="B24" s="7"/>
      <c r="C24" s="3"/>
      <c r="D24" s="95" t="s">
        <v>54</v>
      </c>
      <c r="E24" s="107"/>
      <c r="F24" s="98" t="s">
        <v>8</v>
      </c>
      <c r="G24" s="183"/>
      <c r="H24" s="183"/>
      <c r="I24" s="99" t="s">
        <v>9</v>
      </c>
      <c r="J24" s="100" t="s">
        <v>57</v>
      </c>
      <c r="K24" s="96"/>
      <c r="L24" s="175" t="s">
        <v>71</v>
      </c>
      <c r="M24" s="176"/>
      <c r="N24" s="3"/>
    </row>
    <row r="25" spans="2:14" ht="33.75" x14ac:dyDescent="0.5">
      <c r="B25" s="7"/>
      <c r="C25" s="3"/>
      <c r="D25" s="95" t="s">
        <v>55</v>
      </c>
      <c r="E25" s="178" t="s">
        <v>66</v>
      </c>
      <c r="F25" s="178"/>
      <c r="G25" s="178"/>
      <c r="H25" s="178"/>
      <c r="I25" s="178"/>
      <c r="J25" s="178"/>
      <c r="K25" s="96"/>
      <c r="L25" s="176" t="s">
        <v>63</v>
      </c>
      <c r="M25" s="17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54"/>
      <c r="F29" s="155"/>
      <c r="G29" s="151"/>
      <c r="H29" s="152"/>
      <c r="I29" s="144"/>
      <c r="J29" s="147"/>
      <c r="K29" s="148"/>
      <c r="L29" s="103"/>
      <c r="M29" s="103"/>
      <c r="N29" s="54"/>
    </row>
    <row r="30" spans="2:14" ht="30" x14ac:dyDescent="0.4">
      <c r="B30" s="7"/>
      <c r="C30" s="3"/>
      <c r="D30" s="132"/>
      <c r="E30" s="194">
        <v>1</v>
      </c>
      <c r="F30" s="193" t="s">
        <v>73</v>
      </c>
      <c r="G30" s="151"/>
      <c r="H30" s="152"/>
      <c r="I30" s="149"/>
      <c r="J30" s="147"/>
      <c r="K30" s="148"/>
      <c r="L30" s="103">
        <v>150</v>
      </c>
      <c r="M30" s="103">
        <f>+L30*E30</f>
        <v>150</v>
      </c>
      <c r="N30" s="54"/>
    </row>
    <row r="31" spans="2:14" ht="30" x14ac:dyDescent="0.4">
      <c r="B31" s="7"/>
      <c r="C31" s="3"/>
      <c r="D31" s="132"/>
      <c r="E31" s="133"/>
      <c r="F31" s="146"/>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63"/>
      <c r="G33" s="151"/>
      <c r="H33" s="152"/>
      <c r="I33" s="144"/>
      <c r="J33" s="147"/>
      <c r="K33" s="148"/>
      <c r="L33" s="103"/>
      <c r="M33" s="103"/>
      <c r="N33" s="54"/>
    </row>
    <row r="34" spans="2:14" ht="30" x14ac:dyDescent="0.4">
      <c r="B34" s="7"/>
      <c r="C34" s="3"/>
      <c r="D34" s="153"/>
      <c r="E34" s="102"/>
      <c r="F34" s="156"/>
      <c r="G34" s="151"/>
      <c r="H34" s="152"/>
      <c r="I34" s="144"/>
      <c r="J34" s="147"/>
      <c r="K34" s="148"/>
      <c r="L34" s="103"/>
      <c r="M34" s="103"/>
      <c r="N34" s="54"/>
    </row>
    <row r="35" spans="2:14" ht="30" x14ac:dyDescent="0.4">
      <c r="B35" s="7"/>
      <c r="C35" s="3"/>
      <c r="D35" s="153"/>
      <c r="E35" s="102"/>
      <c r="F35" s="163"/>
      <c r="G35" s="151"/>
      <c r="H35" s="152"/>
      <c r="I35" s="144"/>
      <c r="J35" s="147"/>
      <c r="K35" s="148"/>
      <c r="L35" s="103"/>
      <c r="M35" s="108"/>
      <c r="N35" s="54"/>
    </row>
    <row r="36" spans="2:14" ht="30" x14ac:dyDescent="0.4">
      <c r="B36" s="7"/>
      <c r="C36" s="3"/>
      <c r="D36" s="113"/>
      <c r="E36" s="102">
        <v>1</v>
      </c>
      <c r="F36" s="193" t="s">
        <v>74</v>
      </c>
      <c r="G36" s="151"/>
      <c r="H36" s="152"/>
      <c r="I36" s="144"/>
      <c r="J36" s="147"/>
      <c r="K36" s="148"/>
      <c r="L36" s="103">
        <v>150</v>
      </c>
      <c r="M36" s="108">
        <f t="shared" ref="M36:M41" si="0">IF(E36&lt;&gt;"",E36*L36,"")</f>
        <v>150</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v>1</v>
      </c>
      <c r="F41" s="193" t="s">
        <v>75</v>
      </c>
      <c r="G41" s="144"/>
      <c r="H41" s="147"/>
      <c r="I41" s="144"/>
      <c r="J41" s="147"/>
      <c r="K41" s="148"/>
      <c r="L41" s="103">
        <v>15.5</v>
      </c>
      <c r="M41" s="108">
        <f t="shared" si="0"/>
        <v>15.5</v>
      </c>
      <c r="N41" s="54"/>
    </row>
    <row r="42" spans="2:14" ht="30" x14ac:dyDescent="0.4">
      <c r="B42" s="7"/>
      <c r="C42" s="3"/>
      <c r="D42" s="113"/>
      <c r="E42" s="102"/>
      <c r="F42" s="146"/>
      <c r="G42" s="144"/>
      <c r="H42" s="147"/>
      <c r="I42" s="144"/>
      <c r="J42" s="147"/>
      <c r="K42" s="148"/>
      <c r="L42" s="103"/>
      <c r="M42" s="108"/>
      <c r="N42" s="54"/>
    </row>
    <row r="43" spans="2:14" ht="30" x14ac:dyDescent="0.4">
      <c r="B43" s="7"/>
      <c r="C43" s="3"/>
      <c r="D43" s="113"/>
      <c r="E43" s="102"/>
      <c r="F43" s="146"/>
      <c r="G43" s="144"/>
      <c r="H43" s="147"/>
      <c r="I43" s="144"/>
      <c r="J43" s="147"/>
      <c r="K43" s="148"/>
      <c r="L43" s="103"/>
      <c r="M43" s="108"/>
      <c r="N43" s="54"/>
    </row>
    <row r="44" spans="2:14" ht="30" x14ac:dyDescent="0.4">
      <c r="B44" s="7"/>
      <c r="C44" s="3"/>
      <c r="D44" s="113"/>
      <c r="E44" s="102"/>
      <c r="F44" s="146"/>
      <c r="G44" s="144"/>
      <c r="H44" s="147"/>
      <c r="I44" s="144"/>
      <c r="J44" s="147"/>
      <c r="K44" s="148"/>
      <c r="L44" s="103"/>
      <c r="M44" s="108"/>
      <c r="N44" s="54"/>
    </row>
    <row r="45" spans="2:14" ht="30" x14ac:dyDescent="0.4">
      <c r="B45" s="7"/>
      <c r="C45" s="3"/>
      <c r="D45" s="113"/>
      <c r="E45" s="102"/>
      <c r="F45" s="127"/>
      <c r="G45" s="128"/>
      <c r="H45" s="128"/>
      <c r="I45" s="128"/>
      <c r="J45" s="128"/>
      <c r="K45" s="129"/>
      <c r="L45" s="103"/>
      <c r="M45" s="108"/>
      <c r="N45" s="54"/>
    </row>
    <row r="46" spans="2:14" ht="26.25" x14ac:dyDescent="0.35">
      <c r="B46" s="7"/>
      <c r="C46" s="3"/>
      <c r="D46" s="124"/>
      <c r="E46" s="121"/>
      <c r="F46" s="130"/>
      <c r="G46" s="131"/>
      <c r="H46" s="131"/>
      <c r="I46" s="125"/>
      <c r="J46" s="125"/>
      <c r="K46" s="126"/>
      <c r="L46" s="134"/>
      <c r="M46" s="108"/>
      <c r="N46" s="54"/>
    </row>
    <row r="47" spans="2:14" ht="30" customHeight="1" x14ac:dyDescent="0.5">
      <c r="B47" s="7"/>
      <c r="C47" s="3"/>
      <c r="D47" s="81"/>
      <c r="E47" s="90"/>
      <c r="F47" s="117"/>
      <c r="G47" s="114"/>
      <c r="H47" s="114"/>
      <c r="I47" s="114"/>
      <c r="J47" s="115"/>
      <c r="K47" s="116"/>
      <c r="L47" s="135" t="s">
        <v>26</v>
      </c>
      <c r="M47" s="101">
        <f>SUM(M29:M43)</f>
        <v>315.5</v>
      </c>
      <c r="N47" s="54"/>
    </row>
    <row r="48" spans="2:14" ht="35.25" x14ac:dyDescent="0.5">
      <c r="B48" s="7"/>
      <c r="C48" s="3"/>
      <c r="D48" s="94"/>
      <c r="E48" s="162" t="s">
        <v>56</v>
      </c>
      <c r="F48" s="77"/>
      <c r="G48" s="77"/>
      <c r="H48" s="77"/>
      <c r="I48" s="77"/>
      <c r="J48" s="78"/>
      <c r="K48" s="88"/>
      <c r="L48" s="136" t="s">
        <v>47</v>
      </c>
      <c r="M48" s="101">
        <v>1</v>
      </c>
      <c r="N48" s="54"/>
    </row>
    <row r="49" spans="1:14" ht="35.25" x14ac:dyDescent="0.5">
      <c r="B49" s="7"/>
      <c r="C49" s="3"/>
      <c r="D49" s="92"/>
      <c r="E49" s="91" t="s">
        <v>62</v>
      </c>
      <c r="F49" s="77"/>
      <c r="G49" s="77"/>
      <c r="H49" s="77"/>
      <c r="I49" s="77"/>
      <c r="J49" s="79"/>
      <c r="K49" s="89"/>
      <c r="L49" s="137">
        <v>0.19</v>
      </c>
      <c r="M49" s="101">
        <f>+M47*0.19</f>
        <v>59.945</v>
      </c>
      <c r="N49" s="54"/>
    </row>
    <row r="50" spans="1:14" ht="35.25" x14ac:dyDescent="0.5">
      <c r="B50" s="7"/>
      <c r="C50" s="3"/>
      <c r="D50" s="76"/>
      <c r="E50" s="82"/>
      <c r="F50" s="93"/>
      <c r="G50" s="77"/>
      <c r="H50" s="64"/>
      <c r="I50" s="77"/>
      <c r="J50" s="80" t="s">
        <v>27</v>
      </c>
      <c r="K50" s="78"/>
      <c r="L50" s="138" t="s">
        <v>28</v>
      </c>
      <c r="M50" s="101">
        <f>+M47+M48+M49</f>
        <v>376.44499999999999</v>
      </c>
      <c r="N50" s="54"/>
    </row>
    <row r="51" spans="1:14" ht="15.75" x14ac:dyDescent="0.25">
      <c r="B51" s="7"/>
      <c r="C51" s="3"/>
      <c r="D51" s="187"/>
      <c r="E51" s="188"/>
      <c r="F51" s="188"/>
      <c r="G51" s="188"/>
      <c r="H51" s="188"/>
      <c r="I51" s="188"/>
      <c r="J51" s="188"/>
      <c r="K51" s="188"/>
      <c r="L51" s="188"/>
      <c r="M51" s="112"/>
      <c r="N51" s="54"/>
    </row>
    <row r="52" spans="1:14" ht="26.25" x14ac:dyDescent="0.4">
      <c r="B52" s="7"/>
      <c r="C52" s="3"/>
      <c r="D52" s="189"/>
      <c r="E52" s="189"/>
      <c r="F52" s="189"/>
      <c r="G52" s="189"/>
      <c r="H52" s="189"/>
      <c r="I52" s="189"/>
      <c r="J52" s="189"/>
      <c r="K52" s="189"/>
      <c r="L52" s="189"/>
      <c r="M52" s="120"/>
      <c r="N52" s="54"/>
    </row>
    <row r="53" spans="1:14" ht="26.25" x14ac:dyDescent="0.4">
      <c r="B53" s="7"/>
      <c r="C53" s="3"/>
      <c r="D53" s="112"/>
      <c r="E53" s="112"/>
      <c r="F53" s="120"/>
      <c r="G53" s="122"/>
      <c r="H53" s="122"/>
      <c r="I53" s="122"/>
      <c r="J53" s="78"/>
      <c r="K53" s="111"/>
      <c r="L53" s="140" t="s">
        <v>61</v>
      </c>
      <c r="M53" s="140"/>
      <c r="N53" s="105"/>
    </row>
    <row r="54" spans="1:14" ht="23.25" x14ac:dyDescent="0.25">
      <c r="B54" s="7"/>
      <c r="C54" s="3"/>
      <c r="D54" s="112"/>
      <c r="E54" s="112"/>
      <c r="F54" s="123"/>
      <c r="G54" s="180"/>
      <c r="H54" s="180"/>
      <c r="I54" s="180"/>
      <c r="J54" s="78"/>
      <c r="K54" s="111"/>
      <c r="L54" s="105"/>
      <c r="M54" s="105"/>
      <c r="N54" s="105"/>
    </row>
    <row r="55" spans="1:14" ht="20.25" x14ac:dyDescent="0.3">
      <c r="B55" s="7"/>
      <c r="C55" s="3"/>
      <c r="D55" s="109" t="s">
        <v>58</v>
      </c>
      <c r="E55" s="139"/>
      <c r="F55" s="78"/>
      <c r="G55" s="78"/>
      <c r="H55" s="78"/>
      <c r="I55" s="78"/>
      <c r="J55" s="78"/>
      <c r="K55" s="83"/>
      <c r="L55" s="83"/>
      <c r="M55" s="84"/>
      <c r="N55" s="54"/>
    </row>
    <row r="56" spans="1:14" ht="20.25" x14ac:dyDescent="0.3">
      <c r="B56" s="7"/>
      <c r="C56" s="3"/>
      <c r="D56" s="110" t="s">
        <v>59</v>
      </c>
      <c r="E56" s="110"/>
      <c r="F56" s="78"/>
      <c r="G56" s="78"/>
      <c r="H56" s="78"/>
      <c r="I56" s="78"/>
      <c r="J56" s="78"/>
      <c r="K56" s="83"/>
      <c r="L56" s="83"/>
      <c r="M56" s="83"/>
      <c r="N56" s="87"/>
    </row>
    <row r="57" spans="1:14" ht="20.25" x14ac:dyDescent="0.3">
      <c r="B57" s="7"/>
      <c r="C57" s="3"/>
      <c r="D57" s="110"/>
      <c r="E57" s="110"/>
      <c r="F57" s="78"/>
      <c r="G57" s="78"/>
      <c r="H57" s="78"/>
      <c r="I57" s="78"/>
      <c r="J57" s="78"/>
      <c r="K57" s="83"/>
      <c r="L57" s="83"/>
      <c r="M57" s="83"/>
      <c r="N57" s="87"/>
    </row>
    <row r="58" spans="1:14" ht="20.25" x14ac:dyDescent="0.3">
      <c r="B58" s="7"/>
      <c r="C58" s="3"/>
      <c r="D58" s="110"/>
      <c r="E58" s="110"/>
      <c r="F58" s="78"/>
      <c r="G58" s="78"/>
      <c r="H58" s="78"/>
      <c r="I58" s="78"/>
      <c r="J58" s="78"/>
      <c r="K58" s="83"/>
      <c r="L58" s="83"/>
      <c r="M58" s="83"/>
      <c r="N58" s="87"/>
    </row>
    <row r="59" spans="1:14" ht="18" customHeight="1" x14ac:dyDescent="0.25">
      <c r="B59" s="7"/>
      <c r="C59" s="160"/>
      <c r="D59" s="190" t="s">
        <v>67</v>
      </c>
      <c r="E59" s="190"/>
      <c r="F59" s="190"/>
      <c r="G59" s="190"/>
      <c r="H59" s="190"/>
      <c r="I59" s="190"/>
      <c r="J59" s="190"/>
      <c r="K59" s="190"/>
      <c r="L59" s="190"/>
      <c r="M59" s="190"/>
      <c r="N59" s="161"/>
    </row>
    <row r="60" spans="1:14" ht="18" customHeight="1" x14ac:dyDescent="0.25">
      <c r="B60" s="7"/>
      <c r="C60" s="3"/>
      <c r="D60" s="191"/>
      <c r="E60" s="191"/>
      <c r="F60" s="191"/>
      <c r="G60" s="191"/>
      <c r="H60" s="191"/>
      <c r="I60" s="191"/>
      <c r="J60" s="191"/>
      <c r="K60" s="191"/>
      <c r="L60" s="191"/>
      <c r="M60" s="191"/>
      <c r="N60" s="87"/>
    </row>
    <row r="61" spans="1:14" ht="18" customHeight="1" x14ac:dyDescent="0.25">
      <c r="B61" s="7"/>
      <c r="C61" s="3"/>
      <c r="D61" s="157"/>
      <c r="E61" s="157"/>
      <c r="F61" s="157"/>
      <c r="G61" s="157"/>
      <c r="H61" s="157"/>
      <c r="I61" s="157"/>
      <c r="J61" s="157"/>
      <c r="K61" s="157"/>
      <c r="L61" s="157"/>
      <c r="M61" s="158"/>
      <c r="N61" s="54"/>
    </row>
    <row r="62" spans="1:14" ht="15" customHeight="1" x14ac:dyDescent="0.25">
      <c r="B62" s="7"/>
      <c r="C62" s="3"/>
      <c r="D62" s="159"/>
      <c r="E62" s="192" t="s">
        <v>68</v>
      </c>
      <c r="F62" s="192"/>
      <c r="G62" s="192"/>
      <c r="H62" s="192"/>
      <c r="I62" s="192"/>
      <c r="J62" s="192"/>
      <c r="K62" s="192"/>
      <c r="L62" s="158"/>
      <c r="M62" s="158"/>
      <c r="N62" s="54"/>
    </row>
    <row r="63" spans="1:14" ht="20.100000000000001" customHeight="1" x14ac:dyDescent="0.2">
      <c r="B63" s="7"/>
      <c r="C63" s="3"/>
      <c r="D63" s="179" t="s">
        <v>69</v>
      </c>
      <c r="E63" s="179"/>
      <c r="F63" s="179"/>
      <c r="G63" s="179"/>
      <c r="H63" s="179"/>
      <c r="I63" s="179"/>
      <c r="J63" s="179"/>
      <c r="K63" s="179"/>
      <c r="L63" s="179"/>
      <c r="M63" s="158"/>
      <c r="N63" s="54"/>
    </row>
    <row r="64" spans="1:14" ht="26.25" customHeight="1" x14ac:dyDescent="0.2">
      <c r="A64" s="141"/>
      <c r="B64" s="142"/>
      <c r="C64" s="3"/>
      <c r="D64" s="179"/>
      <c r="E64" s="179"/>
      <c r="F64" s="179"/>
      <c r="G64" s="179"/>
      <c r="H64" s="179"/>
      <c r="I64" s="179"/>
      <c r="J64" s="179"/>
      <c r="K64" s="179"/>
      <c r="L64" s="179"/>
      <c r="M64" s="158"/>
      <c r="N64" s="54"/>
    </row>
    <row r="65" spans="1:14" x14ac:dyDescent="0.2">
      <c r="A65" s="141"/>
      <c r="B65" s="142"/>
      <c r="C65" s="3"/>
      <c r="D65" s="3"/>
      <c r="E65" s="3"/>
      <c r="F65" s="3"/>
      <c r="G65" s="3"/>
      <c r="H65" s="3"/>
      <c r="I65" s="3"/>
      <c r="J65" s="3"/>
      <c r="K65" s="3"/>
      <c r="L65" s="3"/>
      <c r="M65" s="119"/>
      <c r="N65" s="143"/>
    </row>
    <row r="66" spans="1:14" x14ac:dyDescent="0.2">
      <c r="A66" s="118"/>
      <c r="B66" s="118"/>
      <c r="C66" s="3"/>
      <c r="D66" s="3"/>
      <c r="E66" s="3"/>
      <c r="F66" s="119"/>
      <c r="G66" s="119"/>
      <c r="H66" s="119"/>
      <c r="I66" s="119"/>
      <c r="J66" s="119"/>
      <c r="K66" s="119"/>
      <c r="L66" s="119"/>
      <c r="M66" s="119"/>
      <c r="N66" s="119"/>
    </row>
    <row r="67" spans="1:14" x14ac:dyDescent="0.2">
      <c r="C67" s="3"/>
      <c r="D67" s="119"/>
      <c r="E67" s="119"/>
      <c r="F67" s="119"/>
      <c r="G67" s="119"/>
      <c r="H67" s="119"/>
      <c r="I67" s="119"/>
      <c r="J67" s="119"/>
      <c r="K67" s="119"/>
      <c r="L67" s="119"/>
      <c r="M67" s="119"/>
      <c r="N67" s="119"/>
    </row>
    <row r="68" spans="1:14" x14ac:dyDescent="0.2">
      <c r="C68" s="3"/>
      <c r="D68" s="119"/>
      <c r="E68" s="119"/>
      <c r="F68" s="119"/>
      <c r="G68" s="119"/>
      <c r="H68" s="119"/>
      <c r="I68" s="119"/>
      <c r="J68" s="119"/>
      <c r="K68" s="119"/>
      <c r="L68" s="119"/>
      <c r="M68" s="119"/>
      <c r="N68"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4"/>
    <mergeCell ref="G54:I54"/>
    <mergeCell ref="E23:K23"/>
    <mergeCell ref="G24:H24"/>
    <mergeCell ref="F27:K27"/>
    <mergeCell ref="D51:L51"/>
    <mergeCell ref="D52:L52"/>
    <mergeCell ref="D59:M60"/>
    <mergeCell ref="E62:K62"/>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4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decimal" allowBlank="1" showErrorMessage="1" errorTitle="Prix unitaire" error="Tapez un nombre dans cette cellule." promptTitle="Prix unitaire" sqref="M29:M34 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06/04/2023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Facture!$M$50</f>
        <v>376.44499999999999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2023-04-06T10:24:00Z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376.445</vt:r8>
  </property>
</Properties>
</file>