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6" i="3" l="1"/>
  <c r="M33" i="3"/>
  <c r="M34" i="3"/>
  <c r="M35" i="3"/>
  <c r="M32" i="3"/>
  <c r="M28" i="3" l="1"/>
  <c r="M30" i="3" l="1"/>
  <c r="M38" i="3"/>
  <c r="M39" i="3"/>
  <c r="M40" i="3"/>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<sst xmlns="http://schemas.openxmlformats.org/spreadsheetml/2006/main" count="91" uniqueCount="81">
  <si>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</si>
  <si>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</si>
  <si>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</si>
  <si>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</si>
  <si>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</si>
  <si>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</si>
  <si>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</si>
  <si>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</si>
  <si>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</si>
  <si>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</si>
  <si>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</si>
  <si>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</si>
  <si>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</si>
  <si>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</si>
  <si>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</si>
  <si>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</si>
  <si>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</si>
  <si>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</si>
  <si>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</si>
  <si>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</si>
  <si>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</si>
  <si>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</si>
  <si>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</si>
  <si>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</si>
  <si>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</si>
  <si>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</si>
  <si>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</si>
  <si>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</si>
  <si>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</si>
  <si>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</si>
  <si>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</si>
  <si>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</si>
  <si>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</si>
  <si>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</si>
  <si>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</si>
  <si>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</si>
  <si>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</si>
  <si>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</si>
  <si>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</si>
  <si>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</si>
  <si>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</si>
  <si>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</si>
  <si>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</si>
  <si>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</si>
  <si>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</si>
  <si>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</si>
  <si>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</si>
  <si>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</si>
  <si>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</si>
  <si>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</si>
  <si>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</si>
  <si>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</si>
  <si>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</si>
  <si>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</si>
  <si>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</si>
  <si>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</si>
  <si>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</si>
  <si>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</si>
  <si>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</si>
  <si>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</si>
  <si>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</si>
  <si>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</si>
  <si>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</si>
  <si>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kryptcom</t>
  </si>
  <si>
    <t>Ariana</t>
  </si>
  <si>
    <t>Charguia 2</t>
  </si>
  <si>
    <t>90 39 32 48</t>
  </si>
  <si>
    <t xml:space="preserve">18 rue des entrepreneurs </t>
  </si>
  <si>
    <t>MF:1421927Q/A/M/000</t>
  </si>
  <si>
    <t xml:space="preserve">Chéque </t>
  </si>
  <si>
    <t xml:space="preserve">Virement </t>
  </si>
  <si>
    <t>Commande:</t>
  </si>
  <si>
    <t xml:space="preserve">Responsable: MR KHALED </t>
  </si>
  <si>
    <t>Date 17/11/2023</t>
  </si>
  <si>
    <t>DEVIS     N°2023-14870</t>
  </si>
  <si>
    <t>CONTRÔLE DE CONFORMITE :</t>
  </si>
  <si>
    <t xml:space="preserve">Harnais </t>
  </si>
  <si>
    <t xml:space="preserve">Longe double </t>
  </si>
  <si>
    <t xml:space="preserve">Longe de maintien </t>
  </si>
  <si>
    <t xml:space="preserve">descendeur </t>
  </si>
  <si>
    <t>corde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</si>
</sst>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
      <b/>
      <u/>
      <sz val="24"/>
      <color theme="3" tint="0.39997558519241921"/>
      <name val="Times New Roman"/>
      <family val="1"/>
    </font>
    <font>
      <b/>
      <sz val="16"/>
      <color theme="1"/>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2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49" fontId="46" fillId="3" borderId="28" xfId="0" applyNumberFormat="1" applyFont="1" applyFill="1" applyBorder="1" applyAlignment="1"/>
    <xf numFmtId="49" fontId="47" fillId="0" borderId="28" xfId="0" applyNumberFormat="1" applyFont="1" applyFill="1" applyBorder="1" applyAlignment="1"/>
    <xf numFmtId="49" fontId="34" fillId="0" borderId="28" xfId="0" applyNumberFormat="1" applyFont="1" applyFill="1" applyBorder="1" applyAlignment="1"/>
    <xf numFmtId="0" fontId="48"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37" zoomScale="60" zoomScaleNormal="60" workbookViewId="0">
      <selection activeCell="E42" sqref="E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86" t="s">
        <v>74</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92" t="s">
        <v>63</v>
      </c>
      <c r="F22" s="192"/>
      <c r="G22" s="192"/>
      <c r="H22" s="192"/>
      <c r="I22" s="192"/>
      <c r="J22" s="192"/>
      <c r="K22" s="102"/>
      <c r="L22" s="189" t="s">
        <v>73</v>
      </c>
      <c r="M22" s="189"/>
      <c r="N22" s="52"/>
      <c r="O22" s="9"/>
    </row>
    <row r="23" spans="2:15" ht="33.75" x14ac:dyDescent="0.5">
      <c r="B23" s="7"/>
      <c r="C23" s="3"/>
      <c r="D23" s="101" t="s">
        <v>52</v>
      </c>
      <c r="E23" s="179" t="s">
        <v>67</v>
      </c>
      <c r="F23" s="179"/>
      <c r="G23" s="179"/>
      <c r="H23" s="179"/>
      <c r="I23" s="179"/>
      <c r="J23" s="179"/>
      <c r="K23" s="179"/>
      <c r="L23" s="103" t="s">
        <v>71</v>
      </c>
      <c r="M23" s="103"/>
      <c r="N23" s="53"/>
      <c r="O23" s="9"/>
    </row>
    <row r="24" spans="2:15" ht="33.75" x14ac:dyDescent="0.5">
      <c r="B24" s="7"/>
      <c r="C24" s="3"/>
      <c r="D24" s="101" t="s">
        <v>53</v>
      </c>
      <c r="E24" s="167" t="s">
        <v>65</v>
      </c>
      <c r="F24" s="104" t="s">
        <v>8</v>
      </c>
      <c r="G24" s="180" t="s">
        <v>64</v>
      </c>
      <c r="H24" s="180"/>
      <c r="I24" s="105" t="s">
        <v>9</v>
      </c>
      <c r="J24" s="106" t="s">
        <v>56</v>
      </c>
      <c r="K24" s="102"/>
      <c r="L24" s="190" t="s">
        <v>72</v>
      </c>
      <c r="M24" s="191"/>
      <c r="N24" s="3"/>
      <c r="O24" s="9"/>
    </row>
    <row r="25" spans="2:15" ht="33.75" x14ac:dyDescent="0.5">
      <c r="B25" s="7"/>
      <c r="C25" s="3"/>
      <c r="D25" s="101" t="s">
        <v>54</v>
      </c>
      <c r="E25" s="193" t="s">
        <v>66</v>
      </c>
      <c r="F25" s="194"/>
      <c r="G25" s="194"/>
      <c r="H25" s="194"/>
      <c r="I25" s="194"/>
      <c r="J25" s="194"/>
      <c r="K25" s="102"/>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81" t="s">
        <v>23</v>
      </c>
      <c r="G27" s="182"/>
      <c r="H27" s="182"/>
      <c r="I27" s="182"/>
      <c r="J27" s="182"/>
      <c r="K27" s="183"/>
      <c r="L27" s="89" t="s">
        <v>61</v>
      </c>
      <c r="M27" s="90" t="s">
        <v>24</v>
      </c>
      <c r="N27" s="91"/>
      <c r="O27" s="9"/>
    </row>
    <row r="28" spans="2:15" ht="30" x14ac:dyDescent="0.4">
      <c r="B28" s="7"/>
      <c r="C28" s="3"/>
      <c r="D28" s="151"/>
      <c r="E28" s="149"/>
      <c r="F28" s="159"/>
      <c r="G28" s="160"/>
      <c r="H28" s="160"/>
      <c r="I28" s="160"/>
      <c r="J28" s="152"/>
      <c r="K28" s="153"/>
      <c r="L28" s="110"/>
      <c r="M28" s="110" t="str">
        <f>IF(E28&lt;&gt;"",E28*L28,"")</f>
        <v/>
      </c>
      <c r="N28" s="54"/>
      <c r="O28" s="9"/>
    </row>
    <row r="29" spans="2:15" ht="30" x14ac:dyDescent="0.4">
      <c r="B29" s="7"/>
      <c r="C29" s="3"/>
      <c r="D29" s="158"/>
      <c r="E29" s="149"/>
      <c r="F29" s="195" t="s">
        <v>75</v>
      </c>
      <c r="G29" s="161"/>
      <c r="H29" s="161"/>
      <c r="I29" s="161"/>
      <c r="J29" s="154"/>
      <c r="K29" s="155"/>
      <c r="L29" s="110"/>
      <c r="M29" s="110"/>
      <c r="N29" s="54"/>
      <c r="O29" s="9"/>
    </row>
    <row r="30" spans="2:15" ht="30" x14ac:dyDescent="0.4">
      <c r="B30" s="7"/>
      <c r="C30" s="3"/>
      <c r="D30" s="158"/>
      <c r="E30" s="157"/>
      <c r="F30" s="119"/>
      <c r="G30" s="141"/>
      <c r="H30" s="141"/>
      <c r="I30" s="141"/>
      <c r="J30" s="141"/>
      <c r="K30" s="142"/>
      <c r="L30" s="165"/>
      <c r="M30" s="164" t="str">
        <f>IF(E30&lt;&gt;"",E30*L30,"")</f>
        <v/>
      </c>
      <c r="N30" s="54"/>
      <c r="O30" s="9"/>
    </row>
    <row r="31" spans="2:15" ht="30" x14ac:dyDescent="0.4">
      <c r="B31" s="7"/>
      <c r="C31" s="3"/>
      <c r="D31" s="158"/>
      <c r="E31" s="157"/>
      <c r="F31" s="119"/>
      <c r="G31" s="141"/>
      <c r="H31" s="141"/>
      <c r="I31" s="141"/>
      <c r="J31" s="162"/>
      <c r="K31" s="163"/>
      <c r="L31" s="165"/>
      <c r="M31" s="164"/>
      <c r="N31" s="94"/>
      <c r="O31" s="9"/>
    </row>
    <row r="32" spans="2:15" ht="30" x14ac:dyDescent="0.4">
      <c r="B32" s="7"/>
      <c r="C32" s="3"/>
      <c r="D32" s="158"/>
      <c r="E32" s="157">
        <v>4</v>
      </c>
      <c r="F32" s="196" t="s">
        <v>76</v>
      </c>
      <c r="G32" s="141"/>
      <c r="H32" s="141"/>
      <c r="I32" s="141"/>
      <c r="J32" s="162"/>
      <c r="K32" s="163"/>
      <c r="L32" s="165">
        <v>30</v>
      </c>
      <c r="M32" s="165">
        <f>+L32*E32</f>
        <v>120</v>
      </c>
      <c r="N32" s="94"/>
      <c r="O32" s="3"/>
    </row>
    <row r="33" spans="2:17" ht="30" x14ac:dyDescent="0.4">
      <c r="B33" s="7"/>
      <c r="C33" s="3"/>
      <c r="D33" s="158"/>
      <c r="E33" s="157">
        <v>2</v>
      </c>
      <c r="F33" s="197" t="s">
        <v>77</v>
      </c>
      <c r="G33" s="141"/>
      <c r="H33" s="141"/>
      <c r="I33" s="141"/>
      <c r="J33" s="162"/>
      <c r="K33" s="163"/>
      <c r="L33" s="165">
        <v>20</v>
      </c>
      <c r="M33" s="165">
        <f t="shared" ref="L33:M36" si="0">+L33*E33</f>
        <v>40</v>
      </c>
      <c r="N33" s="54"/>
      <c r="O33" s="3"/>
    </row>
    <row r="34" spans="2:17" ht="30" x14ac:dyDescent="0.4">
      <c r="B34" s="7"/>
      <c r="C34" s="3"/>
      <c r="D34" s="158"/>
      <c r="E34" s="157">
        <v>3</v>
      </c>
      <c r="F34" s="197" t="s">
        <v>78</v>
      </c>
      <c r="G34" s="141"/>
      <c r="H34" s="141"/>
      <c r="I34" s="141"/>
      <c r="J34" s="162"/>
      <c r="K34" s="163"/>
      <c r="L34" s="165">
        <v>20</v>
      </c>
      <c r="M34" s="165">
        <f t="shared" si="0"/>
        <v>60</v>
      </c>
      <c r="N34" s="94"/>
      <c r="O34" s="3"/>
    </row>
    <row r="35" spans="2:17" ht="30" x14ac:dyDescent="0.4">
      <c r="B35" s="7"/>
      <c r="C35" s="3"/>
      <c r="D35" s="158"/>
      <c r="E35" s="157">
        <v>1</v>
      </c>
      <c r="F35" s="119" t="s">
        <v>79</v>
      </c>
      <c r="G35" s="141"/>
      <c r="H35" s="141"/>
      <c r="I35" s="141"/>
      <c r="J35" s="162"/>
      <c r="K35" s="163"/>
      <c r="L35" s="165">
        <v>20</v>
      </c>
      <c r="M35" s="165">
        <f t="shared" si="0"/>
        <v>20</v>
      </c>
      <c r="N35" s="94"/>
      <c r="O35" s="9"/>
    </row>
    <row r="36" spans="2:17" ht="30" x14ac:dyDescent="0.4">
      <c r="B36" s="7"/>
      <c r="C36" s="3"/>
      <c r="D36" s="158"/>
      <c r="E36" s="157">
        <v>1</v>
      </c>
      <c r="F36" s="119" t="s">
        <v>80</v>
      </c>
      <c r="G36" s="141"/>
      <c r="H36" s="141"/>
      <c r="I36" s="141"/>
      <c r="J36" s="141"/>
      <c r="K36" s="142"/>
      <c r="L36" s="165">
        <v>15</v>
      </c>
      <c r="M36" s="165">
        <f t="shared" si="0"/>
        <v>15</v>
      </c>
      <c r="N36" s="54"/>
      <c r="O36" s="9"/>
    </row>
    <row r="37" spans="2:17" ht="30" x14ac:dyDescent="0.4">
      <c r="B37" s="7"/>
      <c r="C37" s="3"/>
      <c r="D37" s="158"/>
      <c r="E37" s="157"/>
      <c r="F37" s="119"/>
      <c r="G37" s="141"/>
      <c r="H37" s="141"/>
      <c r="I37" s="141"/>
      <c r="J37" s="141"/>
      <c r="K37" s="142"/>
      <c r="L37" s="110"/>
      <c r="M37" s="114"/>
      <c r="N37" s="54"/>
      <c r="O37" s="9"/>
    </row>
    <row r="38" spans="2:17" ht="30" x14ac:dyDescent="0.4">
      <c r="B38" s="7"/>
      <c r="C38" s="3"/>
      <c r="D38" s="158"/>
      <c r="E38" s="157"/>
      <c r="F38" s="119"/>
      <c r="G38" s="141"/>
      <c r="H38" s="141"/>
      <c r="I38" s="141"/>
      <c r="J38" s="141"/>
      <c r="K38" s="142"/>
      <c r="L38" s="110"/>
      <c r="M38" s="114" t="str">
        <f t="shared" ref="M38:M40" si="1">IF(E38&lt;&gt;"",E38*L38,"")</f>
        <v/>
      </c>
      <c r="N38" s="54"/>
      <c r="O38" s="9"/>
    </row>
    <row r="39" spans="2:17" ht="30" x14ac:dyDescent="0.4">
      <c r="B39" s="7"/>
      <c r="C39" s="3"/>
      <c r="D39" s="156"/>
      <c r="E39" s="109"/>
      <c r="F39" s="119"/>
      <c r="G39" s="141"/>
      <c r="H39" s="141"/>
      <c r="I39" s="141"/>
      <c r="J39" s="141"/>
      <c r="K39" s="142"/>
      <c r="L39" s="110"/>
      <c r="M39" s="114" t="str">
        <f t="shared" si="1"/>
        <v/>
      </c>
      <c r="N39" s="54"/>
      <c r="O39" s="9"/>
    </row>
    <row r="40" spans="2:17" ht="30" x14ac:dyDescent="0.4">
      <c r="B40" s="7"/>
      <c r="C40" s="3"/>
      <c r="D40" s="138"/>
      <c r="E40" s="145"/>
      <c r="F40" s="146"/>
      <c r="G40" s="139"/>
      <c r="H40" s="139"/>
      <c r="I40" s="139"/>
      <c r="J40" s="139"/>
      <c r="K40" s="140"/>
      <c r="L40" s="147"/>
      <c r="M40" s="148" t="str">
        <f t="shared" si="1"/>
        <v/>
      </c>
      <c r="N40" s="54"/>
      <c r="O40" s="9"/>
    </row>
    <row r="41" spans="2:17" ht="35.25" x14ac:dyDescent="0.5">
      <c r="B41" s="7"/>
      <c r="C41" s="3"/>
      <c r="D41" s="85"/>
      <c r="E41" s="95"/>
      <c r="F41" s="124"/>
      <c r="G41" s="121"/>
      <c r="H41" s="121"/>
      <c r="I41" s="121"/>
      <c r="J41" s="122"/>
      <c r="K41" s="123"/>
      <c r="L41" s="126" t="s">
        <v>25</v>
      </c>
      <c r="M41" s="131">
        <f>SUM(M28:M40)</f>
        <v>255</v>
      </c>
      <c r="N41" s="54"/>
      <c r="O41" s="9"/>
    </row>
    <row r="42" spans="2:17" ht="35.25" x14ac:dyDescent="0.5">
      <c r="B42" s="7"/>
      <c r="C42" s="3"/>
      <c r="D42" s="100"/>
      <c r="E42" s="198" t="s">
        <v>55</v>
      </c>
      <c r="F42" s="77"/>
      <c r="G42" s="77"/>
      <c r="H42" s="77"/>
      <c r="I42" s="77"/>
      <c r="J42" s="78"/>
      <c r="K42" s="92"/>
      <c r="L42" s="125" t="s">
        <v>46</v>
      </c>
      <c r="M42" s="107">
        <v>1</v>
      </c>
      <c r="N42" s="54"/>
      <c r="O42" s="9"/>
    </row>
    <row r="43" spans="2:17" ht="35.25" x14ac:dyDescent="0.5">
      <c r="B43" s="7"/>
      <c r="C43" s="3"/>
      <c r="D43" s="98"/>
      <c r="E43" s="97" t="s">
        <v>69</v>
      </c>
      <c r="F43" s="77"/>
      <c r="G43" s="77"/>
      <c r="H43" s="77"/>
      <c r="I43" s="77"/>
      <c r="J43" s="80"/>
      <c r="K43" s="93"/>
      <c r="L43" s="127">
        <v>0.19</v>
      </c>
      <c r="M43" s="107">
        <f>(M41)*0.19</f>
        <v>48.45</v>
      </c>
      <c r="N43" s="54"/>
      <c r="O43" s="9"/>
    </row>
    <row r="44" spans="2:17" ht="35.25" x14ac:dyDescent="0.5">
      <c r="B44" s="7"/>
      <c r="C44" s="3"/>
      <c r="D44" s="98"/>
      <c r="E44" s="97" t="s">
        <v>70</v>
      </c>
      <c r="F44" s="96"/>
      <c r="G44" s="82"/>
      <c r="H44" s="81"/>
      <c r="I44" s="77"/>
      <c r="J44" s="83"/>
      <c r="K44" s="92"/>
      <c r="L44" s="108" t="s">
        <v>27</v>
      </c>
      <c r="M44" s="107">
        <f>+M41+M42+M43</f>
        <v>304.45</v>
      </c>
      <c r="N44" s="54"/>
      <c r="O44" s="9"/>
    </row>
    <row r="45" spans="2:17" ht="35.25" customHeight="1" x14ac:dyDescent="0.25">
      <c r="B45" s="7"/>
      <c r="C45" s="169"/>
      <c r="D45" s="76"/>
      <c r="E45" s="86"/>
      <c r="F45" s="99"/>
      <c r="G45" s="77"/>
      <c r="H45" s="64"/>
      <c r="I45" s="77"/>
      <c r="J45" s="84" t="s">
        <v>26</v>
      </c>
      <c r="K45" s="78"/>
      <c r="L45" s="143"/>
      <c r="M45" s="143"/>
      <c r="N45" s="54"/>
      <c r="O45" s="9"/>
    </row>
    <row r="46" spans="2:17" ht="34.5" x14ac:dyDescent="0.45">
      <c r="B46" s="7"/>
      <c r="C46" s="3"/>
      <c r="D46" s="169"/>
      <c r="E46" s="169"/>
      <c r="F46" s="169"/>
      <c r="G46" s="169"/>
      <c r="H46" s="169"/>
      <c r="I46" s="169"/>
      <c r="J46" s="169"/>
      <c r="K46" s="169"/>
      <c r="L46" s="169"/>
      <c r="M46" s="144"/>
      <c r="N46" s="54"/>
      <c r="O46" s="9"/>
    </row>
    <row r="47" spans="2:17" ht="15.75" x14ac:dyDescent="0.25">
      <c r="B47" s="7"/>
      <c r="C47" s="3"/>
      <c r="D47" s="184"/>
      <c r="E47" s="184"/>
      <c r="F47" s="184"/>
      <c r="G47" s="184"/>
      <c r="H47" s="184"/>
      <c r="I47" s="184"/>
      <c r="J47" s="184"/>
      <c r="K47" s="184"/>
      <c r="L47" s="184"/>
      <c r="M47" s="120"/>
      <c r="N47" s="54"/>
      <c r="O47" s="9"/>
    </row>
    <row r="48" spans="2:17" ht="26.25" x14ac:dyDescent="0.4">
      <c r="B48" s="7"/>
      <c r="C48" s="3"/>
      <c r="D48" s="185"/>
      <c r="E48" s="185"/>
      <c r="F48" s="185"/>
      <c r="G48" s="185"/>
      <c r="H48" s="185"/>
      <c r="I48" s="185"/>
      <c r="J48" s="185"/>
      <c r="K48" s="185"/>
      <c r="L48" s="185"/>
      <c r="M48" s="130"/>
      <c r="N48" s="54"/>
      <c r="O48" s="3"/>
      <c r="P48" s="74"/>
      <c r="Q48" s="74"/>
    </row>
    <row r="49" spans="1:17" ht="26.25" x14ac:dyDescent="0.4">
      <c r="B49" s="7"/>
      <c r="C49" s="3"/>
      <c r="D49" s="120"/>
      <c r="E49" s="120"/>
      <c r="F49" s="130"/>
      <c r="G49" s="136"/>
      <c r="H49" s="136"/>
      <c r="I49" s="136"/>
      <c r="J49" s="78"/>
      <c r="K49" s="118"/>
      <c r="L49" s="166" t="s">
        <v>60</v>
      </c>
      <c r="M49" s="166"/>
      <c r="N49" s="112"/>
      <c r="O49" s="3"/>
      <c r="P49" s="74"/>
      <c r="Q49" s="74"/>
    </row>
    <row r="50" spans="1:17" ht="23.25" x14ac:dyDescent="0.25">
      <c r="B50" s="7"/>
      <c r="C50" s="3"/>
      <c r="D50" s="120"/>
      <c r="E50" s="120"/>
      <c r="F50" s="137"/>
      <c r="G50" s="178"/>
      <c r="H50" s="178"/>
      <c r="I50" s="178"/>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77" t="s">
        <v>62</v>
      </c>
      <c r="E56" s="177"/>
      <c r="F56" s="177"/>
      <c r="G56" s="177"/>
      <c r="H56" s="177"/>
      <c r="I56" s="177"/>
      <c r="J56" s="177"/>
      <c r="K56" s="177"/>
      <c r="L56" s="177"/>
      <c r="M56" s="87"/>
      <c r="N56" s="91"/>
      <c r="O56" s="9"/>
    </row>
    <row r="57" spans="1:17" ht="15" x14ac:dyDescent="0.2">
      <c r="B57" s="7"/>
      <c r="C57" s="3"/>
      <c r="D57" s="177"/>
      <c r="E57" s="177"/>
      <c r="F57" s="177"/>
      <c r="G57" s="177"/>
      <c r="H57" s="177"/>
      <c r="I57" s="177"/>
      <c r="J57" s="177"/>
      <c r="K57" s="177"/>
      <c r="L57" s="177"/>
      <c r="M57" s="88"/>
      <c r="N57" s="54"/>
      <c r="O57" s="9"/>
    </row>
    <row r="58" spans="1:17" ht="15" x14ac:dyDescent="0.2">
      <c r="B58" s="7"/>
      <c r="C58" s="3"/>
      <c r="D58" s="177"/>
      <c r="E58" s="177"/>
      <c r="F58" s="177"/>
      <c r="G58" s="177"/>
      <c r="H58" s="177"/>
      <c r="I58" s="177"/>
      <c r="J58" s="177"/>
      <c r="K58" s="177"/>
      <c r="L58" s="177"/>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128"/>
      <c r="D60" s="55"/>
      <c r="E60" s="55"/>
      <c r="F60" s="55"/>
      <c r="G60" s="55"/>
      <c r="H60" s="55"/>
      <c r="I60" s="55"/>
      <c r="J60" s="55"/>
      <c r="K60" s="55"/>
      <c r="L60" s="55"/>
      <c r="M60" s="55"/>
      <c r="N60" s="54"/>
      <c r="O60" s="9"/>
    </row>
    <row r="61" spans="1:17" ht="20.100000000000001" customHeight="1" x14ac:dyDescent="0.2">
      <c r="B61" s="7"/>
      <c r="C61" s="143"/>
      <c r="D61" s="128"/>
      <c r="E61" s="128"/>
      <c r="F61" s="128"/>
      <c r="G61" s="128"/>
      <c r="H61" s="128"/>
      <c r="I61" s="128"/>
      <c r="J61" s="128"/>
      <c r="K61" s="128"/>
      <c r="L61" s="128"/>
      <c r="M61" s="129"/>
      <c r="N61" s="168"/>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4:14" x14ac:dyDescent="0.2">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M32:M36 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37: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17/11/2023</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304.45</v>
      </c>
      <c r="K8" s="64" t="str">
        <f>Facture!$L$24</f>
        <v xml:space="preserve">Responsable: MR KHALED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2021-01-19T13:14:27Z</cp:lastPrinted>
  <dcterms:created xsi:type="dcterms:W3CDTF">1995-05-29T15:50:39Z</dcterms:created>
  <dcterms:modified xsi:type="dcterms:W3CDTF">2023-11-17T15:38:24Z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304.45</vt:r8>
  </property>
</Properties>
</file>