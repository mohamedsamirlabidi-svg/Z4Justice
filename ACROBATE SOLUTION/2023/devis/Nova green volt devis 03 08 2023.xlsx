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9" i="3" l="1"/>
  <c r="M27" i="3"/>
  <c r="M24" i="3" l="1"/>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<sst xmlns="http://schemas.openxmlformats.org/spreadsheetml/2006/main" count="91" uniqueCount="73">
  <si>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</si>
  <si>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</si>
  <si>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</si>
  <si>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</si>
  <si>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</si>
  <si>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</si>
  <si>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</si>
  <si>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</si>
  <si>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</si>
  <si>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</si>
  <si>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</si>
  <si>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</si>
  <si>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</si>
  <si>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</si>
  <si>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</si>
  <si>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</si>
  <si>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</si>
  <si>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</si>
  <si>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</si>
  <si>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</si>
  <si>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</si>
  <si>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</si>
  <si>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</si>
  <si>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</si>
  <si>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</si>
  <si>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</si>
  <si>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</si>
  <si>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</si>
  <si>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</si>
  <si>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</si>
  <si>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</si>
  <si>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</si>
  <si>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</si>
  <si>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</si>
  <si>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</si>
  <si>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</si>
  <si>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</si>
  <si>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</si>
  <si>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</si>
  <si>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</si>
  <si>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</si>
  <si>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</si>
  <si>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</si>
  <si>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</si>
  <si>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</si>
  <si>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</si>
  <si>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</si>
  <si>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</si>
  <si>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</si>
  <si>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</si>
  <si>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</si>
  <si>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</si>
  <si>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</si>
  <si>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</si>
  <si>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</si>
  <si>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</si>
  <si>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</si>
  <si>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</si>
  <si>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</si>
  <si>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</si>
  <si>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</si>
  <si>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</si>
  <si>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</si>
  <si>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</si>
  <si>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RIB: 10 000 000 080746 3788 95</t>
  </si>
  <si>
    <t>STB THAMEUR</t>
  </si>
  <si>
    <t xml:space="preserve">Enrouleur à câble 15M HARU  conforme EN 360
</t>
  </si>
  <si>
    <t xml:space="preserve">Enrouleur à câble 20M CAMP  conforme EN 360
</t>
  </si>
  <si>
    <t xml:space="preserve">Souhail JAOUABI
</t>
  </si>
  <si>
    <t>Devis    N° 2023-1977</t>
  </si>
  <si>
    <t>Nova green volt</t>
  </si>
  <si>
    <t>Paiement à la livraison</t>
  </si>
  <si>
    <t xml:space="preserve">Mousqueton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</si>
</sst>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0" fontId="21"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alignment horizontal="center" vertical="center"/>
    </xf>
    <xf numFmtId="0" fontId="4" fillId="2" borderId="38" xfId="0" applyFont="1" applyBorder="1" applyAlignment="1">
      <alignment horizontal="center" vertical="center"/>
    </xf>
    <xf numFmtId="0" fontId="1" fillId="3" borderId="25" xfId="0" applyFont="1" applyFill="1" applyBorder="1" applyAlignment="1"/>
    <xf numFmtId="0" fontId="0" fillId="2" borderId="35" xfId="0" applyBorder="1" applyAlignment="1"/>
    <xf numFmtId="0" fontId="0" fillId="2" borderId="44" xfId="0"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0"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9" t="s">
        <v>0</v>
      </c>
      <c r="E4" s="130"/>
      <c r="F4" s="13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1" t="s">
        <v>2</v>
      </c>
      <c r="E10" s="13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3" t="s">
        <v>46</v>
      </c>
      <c r="E19" s="13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4" t="str">
        <f>LOWER(TemplateInformation!B3)</f>
        <v>c:\program files\microsoft office\office\macrolib\factbd.xls</v>
      </c>
      <c r="G33" s="13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1" t="s">
        <v>16</v>
      </c>
      <c r="E36" s="13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7" zoomScale="95" workbookViewId="0">
      <selection activeCell="E29" sqref="E29:J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37"/>
      <c r="M9" s="137"/>
      <c r="N9" s="3"/>
      <c r="O9" s="9"/>
    </row>
    <row r="10" spans="1:15" x14ac:dyDescent="0.2">
      <c r="A10" s="7"/>
      <c r="B10" s="3"/>
      <c r="C10" s="3"/>
      <c r="D10" s="3"/>
      <c r="E10" s="3"/>
      <c r="F10" s="3"/>
      <c r="G10" s="3"/>
      <c r="H10" s="3"/>
      <c r="I10" s="3"/>
      <c r="J10" s="3"/>
      <c r="K10" s="3"/>
      <c r="L10" s="136"/>
      <c r="M10" s="136"/>
      <c r="N10" s="3"/>
      <c r="O10" s="9"/>
    </row>
    <row r="11" spans="1:15" ht="20.25" x14ac:dyDescent="0.3">
      <c r="A11" s="7"/>
      <c r="B11" s="3"/>
      <c r="C11" s="3"/>
      <c r="D11" s="3"/>
      <c r="E11" s="3"/>
      <c r="F11" s="3"/>
      <c r="G11" s="3"/>
      <c r="H11" s="3"/>
      <c r="I11" s="3"/>
      <c r="J11" s="8"/>
      <c r="K11" s="8"/>
      <c r="L11" s="78"/>
      <c r="M11" s="78" t="s">
        <v>54</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54" t="s">
        <v>69</v>
      </c>
      <c r="M13" s="154"/>
      <c r="N13" s="3"/>
      <c r="O13" s="9"/>
    </row>
    <row r="14" spans="1:15" ht="3" customHeight="1" thickTop="1" x14ac:dyDescent="0.3">
      <c r="A14" s="7"/>
      <c r="B14" s="3"/>
      <c r="C14" s="60"/>
      <c r="D14" s="60"/>
      <c r="E14" s="60"/>
      <c r="F14" s="60"/>
      <c r="G14" s="60"/>
      <c r="H14" s="60"/>
      <c r="I14" s="61"/>
      <c r="J14" s="61"/>
      <c r="K14" s="61"/>
      <c r="L14" s="154"/>
      <c r="M14" s="154"/>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55" t="s">
        <v>70</v>
      </c>
      <c r="E16" s="156"/>
      <c r="F16" s="156"/>
      <c r="G16" s="156"/>
      <c r="H16" s="156"/>
      <c r="I16" s="156"/>
      <c r="J16" s="88"/>
      <c r="K16" s="91" t="s">
        <v>18</v>
      </c>
      <c r="L16" s="153">
        <v>45141</v>
      </c>
      <c r="M16" s="153"/>
      <c r="N16" s="57"/>
      <c r="O16" s="9"/>
    </row>
    <row r="17" spans="1:15" x14ac:dyDescent="0.2">
      <c r="A17" s="7"/>
      <c r="B17" s="3"/>
      <c r="C17" s="88" t="s">
        <v>5</v>
      </c>
      <c r="D17" s="174"/>
      <c r="E17" s="175"/>
      <c r="F17" s="175"/>
      <c r="G17" s="175"/>
      <c r="H17" s="175"/>
      <c r="I17" s="175"/>
      <c r="J17" s="88"/>
      <c r="K17" s="111" t="s">
        <v>58</v>
      </c>
      <c r="L17" s="173"/>
      <c r="M17" s="173"/>
      <c r="N17" s="58"/>
      <c r="O17" s="9"/>
    </row>
    <row r="18" spans="1:15" ht="15" x14ac:dyDescent="0.25">
      <c r="A18" s="7"/>
      <c r="B18" s="3"/>
      <c r="C18" s="88" t="s">
        <v>7</v>
      </c>
      <c r="D18" s="95"/>
      <c r="E18" s="96" t="s">
        <v>8</v>
      </c>
      <c r="F18" s="178" t="s">
        <v>57</v>
      </c>
      <c r="G18" s="179"/>
      <c r="H18" s="97" t="s">
        <v>9</v>
      </c>
      <c r="I18" s="94" t="s">
        <v>52</v>
      </c>
      <c r="J18" s="88"/>
      <c r="K18" s="91" t="s">
        <v>19</v>
      </c>
      <c r="L18" s="176" t="s">
        <v>68</v>
      </c>
      <c r="M18" s="176"/>
      <c r="N18" s="3"/>
      <c r="O18" s="9"/>
    </row>
    <row r="19" spans="1:15" x14ac:dyDescent="0.2">
      <c r="A19" s="7"/>
      <c r="B19" s="3"/>
      <c r="C19" s="88" t="s">
        <v>20</v>
      </c>
      <c r="D19" s="157">
        <v>53117124</v>
      </c>
      <c r="E19" s="158"/>
      <c r="F19" s="158"/>
      <c r="G19" s="158"/>
      <c r="H19" s="158"/>
      <c r="I19" s="158"/>
      <c r="J19" s="88"/>
      <c r="K19" s="91" t="s">
        <v>48</v>
      </c>
      <c r="L19" s="177" t="s">
        <v>26</v>
      </c>
      <c r="M19" s="177"/>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34</v>
      </c>
      <c r="D21" s="53" t="s">
        <v>21</v>
      </c>
      <c r="E21" s="159" t="s">
        <v>22</v>
      </c>
      <c r="F21" s="160"/>
      <c r="G21" s="160"/>
      <c r="H21" s="160"/>
      <c r="I21" s="160"/>
      <c r="J21" s="161"/>
      <c r="K21" s="70" t="s">
        <v>35</v>
      </c>
      <c r="L21" s="53" t="s">
        <v>56</v>
      </c>
      <c r="M21" s="54" t="s">
        <v>23</v>
      </c>
      <c r="N21" s="59"/>
      <c r="O21" s="9"/>
    </row>
    <row r="22" spans="1:15" ht="15.75" x14ac:dyDescent="0.25">
      <c r="A22" s="7"/>
      <c r="B22" s="3"/>
      <c r="C22" s="100"/>
      <c r="D22" s="79"/>
      <c r="E22" s="170"/>
      <c r="F22" s="171"/>
      <c r="G22" s="171"/>
      <c r="H22" s="171"/>
      <c r="I22" s="171"/>
      <c r="J22" s="172"/>
      <c r="K22" s="80"/>
      <c r="L22" s="103"/>
      <c r="M22" s="102"/>
      <c r="N22" s="59"/>
      <c r="O22" s="9"/>
    </row>
    <row r="23" spans="1:15" ht="19.5" x14ac:dyDescent="0.4">
      <c r="A23" s="7"/>
      <c r="B23" s="3"/>
      <c r="C23" s="118"/>
      <c r="D23" s="79"/>
      <c r="E23" s="144"/>
      <c r="F23" s="145"/>
      <c r="G23" s="145"/>
      <c r="H23" s="145"/>
      <c r="I23" s="145"/>
      <c r="J23" s="146"/>
      <c r="K23" s="80"/>
      <c r="L23" s="103"/>
      <c r="M23" s="103"/>
      <c r="N23" s="59"/>
      <c r="O23" s="9"/>
    </row>
    <row r="24" spans="1:15" ht="15.75" x14ac:dyDescent="0.2">
      <c r="A24" s="7"/>
      <c r="B24" s="3"/>
      <c r="C24" s="118"/>
      <c r="D24" s="79">
        <v>1</v>
      </c>
      <c r="E24" s="141" t="s">
        <v>67</v>
      </c>
      <c r="F24" s="142"/>
      <c r="G24" s="142"/>
      <c r="H24" s="142"/>
      <c r="I24" s="142"/>
      <c r="J24" s="143"/>
      <c r="K24" s="105"/>
      <c r="L24" s="103">
        <v>2100</v>
      </c>
      <c r="M24" s="103">
        <f>L24</f>
        <v>2100</v>
      </c>
      <c r="N24" s="59"/>
      <c r="O24" s="9"/>
    </row>
    <row r="25" spans="1:15" ht="19.5" x14ac:dyDescent="0.4">
      <c r="A25" s="7"/>
      <c r="B25" s="3"/>
      <c r="C25" s="118"/>
      <c r="D25" s="79"/>
      <c r="E25" s="167"/>
      <c r="F25" s="168"/>
      <c r="G25" s="168"/>
      <c r="H25" s="168"/>
      <c r="I25" s="168"/>
      <c r="J25" s="169"/>
      <c r="K25" s="106"/>
      <c r="L25" s="103"/>
      <c r="M25" s="103"/>
      <c r="N25" s="59"/>
      <c r="O25" s="9"/>
    </row>
    <row r="26" spans="1:15" ht="15.75" x14ac:dyDescent="0.2">
      <c r="A26" s="7"/>
      <c r="B26" s="3"/>
      <c r="C26" s="118"/>
      <c r="D26" s="55"/>
      <c r="E26" s="141"/>
      <c r="F26" s="142"/>
      <c r="G26" s="142"/>
      <c r="H26" s="142"/>
      <c r="I26" s="142"/>
      <c r="J26" s="143"/>
      <c r="K26" s="80"/>
      <c r="L26" s="103"/>
      <c r="M26" s="103"/>
      <c r="N26" s="59"/>
      <c r="O26" s="9"/>
    </row>
    <row r="27" spans="1:15" ht="15.75" x14ac:dyDescent="0.2">
      <c r="A27" s="7"/>
      <c r="B27" s="3"/>
      <c r="C27" s="118"/>
      <c r="D27" s="55">
        <v>1</v>
      </c>
      <c r="E27" s="141" t="s">
        <v>66</v>
      </c>
      <c r="F27" s="142"/>
      <c r="G27" s="142"/>
      <c r="H27" s="142"/>
      <c r="I27" s="142"/>
      <c r="J27" s="143"/>
      <c r="K27" s="80"/>
      <c r="L27" s="103">
        <v>1800</v>
      </c>
      <c r="M27" s="103">
        <f t="shared" ref="M27" si="0">L27</f>
        <v>1800</v>
      </c>
      <c r="N27" s="59"/>
      <c r="O27" s="9"/>
    </row>
    <row r="28" spans="1:15" ht="15.75" x14ac:dyDescent="0.2">
      <c r="A28" s="7"/>
      <c r="B28" s="3"/>
      <c r="C28" s="118"/>
      <c r="D28" s="55"/>
      <c r="E28" s="141"/>
      <c r="F28" s="142"/>
      <c r="G28" s="142"/>
      <c r="H28" s="142"/>
      <c r="I28" s="142"/>
      <c r="J28" s="143"/>
      <c r="K28" s="80"/>
      <c r="L28" s="103"/>
      <c r="M28" s="103"/>
      <c r="N28" s="59"/>
      <c r="O28" s="9"/>
    </row>
    <row r="29" spans="1:15" ht="15.75" x14ac:dyDescent="0.2">
      <c r="A29" s="7"/>
      <c r="B29" s="3"/>
      <c r="C29" s="118"/>
      <c r="D29" s="55">
        <v>2</v>
      </c>
      <c r="E29" s="141" t="s">
        <v>72</v>
      </c>
      <c r="F29" s="142"/>
      <c r="G29" s="142"/>
      <c r="H29" s="142"/>
      <c r="I29" s="142"/>
      <c r="J29" s="143"/>
      <c r="K29" s="80"/>
      <c r="L29" s="103">
        <v>25</v>
      </c>
      <c r="M29" s="103">
        <f>L29*D29</f>
        <v>50</v>
      </c>
      <c r="N29" s="59"/>
      <c r="O29" s="9"/>
    </row>
    <row r="30" spans="1:15" ht="15.75" x14ac:dyDescent="0.2">
      <c r="A30" s="7"/>
      <c r="B30" s="3"/>
      <c r="C30" s="118"/>
      <c r="D30" s="55"/>
      <c r="E30" s="141"/>
      <c r="F30" s="142"/>
      <c r="G30" s="142"/>
      <c r="H30" s="142"/>
      <c r="I30" s="142"/>
      <c r="J30" s="143"/>
      <c r="K30" s="80"/>
      <c r="L30" s="103"/>
      <c r="M30" s="103"/>
      <c r="N30" s="59"/>
      <c r="O30" s="9"/>
    </row>
    <row r="31" spans="1:15" ht="19.5" x14ac:dyDescent="0.4">
      <c r="A31" s="7"/>
      <c r="B31" s="3"/>
      <c r="C31" s="118"/>
      <c r="D31" s="55"/>
      <c r="E31" s="120"/>
      <c r="F31" s="121"/>
      <c r="G31" s="121"/>
      <c r="H31" s="121"/>
      <c r="I31" s="121"/>
      <c r="J31" s="122"/>
      <c r="K31" s="80"/>
      <c r="L31" s="103"/>
      <c r="M31" s="103"/>
      <c r="N31" s="59"/>
      <c r="O31" s="9"/>
    </row>
    <row r="32" spans="1:15" ht="15.75" x14ac:dyDescent="0.2">
      <c r="A32" s="7"/>
      <c r="B32" s="3"/>
      <c r="C32" s="118"/>
      <c r="D32" s="55"/>
      <c r="E32" s="141"/>
      <c r="F32" s="142"/>
      <c r="G32" s="142"/>
      <c r="H32" s="142"/>
      <c r="I32" s="142"/>
      <c r="J32" s="143"/>
      <c r="K32" s="80"/>
      <c r="L32" s="103"/>
      <c r="M32" s="103"/>
      <c r="N32" s="59"/>
      <c r="O32" s="9"/>
    </row>
    <row r="33" spans="1:15" ht="19.5" x14ac:dyDescent="0.4">
      <c r="A33" s="7"/>
      <c r="B33" s="3"/>
      <c r="C33" s="119"/>
      <c r="D33" s="55"/>
      <c r="E33" s="150"/>
      <c r="F33" s="151"/>
      <c r="G33" s="151"/>
      <c r="H33" s="151"/>
      <c r="I33" s="151"/>
      <c r="J33" s="152"/>
      <c r="K33" s="80"/>
      <c r="L33" s="103"/>
      <c r="M33" s="103"/>
      <c r="N33" s="59"/>
      <c r="O33" s="9"/>
    </row>
    <row r="34" spans="1:15" ht="19.5" x14ac:dyDescent="0.4">
      <c r="A34" s="7"/>
      <c r="B34" s="3"/>
      <c r="C34" s="100"/>
      <c r="D34" s="55"/>
      <c r="E34" s="125"/>
      <c r="F34" s="123"/>
      <c r="G34" s="123"/>
      <c r="H34" s="123"/>
      <c r="I34" s="123"/>
      <c r="J34" s="124"/>
      <c r="K34" s="80"/>
      <c r="L34" s="103"/>
      <c r="M34" s="103"/>
      <c r="N34" s="59"/>
      <c r="O34" s="9"/>
    </row>
    <row r="35" spans="1:15" ht="15.75" x14ac:dyDescent="0.25">
      <c r="A35" s="7"/>
      <c r="B35" s="3"/>
      <c r="C35" s="101"/>
      <c r="D35" s="56"/>
      <c r="E35" s="147"/>
      <c r="F35" s="148"/>
      <c r="G35" s="148"/>
      <c r="H35" s="148"/>
      <c r="I35" s="148"/>
      <c r="J35" s="149"/>
      <c r="K35" s="81"/>
      <c r="L35" s="104"/>
      <c r="M35" s="103"/>
      <c r="N35" s="59"/>
      <c r="O35" s="9"/>
    </row>
    <row r="36" spans="1:15" ht="15" x14ac:dyDescent="0.2">
      <c r="A36" s="7"/>
      <c r="B36" s="3"/>
      <c r="C36" s="3"/>
      <c r="D36" s="88"/>
      <c r="E36" s="88"/>
      <c r="F36" s="88"/>
      <c r="G36" s="88"/>
      <c r="H36" s="88"/>
      <c r="I36" s="82"/>
      <c r="J36" s="82"/>
      <c r="K36" s="82"/>
      <c r="L36" s="107" t="s">
        <v>24</v>
      </c>
      <c r="M36" s="112">
        <f>SUM(M22:M34)</f>
        <v>3950</v>
      </c>
      <c r="N36" s="59"/>
      <c r="O36" s="9"/>
    </row>
    <row r="37" spans="1:15" ht="15" x14ac:dyDescent="0.2">
      <c r="A37" s="7"/>
      <c r="B37" s="3"/>
      <c r="C37" s="3"/>
      <c r="D37" s="88"/>
      <c r="E37" s="88"/>
      <c r="F37" s="88"/>
      <c r="G37" s="88"/>
      <c r="H37" s="88"/>
      <c r="I37" s="82"/>
      <c r="J37" s="82"/>
      <c r="K37" s="82"/>
      <c r="L37" s="110" t="s">
        <v>47</v>
      </c>
      <c r="M37" s="117">
        <v>1</v>
      </c>
      <c r="N37" s="59"/>
      <c r="O37" s="9"/>
    </row>
    <row r="38" spans="1:15" ht="18" x14ac:dyDescent="0.25">
      <c r="A38" s="7"/>
      <c r="B38" s="3"/>
      <c r="C38" s="3"/>
      <c r="D38" s="90"/>
      <c r="E38" s="128" t="s">
        <v>71</v>
      </c>
      <c r="F38" s="88"/>
      <c r="G38" s="88"/>
      <c r="H38" s="88"/>
      <c r="I38" s="84"/>
      <c r="J38" s="84"/>
      <c r="K38" s="83"/>
      <c r="L38" s="108">
        <f>19%</f>
        <v>0.19</v>
      </c>
      <c r="M38" s="117">
        <f>M36*0.19</f>
        <v>750.5</v>
      </c>
      <c r="N38" s="59"/>
      <c r="O38" s="9"/>
    </row>
    <row r="39" spans="1:15" ht="15.75" x14ac:dyDescent="0.25">
      <c r="A39" s="7"/>
      <c r="B39" s="3"/>
      <c r="C39" s="3"/>
      <c r="D39" s="92"/>
      <c r="E39" s="91" t="s">
        <v>25</v>
      </c>
      <c r="F39" s="93"/>
      <c r="G39" s="92"/>
      <c r="H39" s="88"/>
      <c r="I39" s="85"/>
      <c r="J39" s="82"/>
      <c r="K39" s="82"/>
      <c r="L39" s="109" t="s">
        <v>27</v>
      </c>
      <c r="M39" s="113">
        <f>SUM(M36:M38)</f>
        <v>4701.5</v>
      </c>
      <c r="N39" s="59"/>
      <c r="O39" s="9"/>
    </row>
    <row r="40" spans="1:15" ht="15.75" x14ac:dyDescent="0.25">
      <c r="A40" s="7"/>
      <c r="B40" s="3"/>
      <c r="C40" s="3"/>
      <c r="D40" s="92">
        <v>1</v>
      </c>
      <c r="E40" s="115" t="s">
        <v>63</v>
      </c>
      <c r="F40" s="115"/>
      <c r="G40" s="115"/>
      <c r="H40" s="114"/>
      <c r="I40" s="114"/>
      <c r="J40" s="82"/>
      <c r="K40" s="82"/>
      <c r="L40" s="87"/>
      <c r="M40" s="87"/>
      <c r="N40" s="59"/>
      <c r="O40" s="9"/>
    </row>
    <row r="41" spans="1:15" ht="15.75" customHeight="1" x14ac:dyDescent="0.25">
      <c r="A41" s="7"/>
      <c r="B41" s="3"/>
      <c r="C41" s="3"/>
      <c r="D41" s="89"/>
      <c r="E41" s="89"/>
      <c r="F41" s="88"/>
      <c r="G41" s="89"/>
      <c r="H41" s="88"/>
      <c r="I41" s="86" t="s">
        <v>26</v>
      </c>
      <c r="J41" s="82"/>
      <c r="K41" s="82"/>
      <c r="L41" s="87"/>
      <c r="M41" s="87" t="s">
        <v>54</v>
      </c>
      <c r="N41" s="59"/>
      <c r="O41" s="9"/>
    </row>
    <row r="42" spans="1:15" ht="15" x14ac:dyDescent="0.2">
      <c r="A42" s="7"/>
      <c r="B42" s="166"/>
      <c r="C42" s="166"/>
      <c r="D42" s="166"/>
      <c r="E42" s="166"/>
      <c r="F42" s="166"/>
      <c r="G42" s="166"/>
      <c r="H42" s="166"/>
      <c r="I42" s="166"/>
      <c r="J42" s="166"/>
      <c r="K42" s="166"/>
      <c r="L42" s="166"/>
      <c r="M42" s="166"/>
      <c r="N42" s="59"/>
      <c r="O42" s="9"/>
    </row>
    <row r="43" spans="1:15" ht="17.100000000000001" customHeight="1" x14ac:dyDescent="0.25">
      <c r="A43" s="126" t="s">
        <v>64</v>
      </c>
      <c r="B43" s="127"/>
      <c r="C43" s="127"/>
      <c r="D43" s="127"/>
      <c r="E43" s="127"/>
      <c r="F43" s="127"/>
      <c r="G43" s="127"/>
      <c r="H43" s="127"/>
      <c r="I43" s="84"/>
      <c r="J43" s="82"/>
      <c r="K43" s="82"/>
      <c r="L43" s="82"/>
      <c r="M43" s="82"/>
      <c r="N43" s="59"/>
      <c r="O43" s="9"/>
    </row>
    <row r="44" spans="1:15" ht="17.100000000000001" customHeight="1" x14ac:dyDescent="0.25">
      <c r="A44" s="126" t="s">
        <v>65</v>
      </c>
      <c r="B44" s="127"/>
      <c r="C44" s="127"/>
      <c r="D44" s="127"/>
      <c r="E44" s="127"/>
      <c r="F44" s="127"/>
      <c r="G44" s="127"/>
      <c r="H44" s="127"/>
      <c r="I44" s="84"/>
      <c r="J44" s="140" t="s">
        <v>55</v>
      </c>
      <c r="K44" s="140"/>
      <c r="L44" s="140"/>
      <c r="M44" s="140"/>
      <c r="N44" s="59"/>
      <c r="O44" s="9"/>
    </row>
    <row r="45" spans="1:15" ht="15" x14ac:dyDescent="0.2">
      <c r="A45" s="7"/>
      <c r="B45" s="3"/>
      <c r="C45" s="3"/>
      <c r="D45" s="20"/>
      <c r="E45" s="83"/>
      <c r="F45" s="138"/>
      <c r="G45" s="139"/>
      <c r="H45" s="139"/>
      <c r="I45" s="84"/>
      <c r="J45" s="140"/>
      <c r="K45" s="140"/>
      <c r="L45" s="140"/>
      <c r="M45" s="140"/>
      <c r="N45" s="59"/>
      <c r="O45" s="9"/>
    </row>
    <row r="46" spans="1:15" ht="15" customHeight="1" x14ac:dyDescent="0.2">
      <c r="A46" s="7"/>
      <c r="B46" s="3"/>
      <c r="C46" s="3"/>
      <c r="D46" s="3"/>
      <c r="E46" s="82"/>
      <c r="F46" s="82"/>
      <c r="G46" s="82"/>
      <c r="H46" s="82"/>
      <c r="I46" s="84"/>
      <c r="J46" s="140"/>
      <c r="K46" s="140"/>
      <c r="L46" s="140"/>
      <c r="M46" s="140"/>
      <c r="N46" s="59"/>
      <c r="O46" s="9"/>
    </row>
    <row r="47" spans="1:15" ht="15" customHeight="1" x14ac:dyDescent="0.2">
      <c r="A47" s="7"/>
      <c r="B47" s="116"/>
      <c r="C47" s="165" t="s">
        <v>59</v>
      </c>
      <c r="D47" s="165"/>
      <c r="E47" s="165"/>
      <c r="F47" s="165"/>
      <c r="G47" s="165"/>
      <c r="H47" s="165"/>
      <c r="I47" s="165"/>
      <c r="J47" s="165"/>
      <c r="K47" s="165"/>
      <c r="L47" s="165"/>
      <c r="M47" s="165"/>
      <c r="N47" s="59"/>
      <c r="O47" s="9"/>
    </row>
    <row r="48" spans="1:15" ht="15" customHeight="1" x14ac:dyDescent="0.2">
      <c r="A48" s="7"/>
      <c r="B48" s="116"/>
      <c r="C48" s="165" t="s">
        <v>60</v>
      </c>
      <c r="D48" s="165"/>
      <c r="E48" s="165"/>
      <c r="F48" s="165"/>
      <c r="G48" s="165"/>
      <c r="H48" s="165"/>
      <c r="I48" s="165"/>
      <c r="J48" s="165"/>
      <c r="K48" s="165"/>
      <c r="L48" s="165"/>
      <c r="M48" s="165"/>
      <c r="N48" s="59"/>
      <c r="O48" s="9"/>
    </row>
    <row r="49" spans="1:15" x14ac:dyDescent="0.2">
      <c r="A49" s="7"/>
      <c r="B49" s="165" t="s">
        <v>61</v>
      </c>
      <c r="C49" s="165"/>
      <c r="D49" s="165"/>
      <c r="E49" s="165"/>
      <c r="F49" s="165"/>
      <c r="G49" s="165"/>
      <c r="H49" s="165"/>
      <c r="I49" s="165"/>
      <c r="J49" s="165"/>
      <c r="K49" s="165"/>
      <c r="L49" s="165"/>
      <c r="M49" s="165"/>
      <c r="N49" s="59"/>
      <c r="O49" s="9"/>
    </row>
    <row r="50" spans="1:15" x14ac:dyDescent="0.2">
      <c r="A50" s="7"/>
      <c r="B50" s="116"/>
      <c r="C50" s="116"/>
      <c r="D50" s="164" t="s">
        <v>62</v>
      </c>
      <c r="E50" s="164"/>
      <c r="F50" s="164"/>
      <c r="G50" s="164"/>
      <c r="H50" s="164"/>
      <c r="I50" s="164"/>
      <c r="J50" s="164"/>
      <c r="K50" s="164"/>
      <c r="L50" s="164"/>
      <c r="M50" s="115"/>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62"/>
      <c r="B54" s="162"/>
      <c r="C54" s="162"/>
      <c r="D54" s="162"/>
      <c r="E54" s="162"/>
      <c r="F54" s="162"/>
      <c r="G54" s="162"/>
      <c r="H54" s="162"/>
      <c r="I54" s="162"/>
      <c r="J54" s="162"/>
      <c r="K54" s="162"/>
      <c r="L54" s="162"/>
      <c r="M54" s="3"/>
      <c r="N54" s="59"/>
      <c r="O54" s="9"/>
    </row>
    <row r="55" spans="1:15" ht="3" customHeight="1" x14ac:dyDescent="0.2">
      <c r="A55" s="163"/>
      <c r="B55" s="163"/>
      <c r="C55" s="163"/>
      <c r="D55" s="163"/>
      <c r="E55" s="163"/>
      <c r="F55" s="163"/>
      <c r="G55" s="163"/>
      <c r="H55" s="163"/>
      <c r="I55" s="163"/>
      <c r="J55" s="163"/>
      <c r="K55" s="163"/>
      <c r="L55" s="163"/>
      <c r="M55" s="3"/>
      <c r="N55" s="59"/>
      <c r="O55" s="9"/>
    </row>
    <row r="56" spans="1:15" x14ac:dyDescent="0.2">
      <c r="A56" s="163"/>
      <c r="B56" s="163"/>
      <c r="C56" s="163"/>
      <c r="D56" s="163"/>
      <c r="E56" s="163"/>
      <c r="F56" s="163"/>
      <c r="G56" s="163"/>
      <c r="H56" s="163"/>
      <c r="I56" s="163"/>
      <c r="J56" s="163"/>
      <c r="K56" s="163"/>
      <c r="L56" s="163"/>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3">
    <mergeCell ref="L17:M17"/>
    <mergeCell ref="D17:I17"/>
    <mergeCell ref="L18:M18"/>
    <mergeCell ref="L19:M19"/>
    <mergeCell ref="F18:G18"/>
    <mergeCell ref="E54:L56"/>
    <mergeCell ref="E24:J24"/>
    <mergeCell ref="E27:J27"/>
    <mergeCell ref="D50:L50"/>
    <mergeCell ref="A54:D56"/>
    <mergeCell ref="C47:M47"/>
    <mergeCell ref="C48:M48"/>
    <mergeCell ref="B42:M42"/>
    <mergeCell ref="B49:M49"/>
    <mergeCell ref="E25:J25"/>
    <mergeCell ref="E28:J28"/>
    <mergeCell ref="E30:J30"/>
    <mergeCell ref="L10:M10"/>
    <mergeCell ref="L9:M9"/>
    <mergeCell ref="F45:H45"/>
    <mergeCell ref="J44:M46"/>
    <mergeCell ref="E26:J26"/>
    <mergeCell ref="E32:J32"/>
    <mergeCell ref="E23:J23"/>
    <mergeCell ref="E35:J35"/>
    <mergeCell ref="E33:J33"/>
    <mergeCell ref="L16:M16"/>
    <mergeCell ref="L13:M14"/>
    <mergeCell ref="D16:I16"/>
    <mergeCell ref="D19:I19"/>
    <mergeCell ref="E21:J21"/>
    <mergeCell ref="E29:J29"/>
    <mergeCell ref="E22:J22"/>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34:M35 L22:L33 M23:M33">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28</v>
      </c>
    </row>
    <row r="2" spans="1:11" x14ac:dyDescent="0.2">
      <c r="A2" s="71" t="s">
        <v>36</v>
      </c>
      <c r="B2" s="71" t="s">
        <v>29</v>
      </c>
    </row>
    <row r="3" spans="1:11" x14ac:dyDescent="0.2">
      <c r="A3" s="71" t="s">
        <v>37</v>
      </c>
      <c r="B3" s="71" t="s">
        <v>44</v>
      </c>
    </row>
    <row r="4" spans="1:11" x14ac:dyDescent="0.2">
      <c r="A4" s="71" t="s">
        <v>30</v>
      </c>
    </row>
    <row r="5" spans="1:11" x14ac:dyDescent="0.2">
      <c r="A5" s="71" t="s">
        <v>38</v>
      </c>
      <c r="B5" s="71">
        <v>1</v>
      </c>
    </row>
    <row r="6" spans="1:11" x14ac:dyDescent="0.2">
      <c r="A6" s="71">
        <v>1</v>
      </c>
      <c r="B6" s="71" t="s">
        <v>39</v>
      </c>
      <c r="C6" s="71" t="s">
        <v>43</v>
      </c>
      <c r="D6" s="71" t="s">
        <v>40</v>
      </c>
      <c r="E6" s="71">
        <v>10</v>
      </c>
      <c r="G6" s="71">
        <v>-1383939328</v>
      </c>
    </row>
    <row r="7" spans="1:11" x14ac:dyDescent="0.2">
      <c r="A7" s="71" t="s">
        <v>41</v>
      </c>
      <c r="B7" s="71" t="s">
        <v>31</v>
      </c>
      <c r="C7" s="71" t="s">
        <v>18</v>
      </c>
      <c r="D7" s="71" t="s">
        <v>3</v>
      </c>
      <c r="E7" s="71" t="s">
        <v>5</v>
      </c>
      <c r="F7" s="71" t="s">
        <v>7</v>
      </c>
      <c r="G7" s="71" t="s">
        <v>8</v>
      </c>
      <c r="H7" s="71" t="s">
        <v>9</v>
      </c>
      <c r="I7" s="71" t="s">
        <v>20</v>
      </c>
      <c r="J7" s="71" t="s">
        <v>32</v>
      </c>
      <c r="K7" s="71" t="s">
        <v>19</v>
      </c>
    </row>
    <row r="8" spans="1:11" x14ac:dyDescent="0.2">
      <c r="A8" s="71" t="s">
        <v>42</v>
      </c>
      <c r="B8" s="72" t="str">
        <f>Facture!$M$11</f>
        <v/>
      </c>
      <c r="C8" s="73">
        <f>Facture!$L$16</f>
        <v>45141</v>
      </c>
      <c r="D8" s="74" t="str">
        <f>Facture!$D$16</f>
        <v>Nova green volt</v>
      </c>
      <c r="E8" s="71">
        <f>Facture!$D$17</f>
        <v>0</v>
      </c>
      <c r="F8" s="71">
        <f>Facture!$D$18</f>
        <v>0</v>
      </c>
      <c r="G8" s="74" t="str">
        <f>Facture!$F$18</f>
        <v>TUNIS</v>
      </c>
      <c r="H8" s="74" t="str">
        <f>Facture!$I$18</f>
        <v>TN</v>
      </c>
      <c r="I8" s="71">
        <f>Facture!$D$19</f>
        <v>53117124</v>
      </c>
      <c r="J8" s="75" t="str">
        <f>Facture!$M$41</f>
        <v/>
      </c>
      <c r="K8" s="71" t="str">
        <f>Facture!$L$18</f>
        <v xml:space="preserve">Souhail JAOUABI
</v>
      </c>
    </row>
    <row r="9" spans="1:11" x14ac:dyDescent="0.2">
      <c r="A9" s="71" t="s">
        <v>30</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2023-08-03T10:38:02Z</cp:lastPrinted>
  <dcterms:created xsi:type="dcterms:W3CDTF">1995-05-29T15:50:39Z</dcterms:created>
  <dcterms:modified xsi:type="dcterms:W3CDTF">2023-08-03T12:26:14Z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green volt</vt:lpwstr>
  </property>
  <property fmtid="{D5CDD505-2E9C-101B-9397-08002B2CF9AE}" pid="11" name="Montant de la facture" linkTarget="TOT">
    <vt:lpwstr/>
  </property>
</Properties>
</file>