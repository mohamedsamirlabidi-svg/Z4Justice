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Facture!$F$56</definedName>
    <definedName name="data68">Facture!$G$56</definedName>
    <definedName name="data69">Facture!$K$56</definedName>
    <definedName name="data7">Facture!$H$22</definedName>
    <definedName name="data70">Facture!#REF!</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Facture!$C$3:$N$48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Print_Area" localSheetId="2">Facture!$A$1:$N$48</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Facture!$E$21:$J$21</definedName>
    <definedName name="qzqzqz30">Facture!$G$56:$I$56</definedName>
    <definedName name="qzqzqz31">Facture!$G$56:$H$56</definedName>
    <definedName name="qzqzqz32">Facture!$L$55:$M$56</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7" i="3" l="1"/>
  <c r="M45" i="3"/>
  <c r="M35" i="3"/>
  <c r="M33" i="3"/>
  <c r="M29" i="3"/>
  <c r="M27" i="3"/>
  <c r="M50" i="3" l="1"/>
  <c r="M52" i="3"/>
  <c r="M53"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<sst xmlns="http://schemas.openxmlformats.org/spreadsheetml/2006/main" count="104" uniqueCount="94">
  <si>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</si>
  <si>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</si>
  <si>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</si>
  <si>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</si>
  <si>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</si>
  <si>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</si>
  <si>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</si>
  <si>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</si>
  <si>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</si>
  <si>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</si>
  <si>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</si>
  <si>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</si>
  <si>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</si>
  <si>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</si>
  <si>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</si>
  <si>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</si>
  <si>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</si>
  <si>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</si>
  <si>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</si>
  <si>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</si>
  <si>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</si>
  <si>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</si>
  <si>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</si>
  <si>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</si>
  <si>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</si>
  <si>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</si>
  <si>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</si>
  <si>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</si>
  <si>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</si>
  <si>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</si>
  <si>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</si>
  <si>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</si>
  <si>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</si>
  <si>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</si>
  <si>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</si>
  <si>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</si>
  <si>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</si>
  <si>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</si>
  <si>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</si>
  <si>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</si>
  <si>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</si>
  <si>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</si>
  <si>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</si>
  <si>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</si>
  <si>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</si>
  <si>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</si>
  <si>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</si>
  <si>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</si>
  <si>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</si>
  <si>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</si>
  <si>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</si>
  <si>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</si>
  <si>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</si>
  <si>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</si>
  <si>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</si>
  <si>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</si>
  <si>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</si>
  <si>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</si>
  <si>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</si>
  <si>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</si>
  <si>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</si>
  <si>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</si>
  <si>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</si>
  <si>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</si>
  <si>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</si>
  <si>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</si>
  <si>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</si>
  <si>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</si>
  <si>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</si>
  <si>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</si>
  <si>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LDV12M</t>
  </si>
  <si>
    <t>LDV09M</t>
  </si>
  <si>
    <t>LONGUEUR  9 M</t>
  </si>
  <si>
    <t>LONGUEUR  12 M</t>
  </si>
  <si>
    <t>LDV15M</t>
  </si>
  <si>
    <t>LONGUEUR  15M</t>
  </si>
  <si>
    <t>LDV20M</t>
  </si>
  <si>
    <t>LONGUEUR 20M</t>
  </si>
  <si>
    <t>LDV25M</t>
  </si>
  <si>
    <t>LONGUEUR  25M</t>
  </si>
  <si>
    <t>LDV36M</t>
  </si>
  <si>
    <t>LONGUEUR  36M</t>
  </si>
  <si>
    <t>LDV45M</t>
  </si>
  <si>
    <t>LONGUEUR 45 M</t>
  </si>
  <si>
    <t>LDV65M</t>
  </si>
  <si>
    <t>LONGUEUR 65 M</t>
  </si>
  <si>
    <t>* Norme Européenne EN353-1 :2014+A1:2017</t>
  </si>
  <si>
    <t>* la réglementation nationale américaine,</t>
  </si>
  <si>
    <t>OSHA 1910</t>
  </si>
  <si>
    <t>ANSI A14 -3</t>
  </si>
  <si>
    <t>LIGNE DE VIE SECUROPE  conforme aux:</t>
  </si>
  <si>
    <t xml:space="preserve">Réf commande: </t>
  </si>
  <si>
    <t>DEVIS    N°2023-1776</t>
  </si>
  <si>
    <t>Date : 14/12/2023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</si>
</sst>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2" x14ac:knownFonts="1">
    <font>
      <sz val="10"/>
      <name val="Arial"/>
    </font>
    <font>
      <sz val="10"/>
      <name val="Arial"/>
      <family val="2"/>
    </font>
    <font>
      <b/>
      <i/>
      <sz val="14"/>
      <name val="Arial"/>
      <family val="2"/>
    </font>
    <font>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4"/>
      <color theme="10"/>
      <name val="Arial"/>
      <family val="2"/>
    </font>
    <font>
      <b/>
      <sz val="22"/>
      <name val="Arial"/>
      <family val="2"/>
    </font>
    <font>
      <b/>
      <sz val="20"/>
      <color theme="1"/>
      <name val="Arial"/>
      <family val="2"/>
    </font>
    <font>
      <sz val="20"/>
      <color theme="1"/>
      <name val="Arial"/>
      <family val="2"/>
    </font>
    <font>
      <b/>
      <u/>
      <sz val="1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3"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7" fillId="3" borderId="0" xfId="0" applyFont="1" applyFill="1" applyBorder="1"/>
    <xf numFmtId="0" fontId="6" fillId="3" borderId="7" xfId="0" applyFont="1" applyFill="1" applyBorder="1" applyAlignment="1"/>
    <xf numFmtId="0" fontId="5"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6" fillId="4" borderId="23" xfId="0" applyFont="1" applyFill="1" applyBorder="1" applyAlignment="1"/>
    <xf numFmtId="0" fontId="6" fillId="4" borderId="0" xfId="0" applyFont="1" applyFill="1" applyBorder="1" applyAlignment="1"/>
    <xf numFmtId="0" fontId="6" fillId="4" borderId="19" xfId="0" applyFont="1" applyFill="1" applyBorder="1" applyAlignment="1"/>
    <xf numFmtId="0" fontId="9" fillId="4" borderId="0" xfId="0" applyFont="1" applyFill="1" applyBorder="1" applyAlignment="1"/>
    <xf numFmtId="0" fontId="6" fillId="4" borderId="20" xfId="0" applyFont="1" applyFill="1" applyBorder="1" applyAlignment="1"/>
    <xf numFmtId="0" fontId="6" fillId="4" borderId="21" xfId="0" applyFont="1" applyFill="1" applyBorder="1" applyAlignment="1"/>
    <xf numFmtId="0" fontId="6"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6"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8"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3" fillId="4" borderId="0" xfId="0" applyFont="1" applyFill="1" applyBorder="1" applyAlignment="1"/>
    <xf numFmtId="0" fontId="3" fillId="3" borderId="0" xfId="0" applyFont="1" applyFill="1" applyBorder="1"/>
    <xf numFmtId="0" fontId="0" fillId="2" borderId="0" xfId="0" applyBorder="1"/>
    <xf numFmtId="0" fontId="17" fillId="3" borderId="0" xfId="0" applyFont="1" applyFill="1" applyBorder="1"/>
    <xf numFmtId="0" fontId="3" fillId="0" borderId="0" xfId="0" applyFont="1" applyFill="1" applyBorder="1"/>
    <xf numFmtId="0" fontId="14" fillId="0" borderId="0" xfId="0" applyFont="1" applyFill="1" applyBorder="1"/>
    <xf numFmtId="0" fontId="14" fillId="0" borderId="0" xfId="0" applyFont="1" applyFill="1"/>
    <xf numFmtId="0" fontId="14" fillId="0" borderId="0" xfId="0" quotePrefix="1" applyFont="1" applyFill="1" applyBorder="1"/>
    <xf numFmtId="0" fontId="16" fillId="0" borderId="0" xfId="0" applyFont="1" applyFill="1" applyBorder="1"/>
    <xf numFmtId="0" fontId="3" fillId="0" borderId="0" xfId="0" quotePrefix="1" applyFont="1" applyFill="1" applyBorder="1" applyAlignment="1">
      <alignment horizontal="right"/>
    </xf>
    <xf numFmtId="0" fontId="14" fillId="0" borderId="0" xfId="0" applyFont="1" applyFill="1" applyBorder="1" applyAlignment="1">
      <alignment vertical="top"/>
    </xf>
    <xf numFmtId="0" fontId="14" fillId="0" borderId="0" xfId="0" applyFont="1" applyFill="1" applyBorder="1" applyAlignment="1">
      <alignment wrapText="1"/>
    </xf>
    <xf numFmtId="0" fontId="16" fillId="3" borderId="31" xfId="0" applyFont="1" applyFill="1" applyBorder="1" applyAlignment="1">
      <alignment horizontal="center"/>
    </xf>
    <xf numFmtId="0" fontId="16" fillId="3" borderId="33" xfId="0" applyFont="1" applyFill="1" applyBorder="1" applyAlignment="1">
      <alignment horizontal="center"/>
    </xf>
    <xf numFmtId="0" fontId="18" fillId="3" borderId="0" xfId="0" applyNumberFormat="1" applyFont="1" applyFill="1" applyBorder="1" applyAlignment="1"/>
    <xf numFmtId="0" fontId="15" fillId="0" borderId="0" xfId="0" applyFont="1" applyFill="1" applyBorder="1"/>
    <xf numFmtId="0" fontId="15" fillId="0" borderId="0" xfId="0" applyFont="1" applyFill="1"/>
    <xf numFmtId="167" fontId="18" fillId="0" borderId="0" xfId="0" quotePrefix="1" applyNumberFormat="1" applyFont="1" applyFill="1" applyBorder="1"/>
    <xf numFmtId="0" fontId="18" fillId="3" borderId="0" xfId="0" applyFont="1" applyFill="1" applyBorder="1" applyAlignment="1">
      <alignment horizontal="left"/>
    </xf>
    <xf numFmtId="167" fontId="18" fillId="3" borderId="0" xfId="0" applyNumberFormat="1" applyFont="1" applyFill="1" applyBorder="1"/>
    <xf numFmtId="0" fontId="18" fillId="3" borderId="0" xfId="0" applyFont="1" applyFill="1" applyBorder="1" applyAlignment="1">
      <alignment vertical="top"/>
    </xf>
    <xf numFmtId="167" fontId="18" fillId="3" borderId="0" xfId="0" quotePrefix="1" applyNumberFormat="1" applyFont="1" applyFill="1" applyBorder="1" applyAlignment="1">
      <alignment horizontal="center"/>
    </xf>
    <xf numFmtId="0" fontId="20" fillId="3" borderId="0" xfId="0" applyFont="1" applyFill="1" applyBorder="1"/>
    <xf numFmtId="0" fontId="19" fillId="3" borderId="0" xfId="0" applyFont="1" applyFill="1" applyBorder="1"/>
    <xf numFmtId="49" fontId="20" fillId="3" borderId="34" xfId="0" applyNumberFormat="1" applyFont="1" applyFill="1" applyBorder="1" applyAlignment="1">
      <alignment horizontal="left"/>
    </xf>
    <xf numFmtId="0" fontId="20" fillId="3" borderId="0" xfId="0" applyFont="1" applyFill="1" applyBorder="1" applyAlignment="1">
      <alignment horizontal="right"/>
    </xf>
    <xf numFmtId="49" fontId="20" fillId="3" borderId="0" xfId="0" applyNumberFormat="1" applyFont="1" applyFill="1" applyBorder="1" applyAlignment="1">
      <alignment horizontal="left"/>
    </xf>
    <xf numFmtId="49" fontId="19" fillId="3" borderId="34" xfId="0" applyNumberFormat="1" applyFont="1" applyFill="1" applyBorder="1" applyAlignment="1">
      <alignment horizontal="left"/>
    </xf>
    <xf numFmtId="168" fontId="23" fillId="0" borderId="33" xfId="0" applyNumberFormat="1" applyFont="1" applyFill="1" applyBorder="1" applyAlignment="1">
      <alignment shrinkToFit="1"/>
    </xf>
    <xf numFmtId="168" fontId="24" fillId="0" borderId="29" xfId="0" applyNumberFormat="1" applyFont="1" applyFill="1" applyBorder="1" applyAlignment="1"/>
    <xf numFmtId="0" fontId="26" fillId="3" borderId="0" xfId="0" applyFont="1" applyFill="1" applyBorder="1"/>
    <xf numFmtId="0" fontId="14" fillId="6" borderId="0" xfId="0" applyFont="1" applyFill="1" applyBorder="1" applyAlignment="1">
      <alignment vertical="top"/>
    </xf>
    <xf numFmtId="0" fontId="16" fillId="3" borderId="0" xfId="0" applyFont="1" applyFill="1" applyBorder="1"/>
    <xf numFmtId="0" fontId="28" fillId="3" borderId="35" xfId="0" applyFont="1" applyFill="1" applyBorder="1"/>
    <xf numFmtId="168" fontId="26" fillId="0" borderId="29" xfId="0" applyNumberFormat="1" applyFont="1" applyFill="1" applyBorder="1" applyAlignment="1">
      <alignment horizontal="center" vertical="center" shrinkToFit="1"/>
    </xf>
    <xf numFmtId="0" fontId="27"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0" fontId="0" fillId="0" borderId="0" xfId="0" applyFill="1" applyBorder="1"/>
    <xf numFmtId="0" fontId="3" fillId="6" borderId="0" xfId="0" applyFont="1" applyFill="1" applyBorder="1"/>
    <xf numFmtId="0" fontId="14" fillId="6" borderId="0" xfId="0" applyFont="1" applyFill="1" applyBorder="1"/>
    <xf numFmtId="0" fontId="15" fillId="6" borderId="0" xfId="0" applyFont="1" applyFill="1" applyBorder="1"/>
    <xf numFmtId="49" fontId="25" fillId="6" borderId="0" xfId="0" applyNumberFormat="1" applyFont="1" applyFill="1" applyBorder="1" applyAlignment="1"/>
    <xf numFmtId="0" fontId="0" fillId="6" borderId="0" xfId="0" applyFill="1" applyBorder="1"/>
    <xf numFmtId="0" fontId="26" fillId="0" borderId="0" xfId="0" applyFont="1" applyFill="1" applyBorder="1" applyAlignment="1">
      <alignment horizontal="left"/>
    </xf>
    <xf numFmtId="1" fontId="15" fillId="0" borderId="44" xfId="0" applyNumberFormat="1" applyFont="1" applyFill="1" applyBorder="1" applyAlignment="1">
      <alignment horizontal="center"/>
    </xf>
    <xf numFmtId="0" fontId="15" fillId="0" borderId="0" xfId="0" applyFont="1" applyFill="1" applyBorder="1" applyAlignment="1"/>
    <xf numFmtId="49" fontId="15" fillId="0" borderId="0" xfId="0" applyNumberFormat="1" applyFont="1" applyFill="1" applyBorder="1" applyAlignment="1"/>
    <xf numFmtId="0" fontId="18" fillId="0" borderId="47" xfId="0" applyFont="1" applyFill="1" applyBorder="1"/>
    <xf numFmtId="49" fontId="33" fillId="0" borderId="45" xfId="5" applyNumberFormat="1" applyFill="1" applyBorder="1" applyAlignment="1"/>
    <xf numFmtId="49" fontId="33" fillId="0" borderId="46" xfId="5" applyNumberFormat="1" applyFill="1" applyBorder="1" applyAlignment="1"/>
    <xf numFmtId="49" fontId="33" fillId="0" borderId="0" xfId="5" applyNumberFormat="1" applyFill="1" applyBorder="1" applyAlignment="1"/>
    <xf numFmtId="49" fontId="33" fillId="0" borderId="39" xfId="5" applyNumberFormat="1" applyFill="1" applyBorder="1" applyAlignment="1"/>
    <xf numFmtId="49" fontId="35" fillId="0" borderId="47" xfId="5" applyNumberFormat="1" applyFont="1" applyFill="1" applyBorder="1" applyAlignment="1"/>
    <xf numFmtId="49" fontId="35" fillId="0" borderId="45" xfId="5" applyNumberFormat="1" applyFont="1" applyFill="1" applyBorder="1" applyAlignment="1"/>
    <xf numFmtId="0" fontId="16" fillId="3" borderId="28" xfId="0" applyFont="1" applyFill="1" applyBorder="1" applyAlignment="1">
      <alignment horizontal="center"/>
    </xf>
    <xf numFmtId="1" fontId="29" fillId="0" borderId="29" xfId="0" applyNumberFormat="1" applyFont="1" applyFill="1" applyBorder="1" applyAlignment="1">
      <alignment horizontal="center"/>
    </xf>
    <xf numFmtId="168" fontId="14" fillId="0" borderId="29" xfId="0" applyNumberFormat="1" applyFont="1" applyFill="1" applyBorder="1" applyAlignment="1"/>
    <xf numFmtId="0" fontId="22" fillId="0" borderId="48" xfId="0" quotePrefix="1" applyFont="1" applyFill="1" applyBorder="1" applyAlignment="1">
      <alignment horizontal="right"/>
    </xf>
    <xf numFmtId="0" fontId="22" fillId="0" borderId="29" xfId="0" applyFont="1" applyFill="1" applyBorder="1" applyAlignment="1">
      <alignment horizontal="right"/>
    </xf>
    <xf numFmtId="10" fontId="22" fillId="0" borderId="30" xfId="0" quotePrefix="1" applyNumberFormat="1" applyFont="1" applyFill="1" applyBorder="1" applyAlignment="1">
      <alignment horizontal="center"/>
    </xf>
    <xf numFmtId="0" fontId="22" fillId="0" borderId="30" xfId="0" applyFont="1" applyFill="1" applyBorder="1" applyAlignment="1">
      <alignment horizontal="right"/>
    </xf>
    <xf numFmtId="0" fontId="31" fillId="0" borderId="0" xfId="0" applyFont="1" applyFill="1" applyBorder="1"/>
    <xf numFmtId="0" fontId="34" fillId="6" borderId="0" xfId="0" applyFont="1" applyFill="1" applyBorder="1" applyAlignment="1">
      <alignment vertical="top"/>
    </xf>
    <xf numFmtId="49" fontId="31" fillId="0" borderId="28" xfId="0" applyNumberFormat="1" applyFont="1" applyFill="1" applyBorder="1" applyAlignment="1"/>
    <xf numFmtId="0" fontId="31" fillId="6" borderId="0" xfId="0" applyFont="1" applyFill="1" applyBorder="1"/>
    <xf numFmtId="0" fontId="31" fillId="3" borderId="0" xfId="0" applyFont="1" applyFill="1" applyBorder="1" applyAlignment="1"/>
    <xf numFmtId="0" fontId="18" fillId="6" borderId="48" xfId="0" applyFont="1" applyFill="1" applyBorder="1" applyAlignment="1">
      <alignment horizontal="center"/>
    </xf>
    <xf numFmtId="1" fontId="24" fillId="0" borderId="39" xfId="0" applyNumberFormat="1" applyFont="1" applyFill="1" applyBorder="1" applyAlignment="1">
      <alignment horizontal="center"/>
    </xf>
    <xf numFmtId="49" fontId="26" fillId="0" borderId="50" xfId="0" applyNumberFormat="1" applyFont="1" applyFill="1" applyBorder="1" applyAlignment="1"/>
    <xf numFmtId="49" fontId="26" fillId="0" borderId="51" xfId="0" applyNumberFormat="1" applyFont="1" applyFill="1" applyBorder="1" applyAlignment="1"/>
    <xf numFmtId="49" fontId="36" fillId="6" borderId="51" xfId="5" applyNumberFormat="1" applyFont="1" applyFill="1" applyBorder="1" applyAlignment="1"/>
    <xf numFmtId="49" fontId="36" fillId="6" borderId="52" xfId="5" applyNumberFormat="1" applyFont="1" applyFill="1" applyBorder="1" applyAlignment="1"/>
    <xf numFmtId="0" fontId="18" fillId="6" borderId="29" xfId="0" applyFont="1" applyFill="1" applyBorder="1" applyAlignment="1">
      <alignment horizontal="center"/>
    </xf>
    <xf numFmtId="49" fontId="26" fillId="0" borderId="28" xfId="0" applyNumberFormat="1" applyFont="1" applyFill="1" applyBorder="1" applyAlignment="1"/>
    <xf numFmtId="49" fontId="26" fillId="0" borderId="0" xfId="0" applyNumberFormat="1" applyFont="1" applyFill="1" applyBorder="1" applyAlignment="1"/>
    <xf numFmtId="49" fontId="36" fillId="6" borderId="0" xfId="5" applyNumberFormat="1" applyFont="1" applyFill="1" applyBorder="1" applyAlignment="1"/>
    <xf numFmtId="49" fontId="36" fillId="6" borderId="39" xfId="5" applyNumberFormat="1" applyFont="1" applyFill="1" applyBorder="1" applyAlignment="1"/>
    <xf numFmtId="170" fontId="24" fillId="0" borderId="29" xfId="0" applyNumberFormat="1" applyFont="1" applyFill="1" applyBorder="1" applyAlignment="1"/>
    <xf numFmtId="49" fontId="29" fillId="0" borderId="28" xfId="0" applyNumberFormat="1" applyFont="1" applyFill="1" applyBorder="1" applyAlignment="1"/>
    <xf numFmtId="0" fontId="16" fillId="3" borderId="28" xfId="0" applyFont="1" applyFill="1" applyBorder="1" applyAlignment="1">
      <alignment horizontal="center" vertical="center"/>
    </xf>
    <xf numFmtId="1" fontId="28" fillId="0" borderId="29" xfId="0" applyNumberFormat="1" applyFont="1" applyFill="1" applyBorder="1" applyAlignment="1">
      <alignment horizontal="center"/>
    </xf>
    <xf numFmtId="49" fontId="31" fillId="0" borderId="0" xfId="0" applyNumberFormat="1" applyFont="1" applyFill="1" applyBorder="1" applyAlignment="1"/>
    <xf numFmtId="49" fontId="31" fillId="0" borderId="39" xfId="0" applyNumberFormat="1" applyFont="1" applyFill="1" applyBorder="1" applyAlignment="1"/>
    <xf numFmtId="1" fontId="37" fillId="0" borderId="29" xfId="0" applyNumberFormat="1" applyFont="1" applyFill="1" applyBorder="1" applyAlignment="1">
      <alignment horizontal="center"/>
    </xf>
    <xf numFmtId="0" fontId="16" fillId="0" borderId="28" xfId="0" applyFont="1" applyFill="1" applyBorder="1" applyAlignment="1">
      <alignment horizontal="center" vertical="center"/>
    </xf>
    <xf numFmtId="0" fontId="27" fillId="3" borderId="0" xfId="0" applyFont="1" applyFill="1" applyBorder="1" applyAlignment="1">
      <alignment horizontal="left"/>
    </xf>
    <xf numFmtId="0" fontId="29" fillId="0" borderId="0" xfId="0" applyFont="1" applyFill="1" applyAlignment="1"/>
    <xf numFmtId="1" fontId="24" fillId="0" borderId="29" xfId="0" applyNumberFormat="1" applyFont="1" applyFill="1" applyBorder="1" applyAlignment="1">
      <alignment horizontal="center"/>
    </xf>
    <xf numFmtId="49" fontId="26" fillId="0" borderId="28" xfId="0" applyNumberFormat="1" applyFont="1" applyFill="1" applyBorder="1" applyAlignment="1">
      <alignment horizontal="left"/>
    </xf>
    <xf numFmtId="49" fontId="26" fillId="0" borderId="0" xfId="0" applyNumberFormat="1" applyFont="1" applyFill="1" applyBorder="1" applyAlignment="1">
      <alignment horizontal="left"/>
    </xf>
    <xf numFmtId="49" fontId="26" fillId="0" borderId="39" xfId="0" applyNumberFormat="1" applyFont="1" applyFill="1" applyBorder="1" applyAlignment="1">
      <alignment horizontal="left"/>
    </xf>
    <xf numFmtId="0" fontId="5" fillId="3" borderId="0" xfId="0" quotePrefix="1" applyFont="1" applyFill="1" applyBorder="1" applyAlignment="1"/>
    <xf numFmtId="0" fontId="40" fillId="6" borderId="0" xfId="0" applyFont="1" applyFill="1" applyBorder="1" applyAlignment="1">
      <alignment vertical="top"/>
    </xf>
    <xf numFmtId="0" fontId="5" fillId="3" borderId="0" xfId="0" quotePrefix="1" applyFont="1" applyFill="1" applyBorder="1" applyAlignment="1">
      <alignment horizontal="right"/>
    </xf>
    <xf numFmtId="0" fontId="5" fillId="3" borderId="0" xfId="0" applyFont="1" applyFill="1" applyBorder="1"/>
    <xf numFmtId="0" fontId="5" fillId="6" borderId="0" xfId="0" applyFont="1" applyFill="1" applyBorder="1"/>
    <xf numFmtId="0" fontId="10" fillId="3" borderId="36" xfId="0" applyFont="1" applyFill="1" applyBorder="1" applyAlignment="1"/>
    <xf numFmtId="0" fontId="0" fillId="2" borderId="36" xfId="0" applyBorder="1" applyAlignment="1"/>
    <xf numFmtId="0" fontId="4" fillId="3" borderId="21" xfId="0" applyFont="1" applyFill="1" applyBorder="1" applyAlignment="1"/>
    <xf numFmtId="0" fontId="0" fillId="2" borderId="21" xfId="0" applyBorder="1" applyAlignment="1"/>
    <xf numFmtId="0" fontId="4"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1" fillId="3" borderId="40" xfId="0" applyFont="1" applyFill="1" applyBorder="1" applyAlignment="1">
      <alignment horizontal="center" vertical="center" wrapText="1" shrinkToFit="1"/>
    </xf>
    <xf numFmtId="0" fontId="21" fillId="3" borderId="41" xfId="0" applyFont="1" applyFill="1" applyBorder="1" applyAlignment="1">
      <alignment horizontal="center" vertical="center" wrapText="1" shrinkToFit="1"/>
    </xf>
    <xf numFmtId="0" fontId="21" fillId="3" borderId="42" xfId="0" applyFont="1" applyFill="1" applyBorder="1" applyAlignment="1">
      <alignment horizontal="center" vertical="center" wrapText="1" shrinkToFit="1"/>
    </xf>
    <xf numFmtId="14" fontId="20" fillId="3" borderId="34" xfId="0" applyNumberFormat="1" applyFont="1" applyFill="1" applyBorder="1" applyAlignment="1">
      <alignment horizontal="left"/>
    </xf>
    <xf numFmtId="0" fontId="20" fillId="3" borderId="35" xfId="0" applyFont="1" applyFill="1" applyBorder="1" applyAlignment="1">
      <alignment horizontal="left" wrapText="1"/>
    </xf>
    <xf numFmtId="0" fontId="20" fillId="3" borderId="35" xfId="0" applyFont="1" applyFill="1" applyBorder="1" applyAlignment="1">
      <alignment horizontal="left"/>
    </xf>
    <xf numFmtId="49" fontId="22" fillId="3" borderId="34" xfId="0" applyNumberFormat="1" applyFont="1" applyFill="1" applyBorder="1" applyAlignment="1"/>
    <xf numFmtId="0" fontId="29" fillId="3" borderId="34" xfId="0" applyFont="1" applyFill="1" applyBorder="1" applyAlignment="1"/>
    <xf numFmtId="0" fontId="16" fillId="3" borderId="0" xfId="0" applyFont="1" applyFill="1" applyBorder="1" applyAlignment="1">
      <alignment vertical="center"/>
    </xf>
    <xf numFmtId="0" fontId="26" fillId="3" borderId="0" xfId="0" applyFont="1" applyFill="1" applyBorder="1" applyAlignment="1">
      <alignment vertical="center"/>
    </xf>
    <xf numFmtId="49" fontId="19" fillId="3" borderId="35" xfId="0" applyNumberFormat="1" applyFont="1" applyFill="1" applyBorder="1" applyAlignment="1">
      <alignment horizontal="left"/>
    </xf>
    <xf numFmtId="0" fontId="16" fillId="3" borderId="31" xfId="0" applyFont="1" applyFill="1" applyBorder="1" applyAlignment="1"/>
    <xf numFmtId="0" fontId="16" fillId="3" borderId="32" xfId="0" applyFont="1" applyFill="1" applyBorder="1" applyAlignment="1"/>
    <xf numFmtId="0" fontId="16" fillId="3" borderId="43" xfId="0" applyFont="1" applyFill="1" applyBorder="1" applyAlignment="1"/>
    <xf numFmtId="0" fontId="15" fillId="3" borderId="0" xfId="0" applyFont="1" applyFill="1" applyBorder="1" applyAlignment="1">
      <alignment shrinkToFit="1"/>
    </xf>
    <xf numFmtId="49" fontId="38" fillId="0" borderId="28" xfId="5" applyNumberFormat="1" applyFont="1" applyFill="1" applyBorder="1" applyAlignment="1">
      <alignment horizontal="left" vertical="center"/>
    </xf>
    <xf numFmtId="49" fontId="38" fillId="0" borderId="0" xfId="5" applyNumberFormat="1" applyFont="1" applyFill="1" applyBorder="1" applyAlignment="1">
      <alignment horizontal="left" vertical="center"/>
    </xf>
    <xf numFmtId="49" fontId="38" fillId="0" borderId="39" xfId="5" applyNumberFormat="1" applyFont="1" applyFill="1" applyBorder="1" applyAlignment="1">
      <alignment horizontal="left" vertical="center"/>
    </xf>
    <xf numFmtId="49" fontId="39" fillId="0" borderId="28" xfId="0" applyNumberFormat="1" applyFont="1" applyFill="1" applyBorder="1" applyAlignment="1">
      <alignment horizontal="left" vertical="top"/>
    </xf>
    <xf numFmtId="49" fontId="39" fillId="0" borderId="0" xfId="0" applyNumberFormat="1" applyFont="1" applyFill="1" applyBorder="1" applyAlignment="1">
      <alignment horizontal="left" vertical="top"/>
    </xf>
    <xf numFmtId="49" fontId="39" fillId="0" borderId="39" xfId="0" applyNumberFormat="1" applyFont="1" applyFill="1" applyBorder="1" applyAlignment="1">
      <alignment horizontal="left" vertical="top"/>
    </xf>
    <xf numFmtId="49" fontId="5" fillId="3" borderId="0" xfId="0" applyNumberFormat="1" applyFont="1" applyFill="1" applyBorder="1" applyAlignment="1">
      <alignment horizontal="center" vertical="center"/>
    </xf>
    <xf numFmtId="14" fontId="14" fillId="0" borderId="0" xfId="0" applyNumberFormat="1" applyFont="1" applyFill="1" applyBorder="1" applyAlignment="1"/>
    <xf numFmtId="0" fontId="5" fillId="3" borderId="49" xfId="0" quotePrefix="1" applyFont="1" applyFill="1" applyBorder="1" applyAlignment="1">
      <alignment horizontal="center"/>
    </xf>
    <xf numFmtId="0" fontId="5" fillId="3" borderId="0" xfId="0" quotePrefix="1" applyFont="1" applyFill="1" applyBorder="1" applyAlignment="1">
      <alignment horizontal="center"/>
    </xf>
    <xf numFmtId="49" fontId="41" fillId="3" borderId="0" xfId="0" applyNumberFormat="1" applyFont="1" applyFill="1" applyBorder="1" applyAlignment="1">
      <alignment horizontal="center"/>
    </xf>
    <xf numFmtId="49" fontId="26" fillId="0" borderId="28" xfId="0" applyNumberFormat="1" applyFont="1" applyFill="1" applyBorder="1" applyAlignment="1">
      <alignment horizontal="center" wrapText="1"/>
    </xf>
    <xf numFmtId="49" fontId="26" fillId="0" borderId="0" xfId="0" applyNumberFormat="1" applyFont="1" applyFill="1" applyBorder="1" applyAlignment="1">
      <alignment horizontal="center"/>
    </xf>
    <xf numFmtId="49" fontId="26" fillId="0" borderId="39" xfId="0" applyNumberFormat="1" applyFont="1" applyFill="1" applyBorder="1" applyAlignment="1">
      <alignment horizontal="center"/>
    </xf>
    <xf numFmtId="49" fontId="26" fillId="0" borderId="28" xfId="0" applyNumberFormat="1" applyFont="1" applyFill="1" applyBorder="1" applyAlignment="1">
      <alignment horizontal="left"/>
    </xf>
    <xf numFmtId="49" fontId="26" fillId="0" borderId="0" xfId="0" applyNumberFormat="1" applyFont="1" applyFill="1" applyBorder="1" applyAlignment="1">
      <alignment horizontal="left"/>
    </xf>
    <xf numFmtId="49" fontId="26"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222250</xdr:colOff>
      <xdr:row>3</xdr:row>
      <xdr:rowOff>127000</xdr:rowOff>
    </xdr:from>
    <xdr:to>
      <xdr:col>5</xdr:col>
      <xdr:colOff>460375</xdr:colOff>
      <xdr:row>8</xdr:row>
      <xdr:rowOff>15875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381000"/>
          <a:ext cx="3317875" cy="746125"/>
        </a:xfrm>
        <a:prstGeom prst="rect">
          <a:avLst/>
        </a:prstGeom>
        <a:noFill/>
        <a:ln>
          <a:noFill/>
        </a:ln>
      </xdr:spPr>
    </xdr:pic>
    <xdr:clientData/>
  </xdr:twoCellAnchor>
  <xdr:twoCellAnchor editAs="oneCell">
    <xdr:from>
      <xdr:col>7</xdr:col>
      <xdr:colOff>476249</xdr:colOff>
      <xdr:row>2</xdr:row>
      <xdr:rowOff>0</xdr:rowOff>
    </xdr:from>
    <xdr:to>
      <xdr:col>13</xdr:col>
      <xdr:colOff>63500</xdr:colOff>
      <xdr:row>13</xdr:row>
      <xdr:rowOff>142875</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19</xdr:row>
      <xdr:rowOff>0</xdr:rowOff>
    </xdr:from>
    <xdr:to>
      <xdr:col>13</xdr:col>
      <xdr:colOff>95250</xdr:colOff>
      <xdr:row>23</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6" t="s">
        <v>0</v>
      </c>
      <c r="E4" s="167"/>
      <c r="F4" s="167"/>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68" t="s">
        <v>2</v>
      </c>
      <c r="E10" s="169"/>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70" t="s">
        <v>45</v>
      </c>
      <c r="E19" s="169"/>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71" t="str">
        <f>LOWER(TemplateInformation!B3)</f>
        <v>c:\program files\microsoft office\office\macrolib\factbd.xls</v>
      </c>
      <c r="G33" s="172"/>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68" t="s">
        <v>16</v>
      </c>
      <c r="E36" s="169"/>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C37" zoomScale="60" zoomScaleNormal="60" workbookViewId="0">
      <selection activeCell="G78" sqref="G7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1"/>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x14ac:dyDescent="0.2">
      <c r="B4" s="7"/>
      <c r="C4" s="3"/>
      <c r="D4" s="3"/>
      <c r="E4" s="3"/>
      <c r="F4" s="3"/>
      <c r="G4" s="3"/>
      <c r="H4" s="3"/>
      <c r="I4" s="3"/>
      <c r="J4" s="3"/>
      <c r="K4" s="3"/>
      <c r="L4" s="3"/>
      <c r="M4" s="3"/>
      <c r="N4" s="3"/>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ht="18" x14ac:dyDescent="0.25">
      <c r="B7" s="7"/>
      <c r="C7" s="3"/>
      <c r="D7" s="3"/>
      <c r="E7" s="3"/>
      <c r="F7" s="3"/>
      <c r="G7" s="3"/>
      <c r="H7" s="3"/>
      <c r="I7" s="3"/>
      <c r="J7" s="101"/>
      <c r="K7" s="101"/>
      <c r="L7" s="3"/>
      <c r="M7" s="3"/>
      <c r="N7" s="3"/>
    </row>
    <row r="8" spans="1:14" x14ac:dyDescent="0.2">
      <c r="B8" s="7"/>
      <c r="C8" s="3"/>
      <c r="D8" s="3"/>
      <c r="E8" s="3"/>
      <c r="F8" s="3"/>
      <c r="G8" s="3"/>
      <c r="H8" s="3"/>
      <c r="I8" s="3"/>
      <c r="J8" s="3"/>
      <c r="K8" s="3"/>
      <c r="L8" s="3"/>
      <c r="M8" s="3"/>
      <c r="N8" s="3"/>
    </row>
    <row r="9" spans="1:14" x14ac:dyDescent="0.2">
      <c r="B9" s="7"/>
      <c r="C9" s="3"/>
      <c r="D9" s="3"/>
      <c r="E9" s="3"/>
      <c r="F9" s="3"/>
      <c r="G9" s="3"/>
      <c r="H9" s="3"/>
      <c r="I9" s="3"/>
      <c r="J9" s="3"/>
      <c r="K9" s="3"/>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ht="13.5" thickBot="1" x14ac:dyDescent="0.25">
      <c r="B15" s="7"/>
      <c r="C15" s="3"/>
      <c r="D15" s="3"/>
      <c r="E15" s="3"/>
      <c r="F15" s="3"/>
      <c r="G15" s="3"/>
      <c r="H15" s="3"/>
      <c r="I15" s="3"/>
      <c r="J15" s="3"/>
      <c r="K15" s="3"/>
      <c r="L15" s="3"/>
      <c r="M15" s="3"/>
      <c r="N15" s="3"/>
    </row>
    <row r="16" spans="1:14" ht="27.75" thickTop="1" thickBot="1" x14ac:dyDescent="0.45">
      <c r="B16" s="7"/>
      <c r="C16" s="3"/>
      <c r="D16" s="99" t="s">
        <v>59</v>
      </c>
      <c r="E16" s="72"/>
      <c r="F16" s="72"/>
      <c r="G16" s="72"/>
      <c r="H16" s="3"/>
      <c r="I16" s="3"/>
      <c r="J16" s="3"/>
      <c r="K16" s="3"/>
      <c r="L16" s="173" t="s">
        <v>92</v>
      </c>
      <c r="M16" s="3"/>
      <c r="N16" s="3"/>
    </row>
    <row r="17" spans="2:14" ht="21.95" customHeight="1" thickTop="1" x14ac:dyDescent="0.3">
      <c r="B17" s="7"/>
      <c r="C17" s="3"/>
      <c r="D17" s="53"/>
      <c r="E17" s="53"/>
      <c r="F17" s="53"/>
      <c r="G17" s="53"/>
      <c r="H17" s="53"/>
      <c r="I17" s="53"/>
      <c r="J17" s="54"/>
      <c r="K17" s="54"/>
      <c r="L17" s="174"/>
      <c r="M17" s="54"/>
      <c r="N17" s="18"/>
    </row>
    <row r="18" spans="2:14" ht="21.95" customHeight="1" thickBot="1" x14ac:dyDescent="0.25">
      <c r="B18" s="7"/>
      <c r="C18" s="3"/>
      <c r="D18" s="3"/>
      <c r="E18" s="3"/>
      <c r="F18" s="3"/>
      <c r="G18" s="3"/>
      <c r="H18" s="3"/>
      <c r="I18" s="3"/>
      <c r="J18" s="3"/>
      <c r="K18" s="3"/>
      <c r="L18" s="175"/>
      <c r="M18" s="3"/>
      <c r="N18" s="3"/>
    </row>
    <row r="19" spans="2:14" ht="13.5" thickTop="1" x14ac:dyDescent="0.2">
      <c r="B19" s="7"/>
      <c r="C19" s="3"/>
      <c r="D19" s="3"/>
      <c r="E19" s="3"/>
      <c r="F19" s="3"/>
      <c r="G19" s="3"/>
      <c r="H19" s="3"/>
      <c r="I19" s="3"/>
      <c r="J19" s="3"/>
      <c r="K19" s="3"/>
      <c r="L19" s="3"/>
      <c r="M19" s="3"/>
      <c r="N19" s="3"/>
    </row>
    <row r="20" spans="2:14" ht="35.25" x14ac:dyDescent="0.5">
      <c r="B20" s="7"/>
      <c r="C20" s="3"/>
      <c r="D20" s="91" t="s">
        <v>51</v>
      </c>
      <c r="E20" s="179" t="s">
        <v>64</v>
      </c>
      <c r="F20" s="179"/>
      <c r="G20" s="179"/>
      <c r="H20" s="179"/>
      <c r="I20" s="179"/>
      <c r="J20" s="179"/>
      <c r="K20" s="92"/>
      <c r="L20" s="176" t="s">
        <v>93</v>
      </c>
      <c r="M20" s="176"/>
      <c r="N20" s="50"/>
    </row>
    <row r="21" spans="2:14" ht="33.75" x14ac:dyDescent="0.5">
      <c r="B21" s="7"/>
      <c r="C21" s="3"/>
      <c r="D21" s="91" t="s">
        <v>52</v>
      </c>
      <c r="E21" s="181" t="s">
        <v>63</v>
      </c>
      <c r="F21" s="182"/>
      <c r="G21" s="182"/>
      <c r="H21" s="182"/>
      <c r="I21" s="182"/>
      <c r="J21" s="182"/>
      <c r="K21" s="182"/>
      <c r="L21" s="93" t="s">
        <v>91</v>
      </c>
      <c r="M21" s="93"/>
      <c r="N21" s="51"/>
    </row>
    <row r="22" spans="2:14" ht="33.75" x14ac:dyDescent="0.5">
      <c r="B22" s="7"/>
      <c r="C22" s="3"/>
      <c r="D22" s="91" t="s">
        <v>53</v>
      </c>
      <c r="E22" s="102"/>
      <c r="F22" s="94" t="s">
        <v>8</v>
      </c>
      <c r="G22" s="183"/>
      <c r="H22" s="183"/>
      <c r="I22" s="95" t="s">
        <v>9</v>
      </c>
      <c r="J22" s="96" t="s">
        <v>56</v>
      </c>
      <c r="K22" s="92"/>
      <c r="L22" s="177" t="s">
        <v>69</v>
      </c>
      <c r="M22" s="178"/>
      <c r="N22" s="3"/>
    </row>
    <row r="23" spans="2:14" ht="33.75" x14ac:dyDescent="0.5">
      <c r="B23" s="7"/>
      <c r="C23" s="3"/>
      <c r="D23" s="91" t="s">
        <v>54</v>
      </c>
      <c r="E23" s="180" t="s">
        <v>65</v>
      </c>
      <c r="F23" s="180"/>
      <c r="G23" s="180"/>
      <c r="H23" s="180"/>
      <c r="I23" s="180"/>
      <c r="J23" s="180"/>
      <c r="K23" s="92"/>
      <c r="L23" s="178" t="s">
        <v>62</v>
      </c>
      <c r="M23" s="178"/>
      <c r="N23" s="3"/>
    </row>
    <row r="24" spans="2:14" x14ac:dyDescent="0.2">
      <c r="B24" s="7"/>
      <c r="C24" s="3"/>
      <c r="D24" s="70"/>
      <c r="E24" s="70"/>
      <c r="F24" s="70"/>
      <c r="G24" s="70"/>
      <c r="H24" s="70"/>
      <c r="I24" s="70"/>
      <c r="J24" s="70"/>
      <c r="K24" s="70"/>
      <c r="L24" s="70"/>
      <c r="M24" s="70"/>
      <c r="N24" s="3"/>
    </row>
    <row r="25" spans="2:14" ht="18" x14ac:dyDescent="0.25">
      <c r="B25" s="7"/>
      <c r="C25" s="3"/>
      <c r="D25" s="81" t="s">
        <v>34</v>
      </c>
      <c r="E25" s="81" t="s">
        <v>21</v>
      </c>
      <c r="F25" s="184" t="s">
        <v>22</v>
      </c>
      <c r="G25" s="185"/>
      <c r="H25" s="185"/>
      <c r="I25" s="185"/>
      <c r="J25" s="185"/>
      <c r="K25" s="186"/>
      <c r="L25" s="81" t="s">
        <v>23</v>
      </c>
      <c r="M25" s="82" t="s">
        <v>24</v>
      </c>
      <c r="N25" s="83"/>
    </row>
    <row r="26" spans="2:14" ht="30" x14ac:dyDescent="0.4">
      <c r="B26" s="7"/>
      <c r="C26" s="3"/>
      <c r="D26" s="124"/>
      <c r="E26" s="125"/>
      <c r="F26" s="133"/>
      <c r="G26" s="134"/>
      <c r="H26" s="135"/>
      <c r="I26" s="120"/>
      <c r="J26" s="120"/>
      <c r="K26" s="121"/>
      <c r="L26" s="98"/>
      <c r="M26" s="103"/>
      <c r="N26" s="52"/>
    </row>
    <row r="27" spans="2:14" ht="30" x14ac:dyDescent="0.4">
      <c r="B27" s="7"/>
      <c r="C27" s="3"/>
      <c r="D27" s="136"/>
      <c r="E27" s="137"/>
      <c r="F27" s="138" t="s">
        <v>90</v>
      </c>
      <c r="G27" s="139"/>
      <c r="H27" s="139"/>
      <c r="I27" s="139"/>
      <c r="J27" s="140"/>
      <c r="K27" s="141"/>
      <c r="L27" s="98"/>
      <c r="M27" s="98" t="str">
        <f>IF(E27&lt;&gt;"",E27*L27,"")</f>
        <v/>
      </c>
      <c r="N27" s="52"/>
    </row>
    <row r="28" spans="2:14" ht="30" x14ac:dyDescent="0.4">
      <c r="B28" s="7"/>
      <c r="C28" s="3"/>
      <c r="D28" s="142"/>
      <c r="E28" s="137"/>
      <c r="F28" s="143" t="s">
        <v>86</v>
      </c>
      <c r="G28" s="144"/>
      <c r="H28" s="144"/>
      <c r="I28" s="144"/>
      <c r="J28" s="145"/>
      <c r="K28" s="146"/>
      <c r="L28" s="147"/>
      <c r="M28" s="147"/>
      <c r="N28" s="52"/>
    </row>
    <row r="29" spans="2:14" ht="30" customHeight="1" x14ac:dyDescent="0.4">
      <c r="B29" s="7"/>
      <c r="C29" s="3"/>
      <c r="D29" s="142"/>
      <c r="E29" s="137"/>
      <c r="F29" s="199" t="s">
        <v>87</v>
      </c>
      <c r="G29" s="200"/>
      <c r="H29" s="200"/>
      <c r="I29" s="200"/>
      <c r="J29" s="200"/>
      <c r="K29" s="201"/>
      <c r="L29" s="147"/>
      <c r="M29" s="147" t="str">
        <f>IF(E29&lt;&gt;"",E29*L29,"")</f>
        <v/>
      </c>
      <c r="N29" s="52"/>
    </row>
    <row r="30" spans="2:14" ht="30" x14ac:dyDescent="0.4">
      <c r="B30" s="7"/>
      <c r="C30" s="3"/>
      <c r="D30" s="149"/>
      <c r="E30" s="137"/>
      <c r="F30" s="202" t="s">
        <v>88</v>
      </c>
      <c r="G30" s="203"/>
      <c r="H30" s="203"/>
      <c r="I30" s="203"/>
      <c r="J30" s="203"/>
      <c r="K30" s="204"/>
      <c r="L30" s="147"/>
      <c r="M30" s="147"/>
      <c r="N30" s="52"/>
    </row>
    <row r="31" spans="2:14" ht="30" x14ac:dyDescent="0.4">
      <c r="B31" s="7"/>
      <c r="C31" s="3"/>
      <c r="D31" s="149"/>
      <c r="E31" s="137"/>
      <c r="F31" s="202" t="s">
        <v>89</v>
      </c>
      <c r="G31" s="203"/>
      <c r="H31" s="203"/>
      <c r="I31" s="203"/>
      <c r="J31" s="203"/>
      <c r="K31" s="204"/>
      <c r="L31" s="147"/>
      <c r="M31" s="147"/>
      <c r="N31" s="52"/>
    </row>
    <row r="32" spans="2:14" ht="30" x14ac:dyDescent="0.4">
      <c r="B32" s="7"/>
      <c r="C32" s="3"/>
      <c r="D32" s="149"/>
      <c r="E32" s="137"/>
      <c r="F32" s="158"/>
      <c r="G32" s="159"/>
      <c r="H32" s="159"/>
      <c r="I32" s="159"/>
      <c r="J32" s="159"/>
      <c r="K32" s="160"/>
      <c r="L32" s="147"/>
      <c r="M32" s="147"/>
      <c r="N32" s="52"/>
    </row>
    <row r="33" spans="2:14" ht="30" x14ac:dyDescent="0.4">
      <c r="B33" s="7"/>
      <c r="C33" s="3"/>
      <c r="D33" s="149" t="s">
        <v>71</v>
      </c>
      <c r="E33" s="150">
        <v>1</v>
      </c>
      <c r="F33" s="143" t="s">
        <v>72</v>
      </c>
      <c r="G33" s="151"/>
      <c r="H33" s="151"/>
      <c r="I33" s="151"/>
      <c r="J33" s="151"/>
      <c r="K33" s="152"/>
      <c r="L33" s="147">
        <v>1268</v>
      </c>
      <c r="M33" s="147">
        <f>L33*E33</f>
        <v>1268</v>
      </c>
      <c r="N33" s="52"/>
    </row>
    <row r="34" spans="2:14" ht="30" x14ac:dyDescent="0.4">
      <c r="B34" s="7"/>
      <c r="C34" s="3"/>
      <c r="D34" s="149"/>
      <c r="E34" s="153"/>
      <c r="F34" s="191"/>
      <c r="G34" s="192"/>
      <c r="H34" s="192"/>
      <c r="I34" s="192"/>
      <c r="J34" s="192"/>
      <c r="K34" s="193"/>
      <c r="L34" s="147"/>
      <c r="M34" s="147"/>
      <c r="N34" s="52"/>
    </row>
    <row r="35" spans="2:14" ht="30" x14ac:dyDescent="0.4">
      <c r="B35" s="7"/>
      <c r="C35" s="3"/>
      <c r="D35" s="154" t="s">
        <v>70</v>
      </c>
      <c r="E35" s="150">
        <v>1</v>
      </c>
      <c r="F35" s="188" t="s">
        <v>73</v>
      </c>
      <c r="G35" s="189"/>
      <c r="H35" s="189"/>
      <c r="I35" s="189"/>
      <c r="J35" s="189"/>
      <c r="K35" s="190"/>
      <c r="L35" s="147">
        <v>1408</v>
      </c>
      <c r="M35" s="147">
        <f t="shared" ref="M35" si="0">L35*E35</f>
        <v>1408</v>
      </c>
      <c r="N35" s="52"/>
    </row>
    <row r="36" spans="2:14" ht="30" x14ac:dyDescent="0.4">
      <c r="B36" s="7"/>
      <c r="C36" s="3"/>
      <c r="D36" s="154"/>
      <c r="E36" s="150"/>
      <c r="F36" s="148"/>
      <c r="G36" s="120"/>
      <c r="H36" s="120"/>
      <c r="I36" s="120"/>
      <c r="J36" s="120"/>
      <c r="K36" s="121"/>
      <c r="L36" s="147"/>
      <c r="M36" s="147"/>
      <c r="N36" s="52"/>
    </row>
    <row r="37" spans="2:14" ht="30" x14ac:dyDescent="0.4">
      <c r="B37" s="7"/>
      <c r="C37" s="3"/>
      <c r="D37" s="154" t="s">
        <v>74</v>
      </c>
      <c r="E37" s="150">
        <v>1</v>
      </c>
      <c r="F37" s="188" t="s">
        <v>75</v>
      </c>
      <c r="G37" s="189"/>
      <c r="H37" s="189"/>
      <c r="I37" s="189"/>
      <c r="J37" s="189"/>
      <c r="K37" s="190"/>
      <c r="L37" s="147">
        <v>1617</v>
      </c>
      <c r="M37" s="147">
        <v>1617</v>
      </c>
      <c r="N37" s="52"/>
    </row>
    <row r="38" spans="2:14" ht="30" x14ac:dyDescent="0.4">
      <c r="B38" s="7"/>
      <c r="C38" s="3"/>
      <c r="D38" s="154"/>
      <c r="E38" s="150"/>
      <c r="F38" s="156"/>
      <c r="G38" s="120"/>
      <c r="H38" s="120"/>
      <c r="I38" s="120"/>
      <c r="J38" s="120"/>
      <c r="K38" s="121"/>
      <c r="L38" s="147"/>
      <c r="M38" s="147"/>
      <c r="N38" s="52"/>
    </row>
    <row r="39" spans="2:14" ht="30" x14ac:dyDescent="0.4">
      <c r="B39" s="7"/>
      <c r="C39" s="3"/>
      <c r="D39" s="154" t="s">
        <v>76</v>
      </c>
      <c r="E39" s="150">
        <v>1</v>
      </c>
      <c r="F39" s="188" t="s">
        <v>77</v>
      </c>
      <c r="G39" s="189"/>
      <c r="H39" s="189"/>
      <c r="I39" s="189"/>
      <c r="J39" s="189"/>
      <c r="K39" s="190"/>
      <c r="L39" s="147">
        <v>1881</v>
      </c>
      <c r="M39" s="147">
        <v>1881</v>
      </c>
      <c r="N39" s="52"/>
    </row>
    <row r="40" spans="2:14" ht="30" x14ac:dyDescent="0.4">
      <c r="B40" s="7"/>
      <c r="C40" s="3"/>
      <c r="D40" s="154"/>
      <c r="E40" s="150"/>
      <c r="F40" s="148"/>
      <c r="G40" s="120"/>
      <c r="H40" s="120"/>
      <c r="I40" s="120"/>
      <c r="J40" s="120"/>
      <c r="K40" s="121"/>
      <c r="L40" s="147"/>
      <c r="M40" s="147"/>
      <c r="N40" s="52"/>
    </row>
    <row r="41" spans="2:14" ht="30" x14ac:dyDescent="0.4">
      <c r="B41" s="7"/>
      <c r="C41" s="3"/>
      <c r="D41" s="154" t="s">
        <v>78</v>
      </c>
      <c r="E41" s="150">
        <v>1</v>
      </c>
      <c r="F41" s="188" t="s">
        <v>79</v>
      </c>
      <c r="G41" s="189"/>
      <c r="H41" s="189"/>
      <c r="I41" s="189"/>
      <c r="J41" s="189"/>
      <c r="K41" s="190"/>
      <c r="L41" s="147">
        <v>2135</v>
      </c>
      <c r="M41" s="147">
        <v>2135</v>
      </c>
      <c r="N41" s="52"/>
    </row>
    <row r="42" spans="2:14" ht="30" x14ac:dyDescent="0.4">
      <c r="B42" s="7"/>
      <c r="C42" s="3"/>
      <c r="D42" s="154"/>
      <c r="E42" s="157"/>
      <c r="F42" s="148"/>
      <c r="G42" s="120"/>
      <c r="H42" s="120"/>
      <c r="I42" s="120"/>
      <c r="J42" s="120"/>
      <c r="K42" s="121"/>
      <c r="L42" s="147"/>
      <c r="M42" s="147"/>
      <c r="N42" s="52"/>
    </row>
    <row r="43" spans="2:14" ht="30" customHeight="1" x14ac:dyDescent="0.4">
      <c r="B43" s="7"/>
      <c r="C43" s="3"/>
      <c r="D43" s="154" t="s">
        <v>80</v>
      </c>
      <c r="E43" s="150">
        <v>1</v>
      </c>
      <c r="F43" s="188" t="s">
        <v>81</v>
      </c>
      <c r="G43" s="189"/>
      <c r="H43" s="189"/>
      <c r="I43" s="189"/>
      <c r="J43" s="189"/>
      <c r="K43" s="190"/>
      <c r="L43" s="147">
        <v>2510</v>
      </c>
      <c r="M43" s="147">
        <v>2510</v>
      </c>
      <c r="N43" s="52"/>
    </row>
    <row r="44" spans="2:14" ht="30" x14ac:dyDescent="0.4">
      <c r="B44" s="7"/>
      <c r="C44" s="3"/>
      <c r="D44" s="154"/>
      <c r="E44" s="150"/>
      <c r="F44" s="188"/>
      <c r="G44" s="189"/>
      <c r="H44" s="189"/>
      <c r="I44" s="189"/>
      <c r="J44" s="189"/>
      <c r="K44" s="190"/>
      <c r="L44" s="147"/>
      <c r="M44" s="147"/>
      <c r="N44" s="52"/>
    </row>
    <row r="45" spans="2:14" ht="30" x14ac:dyDescent="0.4">
      <c r="B45" s="7"/>
      <c r="C45" s="3"/>
      <c r="D45" s="149" t="s">
        <v>82</v>
      </c>
      <c r="E45" s="150">
        <v>1</v>
      </c>
      <c r="F45" s="143" t="s">
        <v>83</v>
      </c>
      <c r="G45" s="151"/>
      <c r="H45" s="151"/>
      <c r="I45" s="151"/>
      <c r="J45" s="151"/>
      <c r="K45" s="152"/>
      <c r="L45" s="147">
        <v>3309</v>
      </c>
      <c r="M45" s="147">
        <f>L45*E45</f>
        <v>3309</v>
      </c>
      <c r="N45" s="52"/>
    </row>
    <row r="46" spans="2:14" ht="30" x14ac:dyDescent="0.4">
      <c r="B46" s="7"/>
      <c r="C46" s="3"/>
      <c r="D46" s="149"/>
      <c r="E46" s="153"/>
      <c r="F46" s="191"/>
      <c r="G46" s="192"/>
      <c r="H46" s="192"/>
      <c r="I46" s="192"/>
      <c r="J46" s="192"/>
      <c r="K46" s="193"/>
      <c r="L46" s="147"/>
      <c r="M46" s="147"/>
      <c r="N46" s="52"/>
    </row>
    <row r="47" spans="2:14" ht="30" x14ac:dyDescent="0.4">
      <c r="B47" s="7"/>
      <c r="C47" s="3"/>
      <c r="D47" s="149" t="s">
        <v>84</v>
      </c>
      <c r="E47" s="150">
        <v>1</v>
      </c>
      <c r="F47" s="143" t="s">
        <v>85</v>
      </c>
      <c r="G47" s="151"/>
      <c r="H47" s="151"/>
      <c r="I47" s="151"/>
      <c r="J47" s="151"/>
      <c r="K47" s="152"/>
      <c r="L47" s="147">
        <v>3986</v>
      </c>
      <c r="M47" s="147">
        <f>L47*E47</f>
        <v>3986</v>
      </c>
      <c r="N47" s="52"/>
    </row>
    <row r="48" spans="2:14" ht="30" x14ac:dyDescent="0.4">
      <c r="B48" s="7"/>
      <c r="C48" s="3"/>
      <c r="D48" s="149"/>
      <c r="E48" s="150"/>
      <c r="F48" s="143"/>
      <c r="G48" s="151"/>
      <c r="H48" s="151"/>
      <c r="I48" s="151"/>
      <c r="J48" s="151"/>
      <c r="K48" s="152"/>
      <c r="L48" s="147"/>
      <c r="M48" s="147"/>
      <c r="N48" s="52"/>
    </row>
    <row r="49" spans="3:14" ht="26.25" x14ac:dyDescent="0.35">
      <c r="C49" s="3"/>
      <c r="D49" s="117"/>
      <c r="E49" s="114"/>
      <c r="F49" s="122"/>
      <c r="G49" s="123"/>
      <c r="H49" s="123"/>
      <c r="I49" s="118"/>
      <c r="J49" s="118"/>
      <c r="K49" s="119"/>
      <c r="L49" s="126"/>
      <c r="M49" s="103"/>
      <c r="N49" s="112"/>
    </row>
    <row r="50" spans="3:14" ht="35.25" x14ac:dyDescent="0.5">
      <c r="C50" s="3"/>
      <c r="D50" s="77"/>
      <c r="E50" s="86"/>
      <c r="F50" s="111"/>
      <c r="G50" s="108"/>
      <c r="H50" s="108"/>
      <c r="I50" s="108"/>
      <c r="J50" s="109"/>
      <c r="K50" s="110"/>
      <c r="L50" s="127" t="s">
        <v>25</v>
      </c>
      <c r="M50" s="97">
        <f>SUM(M30:M48)</f>
        <v>18114</v>
      </c>
      <c r="N50" s="112"/>
    </row>
    <row r="51" spans="3:14" ht="35.25" x14ac:dyDescent="0.5">
      <c r="C51" s="3"/>
      <c r="D51" s="90"/>
      <c r="E51" s="155" t="s">
        <v>55</v>
      </c>
      <c r="F51" s="73"/>
      <c r="G51" s="73"/>
      <c r="H51" s="73"/>
      <c r="I51" s="73"/>
      <c r="J51" s="74"/>
      <c r="K51" s="84"/>
      <c r="L51" s="128" t="s">
        <v>46</v>
      </c>
      <c r="M51" s="97">
        <v>1</v>
      </c>
      <c r="N51" s="112"/>
    </row>
    <row r="52" spans="3:14" ht="35.25" x14ac:dyDescent="0.5">
      <c r="C52" s="3"/>
      <c r="D52" s="88"/>
      <c r="E52" s="87" t="s">
        <v>61</v>
      </c>
      <c r="F52" s="73"/>
      <c r="G52" s="73"/>
      <c r="H52" s="73"/>
      <c r="I52" s="73"/>
      <c r="J52" s="75"/>
      <c r="K52" s="85"/>
      <c r="L52" s="129">
        <v>0.19</v>
      </c>
      <c r="M52" s="97">
        <f>+M50*0.19</f>
        <v>3441.66</v>
      </c>
      <c r="N52" s="112"/>
    </row>
    <row r="53" spans="3:14" ht="35.25" x14ac:dyDescent="0.5">
      <c r="C53" s="3"/>
      <c r="D53" s="107"/>
      <c r="E53" s="78"/>
      <c r="F53" s="89"/>
      <c r="G53" s="73"/>
      <c r="H53" s="62"/>
      <c r="I53" s="73"/>
      <c r="J53" s="76" t="s">
        <v>26</v>
      </c>
      <c r="K53" s="74"/>
      <c r="L53" s="130" t="s">
        <v>27</v>
      </c>
      <c r="M53" s="97">
        <f>+M50+M51+M52</f>
        <v>21556.66</v>
      </c>
      <c r="N53" s="112"/>
    </row>
    <row r="54" spans="3:14" ht="15.75" x14ac:dyDescent="0.25">
      <c r="C54" s="3"/>
      <c r="D54" s="187"/>
      <c r="E54" s="187"/>
      <c r="F54" s="187"/>
      <c r="G54" s="187"/>
      <c r="H54" s="187"/>
      <c r="I54" s="187"/>
      <c r="J54" s="187"/>
      <c r="K54" s="187"/>
      <c r="L54" s="187"/>
      <c r="M54" s="107"/>
      <c r="N54" s="112"/>
    </row>
    <row r="55" spans="3:14" ht="26.25" x14ac:dyDescent="0.4">
      <c r="C55" s="3"/>
      <c r="D55" s="107"/>
      <c r="E55" s="107"/>
      <c r="F55" s="113"/>
      <c r="G55" s="115"/>
      <c r="H55" s="115"/>
      <c r="I55" s="115"/>
      <c r="J55" s="74"/>
      <c r="K55" s="106"/>
      <c r="L55" s="132" t="s">
        <v>60</v>
      </c>
      <c r="M55" s="132"/>
      <c r="N55" s="112"/>
    </row>
    <row r="56" spans="3:14" ht="23.25" x14ac:dyDescent="0.25">
      <c r="C56" s="3"/>
      <c r="D56" s="107"/>
      <c r="E56" s="107"/>
      <c r="F56" s="116"/>
      <c r="G56" s="195"/>
      <c r="H56" s="195"/>
      <c r="I56" s="195"/>
      <c r="J56" s="74"/>
      <c r="K56" s="106"/>
      <c r="L56" s="100"/>
      <c r="M56" s="100"/>
      <c r="N56" s="112"/>
    </row>
    <row r="57" spans="3:14" ht="20.25" x14ac:dyDescent="0.3">
      <c r="C57" s="3"/>
      <c r="D57" s="104" t="s">
        <v>57</v>
      </c>
      <c r="E57" s="131"/>
      <c r="F57" s="74"/>
      <c r="G57" s="74"/>
      <c r="H57" s="74"/>
      <c r="I57" s="74"/>
      <c r="J57" s="74"/>
      <c r="K57" s="79"/>
      <c r="L57" s="79"/>
      <c r="M57" s="80"/>
      <c r="N57" s="112"/>
    </row>
    <row r="58" spans="3:14" ht="20.25" x14ac:dyDescent="0.3">
      <c r="C58" s="3"/>
      <c r="D58" s="105" t="s">
        <v>58</v>
      </c>
      <c r="E58" s="105"/>
      <c r="F58" s="74"/>
      <c r="G58" s="74"/>
      <c r="H58" s="74"/>
      <c r="I58" s="74"/>
      <c r="J58" s="74"/>
      <c r="K58" s="79"/>
      <c r="L58" s="79"/>
      <c r="M58" s="79"/>
      <c r="N58" s="112"/>
    </row>
    <row r="59" spans="3:14" ht="20.25" x14ac:dyDescent="0.3">
      <c r="C59" s="3"/>
      <c r="D59" s="105"/>
      <c r="E59" s="105"/>
      <c r="F59" s="74"/>
      <c r="G59" s="74"/>
      <c r="H59" s="74"/>
      <c r="I59" s="74"/>
      <c r="J59" s="74"/>
      <c r="K59" s="79"/>
      <c r="L59" s="79"/>
      <c r="M59" s="79"/>
      <c r="N59" s="112"/>
    </row>
    <row r="60" spans="3:14" x14ac:dyDescent="0.2">
      <c r="C60" s="3"/>
      <c r="D60" s="196" t="s">
        <v>66</v>
      </c>
      <c r="E60" s="196"/>
      <c r="F60" s="196"/>
      <c r="G60" s="196"/>
      <c r="H60" s="196"/>
      <c r="I60" s="196"/>
      <c r="J60" s="196"/>
      <c r="K60" s="196"/>
      <c r="L60" s="196"/>
      <c r="M60" s="196"/>
      <c r="N60" s="112"/>
    </row>
    <row r="61" spans="3:14" x14ac:dyDescent="0.2">
      <c r="C61" s="3"/>
      <c r="D61" s="197"/>
      <c r="E61" s="197"/>
      <c r="F61" s="197"/>
      <c r="G61" s="197"/>
      <c r="H61" s="197"/>
      <c r="I61" s="197"/>
      <c r="J61" s="197"/>
      <c r="K61" s="197"/>
      <c r="L61" s="197"/>
      <c r="M61" s="197"/>
      <c r="N61" s="112"/>
    </row>
    <row r="62" spans="3:14" ht="15" x14ac:dyDescent="0.2">
      <c r="C62" s="3"/>
      <c r="D62" s="161"/>
      <c r="E62" s="161"/>
      <c r="F62" s="161"/>
      <c r="G62" s="161"/>
      <c r="H62" s="161"/>
      <c r="I62" s="161"/>
      <c r="J62" s="161"/>
      <c r="K62" s="161"/>
      <c r="L62" s="161"/>
      <c r="M62" s="162"/>
      <c r="N62" s="112"/>
    </row>
    <row r="63" spans="3:14" ht="15" x14ac:dyDescent="0.25">
      <c r="C63" s="3"/>
      <c r="D63" s="163"/>
      <c r="E63" s="198" t="s">
        <v>67</v>
      </c>
      <c r="F63" s="198"/>
      <c r="G63" s="198"/>
      <c r="H63" s="198"/>
      <c r="I63" s="198"/>
      <c r="J63" s="198"/>
      <c r="K63" s="198"/>
      <c r="L63" s="162"/>
      <c r="M63" s="162"/>
      <c r="N63" s="112"/>
    </row>
    <row r="64" spans="3:14" ht="15" x14ac:dyDescent="0.2">
      <c r="C64" s="3"/>
      <c r="D64" s="194" t="s">
        <v>68</v>
      </c>
      <c r="E64" s="194"/>
      <c r="F64" s="194"/>
      <c r="G64" s="194"/>
      <c r="H64" s="194"/>
      <c r="I64" s="194"/>
      <c r="J64" s="194"/>
      <c r="K64" s="194"/>
      <c r="L64" s="194"/>
      <c r="M64" s="162"/>
      <c r="N64" s="112"/>
    </row>
    <row r="65" spans="3:14" ht="15" x14ac:dyDescent="0.2">
      <c r="C65" s="3"/>
      <c r="D65" s="194"/>
      <c r="E65" s="194"/>
      <c r="F65" s="194"/>
      <c r="G65" s="194"/>
      <c r="H65" s="194"/>
      <c r="I65" s="194"/>
      <c r="J65" s="194"/>
      <c r="K65" s="194"/>
      <c r="L65" s="194"/>
      <c r="M65" s="162"/>
      <c r="N65" s="112"/>
    </row>
    <row r="66" spans="3:14" ht="14.25" x14ac:dyDescent="0.2">
      <c r="C66" s="3"/>
      <c r="D66" s="164"/>
      <c r="E66" s="164"/>
      <c r="F66" s="164"/>
      <c r="G66" s="164"/>
      <c r="H66" s="164"/>
      <c r="I66" s="164"/>
      <c r="J66" s="164"/>
      <c r="K66" s="164"/>
      <c r="L66" s="164"/>
      <c r="M66" s="165"/>
      <c r="N66" s="112"/>
    </row>
    <row r="67" spans="3:14" x14ac:dyDescent="0.2">
      <c r="C67" s="3"/>
      <c r="D67" s="3"/>
      <c r="E67" s="3"/>
      <c r="F67" s="112"/>
      <c r="G67" s="112"/>
      <c r="H67" s="112"/>
      <c r="I67" s="112"/>
      <c r="J67" s="112"/>
      <c r="K67" s="112"/>
      <c r="L67" s="112"/>
      <c r="M67" s="112"/>
      <c r="N67" s="112"/>
    </row>
    <row r="68" spans="3:14" x14ac:dyDescent="0.2">
      <c r="C68" s="3"/>
      <c r="D68" s="112"/>
      <c r="E68" s="112"/>
      <c r="F68" s="112"/>
      <c r="G68" s="112"/>
      <c r="H68" s="112"/>
      <c r="I68" s="112"/>
      <c r="J68" s="112"/>
      <c r="K68" s="112"/>
      <c r="L68" s="112"/>
      <c r="M68" s="112"/>
      <c r="N68" s="11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5">
    <mergeCell ref="D64:L65"/>
    <mergeCell ref="G56:I56"/>
    <mergeCell ref="D60:M61"/>
    <mergeCell ref="E63:K63"/>
    <mergeCell ref="F34:K34"/>
    <mergeCell ref="F35:K35"/>
    <mergeCell ref="F25:K25"/>
    <mergeCell ref="D54:L54"/>
    <mergeCell ref="F37:K37"/>
    <mergeCell ref="F39:K39"/>
    <mergeCell ref="F41:K41"/>
    <mergeCell ref="F43:K43"/>
    <mergeCell ref="F44:K44"/>
    <mergeCell ref="F46:K46"/>
    <mergeCell ref="F29:K29"/>
    <mergeCell ref="F30:K30"/>
    <mergeCell ref="F31:K31"/>
    <mergeCell ref="L16:L18"/>
    <mergeCell ref="L20:M20"/>
    <mergeCell ref="L22:M22"/>
    <mergeCell ref="L23:M23"/>
    <mergeCell ref="E20:J20"/>
    <mergeCell ref="E23:J23"/>
    <mergeCell ref="E21:K21"/>
    <mergeCell ref="G22:H22"/>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6 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decimal" allowBlank="1" showErrorMessage="1" errorTitle="Prix unitaire" error="Tapez un nombre dans cette cellule." promptTitle="Prix unitaire" sqref="M30:M48 L26: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29 M49">
      <formula1>0</formula1>
      <formula2>0</formula2>
    </dataValidation>
    <dataValidation type="whole" errorStyle="warning" allowBlank="1" showErrorMessage="1" errorTitle="Quantité" error="Tapez un nombre dans cette cellule." promptTitle="Quantité" sqref="E26: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14/12/2023</v>
      </c>
      <c r="D8" s="65" t="str">
        <f>Facture!$E$20</f>
        <v>MOBISERVE</v>
      </c>
      <c r="E8" s="62" t="str">
        <f>Facture!$E$21</f>
        <v>IMMEUBLE LE PALMIER CENTRE BABEL BERG DU LAC TUNIS</v>
      </c>
      <c r="F8" s="62">
        <f>Facture!$E$22</f>
        <v>0</v>
      </c>
      <c r="G8" s="65">
        <f>Facture!$G$22</f>
        <v>0</v>
      </c>
      <c r="H8" s="65" t="str">
        <f>Facture!$J$22</f>
        <v>TN</v>
      </c>
      <c r="I8" s="62" t="str">
        <f>Facture!$E$23</f>
        <v>58316888         Fax:</v>
      </c>
      <c r="J8" s="66">
        <f>Facture!$M$53</f>
        <v>21556.66</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58</vt:i4>
      </vt:variant>
    </vt:vector>
  </HeadingPairs>
  <TitlesOfParts>
    <vt:vector size="62"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2023-12-14T15:18:19Z</cp:lastPrinted>
  <dcterms:created xsi:type="dcterms:W3CDTF">1995-05-29T15:50:39Z</dcterms:created>
  <dcterms:modified xsi:type="dcterms:W3CDTF">2023-12-14T15:18:41Z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21556.66</vt:r8>
  </property>
</Properties>
</file>