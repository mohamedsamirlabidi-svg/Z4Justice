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minimized="1" xWindow="0" yWindow="0" windowWidth="25200" windowHeight="1198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Facture!$F$20</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Facture!$K$54:$N$56</definedName>
    <definedName name="qzqzqz3">Facture!$E$20:$J$20</definedName>
    <definedName name="qzqzqz30">Facture!$G$54:$I$54</definedName>
    <definedName name="qzqzqz31">Facture!$G$54:$H$54</definedName>
    <definedName name="qzqzqz32">Facture!$K$53:$N$55</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27" i="3" l="1"/>
  <c r="N28" i="3"/>
  <c r="N29" i="3"/>
  <c r="N30" i="3"/>
  <c r="N31" i="3"/>
  <c r="N32" i="3"/>
  <c r="N33" i="3"/>
  <c r="N34" i="3"/>
  <c r="N35" i="3"/>
  <c r="N36" i="3"/>
  <c r="N37" i="3"/>
  <c r="N38" i="3"/>
  <c r="N39" i="3"/>
  <c r="K8" i="8" l="1"/>
  <c r="I8" i="8"/>
  <c r="H8" i="8"/>
  <c r="G8" i="8"/>
  <c r="F8" i="8"/>
  <c r="E8" i="8"/>
  <c r="D8" i="8"/>
  <c r="C8" i="8"/>
  <c r="B8" i="8"/>
  <c r="N44" i="3"/>
  <c r="N43" i="3"/>
  <c r="N42" i="3"/>
  <c r="N41" i="3"/>
  <c r="N40" i="3"/>
  <c r="N25"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<sst xmlns="http://schemas.openxmlformats.org/spreadsheetml/2006/main" count="90" uniqueCount="73">
  <si>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</si>
  <si>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</si>
  <si>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</si>
  <si>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</si>
  <si>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</si>
  <si>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</si>
  <si>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</si>
  <si>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</si>
  <si>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</si>
  <si>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</si>
  <si>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</si>
  <si>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</si>
  <si>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</si>
  <si>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</si>
  <si>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</si>
  <si>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</si>
  <si>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</si>
  <si>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</si>
  <si>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</si>
  <si>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</si>
  <si>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</si>
  <si>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</si>
  <si>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</si>
  <si>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</si>
  <si>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</si>
  <si>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</si>
  <si>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</si>
  <si>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</si>
  <si>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</si>
  <si>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</si>
  <si>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</si>
  <si>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</si>
  <si>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</si>
  <si>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</si>
  <si>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</si>
  <si>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</si>
  <si>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</si>
  <si>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</si>
  <si>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</si>
  <si>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</si>
  <si>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</si>
  <si>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</si>
  <si>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</si>
  <si>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</si>
  <si>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</si>
  <si>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</si>
  <si>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</si>
  <si>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</si>
  <si>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</si>
  <si>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</si>
  <si>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</si>
  <si>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</si>
  <si>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</si>
  <si>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</si>
  <si>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</si>
  <si>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</si>
  <si>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TUNISIE</t>
  </si>
  <si>
    <t>http://www.camp.it</t>
  </si>
  <si>
    <t xml:space="preserve">                     fax:</t>
  </si>
  <si>
    <t>f</t>
  </si>
  <si>
    <t>P.U HT</t>
  </si>
  <si>
    <t>TVA:19%</t>
  </si>
  <si>
    <t>Société d’Articles Hygiéniques (SAH)</t>
  </si>
  <si>
    <t>mjez elbab</t>
  </si>
  <si>
    <t>tunisie</t>
  </si>
  <si>
    <t xml:space="preserve">          OFFER PRICE  2023 4786</t>
  </si>
  <si>
    <t>Mme Najoua</t>
  </si>
  <si>
    <t>Sangle de levage et de manutention</t>
  </si>
  <si>
    <t>conforme à  EN 1492-1 + A1</t>
  </si>
  <si>
    <t>CHARGE  2TONNES</t>
  </si>
  <si>
    <t>2M</t>
  </si>
  <si>
    <t>4M</t>
  </si>
  <si>
    <t>Paiement à la livraison</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</si>
</sst>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0.00\ &quot;€&quot;"/>
    <numFmt numFmtId="171" formatCode="#,##0.000\ [$TND]"/>
    <numFmt numFmtId="172" formatCode="#,##0.00\ [$TND]"/>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
      <sz val="10"/>
      <color rgb="FFFF0000"/>
      <name val="Arial"/>
      <family val="2"/>
    </font>
    <font>
      <u/>
      <sz val="9.5"/>
      <name val="Arial"/>
      <family val="2"/>
    </font>
    <font>
      <u/>
      <sz val="9"/>
      <color theme="10"/>
      <name val="Arial"/>
      <family val="2"/>
    </font>
    <font>
      <sz val="12"/>
      <color rgb="FFFF0000"/>
      <name val="Arial"/>
      <family val="2"/>
    </font>
    <font>
      <b/>
      <sz val="14"/>
      <color rgb="FFFF0000"/>
      <name val="Arial"/>
      <family val="2"/>
    </font>
    <font>
      <sz val="10"/>
      <color rgb="FFFF0000"/>
      <name val="Times New Roman"/>
      <family val="1"/>
    </font>
    <font>
      <sz val="18"/>
      <name val="Arial"/>
      <family val="2"/>
    </font>
    <font>
      <b/>
      <sz val="22"/>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2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33" fillId="3" borderId="32" xfId="0" applyNumberFormat="1" applyFont="1" applyFill="1" applyBorder="1" applyAlignment="1">
      <alignment horizontal="left"/>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4" fillId="3" borderId="0" xfId="0" applyNumberFormat="1" applyFont="1" applyFill="1" applyBorder="1" applyAlignment="1">
      <alignment horizontal="left" shrinkToFit="1"/>
    </xf>
    <xf numFmtId="49" fontId="34" fillId="3" borderId="34" xfId="0" applyNumberFormat="1" applyFont="1" applyFill="1" applyBorder="1" applyAlignment="1">
      <alignment horizontal="left" shrinkToFit="1"/>
    </xf>
    <xf numFmtId="0" fontId="2" fillId="2" borderId="0" xfId="0" applyFont="1"/>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6" fillId="0" borderId="32" xfId="5" applyNumberFormat="1" applyFont="1" applyFill="1" applyBorder="1" applyAlignment="1" applyProtection="1"/>
    <xf numFmtId="49" fontId="37" fillId="3" borderId="32" xfId="5" applyNumberFormat="1" applyFont="1" applyFill="1" applyBorder="1" applyAlignment="1" applyProtection="1">
      <alignment horizontal="lef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10" fontId="18" fillId="0" borderId="40" xfId="0" quotePrefix="1" applyNumberFormat="1" applyFont="1" applyFill="1" applyBorder="1" applyAlignment="1">
      <alignment horizontal="center"/>
    </xf>
    <xf numFmtId="170" fontId="18" fillId="3" borderId="27" xfId="0" applyNumberFormat="1" applyFont="1" applyFill="1" applyBorder="1" applyAlignment="1"/>
    <xf numFmtId="170" fontId="18" fillId="3" borderId="40" xfId="0" quotePrefix="1" applyNumberFormat="1" applyFont="1" applyFill="1" applyBorder="1" applyAlignment="1">
      <alignment horizontal="right"/>
    </xf>
    <xf numFmtId="170" fontId="28" fillId="3" borderId="40" xfId="0" applyNumberFormat="1" applyFont="1" applyFill="1" applyBorder="1" applyAlignment="1">
      <alignment horizontal="right"/>
    </xf>
    <xf numFmtId="170" fontId="19" fillId="3" borderId="40" xfId="0" applyNumberFormat="1" applyFont="1" applyFill="1" applyBorder="1" applyAlignment="1">
      <alignment horizontal="right"/>
    </xf>
    <xf numFmtId="0" fontId="18" fillId="3" borderId="0" xfId="0" applyFont="1" applyFill="1" applyBorder="1" applyAlignment="1">
      <alignment horizontal="left" vertical="top"/>
    </xf>
    <xf numFmtId="0" fontId="0" fillId="3" borderId="0" xfId="0" applyFill="1" applyBorder="1" applyAlignment="1">
      <alignment horizontal="left" vertical="top"/>
    </xf>
    <xf numFmtId="0" fontId="18" fillId="3" borderId="0" xfId="0" applyFont="1" applyFill="1" applyAlignment="1">
      <alignment horizontal="left" vertical="top"/>
    </xf>
    <xf numFmtId="0" fontId="38" fillId="3" borderId="0" xfId="0" applyFont="1" applyFill="1" applyBorder="1"/>
    <xf numFmtId="0" fontId="35" fillId="3" borderId="0" xfId="0" applyFont="1" applyFill="1" applyBorder="1" applyAlignment="1">
      <alignment horizontal="left" vertical="top"/>
    </xf>
    <xf numFmtId="0" fontId="38" fillId="3" borderId="0" xfId="0" applyFont="1" applyFill="1" applyBorder="1" applyAlignment="1">
      <alignment horizontal="left" vertical="top"/>
    </xf>
    <xf numFmtId="49" fontId="2" fillId="3" borderId="38" xfId="0" applyNumberFormat="1" applyFont="1" applyFill="1" applyBorder="1" applyAlignment="1">
      <alignment horizontal="left"/>
    </xf>
    <xf numFmtId="171" fontId="2" fillId="3" borderId="27" xfId="0" applyNumberFormat="1" applyFont="1" applyFill="1" applyBorder="1" applyAlignment="1"/>
    <xf numFmtId="172" fontId="2" fillId="0" borderId="27" xfId="0" applyNumberFormat="1" applyFont="1" applyFill="1" applyBorder="1"/>
    <xf numFmtId="172" fontId="18" fillId="0" borderId="27" xfId="0" applyNumberFormat="1" applyFont="1" applyFill="1" applyBorder="1"/>
    <xf numFmtId="172" fontId="27" fillId="0" borderId="40" xfId="0" applyNumberFormat="1" applyFont="1" applyFill="1" applyBorder="1"/>
    <xf numFmtId="172" fontId="17" fillId="0" borderId="40" xfId="0" applyNumberFormat="1" applyFont="1" applyFill="1" applyBorder="1"/>
    <xf numFmtId="49" fontId="41" fillId="0" borderId="32" xfId="5" applyNumberFormat="1" applyFont="1" applyFill="1" applyBorder="1" applyAlignment="1" applyProtection="1"/>
    <xf numFmtId="49" fontId="42" fillId="0" borderId="32" xfId="5" applyNumberFormat="1" applyFont="1" applyFill="1" applyBorder="1" applyAlignment="1" applyProtection="1"/>
    <xf numFmtId="0" fontId="42" fillId="6" borderId="0" xfId="0" applyFont="1" applyFill="1"/>
    <xf numFmtId="0" fontId="42" fillId="6" borderId="34" xfId="0" applyFont="1" applyFill="1" applyBorder="1"/>
    <xf numFmtId="169" fontId="42" fillId="6" borderId="32" xfId="5" applyNumberFormat="1" applyFont="1" applyFill="1" applyBorder="1" applyAlignment="1" applyProtection="1"/>
    <xf numFmtId="0" fontId="19" fillId="3" borderId="27" xfId="0" applyFont="1" applyFill="1" applyBorder="1" applyAlignment="1">
      <alignment horizontal="center"/>
    </xf>
    <xf numFmtId="0" fontId="2" fillId="3" borderId="0"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169" fontId="33" fillId="3" borderId="0" xfId="0" applyNumberFormat="1" applyFont="1" applyFill="1" applyBorder="1" applyAlignment="1"/>
    <xf numFmtId="169" fontId="33" fillId="3" borderId="34" xfId="0" applyNumberFormat="1" applyFont="1" applyFill="1" applyBorder="1" applyAlignment="1"/>
    <xf numFmtId="49" fontId="40" fillId="3" borderId="32" xfId="0" applyNumberFormat="1" applyFont="1" applyFill="1" applyBorder="1" applyAlignment="1">
      <alignment horizontal="left"/>
    </xf>
    <xf numFmtId="0" fontId="35" fillId="2" borderId="0" xfId="0" applyFont="1" applyAlignment="1">
      <alignment horizontal="left"/>
    </xf>
    <xf numFmtId="0" fontId="35" fillId="2" borderId="34" xfId="0" applyFont="1" applyBorder="1" applyAlignment="1">
      <alignment horizontal="left"/>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43" fillId="3" borderId="32"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0" fontId="39" fillId="6" borderId="0" xfId="0" applyFont="1" applyFill="1" applyBorder="1" applyAlignment="1">
      <alignment horizontal="center" shrinkToFit="1"/>
    </xf>
    <xf numFmtId="0" fontId="35" fillId="3" borderId="0" xfId="0" applyFont="1" applyFill="1" applyBorder="1" applyAlignment="1">
      <alignment horizontal="left"/>
    </xf>
    <xf numFmtId="0" fontId="0" fillId="3" borderId="0" xfId="0" applyFill="1" applyBorder="1" applyAlignment="1">
      <alignment horizontal="center"/>
    </xf>
    <xf numFmtId="0" fontId="32" fillId="3" borderId="0" xfId="5" applyFill="1" applyBorder="1" applyAlignment="1" applyProtection="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8" fillId="3" borderId="39" xfId="0" applyFont="1" applyFill="1" applyBorder="1" applyAlignment="1"/>
    <xf numFmtId="0" fontId="28"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49" fontId="23" fillId="0" borderId="32" xfId="5" applyNumberFormat="1" applyFont="1" applyFill="1" applyBorder="1" applyAlignment="1" applyProtection="1"/>
    <xf numFmtId="49" fontId="37" fillId="0" borderId="0" xfId="5" applyNumberFormat="1" applyFont="1" applyFill="1" applyBorder="1" applyAlignment="1" applyProtection="1"/>
    <xf numFmtId="49" fontId="37" fillId="0" borderId="34" xfId="5" applyNumberFormat="1" applyFont="1" applyFill="1" applyBorder="1" applyAlignment="1" applyProtection="1"/>
    <xf numFmtId="49" fontId="41" fillId="3" borderId="32" xfId="0" applyNumberFormat="1" applyFont="1" applyFill="1" applyBorder="1" applyAlignment="1">
      <alignment horizontal="left" shrinkToFit="1"/>
    </xf>
    <xf numFmtId="49" fontId="41" fillId="3" borderId="0" xfId="0" applyNumberFormat="1" applyFont="1" applyFill="1" applyBorder="1" applyAlignment="1">
      <alignment horizontal="left" shrinkToFit="1"/>
    </xf>
    <xf numFmtId="49" fontId="41" fillId="3" borderId="34" xfId="0" applyNumberFormat="1" applyFont="1" applyFill="1" applyBorder="1" applyAlignment="1">
      <alignment horizontal="left" shrinkToFit="1"/>
    </xf>
    <xf numFmtId="49" fontId="34" fillId="3" borderId="32" xfId="0" applyNumberFormat="1" applyFont="1" applyFill="1" applyBorder="1" applyAlignment="1"/>
    <xf numFmtId="49" fontId="34" fillId="3" borderId="0" xfId="0" applyNumberFormat="1" applyFont="1" applyFill="1" applyBorder="1" applyAlignment="1"/>
    <xf numFmtId="49" fontId="34"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47</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A16" zoomScale="95" workbookViewId="0">
      <selection activeCell="N31" sqref="N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9" t="s">
        <v>56</v>
      </c>
      <c r="N9" s="170"/>
      <c r="O9" s="3"/>
      <c r="P9" s="9"/>
    </row>
    <row r="10" spans="2:16" x14ac:dyDescent="0.2">
      <c r="B10" s="7"/>
      <c r="C10" s="3"/>
      <c r="D10" s="3"/>
      <c r="E10" s="3"/>
      <c r="F10" s="3"/>
      <c r="G10" s="3"/>
      <c r="H10" s="3"/>
      <c r="I10" s="3"/>
      <c r="J10" s="3"/>
      <c r="K10" s="3"/>
      <c r="L10" s="3"/>
      <c r="M10" s="200" t="s">
        <v>57</v>
      </c>
      <c r="N10" s="199"/>
      <c r="O10" s="3"/>
      <c r="P10" s="9"/>
    </row>
    <row r="11" spans="2:16" ht="20.25" x14ac:dyDescent="0.3">
      <c r="B11" s="7"/>
      <c r="C11" s="3"/>
      <c r="D11" s="3"/>
      <c r="E11" s="3"/>
      <c r="F11" s="3"/>
      <c r="G11" s="3"/>
      <c r="H11" s="3"/>
      <c r="I11" s="3"/>
      <c r="J11" s="3"/>
      <c r="K11" s="8"/>
      <c r="L11" s="8"/>
      <c r="M11" s="78"/>
      <c r="N11" s="78" t="s">
        <v>54</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8" t="s">
        <v>65</v>
      </c>
      <c r="K15" s="3"/>
      <c r="L15" s="3"/>
      <c r="M15" s="100"/>
      <c r="N15" s="93"/>
      <c r="O15" s="3"/>
      <c r="P15" s="9"/>
    </row>
    <row r="16" spans="2:16" ht="3" customHeight="1" thickTop="1" x14ac:dyDescent="0.3">
      <c r="B16" s="7"/>
      <c r="C16" s="3"/>
      <c r="D16" s="60"/>
      <c r="E16" s="60"/>
      <c r="F16" s="60"/>
      <c r="G16" s="60"/>
      <c r="H16" s="60"/>
      <c r="I16" s="60"/>
      <c r="J16" s="61"/>
      <c r="K16" s="61"/>
      <c r="L16" s="61"/>
      <c r="M16" s="60"/>
      <c r="N16" s="61"/>
      <c r="O16" s="21"/>
      <c r="P16" s="9"/>
    </row>
    <row r="17" spans="1:16" ht="14.1" customHeight="1" x14ac:dyDescent="0.2">
      <c r="B17" s="7"/>
      <c r="C17" s="3"/>
      <c r="D17" s="3"/>
      <c r="E17" s="3"/>
      <c r="F17" s="3"/>
      <c r="G17" s="3"/>
      <c r="H17" s="3"/>
      <c r="I17" s="3"/>
      <c r="J17" s="3"/>
      <c r="K17" s="3"/>
      <c r="L17" s="3"/>
      <c r="M17" s="3"/>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8" t="s">
        <v>3</v>
      </c>
      <c r="E19" s="205" t="s">
        <v>62</v>
      </c>
      <c r="F19" s="206"/>
      <c r="G19" s="206"/>
      <c r="H19" s="206"/>
      <c r="I19" s="206"/>
      <c r="J19" s="206"/>
      <c r="K19" s="88"/>
      <c r="L19" s="91" t="s">
        <v>18</v>
      </c>
      <c r="M19" s="190">
        <v>45086</v>
      </c>
      <c r="N19" s="191"/>
      <c r="O19" s="57"/>
      <c r="P19" s="9"/>
    </row>
    <row r="20" spans="1:16" x14ac:dyDescent="0.2">
      <c r="B20" s="7"/>
      <c r="C20" s="3"/>
      <c r="D20" s="88" t="s">
        <v>5</v>
      </c>
      <c r="E20" s="203"/>
      <c r="F20" s="204"/>
      <c r="G20" s="204"/>
      <c r="H20" s="204"/>
      <c r="I20" s="204"/>
      <c r="J20" s="204"/>
      <c r="K20" s="88"/>
      <c r="L20" s="91"/>
      <c r="M20" s="95"/>
      <c r="N20" s="95"/>
      <c r="O20" s="58"/>
      <c r="P20" s="9"/>
    </row>
    <row r="21" spans="1:16" x14ac:dyDescent="0.2">
      <c r="B21" s="7"/>
      <c r="C21" s="3"/>
      <c r="D21" s="88" t="s">
        <v>7</v>
      </c>
      <c r="E21" s="96"/>
      <c r="F21" s="97" t="s">
        <v>8</v>
      </c>
      <c r="G21" s="201" t="s">
        <v>63</v>
      </c>
      <c r="H21" s="202"/>
      <c r="I21" s="98" t="s">
        <v>9</v>
      </c>
      <c r="J21" s="149" t="s">
        <v>64</v>
      </c>
      <c r="K21" s="88"/>
      <c r="L21" s="91" t="s">
        <v>19</v>
      </c>
      <c r="M21" s="192" t="s">
        <v>66</v>
      </c>
      <c r="N21" s="193"/>
      <c r="O21" s="3"/>
      <c r="P21" s="9"/>
    </row>
    <row r="22" spans="1:16" x14ac:dyDescent="0.2">
      <c r="B22" s="7"/>
      <c r="C22" s="3"/>
      <c r="D22" s="88" t="s">
        <v>20</v>
      </c>
      <c r="E22" s="207" t="s">
        <v>58</v>
      </c>
      <c r="F22" s="208"/>
      <c r="G22" s="208"/>
      <c r="H22" s="208"/>
      <c r="I22" s="208"/>
      <c r="J22" s="208"/>
      <c r="K22" s="88"/>
      <c r="L22" s="91" t="s">
        <v>49</v>
      </c>
      <c r="M22" s="193"/>
      <c r="N22" s="193"/>
      <c r="O22" s="3"/>
      <c r="P22" s="9"/>
    </row>
    <row r="23" spans="1:16" x14ac:dyDescent="0.2">
      <c r="B23" s="7"/>
      <c r="C23" s="3"/>
      <c r="D23" s="88"/>
      <c r="E23" s="88"/>
      <c r="F23" s="88"/>
      <c r="G23" s="88"/>
      <c r="H23" s="88"/>
      <c r="I23" s="88"/>
      <c r="J23" s="88"/>
      <c r="K23" s="88"/>
      <c r="L23" s="88"/>
      <c r="M23" s="88"/>
      <c r="N23" s="88"/>
      <c r="O23" s="3"/>
      <c r="P23" s="9"/>
    </row>
    <row r="24" spans="1:16" x14ac:dyDescent="0.2">
      <c r="B24" s="7"/>
      <c r="C24" s="3"/>
      <c r="D24" s="69" t="s">
        <v>35</v>
      </c>
      <c r="E24" s="53" t="s">
        <v>21</v>
      </c>
      <c r="F24" s="209" t="s">
        <v>22</v>
      </c>
      <c r="G24" s="210"/>
      <c r="H24" s="210"/>
      <c r="I24" s="210"/>
      <c r="J24" s="210"/>
      <c r="K24" s="211"/>
      <c r="L24" s="70" t="s">
        <v>36</v>
      </c>
      <c r="M24" s="53" t="s">
        <v>60</v>
      </c>
      <c r="N24" s="54" t="s">
        <v>23</v>
      </c>
      <c r="O24" s="59"/>
      <c r="P24" s="9"/>
    </row>
    <row r="25" spans="1:16" ht="15.75" x14ac:dyDescent="0.25">
      <c r="B25" s="7"/>
      <c r="C25" s="3"/>
      <c r="D25" s="103"/>
      <c r="E25" s="79"/>
      <c r="F25" s="218"/>
      <c r="G25" s="219"/>
      <c r="H25" s="219"/>
      <c r="I25" s="219"/>
      <c r="J25" s="219"/>
      <c r="K25" s="220"/>
      <c r="L25" s="80"/>
      <c r="M25" s="109"/>
      <c r="N25" s="108" t="str">
        <f t="shared" ref="N25:N39" si="0">IF(E25&lt;&gt;"",E25*M25,"")</f>
        <v/>
      </c>
      <c r="O25" s="59"/>
      <c r="P25" s="9"/>
    </row>
    <row r="26" spans="1:16" ht="23.25" x14ac:dyDescent="0.35">
      <c r="B26" s="7"/>
      <c r="C26" s="3"/>
      <c r="D26" s="103"/>
      <c r="E26" s="79">
        <v>1</v>
      </c>
      <c r="F26" s="215" t="s">
        <v>67</v>
      </c>
      <c r="G26" s="216"/>
      <c r="H26" s="216"/>
      <c r="I26" s="216"/>
      <c r="J26" s="216"/>
      <c r="K26" s="217"/>
      <c r="L26" s="80"/>
      <c r="M26" s="150"/>
      <c r="N26" s="151"/>
      <c r="O26" s="59"/>
      <c r="P26" s="9"/>
    </row>
    <row r="27" spans="1:16" ht="23.25" x14ac:dyDescent="0.35">
      <c r="A27" s="130" t="s">
        <v>59</v>
      </c>
      <c r="B27" s="7"/>
      <c r="C27" s="3"/>
      <c r="D27" s="103"/>
      <c r="E27" s="79"/>
      <c r="F27" s="155" t="s">
        <v>68</v>
      </c>
      <c r="G27" s="128"/>
      <c r="H27" s="128"/>
      <c r="I27" s="128"/>
      <c r="J27" s="128"/>
      <c r="K27" s="129"/>
      <c r="L27" s="80"/>
      <c r="M27" s="150"/>
      <c r="N27" s="151" t="str">
        <f t="shared" si="0"/>
        <v/>
      </c>
      <c r="O27" s="59"/>
      <c r="P27" s="9"/>
    </row>
    <row r="28" spans="1:16" ht="18" x14ac:dyDescent="0.25">
      <c r="B28" s="7"/>
      <c r="C28" s="3"/>
      <c r="D28" s="103"/>
      <c r="E28" s="79"/>
      <c r="F28" s="212" t="s">
        <v>69</v>
      </c>
      <c r="G28" s="213"/>
      <c r="H28" s="213"/>
      <c r="I28" s="213"/>
      <c r="J28" s="213"/>
      <c r="K28" s="214"/>
      <c r="L28" s="80"/>
      <c r="M28" s="150"/>
      <c r="N28" s="151" t="str">
        <f t="shared" si="0"/>
        <v/>
      </c>
      <c r="O28" s="59"/>
      <c r="P28" s="9"/>
    </row>
    <row r="29" spans="1:16" ht="15" x14ac:dyDescent="0.2">
      <c r="B29" s="7"/>
      <c r="C29" s="3"/>
      <c r="D29" s="103"/>
      <c r="E29" s="55"/>
      <c r="F29" s="175"/>
      <c r="G29" s="176"/>
      <c r="H29" s="176"/>
      <c r="I29" s="176"/>
      <c r="J29" s="176"/>
      <c r="K29" s="177"/>
      <c r="L29" s="80"/>
      <c r="M29" s="150"/>
      <c r="N29" s="151" t="str">
        <f t="shared" si="0"/>
        <v/>
      </c>
      <c r="O29" s="59"/>
      <c r="P29" s="9"/>
    </row>
    <row r="30" spans="1:16" ht="27.75" x14ac:dyDescent="0.4">
      <c r="B30" s="7"/>
      <c r="C30" s="3"/>
      <c r="D30" s="103"/>
      <c r="E30" s="160">
        <v>2</v>
      </c>
      <c r="F30" s="156" t="s">
        <v>70</v>
      </c>
      <c r="G30" s="157"/>
      <c r="H30" s="157"/>
      <c r="I30" s="157"/>
      <c r="J30" s="157"/>
      <c r="K30" s="158"/>
      <c r="L30" s="80"/>
      <c r="M30" s="150">
        <v>45</v>
      </c>
      <c r="N30" s="151">
        <f t="shared" si="0"/>
        <v>90</v>
      </c>
      <c r="O30" s="59"/>
      <c r="P30" s="9"/>
    </row>
    <row r="31" spans="1:16" ht="27.75" x14ac:dyDescent="0.4">
      <c r="B31" s="7"/>
      <c r="C31" s="3"/>
      <c r="D31" s="103"/>
      <c r="E31" s="160">
        <v>2</v>
      </c>
      <c r="F31" s="159" t="s">
        <v>71</v>
      </c>
      <c r="G31" s="157"/>
      <c r="H31" s="157"/>
      <c r="I31" s="157"/>
      <c r="J31" s="157"/>
      <c r="K31" s="158"/>
      <c r="L31" s="80"/>
      <c r="M31" s="150">
        <v>76</v>
      </c>
      <c r="N31" s="151">
        <f t="shared" si="0"/>
        <v>152</v>
      </c>
      <c r="O31" s="59"/>
      <c r="P31" s="9"/>
    </row>
    <row r="32" spans="1:16" ht="27" x14ac:dyDescent="0.35">
      <c r="B32" s="7"/>
      <c r="C32" s="3"/>
      <c r="D32" s="103"/>
      <c r="E32" s="55"/>
      <c r="F32" s="187"/>
      <c r="G32" s="188"/>
      <c r="H32" s="188"/>
      <c r="I32" s="188"/>
      <c r="J32" s="188"/>
      <c r="K32" s="189"/>
      <c r="L32" s="80"/>
      <c r="M32" s="150"/>
      <c r="N32" s="151" t="str">
        <f t="shared" si="0"/>
        <v/>
      </c>
      <c r="O32" s="59"/>
      <c r="P32" s="9"/>
    </row>
    <row r="33" spans="2:16" ht="15" x14ac:dyDescent="0.2">
      <c r="B33" s="7"/>
      <c r="C33" s="3"/>
      <c r="D33" s="103"/>
      <c r="E33" s="55"/>
      <c r="F33" s="133"/>
      <c r="G33" s="131"/>
      <c r="H33" s="131"/>
      <c r="I33" s="131"/>
      <c r="J33" s="131"/>
      <c r="K33" s="132"/>
      <c r="L33" s="80"/>
      <c r="M33" s="150"/>
      <c r="N33" s="151" t="str">
        <f t="shared" si="0"/>
        <v/>
      </c>
      <c r="O33" s="59"/>
      <c r="P33" s="9"/>
    </row>
    <row r="34" spans="2:16" ht="15" x14ac:dyDescent="0.2">
      <c r="B34" s="7"/>
      <c r="C34" s="3"/>
      <c r="D34" s="103"/>
      <c r="E34" s="55"/>
      <c r="F34" s="134"/>
      <c r="G34" s="131"/>
      <c r="H34" s="131"/>
      <c r="I34" s="131"/>
      <c r="J34" s="131"/>
      <c r="K34" s="132"/>
      <c r="L34" s="80"/>
      <c r="M34" s="150"/>
      <c r="N34" s="151" t="str">
        <f t="shared" si="0"/>
        <v/>
      </c>
      <c r="O34" s="59"/>
      <c r="P34" s="9"/>
    </row>
    <row r="35" spans="2:16" ht="15" x14ac:dyDescent="0.2">
      <c r="B35" s="7"/>
      <c r="C35" s="3"/>
      <c r="D35" s="103"/>
      <c r="E35" s="55"/>
      <c r="F35" s="116"/>
      <c r="G35" s="126"/>
      <c r="H35" s="126"/>
      <c r="I35" s="126"/>
      <c r="J35" s="126"/>
      <c r="K35" s="127"/>
      <c r="L35" s="80"/>
      <c r="M35" s="150"/>
      <c r="N35" s="151" t="str">
        <f t="shared" si="0"/>
        <v/>
      </c>
      <c r="O35" s="59"/>
      <c r="P35" s="9"/>
    </row>
    <row r="36" spans="2:16" ht="15" x14ac:dyDescent="0.2">
      <c r="B36" s="7"/>
      <c r="C36" s="3"/>
      <c r="D36" s="103"/>
      <c r="E36" s="55"/>
      <c r="F36" s="116"/>
      <c r="G36" s="126"/>
      <c r="H36" s="126"/>
      <c r="I36" s="126"/>
      <c r="J36" s="126"/>
      <c r="K36" s="127"/>
      <c r="L36" s="80"/>
      <c r="M36" s="150"/>
      <c r="N36" s="151" t="str">
        <f t="shared" si="0"/>
        <v/>
      </c>
      <c r="O36" s="59"/>
      <c r="P36" s="9"/>
    </row>
    <row r="37" spans="2:16" ht="15" x14ac:dyDescent="0.2">
      <c r="B37" s="7"/>
      <c r="C37" s="3"/>
      <c r="D37" s="103"/>
      <c r="E37" s="55"/>
      <c r="F37" s="116"/>
      <c r="G37" s="126"/>
      <c r="H37" s="126"/>
      <c r="I37" s="126"/>
      <c r="J37" s="126"/>
      <c r="K37" s="127"/>
      <c r="L37" s="80"/>
      <c r="M37" s="139"/>
      <c r="N37" s="151" t="str">
        <f t="shared" si="0"/>
        <v/>
      </c>
      <c r="O37" s="59"/>
      <c r="P37" s="9"/>
    </row>
    <row r="38" spans="2:16" ht="15" x14ac:dyDescent="0.2">
      <c r="B38" s="7"/>
      <c r="C38" s="3"/>
      <c r="D38" s="103"/>
      <c r="E38" s="55"/>
      <c r="F38" s="181"/>
      <c r="G38" s="182"/>
      <c r="H38" s="182"/>
      <c r="I38" s="182"/>
      <c r="J38" s="182"/>
      <c r="K38" s="183"/>
      <c r="L38" s="80"/>
      <c r="M38" s="139"/>
      <c r="N38" s="151" t="str">
        <f t="shared" si="0"/>
        <v/>
      </c>
      <c r="O38" s="59"/>
      <c r="P38" s="9"/>
    </row>
    <row r="39" spans="2:16" ht="15" x14ac:dyDescent="0.2">
      <c r="B39" s="7"/>
      <c r="C39" s="3"/>
      <c r="D39" s="103"/>
      <c r="E39" s="55"/>
      <c r="F39" s="181"/>
      <c r="G39" s="182"/>
      <c r="H39" s="182"/>
      <c r="I39" s="182"/>
      <c r="J39" s="182"/>
      <c r="K39" s="183"/>
      <c r="L39" s="80"/>
      <c r="M39" s="139"/>
      <c r="N39" s="151" t="str">
        <f t="shared" si="0"/>
        <v/>
      </c>
      <c r="O39" s="59"/>
      <c r="P39" s="9"/>
    </row>
    <row r="40" spans="2:16" ht="15" x14ac:dyDescent="0.2">
      <c r="B40" s="7"/>
      <c r="C40" s="3"/>
      <c r="D40" s="103"/>
      <c r="E40" s="55"/>
      <c r="F40" s="178"/>
      <c r="G40" s="179"/>
      <c r="H40" s="179"/>
      <c r="I40" s="179"/>
      <c r="J40" s="179"/>
      <c r="K40" s="180"/>
      <c r="L40" s="80"/>
      <c r="M40" s="139"/>
      <c r="N40" s="152" t="str">
        <f>IF(E41&lt;&gt;"",E41*M40,"")</f>
        <v/>
      </c>
      <c r="O40" s="59"/>
      <c r="P40" s="9"/>
    </row>
    <row r="41" spans="2:16" ht="15" x14ac:dyDescent="0.2">
      <c r="B41" s="7"/>
      <c r="C41" s="3"/>
      <c r="D41" s="103"/>
      <c r="E41" s="55"/>
      <c r="F41" s="181"/>
      <c r="G41" s="182"/>
      <c r="H41" s="182"/>
      <c r="I41" s="182"/>
      <c r="J41" s="182"/>
      <c r="K41" s="183"/>
      <c r="L41" s="80"/>
      <c r="M41" s="139"/>
      <c r="N41" s="152" t="str">
        <f>IF(E42&lt;&gt;"",E42*M41,"")</f>
        <v/>
      </c>
      <c r="O41" s="59"/>
      <c r="P41" s="9"/>
    </row>
    <row r="42" spans="2:16" ht="15.75" x14ac:dyDescent="0.25">
      <c r="B42" s="7"/>
      <c r="C42" s="3"/>
      <c r="D42" s="103"/>
      <c r="E42" s="55"/>
      <c r="F42" s="194"/>
      <c r="G42" s="195"/>
      <c r="H42" s="195"/>
      <c r="I42" s="195"/>
      <c r="J42" s="195"/>
      <c r="K42" s="196"/>
      <c r="L42" s="80"/>
      <c r="M42" s="139"/>
      <c r="N42" s="152" t="str">
        <f>IF(E43&lt;&gt;"",E43*M42,"")</f>
        <v/>
      </c>
      <c r="O42" s="59"/>
      <c r="P42" s="9"/>
    </row>
    <row r="43" spans="2:16" ht="15.75" x14ac:dyDescent="0.25">
      <c r="B43" s="7"/>
      <c r="C43" s="3"/>
      <c r="D43" s="103"/>
      <c r="E43" s="55"/>
      <c r="F43" s="105"/>
      <c r="G43" s="106"/>
      <c r="H43" s="106"/>
      <c r="I43" s="106"/>
      <c r="J43" s="106"/>
      <c r="K43" s="107"/>
      <c r="L43" s="80"/>
      <c r="M43" s="139"/>
      <c r="N43" s="152" t="str">
        <f>IF(E44&lt;&gt;"",E44*M43,"")</f>
        <v/>
      </c>
      <c r="O43" s="59"/>
      <c r="P43" s="9"/>
    </row>
    <row r="44" spans="2:16" ht="15" x14ac:dyDescent="0.2">
      <c r="B44" s="7"/>
      <c r="C44" s="3"/>
      <c r="D44" s="104"/>
      <c r="E44" s="56"/>
      <c r="F44" s="184"/>
      <c r="G44" s="185"/>
      <c r="H44" s="185"/>
      <c r="I44" s="185"/>
      <c r="J44" s="185"/>
      <c r="K44" s="186"/>
      <c r="L44" s="81"/>
      <c r="M44" s="139"/>
      <c r="N44" s="152" t="str">
        <f>IF(E45&lt;&gt;"",E45*M44,"")</f>
        <v/>
      </c>
      <c r="O44" s="59"/>
      <c r="P44" s="9"/>
    </row>
    <row r="45" spans="2:16" ht="15.75" x14ac:dyDescent="0.25">
      <c r="B45" s="7"/>
      <c r="C45" s="3"/>
      <c r="D45" s="3"/>
      <c r="E45" s="88"/>
      <c r="F45" s="88"/>
      <c r="G45" s="88"/>
      <c r="H45" s="88"/>
      <c r="I45" s="88"/>
      <c r="J45" s="82"/>
      <c r="K45" s="82"/>
      <c r="L45" s="82"/>
      <c r="M45" s="140" t="s">
        <v>24</v>
      </c>
      <c r="N45" s="153">
        <f>SUM(N25:N44)</f>
        <v>242</v>
      </c>
      <c r="O45" s="59"/>
      <c r="P45" s="9"/>
    </row>
    <row r="46" spans="2:16" ht="15" x14ac:dyDescent="0.2">
      <c r="B46" s="7"/>
      <c r="C46" s="3"/>
      <c r="D46" s="3"/>
      <c r="E46" s="161" t="s">
        <v>72</v>
      </c>
      <c r="F46" s="88"/>
      <c r="G46" s="88"/>
      <c r="H46" s="88"/>
      <c r="I46" s="88"/>
      <c r="J46" s="82"/>
      <c r="K46" s="82"/>
      <c r="L46" s="82"/>
      <c r="M46" s="141" t="s">
        <v>48</v>
      </c>
      <c r="N46" s="154">
        <v>0.6</v>
      </c>
      <c r="O46" s="59"/>
      <c r="P46" s="9"/>
    </row>
    <row r="47" spans="2:16" ht="15" x14ac:dyDescent="0.2">
      <c r="B47" s="7"/>
      <c r="C47" s="3"/>
      <c r="D47" s="3"/>
      <c r="E47" s="90"/>
      <c r="F47" s="91" t="s">
        <v>25</v>
      </c>
      <c r="G47" s="88"/>
      <c r="H47" s="88"/>
      <c r="I47" s="88"/>
      <c r="J47" s="84"/>
      <c r="K47" s="84"/>
      <c r="L47" s="83"/>
      <c r="M47" s="138" t="s">
        <v>61</v>
      </c>
      <c r="N47" s="154">
        <f>N45*0.19</f>
        <v>45.980000000000004</v>
      </c>
      <c r="O47" s="59"/>
      <c r="P47" s="9"/>
    </row>
    <row r="48" spans="2:16" ht="15.75" x14ac:dyDescent="0.25">
      <c r="B48" s="7"/>
      <c r="C48" s="3"/>
      <c r="D48" s="3"/>
      <c r="E48" s="92"/>
      <c r="F48" s="91" t="s">
        <v>26</v>
      </c>
      <c r="G48" s="94"/>
      <c r="H48" s="92"/>
      <c r="I48" s="88"/>
      <c r="J48" s="85"/>
      <c r="K48" s="82"/>
      <c r="L48" s="82"/>
      <c r="M48" s="142" t="s">
        <v>28</v>
      </c>
      <c r="N48" s="153">
        <f>+N45+N46+N47</f>
        <v>288.58</v>
      </c>
      <c r="O48" s="59"/>
      <c r="P48" s="9"/>
    </row>
    <row r="49" spans="2:16" ht="15" x14ac:dyDescent="0.2">
      <c r="B49" s="7"/>
      <c r="C49" s="3"/>
      <c r="D49" s="3"/>
      <c r="E49" s="92">
        <v>1</v>
      </c>
      <c r="F49" s="91"/>
      <c r="G49" s="88"/>
      <c r="H49" s="93"/>
      <c r="I49" s="88"/>
      <c r="J49" s="86" t="s">
        <v>27</v>
      </c>
      <c r="K49" s="82"/>
      <c r="L49" s="82"/>
      <c r="M49" s="135"/>
      <c r="N49" s="136"/>
      <c r="O49" s="59"/>
      <c r="P49" s="9"/>
    </row>
    <row r="50" spans="2:16" ht="17.100000000000001" customHeight="1" x14ac:dyDescent="0.2">
      <c r="B50" s="7"/>
      <c r="C50" s="3"/>
      <c r="D50" s="3"/>
      <c r="E50" s="89"/>
      <c r="F50" s="89"/>
      <c r="G50" s="88"/>
      <c r="H50" s="89"/>
      <c r="I50" s="88"/>
      <c r="J50" s="86" t="s">
        <v>27</v>
      </c>
      <c r="K50" s="82"/>
      <c r="L50" s="82"/>
      <c r="M50" s="137"/>
      <c r="N50" s="137"/>
      <c r="O50" s="59"/>
      <c r="P50" s="9"/>
    </row>
    <row r="51" spans="2:16" ht="17.100000000000001" customHeight="1" x14ac:dyDescent="0.25">
      <c r="B51" s="7"/>
      <c r="C51" s="3"/>
      <c r="D51" s="197"/>
      <c r="E51" s="197"/>
      <c r="F51" s="197"/>
      <c r="G51" s="197"/>
      <c r="H51" s="197"/>
      <c r="I51" s="197"/>
      <c r="J51" s="197"/>
      <c r="K51" s="197"/>
      <c r="L51" s="197"/>
      <c r="M51" s="197"/>
      <c r="N51" s="197"/>
      <c r="O51" s="59"/>
      <c r="P51" s="9"/>
    </row>
    <row r="52" spans="2:16" ht="15" x14ac:dyDescent="0.2">
      <c r="B52" s="7"/>
      <c r="C52" s="3"/>
      <c r="D52" s="110"/>
      <c r="E52" s="111"/>
      <c r="F52" s="112"/>
      <c r="G52" s="112"/>
      <c r="H52" s="112"/>
      <c r="I52" s="112"/>
      <c r="J52" s="113"/>
      <c r="K52" s="82"/>
      <c r="L52" s="82"/>
      <c r="M52" s="82"/>
      <c r="N52" s="82"/>
      <c r="O52" s="59"/>
      <c r="P52" s="9"/>
    </row>
    <row r="53" spans="2:16" ht="15" customHeight="1" x14ac:dyDescent="0.2">
      <c r="B53" s="7"/>
      <c r="C53" s="3"/>
      <c r="D53" s="3"/>
      <c r="E53" s="20"/>
      <c r="F53" s="173"/>
      <c r="G53" s="174"/>
      <c r="H53" s="174"/>
      <c r="I53" s="174"/>
      <c r="J53" s="84"/>
      <c r="K53" s="117" t="s">
        <v>55</v>
      </c>
      <c r="L53" s="118"/>
      <c r="M53" s="118"/>
      <c r="N53" s="119"/>
      <c r="O53" s="59"/>
      <c r="P53" s="9"/>
    </row>
    <row r="54" spans="2:16" ht="15" customHeight="1" x14ac:dyDescent="0.2">
      <c r="B54" s="7"/>
      <c r="C54" s="3"/>
      <c r="D54" s="3"/>
      <c r="E54" s="20"/>
      <c r="F54" s="83"/>
      <c r="G54" s="171"/>
      <c r="H54" s="172"/>
      <c r="I54" s="172"/>
      <c r="J54" s="84"/>
      <c r="K54" s="120"/>
      <c r="L54" s="121"/>
      <c r="M54" s="121"/>
      <c r="N54" s="122"/>
      <c r="O54" s="59"/>
      <c r="P54" s="9"/>
    </row>
    <row r="55" spans="2:16" ht="15" customHeight="1" x14ac:dyDescent="0.2">
      <c r="B55" s="7"/>
      <c r="C55" s="3"/>
      <c r="D55" s="198"/>
      <c r="E55" s="198"/>
      <c r="F55" s="198"/>
      <c r="G55" s="198"/>
      <c r="H55" s="146"/>
      <c r="I55" s="82"/>
      <c r="J55" s="84"/>
      <c r="K55" s="123"/>
      <c r="L55" s="124"/>
      <c r="M55" s="124"/>
      <c r="N55" s="125"/>
      <c r="O55" s="59"/>
      <c r="P55" s="9"/>
    </row>
    <row r="56" spans="2:16" ht="89.25" customHeight="1" x14ac:dyDescent="0.2">
      <c r="B56" s="7"/>
      <c r="C56" s="144"/>
      <c r="D56" s="147"/>
      <c r="E56" s="147"/>
      <c r="F56" s="147"/>
      <c r="G56" s="147"/>
      <c r="H56" s="148"/>
      <c r="I56" s="143"/>
      <c r="J56" s="145"/>
      <c r="K56" s="143"/>
      <c r="L56" s="143"/>
      <c r="M56" s="143"/>
      <c r="N56" s="143"/>
      <c r="O56" s="59"/>
      <c r="P56" s="9"/>
    </row>
    <row r="57" spans="2:16" ht="15" x14ac:dyDescent="0.2">
      <c r="B57" s="7"/>
      <c r="C57" s="3"/>
      <c r="D57" s="3"/>
      <c r="E57" s="3"/>
      <c r="F57" s="101"/>
      <c r="G57" s="102"/>
      <c r="H57" s="102"/>
      <c r="I57" s="102"/>
      <c r="J57" s="102"/>
      <c r="K57" s="102"/>
      <c r="L57" s="102"/>
      <c r="M57" s="102"/>
      <c r="N57" s="82"/>
      <c r="O57" s="59"/>
      <c r="P57" s="9"/>
    </row>
    <row r="58" spans="2:16" ht="15" x14ac:dyDescent="0.2">
      <c r="B58" s="7"/>
      <c r="C58" s="3"/>
      <c r="D58" s="199"/>
      <c r="E58" s="199"/>
      <c r="F58" s="199"/>
      <c r="G58" s="199"/>
      <c r="H58" s="102"/>
      <c r="I58" s="102"/>
      <c r="J58" s="102"/>
      <c r="K58" s="102"/>
      <c r="L58" s="102"/>
      <c r="M58" s="102"/>
      <c r="N58" s="82"/>
      <c r="O58" s="59"/>
      <c r="P58" s="9"/>
    </row>
    <row r="59" spans="2:16" ht="15" x14ac:dyDescent="0.2">
      <c r="B59" s="7"/>
      <c r="C59" s="3"/>
      <c r="D59" s="3"/>
      <c r="E59" s="88"/>
      <c r="F59" s="102"/>
      <c r="G59" s="102"/>
      <c r="H59" s="102"/>
      <c r="I59" s="102"/>
      <c r="J59" s="102"/>
      <c r="K59" s="102"/>
      <c r="L59" s="102"/>
      <c r="M59" s="102"/>
      <c r="N59" s="87"/>
      <c r="O59" s="59"/>
      <c r="P59" s="9"/>
    </row>
    <row r="60" spans="2:16" ht="15" x14ac:dyDescent="0.2">
      <c r="B60" s="7"/>
      <c r="C60" s="3"/>
      <c r="D60" s="3"/>
      <c r="E60" s="3"/>
      <c r="F60" s="102"/>
      <c r="G60" s="102"/>
      <c r="H60" s="102"/>
      <c r="I60" s="102"/>
      <c r="J60" s="102"/>
      <c r="K60" s="102"/>
      <c r="L60" s="102"/>
      <c r="M60" s="102"/>
      <c r="N60" s="82"/>
      <c r="O60" s="59"/>
      <c r="P60" s="9"/>
    </row>
    <row r="61" spans="2:16" ht="13.5" thickBot="1" x14ac:dyDescent="0.25">
      <c r="B61" s="7"/>
      <c r="C61" s="3"/>
      <c r="D61" s="3"/>
      <c r="E61" s="3"/>
      <c r="F61" s="3"/>
      <c r="G61" s="3"/>
      <c r="H61" s="3"/>
      <c r="I61" s="3"/>
      <c r="J61" s="3"/>
      <c r="K61" s="3"/>
      <c r="L61" s="3"/>
      <c r="M61" s="3"/>
      <c r="N61" s="3"/>
      <c r="O61" s="59"/>
      <c r="P61" s="9"/>
    </row>
    <row r="62" spans="2:16" ht="3" customHeight="1" thickTop="1" x14ac:dyDescent="0.2">
      <c r="B62" s="7"/>
      <c r="C62" s="3"/>
      <c r="D62" s="3"/>
      <c r="E62" s="60"/>
      <c r="F62" s="60"/>
      <c r="G62" s="60"/>
      <c r="H62" s="60"/>
      <c r="I62" s="60"/>
      <c r="J62" s="60"/>
      <c r="K62" s="60"/>
      <c r="L62" s="60"/>
      <c r="M62" s="60"/>
      <c r="N62" s="60"/>
      <c r="O62" s="59"/>
      <c r="P62" s="9"/>
    </row>
    <row r="63" spans="2:16" x14ac:dyDescent="0.2">
      <c r="B63" s="7"/>
      <c r="C63" s="3"/>
      <c r="D63" s="3"/>
      <c r="E63" s="3"/>
      <c r="F63" s="114"/>
      <c r="G63" s="114"/>
      <c r="H63" s="114"/>
      <c r="I63" s="114"/>
      <c r="J63" s="114"/>
      <c r="K63" s="114"/>
      <c r="L63" s="114"/>
      <c r="M63" s="114"/>
      <c r="N63" s="3"/>
      <c r="O63" s="59"/>
      <c r="P63" s="9"/>
    </row>
    <row r="64" spans="2:16" x14ac:dyDescent="0.2">
      <c r="B64" s="7"/>
      <c r="C64" s="3"/>
      <c r="D64" s="3"/>
      <c r="E64" s="3"/>
      <c r="F64" s="115"/>
      <c r="G64" s="115"/>
      <c r="H64" s="115"/>
      <c r="I64" s="115"/>
      <c r="J64" s="115"/>
      <c r="K64" s="115"/>
      <c r="L64" s="115"/>
      <c r="M64" s="115"/>
      <c r="N64" s="3"/>
      <c r="O64" s="59"/>
      <c r="P64" s="9"/>
    </row>
    <row r="65" spans="2:16" ht="13.5" thickBot="1" x14ac:dyDescent="0.25">
      <c r="B65" s="7"/>
      <c r="C65" s="3"/>
      <c r="D65" s="3"/>
      <c r="E65" s="3"/>
      <c r="F65" s="115"/>
      <c r="G65" s="115"/>
      <c r="H65" s="115"/>
      <c r="I65" s="115"/>
      <c r="J65" s="115"/>
      <c r="K65" s="115"/>
      <c r="L65" s="115"/>
      <c r="M65" s="115"/>
      <c r="N65" s="3"/>
      <c r="O65" s="11"/>
      <c r="P65" s="9"/>
    </row>
    <row r="66" spans="2:16" ht="0.95" customHeight="1" thickTop="1" thickBot="1" x14ac:dyDescent="0.25">
      <c r="B66" s="10"/>
      <c r="C66" s="3"/>
      <c r="D66" s="11"/>
      <c r="E66" s="11"/>
      <c r="F66" s="11"/>
      <c r="G66" s="11"/>
      <c r="H66" s="11"/>
      <c r="I66" s="11"/>
      <c r="J66" s="11"/>
      <c r="K66" s="11"/>
      <c r="L66" s="11"/>
      <c r="M66" s="11"/>
      <c r="N66" s="11"/>
      <c r="P66" s="12"/>
    </row>
    <row r="67" spans="2:16" ht="6" customHeight="1" thickTop="1" thickBot="1" x14ac:dyDescent="0.25">
      <c r="C67" s="11"/>
    </row>
    <row r="68" spans="2: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26">
    <mergeCell ref="D55:G55"/>
    <mergeCell ref="D58:G58"/>
    <mergeCell ref="F39:K39"/>
    <mergeCell ref="M10:N10"/>
    <mergeCell ref="G21:H21"/>
    <mergeCell ref="E20:J20"/>
    <mergeCell ref="E19:J19"/>
    <mergeCell ref="E22:J22"/>
    <mergeCell ref="F24:K24"/>
    <mergeCell ref="F28:K28"/>
    <mergeCell ref="F26:K26"/>
    <mergeCell ref="F25:K25"/>
    <mergeCell ref="M9:N9"/>
    <mergeCell ref="G54:I54"/>
    <mergeCell ref="F53:I53"/>
    <mergeCell ref="F29:K29"/>
    <mergeCell ref="F40:K40"/>
    <mergeCell ref="F41:K41"/>
    <mergeCell ref="F44:K44"/>
    <mergeCell ref="F32:K32"/>
    <mergeCell ref="M19:N19"/>
    <mergeCell ref="M21:N21"/>
    <mergeCell ref="M22:N22"/>
    <mergeCell ref="F42:K42"/>
    <mergeCell ref="F38:K38"/>
    <mergeCell ref="D51:N51"/>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3 L52:N52"/>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5"/>
    <dataValidation type="whole" errorStyle="warning" allowBlank="1" showErrorMessage="1" errorTitle="Quantité" error="Tapez un nombre dans cette cellule." promptTitle="Quantité" sqref="E25:E44">
      <formula1>0</formula1>
      <formula2>1000000000</formula2>
    </dataValidation>
    <dataValidation type="list" allowBlank="1" showInputMessage="1" showErrorMessage="1" errorTitle="Code TVA" error="Tapez 1, 2, ou 3." sqref="L25:L44">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4">
      <formula1>0</formula1>
      <formula2>0</formula2>
    </dataValidation>
    <dataValidation type="decimal" allowBlank="1" showErrorMessage="1" errorTitle="Prix unitaire" error="Tapez un nombre dans cette cellule." promptTitle="Prix unitaire" sqref="M25:M44">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formula1>0</formula1>
      <formula2>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45086</v>
      </c>
      <c r="D8" s="74" t="str">
        <f>Facture!$E$19</f>
        <v>Société d’Articles Hygiéniques (SAH)</v>
      </c>
      <c r="E8" s="71">
        <f>Facture!$E$20</f>
        <v>0</v>
      </c>
      <c r="F8" s="71">
        <f>Facture!$E$21</f>
        <v>0</v>
      </c>
      <c r="G8" s="74" t="str">
        <f>Facture!$G$21</f>
        <v>mjez elbab</v>
      </c>
      <c r="H8" s="74" t="str">
        <f>Facture!$J$21</f>
        <v>tunisie</v>
      </c>
      <c r="I8" s="71" t="str">
        <f>Facture!$E$22</f>
        <v xml:space="preserve">                     fax:</v>
      </c>
      <c r="J8" s="75">
        <f>Facture!$N$48</f>
        <v>288.58</v>
      </c>
      <c r="K8" s="71" t="str">
        <f>Facture!$M$21</f>
        <v>Mme Najoua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2017-06-22T11:18:57Z</cp:lastPrinted>
  <dcterms:created xsi:type="dcterms:W3CDTF">1995-05-29T15:50:39Z</dcterms:created>
  <dcterms:modified xsi:type="dcterms:W3CDTF">2023-07-06T13:04:49Z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d’Articles Hygiéniques (SAH)</vt:lpwstr>
  </property>
  <property fmtid="{D5CDD505-2E9C-101B-9397-08002B2CF9AE}" pid="11" name="Montant de la facture" linkTarget="TOT">
    <vt:r8>288.58</vt:r8>
  </property>
</Properties>
</file>