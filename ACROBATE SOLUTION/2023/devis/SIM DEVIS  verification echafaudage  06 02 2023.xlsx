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31" i="3" l="1"/>
  <c r="M40" i="3"/>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<sst xmlns="http://schemas.openxmlformats.org/spreadsheetml/2006/main" count="87" uniqueCount="77">
  <si>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</si>
  <si>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</si>
  <si>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</si>
  <si>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</si>
  <si>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</si>
  <si>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</si>
  <si>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</si>
  <si>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</si>
  <si>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</si>
  <si>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</si>
  <si>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</si>
  <si>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</si>
  <si>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</si>
  <si>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</si>
  <si>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</si>
  <si>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</si>
  <si>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</si>
  <si>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</si>
  <si>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</si>
  <si>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</si>
  <si>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</si>
  <si>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</si>
  <si>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</si>
  <si>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</si>
  <si>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</si>
  <si>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</si>
  <si>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</si>
  <si>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</si>
  <si>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</si>
  <si>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</si>
  <si>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</si>
  <si>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</si>
  <si>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</si>
  <si>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</si>
  <si>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</si>
  <si>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</si>
  <si>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</si>
  <si>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</si>
  <si>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</si>
  <si>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</si>
  <si>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</si>
  <si>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</si>
  <si>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</si>
  <si>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</si>
  <si>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</si>
  <si>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</si>
  <si>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</si>
  <si>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</si>
  <si>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</si>
  <si>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</si>
  <si>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</si>
  <si>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</si>
  <si>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</si>
  <si>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</si>
  <si>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</si>
  <si>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</si>
  <si>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</si>
  <si>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</si>
  <si>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</si>
  <si>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</si>
  <si>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</si>
  <si>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</si>
  <si>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</si>
  <si>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</si>
  <si>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</si>
  <si>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</si>
  <si>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</si>
  <si>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</si>
  <si>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</si>
  <si>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</si>
  <si>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</si>
  <si>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 xml:space="preserve">CERTIFICATION DE CONFORMITE DE TROIS </t>
  </si>
  <si>
    <t>ECHAFAUDAGES</t>
  </si>
  <si>
    <t>Date : 03/02/2023</t>
  </si>
  <si>
    <t xml:space="preserve">Réf commande: </t>
  </si>
  <si>
    <t>devis   N°2023-165</t>
  </si>
  <si>
    <t>deplacement à  Klibia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</si>
</sst>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7" zoomScale="60" zoomScaleNormal="60" workbookViewId="0">
      <selection activeCell="M32" sqref="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5" t="s">
        <v>75</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02" t="s">
        <v>64</v>
      </c>
      <c r="F22" s="203"/>
      <c r="G22" s="203"/>
      <c r="H22" s="203"/>
      <c r="I22" s="203"/>
      <c r="J22" s="203"/>
      <c r="K22" s="103"/>
      <c r="L22" s="198" t="s">
        <v>73</v>
      </c>
      <c r="M22" s="198"/>
      <c r="N22" s="52"/>
      <c r="O22" s="9"/>
    </row>
    <row r="23" spans="2:15" ht="33.75" x14ac:dyDescent="0.5">
      <c r="B23" s="7"/>
      <c r="C23" s="3"/>
      <c r="D23" s="102" t="s">
        <v>54</v>
      </c>
      <c r="E23" s="187" t="s">
        <v>66</v>
      </c>
      <c r="F23" s="188"/>
      <c r="G23" s="188"/>
      <c r="H23" s="188"/>
      <c r="I23" s="188"/>
      <c r="J23" s="188"/>
      <c r="K23" s="188"/>
      <c r="L23" s="104" t="s">
        <v>74</v>
      </c>
      <c r="M23" s="174"/>
      <c r="N23" s="53"/>
      <c r="O23" s="9"/>
    </row>
    <row r="24" spans="2:15" ht="33.75" x14ac:dyDescent="0.5">
      <c r="B24" s="7"/>
      <c r="C24" s="3"/>
      <c r="D24" s="102" t="s">
        <v>55</v>
      </c>
      <c r="E24" s="151">
        <v>8090</v>
      </c>
      <c r="F24" s="105" t="s">
        <v>8</v>
      </c>
      <c r="G24" s="189" t="s">
        <v>67</v>
      </c>
      <c r="H24" s="189"/>
      <c r="I24" s="106" t="s">
        <v>9</v>
      </c>
      <c r="J24" s="149" t="s">
        <v>57</v>
      </c>
      <c r="K24" s="103"/>
      <c r="L24" s="199" t="s">
        <v>69</v>
      </c>
      <c r="M24" s="200"/>
      <c r="N24" s="3"/>
      <c r="O24" s="9"/>
    </row>
    <row r="25" spans="2:15" ht="33.75" x14ac:dyDescent="0.5">
      <c r="B25" s="7"/>
      <c r="C25" s="3"/>
      <c r="D25" s="102" t="s">
        <v>56</v>
      </c>
      <c r="E25" s="204" t="s">
        <v>68</v>
      </c>
      <c r="F25" s="204"/>
      <c r="G25" s="204"/>
      <c r="H25" s="204"/>
      <c r="I25" s="204"/>
      <c r="J25" s="204"/>
      <c r="K25" s="103"/>
      <c r="L25" s="201" t="s">
        <v>65</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0" t="s">
        <v>23</v>
      </c>
      <c r="G27" s="191"/>
      <c r="H27" s="191"/>
      <c r="I27" s="191"/>
      <c r="J27" s="191"/>
      <c r="K27" s="192"/>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2</v>
      </c>
      <c r="F31" s="171" t="s">
        <v>71</v>
      </c>
      <c r="G31" s="120"/>
      <c r="H31" s="120"/>
      <c r="I31" s="120"/>
      <c r="J31" s="120"/>
      <c r="K31" s="121"/>
      <c r="L31" s="111">
        <v>300</v>
      </c>
      <c r="M31" s="111">
        <f>+L31*E31</f>
        <v>600</v>
      </c>
      <c r="N31" s="54"/>
      <c r="O31" s="9"/>
    </row>
    <row r="32" spans="2:15" ht="30" x14ac:dyDescent="0.4">
      <c r="B32" s="7"/>
      <c r="C32" s="3"/>
      <c r="D32" s="150"/>
      <c r="E32" s="108"/>
      <c r="F32" s="171" t="s">
        <v>72</v>
      </c>
      <c r="G32" s="120"/>
      <c r="H32" s="120"/>
      <c r="I32" s="120"/>
      <c r="J32" s="120"/>
      <c r="K32" s="121"/>
      <c r="L32" s="111"/>
      <c r="M32" s="111"/>
      <c r="N32" s="54"/>
      <c r="O32" s="9"/>
    </row>
    <row r="33" spans="2:15" ht="30" x14ac:dyDescent="0.4">
      <c r="B33" s="7"/>
      <c r="C33" s="3"/>
      <c r="D33" s="150"/>
      <c r="E33" s="108">
        <v>1</v>
      </c>
      <c r="F33" s="170" t="s">
        <v>76</v>
      </c>
      <c r="G33" s="120"/>
      <c r="H33" s="120"/>
      <c r="I33" s="120"/>
      <c r="J33" s="120"/>
      <c r="K33" s="121"/>
      <c r="L33" s="111">
        <v>240</v>
      </c>
      <c r="M33" s="111">
        <f t="shared" ref="M32:M33" si="0">+L33*E33</f>
        <v>240</v>
      </c>
      <c r="N33" s="54"/>
      <c r="O33" s="9"/>
    </row>
    <row r="34" spans="2:15" ht="30" x14ac:dyDescent="0.4">
      <c r="B34" s="7"/>
      <c r="C34" s="3"/>
      <c r="D34" s="150"/>
      <c r="E34" s="108"/>
      <c r="F34" s="169"/>
      <c r="G34" s="120"/>
      <c r="H34" s="120"/>
      <c r="I34" s="120"/>
      <c r="J34" s="120"/>
      <c r="K34" s="121"/>
      <c r="L34" s="111"/>
      <c r="M34" s="111"/>
      <c r="N34" s="54"/>
      <c r="O34" s="9"/>
    </row>
    <row r="35" spans="2:15" ht="30" x14ac:dyDescent="0.4">
      <c r="B35" s="7"/>
      <c r="C35" s="3"/>
      <c r="D35" s="150"/>
      <c r="E35" s="108"/>
      <c r="F35" s="173"/>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1">IF(E38&lt;&gt;"",E38*L38,"")</f>
        <v/>
      </c>
      <c r="N38" s="95"/>
      <c r="O38" s="9"/>
    </row>
    <row r="39" spans="2:15" ht="30" x14ac:dyDescent="0.4">
      <c r="B39" s="7"/>
      <c r="C39" s="3"/>
      <c r="D39" s="124"/>
      <c r="E39" s="109"/>
      <c r="F39" s="119"/>
      <c r="G39" s="120"/>
      <c r="H39" s="120"/>
      <c r="I39" s="120"/>
      <c r="J39" s="120"/>
      <c r="K39" s="121"/>
      <c r="L39" s="111"/>
      <c r="M39" s="115" t="str">
        <f t="shared" ref="M39:M41" si="2">IF(E39&lt;&gt;"",E39*L39,"")</f>
        <v/>
      </c>
      <c r="N39" s="95"/>
      <c r="O39" s="9"/>
    </row>
    <row r="40" spans="2:15" ht="30" x14ac:dyDescent="0.4">
      <c r="B40" s="7"/>
      <c r="C40" s="3"/>
      <c r="D40" s="150"/>
      <c r="E40" s="109"/>
      <c r="F40" s="125"/>
      <c r="G40" s="120"/>
      <c r="H40" s="120"/>
      <c r="I40" s="120"/>
      <c r="J40" s="120"/>
      <c r="K40" s="121"/>
      <c r="L40" s="111"/>
      <c r="M40" s="115" t="str">
        <f t="shared" si="2"/>
        <v/>
      </c>
      <c r="N40" s="54"/>
      <c r="O40" s="9"/>
    </row>
    <row r="41" spans="2:15" ht="30" x14ac:dyDescent="0.4">
      <c r="B41" s="7"/>
      <c r="C41" s="3"/>
      <c r="D41" s="124"/>
      <c r="E41" s="109"/>
      <c r="F41" s="125"/>
      <c r="G41" s="120"/>
      <c r="H41" s="120"/>
      <c r="I41" s="120"/>
      <c r="J41" s="120"/>
      <c r="K41" s="121"/>
      <c r="L41" s="111"/>
      <c r="M41" s="115" t="str">
        <f t="shared" si="2"/>
        <v/>
      </c>
      <c r="N41" s="54"/>
      <c r="O41" s="9"/>
    </row>
    <row r="42" spans="2:15" ht="30" x14ac:dyDescent="0.4">
      <c r="B42" s="7"/>
      <c r="C42" s="3"/>
      <c r="D42" s="124"/>
      <c r="E42" s="109"/>
      <c r="F42" s="183"/>
      <c r="G42" s="184"/>
      <c r="H42" s="184"/>
      <c r="I42" s="184"/>
      <c r="J42" s="184"/>
      <c r="K42" s="185"/>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840</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172" t="s">
        <v>62</v>
      </c>
      <c r="F46" s="77"/>
      <c r="G46" s="77"/>
      <c r="H46" s="77"/>
      <c r="I46" s="77"/>
      <c r="J46" s="80"/>
      <c r="K46" s="94"/>
      <c r="L46" s="143">
        <v>0.19</v>
      </c>
      <c r="M46" s="144">
        <f>+M44*19%</f>
        <v>159.6</v>
      </c>
      <c r="N46" s="54"/>
      <c r="O46" s="9"/>
    </row>
    <row r="47" spans="2:15" ht="35.25" x14ac:dyDescent="0.5">
      <c r="B47" s="7"/>
      <c r="C47" s="3"/>
      <c r="D47" s="85"/>
      <c r="E47" s="100"/>
      <c r="F47" s="96"/>
      <c r="G47" s="82"/>
      <c r="H47" s="81"/>
      <c r="I47" s="77"/>
      <c r="J47" s="83"/>
      <c r="K47" s="93"/>
      <c r="L47" s="142" t="s">
        <v>28</v>
      </c>
      <c r="M47" s="141">
        <f>+M44+M45+M46</f>
        <v>1000.6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3"/>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6"/>
      <c r="H53" s="186"/>
      <c r="I53" s="186"/>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2" t="s">
        <v>52</v>
      </c>
      <c r="E59" s="182"/>
      <c r="F59" s="182"/>
      <c r="G59" s="182"/>
      <c r="H59" s="182"/>
      <c r="I59" s="182"/>
      <c r="J59" s="182"/>
      <c r="K59" s="182"/>
      <c r="L59" s="182"/>
      <c r="M59" s="88"/>
      <c r="N59" s="54"/>
      <c r="O59" s="9"/>
    </row>
    <row r="60" spans="1:16" ht="18" customHeight="1" x14ac:dyDescent="0.2">
      <c r="B60" s="7"/>
      <c r="C60" s="3"/>
      <c r="D60" s="182"/>
      <c r="E60" s="182"/>
      <c r="F60" s="182"/>
      <c r="G60" s="182"/>
      <c r="H60" s="182"/>
      <c r="I60" s="182"/>
      <c r="J60" s="182"/>
      <c r="K60" s="182"/>
      <c r="L60" s="182"/>
      <c r="M60" s="89"/>
      <c r="N60" s="54"/>
      <c r="O60" s="9"/>
    </row>
    <row r="61" spans="1:16" ht="15" customHeight="1" x14ac:dyDescent="0.2">
      <c r="B61" s="7"/>
      <c r="C61" s="3"/>
      <c r="D61" s="182"/>
      <c r="E61" s="182"/>
      <c r="F61" s="182"/>
      <c r="G61" s="182"/>
      <c r="H61" s="182"/>
      <c r="I61" s="182"/>
      <c r="J61" s="182"/>
      <c r="K61" s="182"/>
      <c r="L61" s="182"/>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03/02/2023</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1000.6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2023-02-06T07:55:44Z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1000.6</vt:r8>
  </property>
</Properties>
</file>