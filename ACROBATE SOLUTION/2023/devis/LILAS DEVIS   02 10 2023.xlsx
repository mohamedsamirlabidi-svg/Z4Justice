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Facture!$E$43:$E$43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Facture!$L$20</definedName>
    <definedName name="data10">Facture!$F$23</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Facture!$M$21</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Facture!$M$22</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Facture!$M$23</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Facture!$E$20</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Facture!$F$21</definedName>
    <definedName name="data60">Facture!#REF!</definedName>
    <definedName name="data61">Facture!#REF!</definedName>
    <definedName name="data62">Facture!#REF!</definedName>
    <definedName name="data63">Facture!$E$43</definedName>
    <definedName name="data64">Facture!$E$44</definedName>
    <definedName name="data65">Facture!$H$45</definedName>
    <definedName name="data66">Facture!#REF!</definedName>
    <definedName name="data67">Facture!$F$48</definedName>
    <definedName name="data68">Facture!$G$48</definedName>
    <definedName name="data69">Facture!$K$48</definedName>
    <definedName name="data7">Facture!$H$22</definedName>
    <definedName name="data70">Facture!$K$49</definedName>
    <definedName name="data8">Facture!$J$22</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Facture!$E$20:$J$20</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Facture!$L$20:$M$20</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Facture!$L$47:$M$49</definedName>
    <definedName name="qzqzqz3">Facture!$E$21:$J$21</definedName>
    <definedName name="qzqzqz30">Facture!$G$48:$I$48</definedName>
    <definedName name="qzqzqz31">Facture!$G$48:$H$48</definedName>
    <definedName name="qzqzqz32">Facture!$L$47:$M$48</definedName>
    <definedName name="qzqzqz4">Facture!$G$22:$H$22</definedName>
    <definedName name="qzqzqz5">Facture!$L$22:$M$22</definedName>
    <definedName name="qzqzqz6">Facture!$E$23:$J$23</definedName>
    <definedName name="qzqzqz7">Facture!$L$23:$M$23</definedName>
    <definedName name="qzqzqz8">Facture!$F$25:$K$25</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Facture!$A$1:$N$54</definedName>
  </definedNames>
  <calcPr calcId="152511"/>
</workbook>
</file>

<file path=xl/calcChain.xml><?xml version="1.0" encoding="utf-8"?>
<calcChain xmlns="http://schemas.openxmlformats.org/spreadsheetml/2006/main">
  <c r="M28" i="3" l="1"/>
  <c r="M29" i="3"/>
  <c r="M30" i="3"/>
  <c r="M31" i="3"/>
  <c r="M32" i="3"/>
  <c r="M33" i="3"/>
  <c r="M34" i="3"/>
  <c r="M26" i="3" l="1"/>
  <c r="M27" i="3"/>
  <c r="M42" i="3" s="1"/>
  <c r="M44" i="3" l="1"/>
  <c r="M45"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<sst xmlns="http://schemas.openxmlformats.org/spreadsheetml/2006/main" count="91" uniqueCount="81">
  <si>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</si>
  <si>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</si>
  <si>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</si>
  <si>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</si>
  <si>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</si>
  <si>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</si>
  <si>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</si>
  <si>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</si>
  <si>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</si>
  <si>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</si>
  <si>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</si>
  <si>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</si>
  <si>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</si>
  <si>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</si>
  <si>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</si>
  <si>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</si>
  <si>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</si>
  <si>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</si>
  <si>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</si>
  <si>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</si>
  <si>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</si>
  <si>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</si>
  <si>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</si>
  <si>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</si>
  <si>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</si>
  <si>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</si>
  <si>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</si>
  <si>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</si>
  <si>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</si>
  <si>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</si>
  <si>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</si>
  <si>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</si>
  <si>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</si>
  <si>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</si>
  <si>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</si>
  <si>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</si>
  <si>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</si>
  <si>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</si>
  <si>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</si>
  <si>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</si>
  <si>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</si>
  <si>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</si>
  <si>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</si>
  <si>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</si>
  <si>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</si>
  <si>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</si>
  <si>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</si>
  <si>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</si>
  <si>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</si>
  <si>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</si>
  <si>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</si>
  <si>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</si>
  <si>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</si>
  <si>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</si>
  <si>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</si>
  <si>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</si>
  <si>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</si>
  <si>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</si>
  <si>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</si>
  <si>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RC:B161701999  MF:645 267 KMA 000</t>
  </si>
  <si>
    <t>SIGNATURE :</t>
  </si>
  <si>
    <t>5 RUE 8610 ZI CHARGUIA 1</t>
  </si>
  <si>
    <t>TUNIS</t>
  </si>
  <si>
    <t>71 809 222                         FAX :71 806 804</t>
  </si>
  <si>
    <t xml:space="preserve">Responsable: Service achat </t>
  </si>
  <si>
    <t>MF:492586Z/A/M/000</t>
  </si>
  <si>
    <t xml:space="preserve">virement </t>
  </si>
  <si>
    <t xml:space="preserve">STB THAMEUR </t>
  </si>
  <si>
    <t>Société d’Articles Hygiéniques (SAH)</t>
  </si>
  <si>
    <t xml:space="preserve">1 HARNAIS </t>
  </si>
  <si>
    <t xml:space="preserve">1 SAC HARNAIS </t>
  </si>
  <si>
    <t xml:space="preserve">2 MOUSQUETONS </t>
  </si>
  <si>
    <t>1 CHARIOT LV</t>
  </si>
  <si>
    <t>PAIEMENT A LA LIVRAISON</t>
  </si>
  <si>
    <t xml:space="preserve"> SUR LIGNE DE VIE COMPRENANT :</t>
  </si>
  <si>
    <t>FORNITURE MOBILE POUR INTERVETION</t>
  </si>
  <si>
    <t>1 STOP CHUTE MARQUE  IKAR REF: HWS9</t>
  </si>
  <si>
    <t>Date : 16/10/2023</t>
  </si>
  <si>
    <t>Réf commande: OA235469</t>
  </si>
  <si>
    <t>Arretée la presente facture a la somme de : SEPT MILLE HUIT CENT QUATRE VINGT CINQ DINARS</t>
  </si>
  <si>
    <t>Facture    N° 2023-07721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</si>
</sst>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6"/>
      <color rgb="FFFF0000"/>
      <name val="Arial"/>
      <family val="2"/>
    </font>
    <font>
      <b/>
      <sz val="22"/>
      <name val="Arial"/>
      <family val="2"/>
    </font>
    <font>
      <b/>
      <sz val="18"/>
      <name val="Times New Roman"/>
      <family val="1"/>
    </font>
    <font>
      <b/>
      <sz val="20"/>
      <color theme="1"/>
      <name val="Arial"/>
      <family val="2"/>
    </font>
    <font>
      <sz val="16"/>
      <color theme="1"/>
      <name val="Arial"/>
      <family val="2"/>
    </font>
    <font>
      <sz val="14"/>
      <color theme="1"/>
      <name val="Arial"/>
      <family val="2"/>
    </font>
    <font>
      <sz val="14"/>
      <name val="Times New Roman"/>
      <family val="1"/>
    </font>
    <font>
      <u/>
      <sz val="14"/>
      <color theme="10"/>
      <name val="Arial"/>
      <family val="2"/>
    </font>
    <font>
      <b/>
      <u/>
      <sz val="20"/>
      <color rgb="FFC00000"/>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5"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8" fillId="3" borderId="0" xfId="0" applyFont="1" applyFill="1" applyBorder="1"/>
    <xf numFmtId="0" fontId="7" fillId="3" borderId="7" xfId="0" applyFont="1" applyFill="1" applyBorder="1" applyAlignment="1"/>
    <xf numFmtId="0" fontId="6"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7" fillId="4" borderId="23" xfId="0" applyFont="1" applyFill="1" applyBorder="1" applyAlignment="1"/>
    <xf numFmtId="0" fontId="7" fillId="4" borderId="0" xfId="0" applyFont="1" applyFill="1" applyBorder="1" applyAlignment="1"/>
    <xf numFmtId="0" fontId="7" fillId="4" borderId="19" xfId="0" applyFont="1" applyFill="1" applyBorder="1" applyAlignment="1"/>
    <xf numFmtId="0" fontId="10" fillId="4" borderId="0" xfId="0" applyFont="1" applyFill="1" applyBorder="1" applyAlignment="1"/>
    <xf numFmtId="0" fontId="7" fillId="4" borderId="20" xfId="0" applyFont="1" applyFill="1" applyBorder="1" applyAlignment="1"/>
    <xf numFmtId="0" fontId="7" fillId="4" borderId="21" xfId="0" applyFont="1" applyFill="1" applyBorder="1" applyAlignment="1"/>
    <xf numFmtId="0" fontId="7"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7"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9"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4" fillId="4" borderId="0" xfId="0" applyFont="1" applyFill="1" applyBorder="1" applyAlignment="1"/>
    <xf numFmtId="0" fontId="3" fillId="3" borderId="0" xfId="0" applyFont="1" applyFill="1" applyBorder="1"/>
    <xf numFmtId="0" fontId="0" fillId="2" borderId="0" xfId="0" applyBorder="1"/>
    <xf numFmtId="0" fontId="19" fillId="3" borderId="0" xfId="0" applyFont="1" applyFill="1" applyBorder="1"/>
    <xf numFmtId="0" fontId="0" fillId="0" borderId="0" xfId="0" applyFill="1" applyBorder="1"/>
    <xf numFmtId="0" fontId="3" fillId="0" borderId="0" xfId="0" applyFont="1" applyFill="1" applyBorder="1"/>
    <xf numFmtId="0" fontId="15" fillId="0" borderId="0" xfId="0" applyFont="1" applyFill="1" applyBorder="1"/>
    <xf numFmtId="0" fontId="15" fillId="0" borderId="0" xfId="0" quotePrefix="1" applyFont="1" applyFill="1" applyBorder="1" applyAlignment="1">
      <alignment horizontal="right"/>
    </xf>
    <xf numFmtId="0" fontId="15" fillId="0" borderId="0" xfId="0" applyFont="1" applyFill="1"/>
    <xf numFmtId="167" fontId="3" fillId="0" borderId="0" xfId="0" applyNumberFormat="1" applyFont="1" applyFill="1" applyBorder="1"/>
    <xf numFmtId="0" fontId="3" fillId="0" borderId="0" xfId="0" applyFont="1" applyFill="1" applyBorder="1" applyAlignment="1">
      <alignment vertical="top"/>
    </xf>
    <xf numFmtId="9" fontId="16" fillId="0" borderId="0" xfId="0" applyNumberFormat="1" applyFont="1" applyFill="1" applyBorder="1"/>
    <xf numFmtId="0" fontId="15" fillId="0" borderId="0" xfId="0" quotePrefix="1" applyFont="1" applyFill="1" applyBorder="1"/>
    <xf numFmtId="0" fontId="3" fillId="0" borderId="0" xfId="0" quotePrefix="1" applyFont="1" applyFill="1" applyBorder="1" applyAlignment="1">
      <alignment horizontal="right"/>
    </xf>
    <xf numFmtId="0" fontId="15" fillId="0" borderId="0" xfId="0" applyFont="1" applyFill="1" applyBorder="1" applyAlignment="1">
      <alignment vertical="top"/>
    </xf>
    <xf numFmtId="0" fontId="15" fillId="0" borderId="0" xfId="0" applyFont="1" applyFill="1" applyBorder="1" applyAlignment="1">
      <alignment wrapText="1"/>
    </xf>
    <xf numFmtId="0" fontId="18" fillId="3" borderId="30" xfId="0" applyFont="1" applyFill="1" applyBorder="1" applyAlignment="1">
      <alignment horizontal="center"/>
    </xf>
    <xf numFmtId="0" fontId="18" fillId="3" borderId="32" xfId="0" applyFont="1" applyFill="1" applyBorder="1" applyAlignment="1">
      <alignment horizontal="center"/>
    </xf>
    <xf numFmtId="0" fontId="20" fillId="3" borderId="0" xfId="0" applyNumberFormat="1" applyFont="1" applyFill="1" applyBorder="1" applyAlignment="1"/>
    <xf numFmtId="0" fontId="16" fillId="0" borderId="0" xfId="0" applyFont="1" applyFill="1" applyBorder="1"/>
    <xf numFmtId="0" fontId="16" fillId="0" borderId="0" xfId="0" applyFont="1" applyFill="1"/>
    <xf numFmtId="0" fontId="20" fillId="0" borderId="0" xfId="0" applyFont="1" applyFill="1" applyBorder="1" applyAlignment="1">
      <alignment horizontal="left"/>
    </xf>
    <xf numFmtId="0" fontId="20" fillId="3" borderId="0" xfId="0" applyFont="1" applyFill="1" applyBorder="1" applyAlignment="1">
      <alignment horizontal="left"/>
    </xf>
    <xf numFmtId="167" fontId="20" fillId="3" borderId="0" xfId="0" applyNumberFormat="1" applyFont="1" applyFill="1" applyBorder="1"/>
    <xf numFmtId="0" fontId="20" fillId="3" borderId="0" xfId="0" applyFont="1" applyFill="1" applyBorder="1" applyAlignment="1">
      <alignment vertical="top"/>
    </xf>
    <xf numFmtId="0" fontId="20" fillId="0" borderId="0" xfId="0" applyFont="1" applyFill="1"/>
    <xf numFmtId="167" fontId="20" fillId="3" borderId="0" xfId="0" quotePrefix="1" applyNumberFormat="1" applyFont="1" applyFill="1" applyBorder="1" applyAlignment="1">
      <alignment horizontal="center"/>
    </xf>
    <xf numFmtId="0" fontId="22" fillId="3" borderId="0" xfId="0" applyFont="1" applyFill="1" applyBorder="1"/>
    <xf numFmtId="0" fontId="21" fillId="3" borderId="0" xfId="0" applyFont="1" applyFill="1" applyBorder="1"/>
    <xf numFmtId="1" fontId="27" fillId="0" borderId="29" xfId="0" applyNumberFormat="1" applyFont="1" applyFill="1" applyBorder="1" applyAlignment="1">
      <alignment horizontal="center"/>
    </xf>
    <xf numFmtId="168" fontId="26" fillId="0" borderId="29" xfId="0" applyNumberFormat="1" applyFont="1" applyFill="1" applyBorder="1" applyAlignment="1"/>
    <xf numFmtId="0" fontId="29" fillId="3" borderId="0" xfId="0" applyFont="1" applyFill="1" applyBorder="1"/>
    <xf numFmtId="0" fontId="15" fillId="6" borderId="0" xfId="0" applyFont="1" applyFill="1" applyBorder="1" applyAlignment="1">
      <alignment vertical="top"/>
    </xf>
    <xf numFmtId="0" fontId="18"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31" fillId="0" borderId="0" xfId="0" applyFont="1" applyFill="1" applyAlignment="1"/>
    <xf numFmtId="0" fontId="31" fillId="0" borderId="38" xfId="0" applyFont="1" applyFill="1" applyBorder="1" applyAlignment="1"/>
    <xf numFmtId="0" fontId="0" fillId="0" borderId="0" xfId="0" applyFill="1" applyBorder="1"/>
    <xf numFmtId="0" fontId="4"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6" fillId="0" borderId="44" xfId="0" applyNumberFormat="1" applyFont="1" applyFill="1" applyBorder="1" applyAlignment="1">
      <alignment horizontal="center"/>
    </xf>
    <xf numFmtId="0" fontId="16" fillId="0" borderId="0" xfId="0" applyFont="1" applyFill="1" applyBorder="1" applyAlignment="1"/>
    <xf numFmtId="0" fontId="20" fillId="0" borderId="47" xfId="0" applyFont="1" applyFill="1" applyBorder="1"/>
    <xf numFmtId="168" fontId="15" fillId="0" borderId="44" xfId="0" applyNumberFormat="1" applyFont="1" applyFill="1" applyBorder="1" applyAlignment="1"/>
    <xf numFmtId="0" fontId="23" fillId="0" borderId="48" xfId="0" quotePrefix="1" applyFont="1" applyFill="1" applyBorder="1" applyAlignment="1">
      <alignment horizontal="right"/>
    </xf>
    <xf numFmtId="168" fontId="24" fillId="0" borderId="48" xfId="0" applyNumberFormat="1" applyFont="1" applyFill="1" applyBorder="1" applyAlignment="1">
      <alignment shrinkToFit="1"/>
    </xf>
    <xf numFmtId="0" fontId="23" fillId="0" borderId="48" xfId="0" applyFont="1" applyFill="1" applyBorder="1" applyAlignment="1">
      <alignment horizontal="right"/>
    </xf>
    <xf numFmtId="10" fontId="23" fillId="0" borderId="48" xfId="0" quotePrefix="1" applyNumberFormat="1" applyFont="1" applyFill="1" applyBorder="1" applyAlignment="1">
      <alignment horizontal="center"/>
    </xf>
    <xf numFmtId="168" fontId="25" fillId="0" borderId="48" xfId="0" applyNumberFormat="1" applyFont="1" applyFill="1" applyBorder="1" applyAlignment="1">
      <alignment shrinkToFit="1"/>
    </xf>
    <xf numFmtId="0" fontId="20" fillId="0" borderId="0" xfId="0" applyFont="1" applyFill="1" applyBorder="1"/>
    <xf numFmtId="1" fontId="16" fillId="0" borderId="0" xfId="0" applyNumberFormat="1" applyFont="1" applyFill="1" applyBorder="1" applyAlignment="1">
      <alignment horizontal="center"/>
    </xf>
    <xf numFmtId="49" fontId="35" fillId="0" borderId="0" xfId="5" applyNumberFormat="1" applyFill="1" applyBorder="1" applyAlignment="1">
      <alignment horizontal="center"/>
    </xf>
    <xf numFmtId="0" fontId="0" fillId="6" borderId="0" xfId="0" applyFill="1"/>
    <xf numFmtId="49" fontId="30" fillId="3" borderId="33" xfId="0" applyNumberFormat="1" applyFont="1" applyFill="1" applyBorder="1" applyAlignment="1">
      <alignment horizontal="left"/>
    </xf>
    <xf numFmtId="0" fontId="20" fillId="0" borderId="28" xfId="0" applyFont="1" applyFill="1" applyBorder="1" applyAlignment="1">
      <alignment horizontal="center"/>
    </xf>
    <xf numFmtId="2" fontId="0" fillId="6" borderId="47" xfId="0" applyNumberFormat="1" applyFill="1" applyBorder="1"/>
    <xf numFmtId="2" fontId="0" fillId="6" borderId="45" xfId="0" applyNumberFormat="1" applyFill="1" applyBorder="1"/>
    <xf numFmtId="2" fontId="0" fillId="6" borderId="46" xfId="0" applyNumberFormat="1" applyFill="1" applyBorder="1"/>
    <xf numFmtId="0" fontId="37" fillId="0" borderId="0" xfId="0" applyFont="1" applyFill="1" applyBorder="1"/>
    <xf numFmtId="0" fontId="36" fillId="6" borderId="0" xfId="0" applyFont="1" applyFill="1" applyBorder="1" applyAlignment="1">
      <alignment vertical="top"/>
    </xf>
    <xf numFmtId="49" fontId="28" fillId="3" borderId="33" xfId="0" applyNumberFormat="1" applyFont="1" applyFill="1" applyBorder="1" applyAlignment="1"/>
    <xf numFmtId="0" fontId="38" fillId="3" borderId="0" xfId="0" applyFont="1" applyFill="1" applyBorder="1" applyAlignment="1">
      <alignment horizontal="right"/>
    </xf>
    <xf numFmtId="49" fontId="29" fillId="3" borderId="33" xfId="0" applyNumberFormat="1" applyFont="1" applyFill="1" applyBorder="1" applyAlignment="1">
      <alignment horizontal="left"/>
    </xf>
    <xf numFmtId="0" fontId="15" fillId="3" borderId="34" xfId="0" applyFont="1" applyFill="1" applyBorder="1"/>
    <xf numFmtId="1" fontId="26" fillId="0" borderId="29" xfId="0" applyNumberFormat="1" applyFont="1" applyFill="1" applyBorder="1" applyAlignment="1">
      <alignment horizontal="center"/>
    </xf>
    <xf numFmtId="0" fontId="28" fillId="3" borderId="0" xfId="0" applyFont="1" applyFill="1" applyBorder="1"/>
    <xf numFmtId="0" fontId="28" fillId="0" borderId="0" xfId="0" applyFont="1" applyFill="1" applyBorder="1"/>
    <xf numFmtId="49" fontId="40" fillId="0" borderId="28" xfId="5" applyNumberFormat="1" applyFont="1" applyFill="1" applyBorder="1" applyAlignment="1"/>
    <xf numFmtId="49" fontId="41" fillId="0" borderId="28" xfId="5" applyNumberFormat="1" applyFont="1" applyFill="1" applyBorder="1" applyAlignment="1"/>
    <xf numFmtId="49" fontId="42" fillId="0" borderId="28" xfId="5" applyNumberFormat="1" applyFont="1" applyFill="1" applyBorder="1" applyAlignment="1"/>
    <xf numFmtId="0" fontId="20" fillId="0" borderId="0" xfId="0" applyFont="1" applyFill="1" applyAlignment="1"/>
    <xf numFmtId="49" fontId="43" fillId="3" borderId="0" xfId="0" applyNumberFormat="1" applyFont="1" applyFill="1" applyBorder="1" applyAlignment="1">
      <alignment horizontal="left" shrinkToFit="1"/>
    </xf>
    <xf numFmtId="49" fontId="43" fillId="3" borderId="38" xfId="0" applyNumberFormat="1" applyFont="1" applyFill="1" applyBorder="1" applyAlignment="1">
      <alignment horizontal="left" shrinkToFit="1"/>
    </xf>
    <xf numFmtId="49" fontId="44" fillId="0" borderId="0" xfId="5" applyNumberFormat="1" applyFont="1" applyFill="1" applyBorder="1" applyAlignment="1" applyProtection="1"/>
    <xf numFmtId="49" fontId="44" fillId="0" borderId="38" xfId="5" applyNumberFormat="1" applyFont="1" applyFill="1" applyBorder="1" applyAlignment="1" applyProtection="1"/>
    <xf numFmtId="0" fontId="20" fillId="6" borderId="0" xfId="0" applyFont="1" applyFill="1"/>
    <xf numFmtId="0" fontId="20" fillId="0" borderId="38" xfId="0" applyFont="1" applyFill="1" applyBorder="1" applyAlignment="1"/>
    <xf numFmtId="0" fontId="0" fillId="0" borderId="0" xfId="0" applyFill="1" applyBorder="1" applyAlignment="1">
      <alignment vertical="top"/>
    </xf>
    <xf numFmtId="0" fontId="45" fillId="3" borderId="0" xfId="0" applyFont="1" applyFill="1" applyBorder="1" applyAlignment="1">
      <alignment horizontal="left"/>
    </xf>
    <xf numFmtId="49" fontId="33" fillId="0" borderId="28" xfId="5" applyNumberFormat="1" applyFont="1" applyFill="1" applyBorder="1" applyAlignment="1" applyProtection="1"/>
    <xf numFmtId="49" fontId="46" fillId="0" borderId="28" xfId="5" applyNumberFormat="1" applyFont="1" applyFill="1" applyBorder="1" applyAlignment="1"/>
    <xf numFmtId="0" fontId="18" fillId="0" borderId="0" xfId="0" applyFont="1" applyFill="1" applyBorder="1" applyAlignment="1">
      <alignment vertical="top"/>
    </xf>
    <xf numFmtId="0" fontId="11" fillId="3" borderId="35" xfId="0" applyFont="1" applyFill="1" applyBorder="1" applyAlignment="1"/>
    <xf numFmtId="0" fontId="0" fillId="2" borderId="35" xfId="0" applyBorder="1" applyAlignment="1"/>
    <xf numFmtId="0" fontId="5" fillId="3" borderId="21" xfId="0" applyFont="1" applyFill="1" applyBorder="1" applyAlignment="1"/>
    <xf numFmtId="0" fontId="0" fillId="2" borderId="21" xfId="0" applyBorder="1" applyAlignment="1"/>
    <xf numFmtId="0" fontId="5"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17" fillId="0" borderId="0" xfId="0" applyFont="1" applyFill="1" applyBorder="1" applyAlignment="1">
      <alignment horizontal="center" vertical="center" wrapText="1"/>
    </xf>
    <xf numFmtId="49" fontId="20" fillId="3" borderId="34" xfId="0" applyNumberFormat="1" applyFont="1" applyFill="1" applyBorder="1" applyAlignment="1">
      <alignment horizontal="left"/>
    </xf>
    <xf numFmtId="0" fontId="18" fillId="3" borderId="30" xfId="0" applyFont="1" applyFill="1" applyBorder="1" applyAlignment="1"/>
    <xf numFmtId="0" fontId="18" fillId="3" borderId="31" xfId="0" applyFont="1" applyFill="1" applyBorder="1" applyAlignment="1"/>
    <xf numFmtId="0" fontId="18" fillId="3" borderId="43" xfId="0" applyFont="1" applyFill="1" applyBorder="1" applyAlignment="1"/>
    <xf numFmtId="49" fontId="33" fillId="3" borderId="28"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8" xfId="0" applyNumberFormat="1" applyFont="1" applyFill="1" applyBorder="1" applyAlignment="1">
      <alignment horizontal="left" shrinkToFit="1"/>
    </xf>
    <xf numFmtId="49" fontId="28" fillId="3" borderId="28" xfId="0" applyNumberFormat="1" applyFont="1" applyFill="1" applyBorder="1" applyAlignment="1">
      <alignment horizontal="left" shrinkToFit="1"/>
    </xf>
    <xf numFmtId="49" fontId="28" fillId="3" borderId="0" xfId="0" applyNumberFormat="1" applyFont="1" applyFill="1" applyBorder="1" applyAlignment="1">
      <alignment horizontal="left" shrinkToFit="1"/>
    </xf>
    <xf numFmtId="49" fontId="28" fillId="3" borderId="38" xfId="0" applyNumberFormat="1" applyFont="1" applyFill="1" applyBorder="1" applyAlignment="1">
      <alignment horizontal="left" shrinkToFit="1"/>
    </xf>
    <xf numFmtId="49" fontId="18" fillId="3" borderId="33" xfId="0" applyNumberFormat="1" applyFont="1" applyFill="1" applyBorder="1" applyAlignment="1"/>
    <xf numFmtId="0" fontId="18" fillId="2" borderId="33" xfId="0" applyFont="1" applyBorder="1" applyAlignment="1"/>
    <xf numFmtId="0" fontId="39" fillId="3" borderId="40" xfId="0" applyFont="1" applyFill="1" applyBorder="1" applyAlignment="1">
      <alignment horizontal="center" vertical="center" wrapText="1" shrinkToFit="1"/>
    </xf>
    <xf numFmtId="0" fontId="39" fillId="3" borderId="41" xfId="0" applyFont="1" applyFill="1" applyBorder="1" applyAlignment="1">
      <alignment horizontal="center" vertical="center" wrapText="1" shrinkToFit="1"/>
    </xf>
    <xf numFmtId="0" fontId="39" fillId="3" borderId="42" xfId="0" applyFont="1" applyFill="1" applyBorder="1" applyAlignment="1">
      <alignment horizontal="center" vertical="center" wrapText="1" shrinkToFit="1"/>
    </xf>
    <xf numFmtId="14" fontId="29" fillId="3" borderId="33" xfId="0" applyNumberFormat="1" applyFont="1" applyFill="1" applyBorder="1" applyAlignment="1">
      <alignment horizontal="left"/>
    </xf>
    <xf numFmtId="0" fontId="29" fillId="3" borderId="34" xfId="0" applyFont="1" applyFill="1" applyBorder="1" applyAlignment="1">
      <alignment horizontal="left"/>
    </xf>
    <xf numFmtId="49" fontId="29" fillId="3" borderId="33" xfId="0" applyNumberFormat="1" applyFont="1" applyFill="1" applyBorder="1" applyAlignment="1"/>
    <xf numFmtId="0" fontId="29" fillId="2" borderId="33" xfId="0" applyFont="1" applyBorder="1" applyAlignment="1"/>
    <xf numFmtId="3" fontId="31" fillId="3" borderId="33" xfId="0" applyNumberFormat="1" applyFont="1" applyFill="1" applyBorder="1" applyAlignment="1"/>
    <xf numFmtId="0" fontId="31"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9</xdr:row>
      <xdr:rowOff>28202</xdr:rowOff>
    </xdr:from>
    <xdr:to>
      <xdr:col>5</xdr:col>
      <xdr:colOff>731418</xdr:colOff>
      <xdr:row>15</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127000</xdr:colOff>
      <xdr:row>2</xdr:row>
      <xdr:rowOff>79375</xdr:rowOff>
    </xdr:from>
    <xdr:to>
      <xdr:col>5</xdr:col>
      <xdr:colOff>555625</xdr:colOff>
      <xdr:row>8</xdr:row>
      <xdr:rowOff>142875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74625"/>
          <a:ext cx="3508375" cy="1079500"/>
        </a:xfrm>
        <a:prstGeom prst="rect">
          <a:avLst/>
        </a:prstGeom>
        <a:noFill/>
        <a:ln>
          <a:noFill/>
        </a:ln>
      </xdr:spPr>
    </xdr:pic>
    <xdr:clientData/>
  </xdr:twoCellAnchor>
  <xdr:twoCellAnchor editAs="oneCell">
    <xdr:from>
      <xdr:col>10</xdr:col>
      <xdr:colOff>819179</xdr:colOff>
      <xdr:row>3</xdr:row>
      <xdr:rowOff>79374</xdr:rowOff>
    </xdr:from>
    <xdr:to>
      <xdr:col>13</xdr:col>
      <xdr:colOff>142875</xdr:colOff>
      <xdr:row>11</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19</xdr:row>
      <xdr:rowOff>47625</xdr:rowOff>
    </xdr:from>
    <xdr:to>
      <xdr:col>13</xdr:col>
      <xdr:colOff>0</xdr:colOff>
      <xdr:row>24</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3</xdr:row>
      <xdr:rowOff>31749</xdr:rowOff>
    </xdr:from>
    <xdr:to>
      <xdr:col>11</xdr:col>
      <xdr:colOff>190500</xdr:colOff>
      <xdr:row>11</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4" t="s">
        <v>0</v>
      </c>
      <c r="E4" s="155"/>
      <c r="F4" s="155"/>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56" t="s">
        <v>2</v>
      </c>
      <c r="E10" s="157"/>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58" t="s">
        <v>45</v>
      </c>
      <c r="E19" s="157"/>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59" t="str">
        <f>LOWER(TemplateInformation!B3)</f>
        <v>c:\program files\microsoft office\office\macrolib\factbd.xls</v>
      </c>
      <c r="G33" s="160"/>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56" t="s">
        <v>16</v>
      </c>
      <c r="E36" s="157"/>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topLeftCell="C13" zoomScale="60" zoomScaleNormal="60" workbookViewId="0">
      <selection activeCell="L16" sqref="L16:L1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1"/>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8"/>
    </row>
    <row r="4" spans="1:15" x14ac:dyDescent="0.2">
      <c r="B4" s="7"/>
      <c r="C4" s="3"/>
      <c r="D4" s="3"/>
      <c r="E4" s="3"/>
      <c r="F4" s="3"/>
      <c r="G4" s="3"/>
      <c r="H4" s="3"/>
      <c r="I4" s="3"/>
      <c r="J4" s="3"/>
      <c r="K4" s="3"/>
      <c r="L4" s="3"/>
      <c r="M4" s="3"/>
      <c r="N4" s="3"/>
      <c r="O4" s="8"/>
    </row>
    <row r="5" spans="1:15" x14ac:dyDescent="0.2">
      <c r="B5" s="7"/>
      <c r="C5" s="3"/>
      <c r="D5" s="3"/>
      <c r="E5" s="3"/>
      <c r="F5" s="3"/>
      <c r="G5" s="3"/>
      <c r="H5" s="3"/>
      <c r="I5" s="3"/>
      <c r="J5" s="3"/>
      <c r="K5" s="3"/>
      <c r="L5" s="3"/>
      <c r="M5" s="3"/>
      <c r="N5" s="3"/>
      <c r="O5" s="8"/>
    </row>
    <row r="6" spans="1:15" x14ac:dyDescent="0.2">
      <c r="B6" s="7"/>
      <c r="C6" s="3"/>
      <c r="D6" s="3"/>
      <c r="E6" s="3"/>
      <c r="F6" s="3"/>
      <c r="G6" s="3"/>
      <c r="H6" s="3"/>
      <c r="I6" s="3"/>
      <c r="J6" s="3"/>
      <c r="K6" s="3"/>
      <c r="L6" s="3"/>
      <c r="M6" s="3"/>
      <c r="N6" s="3"/>
      <c r="O6" s="8"/>
    </row>
    <row r="7" spans="1:15" ht="18" x14ac:dyDescent="0.25">
      <c r="B7" s="7"/>
      <c r="C7" s="3"/>
      <c r="D7" s="3"/>
      <c r="E7" s="3"/>
      <c r="F7" s="3"/>
      <c r="G7" s="3"/>
      <c r="H7" s="3"/>
      <c r="I7" s="3"/>
      <c r="J7" s="102"/>
      <c r="K7" s="102"/>
      <c r="L7" s="3"/>
      <c r="M7" s="3"/>
      <c r="N7" s="3"/>
      <c r="O7" s="8"/>
    </row>
    <row r="8" spans="1:15" x14ac:dyDescent="0.2">
      <c r="B8" s="7"/>
      <c r="C8" s="3"/>
      <c r="D8" s="3"/>
      <c r="E8" s="3"/>
      <c r="F8" s="3"/>
      <c r="G8" s="3"/>
      <c r="H8" s="3"/>
      <c r="I8" s="3"/>
      <c r="J8" s="3"/>
      <c r="K8" s="3"/>
      <c r="L8" s="3"/>
      <c r="M8" s="3"/>
      <c r="N8" s="3"/>
      <c r="O8" s="8"/>
    </row>
    <row r="9" spans="1:15" x14ac:dyDescent="0.2">
      <c r="B9" s="7"/>
      <c r="C9" s="3"/>
      <c r="D9" s="3"/>
      <c r="E9" s="3"/>
      <c r="F9" s="3"/>
      <c r="G9" s="3"/>
      <c r="H9" s="3"/>
      <c r="I9" s="3"/>
      <c r="J9" s="3"/>
      <c r="K9" s="3"/>
      <c r="L9" s="3"/>
      <c r="M9" s="3"/>
      <c r="N9" s="3"/>
      <c r="O9" s="8"/>
    </row>
    <row r="10" spans="1:15" x14ac:dyDescent="0.2">
      <c r="B10" s="7"/>
      <c r="C10" s="3"/>
      <c r="D10" s="3"/>
      <c r="E10" s="3"/>
      <c r="F10" s="3"/>
      <c r="G10" s="3"/>
      <c r="H10" s="3"/>
      <c r="I10" s="3"/>
      <c r="J10" s="3"/>
      <c r="K10" s="3"/>
      <c r="L10" s="3"/>
      <c r="M10" s="3"/>
      <c r="N10" s="3"/>
      <c r="O10" s="8"/>
    </row>
    <row r="11" spans="1:15" x14ac:dyDescent="0.2">
      <c r="B11" s="7"/>
      <c r="C11" s="3"/>
      <c r="D11" s="3"/>
      <c r="E11" s="3"/>
      <c r="F11" s="3"/>
      <c r="G11" s="3"/>
      <c r="H11" s="3"/>
      <c r="I11" s="3"/>
      <c r="J11" s="3"/>
      <c r="K11" s="3"/>
      <c r="L11" s="3"/>
      <c r="M11" s="3"/>
      <c r="N11" s="3"/>
      <c r="O11" s="8"/>
    </row>
    <row r="12" spans="1:15" x14ac:dyDescent="0.2">
      <c r="B12" s="7"/>
      <c r="C12" s="3"/>
      <c r="D12" s="3"/>
      <c r="E12" s="3"/>
      <c r="F12" s="3"/>
      <c r="G12" s="3"/>
      <c r="H12" s="3"/>
      <c r="I12" s="3"/>
      <c r="J12" s="3"/>
      <c r="K12" s="3"/>
      <c r="L12" s="3"/>
      <c r="M12" s="3"/>
      <c r="N12" s="3"/>
      <c r="O12" s="8"/>
    </row>
    <row r="13" spans="1:15" x14ac:dyDescent="0.2">
      <c r="B13" s="7"/>
      <c r="C13" s="3"/>
      <c r="D13" s="3"/>
      <c r="E13" s="3"/>
      <c r="F13" s="3"/>
      <c r="G13" s="3"/>
      <c r="H13" s="3"/>
      <c r="I13" s="3"/>
      <c r="J13" s="3"/>
      <c r="K13" s="3"/>
      <c r="L13" s="3"/>
      <c r="M13" s="3"/>
      <c r="N13" s="3"/>
      <c r="O13" s="8"/>
    </row>
    <row r="14" spans="1:15" x14ac:dyDescent="0.2">
      <c r="B14" s="7"/>
      <c r="C14" s="3"/>
      <c r="D14" s="3"/>
      <c r="E14" s="3"/>
      <c r="F14" s="3"/>
      <c r="G14" s="3"/>
      <c r="H14" s="3"/>
      <c r="I14" s="3"/>
      <c r="J14" s="3"/>
      <c r="K14" s="3"/>
      <c r="L14" s="3"/>
      <c r="M14" s="3"/>
      <c r="N14" s="3"/>
      <c r="O14" s="8"/>
    </row>
    <row r="15" spans="1:15" ht="13.5" thickBot="1" x14ac:dyDescent="0.25">
      <c r="B15" s="7"/>
      <c r="C15" s="3"/>
      <c r="D15" s="3"/>
      <c r="E15" s="3"/>
      <c r="F15" s="3"/>
      <c r="G15" s="3"/>
      <c r="H15" s="3"/>
      <c r="I15" s="3"/>
      <c r="J15" s="3"/>
      <c r="K15" s="3"/>
      <c r="L15" s="3"/>
      <c r="M15" s="3"/>
      <c r="N15" s="3"/>
      <c r="O15" s="8"/>
    </row>
    <row r="16" spans="1:15" ht="27.75" thickTop="1" thickBot="1" x14ac:dyDescent="0.45">
      <c r="B16" s="7"/>
      <c r="C16" s="3"/>
      <c r="D16" s="100" t="s">
        <v>59</v>
      </c>
      <c r="E16" s="72"/>
      <c r="F16" s="72"/>
      <c r="G16" s="72"/>
      <c r="H16" s="3"/>
      <c r="I16" s="3"/>
      <c r="J16" s="3"/>
      <c r="K16" s="3"/>
      <c r="L16" s="174" t="s">
        <v>80</v>
      </c>
      <c r="M16" s="3"/>
      <c r="N16" s="3"/>
      <c r="O16" s="8"/>
    </row>
    <row r="17" spans="2:15" ht="21.95" customHeight="1" thickTop="1" x14ac:dyDescent="0.3">
      <c r="B17" s="7"/>
      <c r="C17" s="3"/>
      <c r="D17" s="53"/>
      <c r="E17" s="53"/>
      <c r="F17" s="53"/>
      <c r="G17" s="53"/>
      <c r="H17" s="53"/>
      <c r="I17" s="53"/>
      <c r="J17" s="54"/>
      <c r="K17" s="54"/>
      <c r="L17" s="175"/>
      <c r="M17" s="54"/>
      <c r="N17" s="18"/>
      <c r="O17" s="8"/>
    </row>
    <row r="18" spans="2:15" ht="21.95" customHeight="1" thickBot="1" x14ac:dyDescent="0.25">
      <c r="B18" s="7"/>
      <c r="C18" s="3"/>
      <c r="D18" s="3"/>
      <c r="E18" s="3"/>
      <c r="F18" s="3"/>
      <c r="G18" s="3"/>
      <c r="H18" s="3"/>
      <c r="I18" s="3"/>
      <c r="J18" s="3"/>
      <c r="K18" s="3"/>
      <c r="L18" s="176"/>
      <c r="M18" s="3"/>
      <c r="N18" s="3"/>
      <c r="O18" s="8"/>
    </row>
    <row r="19" spans="2:15" ht="13.5" thickTop="1" x14ac:dyDescent="0.2">
      <c r="B19" s="7"/>
      <c r="C19" s="3"/>
      <c r="D19" s="3"/>
      <c r="E19" s="3"/>
      <c r="F19" s="3"/>
      <c r="G19" s="3"/>
      <c r="H19" s="3"/>
      <c r="I19" s="3"/>
      <c r="J19" s="3"/>
      <c r="K19" s="3"/>
      <c r="L19" s="3"/>
      <c r="M19" s="3"/>
      <c r="N19" s="3"/>
      <c r="O19" s="8"/>
    </row>
    <row r="20" spans="2:15" ht="33.75" x14ac:dyDescent="0.5">
      <c r="B20" s="7"/>
      <c r="C20" s="3"/>
      <c r="D20" s="96" t="s">
        <v>52</v>
      </c>
      <c r="E20" s="179" t="s">
        <v>68</v>
      </c>
      <c r="F20" s="180"/>
      <c r="G20" s="180"/>
      <c r="H20" s="180"/>
      <c r="I20" s="180"/>
      <c r="J20" s="180"/>
      <c r="K20" s="97"/>
      <c r="L20" s="177" t="s">
        <v>77</v>
      </c>
      <c r="M20" s="177"/>
      <c r="N20" s="50"/>
      <c r="O20" s="8"/>
    </row>
    <row r="21" spans="2:15" ht="33.75" x14ac:dyDescent="0.5">
      <c r="B21" s="7"/>
      <c r="C21" s="3"/>
      <c r="D21" s="96" t="s">
        <v>53</v>
      </c>
      <c r="E21" s="172" t="s">
        <v>61</v>
      </c>
      <c r="F21" s="173"/>
      <c r="G21" s="173"/>
      <c r="H21" s="173"/>
      <c r="I21" s="173"/>
      <c r="J21" s="173"/>
      <c r="K21" s="132"/>
      <c r="L21" s="134" t="s">
        <v>78</v>
      </c>
      <c r="M21" s="134"/>
      <c r="N21" s="51"/>
      <c r="O21" s="8"/>
    </row>
    <row r="22" spans="2:15" ht="33.75" x14ac:dyDescent="0.5">
      <c r="B22" s="7"/>
      <c r="C22" s="3"/>
      <c r="D22" s="96" t="s">
        <v>54</v>
      </c>
      <c r="E22" s="135">
        <v>2035</v>
      </c>
      <c r="F22" s="133" t="s">
        <v>8</v>
      </c>
      <c r="G22" s="162" t="s">
        <v>62</v>
      </c>
      <c r="H22" s="162"/>
      <c r="I22" s="133" t="s">
        <v>9</v>
      </c>
      <c r="J22" s="125" t="s">
        <v>57</v>
      </c>
      <c r="K22" s="97"/>
      <c r="L22" s="178" t="s">
        <v>64</v>
      </c>
      <c r="M22" s="178"/>
      <c r="N22" s="3"/>
      <c r="O22" s="8"/>
    </row>
    <row r="23" spans="2:15" ht="33.75" x14ac:dyDescent="0.5">
      <c r="B23" s="7"/>
      <c r="C23" s="3"/>
      <c r="D23" s="96" t="s">
        <v>55</v>
      </c>
      <c r="E23" s="181" t="s">
        <v>63</v>
      </c>
      <c r="F23" s="182"/>
      <c r="G23" s="182"/>
      <c r="H23" s="182"/>
      <c r="I23" s="182"/>
      <c r="J23" s="182"/>
      <c r="K23" s="97"/>
      <c r="L23" s="178" t="s">
        <v>65</v>
      </c>
      <c r="M23" s="178"/>
      <c r="N23" s="3"/>
      <c r="O23" s="8"/>
    </row>
    <row r="24" spans="2:15" x14ac:dyDescent="0.2">
      <c r="B24" s="7"/>
      <c r="C24" s="3"/>
      <c r="D24" s="70"/>
      <c r="E24" s="70"/>
      <c r="F24" s="70"/>
      <c r="G24" s="70"/>
      <c r="H24" s="70"/>
      <c r="I24" s="70"/>
      <c r="J24" s="70"/>
      <c r="K24" s="70"/>
      <c r="L24" s="70"/>
      <c r="M24" s="70"/>
      <c r="N24" s="3"/>
      <c r="O24" s="8"/>
    </row>
    <row r="25" spans="2:15" ht="18" x14ac:dyDescent="0.25">
      <c r="B25" s="7"/>
      <c r="C25" s="3"/>
      <c r="D25" s="85" t="s">
        <v>34</v>
      </c>
      <c r="E25" s="85" t="s">
        <v>21</v>
      </c>
      <c r="F25" s="163" t="s">
        <v>22</v>
      </c>
      <c r="G25" s="164"/>
      <c r="H25" s="164"/>
      <c r="I25" s="164"/>
      <c r="J25" s="164"/>
      <c r="K25" s="165"/>
      <c r="L25" s="85" t="s">
        <v>23</v>
      </c>
      <c r="M25" s="86" t="s">
        <v>24</v>
      </c>
      <c r="N25" s="87"/>
      <c r="O25" s="8"/>
    </row>
    <row r="26" spans="2:15" ht="30" x14ac:dyDescent="0.4">
      <c r="B26" s="7"/>
      <c r="C26" s="3"/>
      <c r="D26" s="126"/>
      <c r="E26" s="98"/>
      <c r="F26" s="139"/>
      <c r="G26" s="106"/>
      <c r="H26" s="106"/>
      <c r="I26" s="106"/>
      <c r="J26" s="106"/>
      <c r="K26" s="107"/>
      <c r="L26" s="99"/>
      <c r="M26" s="103" t="str">
        <f t="shared" ref="M26:M27" si="0">IF(E26&lt;&gt;"",E26*L26,"")</f>
        <v/>
      </c>
      <c r="N26" s="52"/>
      <c r="O26" s="8"/>
    </row>
    <row r="27" spans="2:15" ht="30" x14ac:dyDescent="0.4">
      <c r="B27" s="7"/>
      <c r="C27" s="3"/>
      <c r="D27" s="126"/>
      <c r="E27" s="98"/>
      <c r="F27" s="166"/>
      <c r="G27" s="167"/>
      <c r="H27" s="167"/>
      <c r="I27" s="167"/>
      <c r="J27" s="167"/>
      <c r="K27" s="168"/>
      <c r="L27" s="99"/>
      <c r="M27" s="103" t="str">
        <f t="shared" si="0"/>
        <v/>
      </c>
      <c r="N27" s="52"/>
      <c r="O27" s="8"/>
    </row>
    <row r="28" spans="2:15" ht="30" x14ac:dyDescent="0.4">
      <c r="B28" s="7"/>
      <c r="C28" s="3"/>
      <c r="D28" s="126"/>
      <c r="E28" s="98">
        <v>3</v>
      </c>
      <c r="F28" s="152" t="s">
        <v>75</v>
      </c>
      <c r="G28" s="106"/>
      <c r="H28" s="106"/>
      <c r="I28" s="106"/>
      <c r="J28" s="106"/>
      <c r="K28" s="107"/>
      <c r="L28" s="99">
        <v>2200</v>
      </c>
      <c r="M28" s="103">
        <f t="shared" ref="M28:M34" si="1">IF(E28&lt;&gt;"",E28*L28,"")</f>
        <v>6600</v>
      </c>
      <c r="N28" s="52"/>
      <c r="O28" s="8"/>
    </row>
    <row r="29" spans="2:15" ht="30" x14ac:dyDescent="0.4">
      <c r="B29" s="7"/>
      <c r="C29" s="3"/>
      <c r="D29" s="126"/>
      <c r="E29" s="98"/>
      <c r="F29" s="169" t="s">
        <v>74</v>
      </c>
      <c r="G29" s="170"/>
      <c r="H29" s="170"/>
      <c r="I29" s="170"/>
      <c r="J29" s="170"/>
      <c r="K29" s="171"/>
      <c r="L29" s="99"/>
      <c r="M29" s="103" t="str">
        <f t="shared" si="1"/>
        <v/>
      </c>
      <c r="N29" s="52"/>
      <c r="O29" s="8"/>
    </row>
    <row r="30" spans="2:15" ht="30" x14ac:dyDescent="0.4">
      <c r="B30" s="7"/>
      <c r="C30" s="3"/>
      <c r="D30" s="126"/>
      <c r="E30" s="136"/>
      <c r="F30" s="151" t="s">
        <v>69</v>
      </c>
      <c r="G30" s="143"/>
      <c r="H30" s="143"/>
      <c r="I30" s="143"/>
      <c r="J30" s="143"/>
      <c r="K30" s="144"/>
      <c r="L30" s="99"/>
      <c r="M30" s="103" t="str">
        <f t="shared" si="1"/>
        <v/>
      </c>
      <c r="N30" s="52"/>
      <c r="O30" s="8"/>
    </row>
    <row r="31" spans="2:15" ht="30" x14ac:dyDescent="0.4">
      <c r="B31" s="7"/>
      <c r="C31" s="3"/>
      <c r="D31" s="126"/>
      <c r="E31" s="98"/>
      <c r="F31" s="151" t="s">
        <v>76</v>
      </c>
      <c r="G31" s="145"/>
      <c r="H31" s="145"/>
      <c r="I31" s="145"/>
      <c r="J31" s="145"/>
      <c r="K31" s="146"/>
      <c r="L31" s="99"/>
      <c r="M31" s="103" t="str">
        <f t="shared" si="1"/>
        <v/>
      </c>
      <c r="N31" s="52"/>
      <c r="O31" s="8"/>
    </row>
    <row r="32" spans="2:15" ht="30" x14ac:dyDescent="0.4">
      <c r="B32" s="7"/>
      <c r="C32" s="3"/>
      <c r="D32" s="126"/>
      <c r="E32" s="98"/>
      <c r="F32" s="140" t="s">
        <v>70</v>
      </c>
      <c r="G32" s="142"/>
      <c r="H32" s="147"/>
      <c r="I32" s="142"/>
      <c r="J32" s="142"/>
      <c r="K32" s="148"/>
      <c r="L32" s="99"/>
      <c r="M32" s="103" t="str">
        <f t="shared" si="1"/>
        <v/>
      </c>
      <c r="N32" s="52"/>
      <c r="O32" s="8"/>
    </row>
    <row r="33" spans="2:16" ht="30" x14ac:dyDescent="0.4">
      <c r="B33" s="7"/>
      <c r="C33" s="3"/>
      <c r="D33" s="126"/>
      <c r="E33" s="98"/>
      <c r="F33" s="140" t="s">
        <v>71</v>
      </c>
      <c r="G33" s="142"/>
      <c r="H33" s="147"/>
      <c r="I33" s="142"/>
      <c r="J33" s="142"/>
      <c r="K33" s="148"/>
      <c r="L33" s="99"/>
      <c r="M33" s="103" t="str">
        <f t="shared" si="1"/>
        <v/>
      </c>
      <c r="N33" s="52"/>
      <c r="O33" s="8"/>
    </row>
    <row r="34" spans="2:16" ht="30" x14ac:dyDescent="0.4">
      <c r="B34" s="7"/>
      <c r="C34" s="3"/>
      <c r="D34" s="126"/>
      <c r="E34" s="98"/>
      <c r="F34" s="140" t="s">
        <v>72</v>
      </c>
      <c r="G34" s="142"/>
      <c r="H34" s="147"/>
      <c r="I34" s="142"/>
      <c r="J34" s="142"/>
      <c r="K34" s="148"/>
      <c r="L34" s="99"/>
      <c r="M34" s="103" t="str">
        <f t="shared" si="1"/>
        <v/>
      </c>
      <c r="N34" s="52"/>
      <c r="O34" s="8"/>
    </row>
    <row r="35" spans="2:16" ht="30" x14ac:dyDescent="0.4">
      <c r="B35" s="7"/>
      <c r="C35" s="3"/>
      <c r="D35" s="126"/>
      <c r="E35" s="98"/>
      <c r="F35" s="139"/>
      <c r="G35" s="106"/>
      <c r="H35" s="124"/>
      <c r="I35" s="106"/>
      <c r="J35" s="106"/>
      <c r="K35" s="107"/>
      <c r="L35" s="99"/>
      <c r="M35" s="103"/>
      <c r="N35" s="52"/>
      <c r="O35" s="8"/>
    </row>
    <row r="36" spans="2:16" ht="30" x14ac:dyDescent="0.4">
      <c r="B36" s="7"/>
      <c r="C36" s="3"/>
      <c r="D36" s="126"/>
      <c r="E36" s="98"/>
      <c r="F36" s="141"/>
      <c r="G36" s="142"/>
      <c r="H36" s="124"/>
      <c r="I36" s="106"/>
      <c r="J36" s="106"/>
      <c r="K36" s="107"/>
      <c r="L36" s="99"/>
      <c r="M36" s="103"/>
      <c r="N36" s="52"/>
      <c r="O36" s="8"/>
    </row>
    <row r="37" spans="2:16" ht="30" x14ac:dyDescent="0.4">
      <c r="B37" s="7"/>
      <c r="C37" s="3"/>
      <c r="D37" s="126"/>
      <c r="E37" s="98"/>
      <c r="F37" s="140"/>
      <c r="G37" s="106"/>
      <c r="H37" s="124"/>
      <c r="I37" s="106"/>
      <c r="J37" s="106"/>
      <c r="K37" s="107"/>
      <c r="L37" s="99"/>
      <c r="M37" s="103"/>
      <c r="N37" s="52"/>
      <c r="O37" s="8"/>
    </row>
    <row r="38" spans="2:16" ht="30" x14ac:dyDescent="0.4">
      <c r="B38" s="7"/>
      <c r="C38" s="3"/>
      <c r="D38" s="126"/>
      <c r="E38" s="98"/>
      <c r="F38" s="140"/>
      <c r="G38" s="106"/>
      <c r="H38" s="124"/>
      <c r="I38" s="106"/>
      <c r="J38" s="106"/>
      <c r="K38" s="107"/>
      <c r="L38" s="99"/>
      <c r="M38" s="103"/>
      <c r="N38" s="52"/>
      <c r="O38" s="8"/>
    </row>
    <row r="39" spans="2:16" ht="30" x14ac:dyDescent="0.4">
      <c r="B39" s="7"/>
      <c r="C39" s="3"/>
      <c r="D39" s="126"/>
      <c r="E39" s="98"/>
      <c r="F39" s="140"/>
      <c r="G39" s="106"/>
      <c r="H39" s="124"/>
      <c r="I39" s="106"/>
      <c r="J39" s="106"/>
      <c r="K39" s="107"/>
      <c r="L39" s="99"/>
      <c r="M39" s="103"/>
      <c r="N39" s="52"/>
      <c r="O39" s="8"/>
    </row>
    <row r="40" spans="2:16" ht="30" x14ac:dyDescent="0.4">
      <c r="B40" s="7"/>
      <c r="C40" s="3"/>
      <c r="D40" s="126"/>
      <c r="E40" s="98"/>
      <c r="F40" s="140"/>
      <c r="G40" s="106"/>
      <c r="H40" s="124"/>
      <c r="I40" s="106"/>
      <c r="J40" s="106"/>
      <c r="K40" s="107"/>
      <c r="L40" s="99"/>
      <c r="M40" s="103"/>
      <c r="N40" s="52"/>
      <c r="O40" s="8"/>
    </row>
    <row r="41" spans="2:16" ht="26.25" x14ac:dyDescent="0.25">
      <c r="B41" s="7"/>
      <c r="C41" s="3"/>
      <c r="D41" s="114"/>
      <c r="E41" s="112"/>
      <c r="F41" s="127"/>
      <c r="G41" s="128"/>
      <c r="H41" s="128"/>
      <c r="I41" s="128"/>
      <c r="J41" s="128"/>
      <c r="K41" s="129"/>
      <c r="L41" s="115"/>
      <c r="M41" s="103"/>
      <c r="N41" s="52"/>
      <c r="O41" s="8"/>
    </row>
    <row r="42" spans="2:16" ht="35.25" x14ac:dyDescent="0.5">
      <c r="B42" s="7"/>
      <c r="C42" s="3"/>
      <c r="D42" s="121"/>
      <c r="E42" s="122"/>
      <c r="F42" s="123"/>
      <c r="G42" s="123"/>
      <c r="H42" s="123"/>
      <c r="I42" s="123"/>
      <c r="J42" s="123"/>
      <c r="K42" s="123"/>
      <c r="L42" s="116" t="s">
        <v>25</v>
      </c>
      <c r="M42" s="117">
        <f>SUM(M26:M40)</f>
        <v>6600</v>
      </c>
      <c r="N42" s="52"/>
      <c r="O42" s="8"/>
    </row>
    <row r="43" spans="2:16" ht="35.25" x14ac:dyDescent="0.5">
      <c r="B43" s="7"/>
      <c r="C43" s="3"/>
      <c r="D43" s="95"/>
      <c r="E43" s="150" t="s">
        <v>73</v>
      </c>
      <c r="F43" s="74"/>
      <c r="G43" s="74"/>
      <c r="H43" s="74"/>
      <c r="I43" s="74"/>
      <c r="J43" s="75"/>
      <c r="K43" s="88"/>
      <c r="L43" s="118" t="s">
        <v>46</v>
      </c>
      <c r="M43" s="117">
        <v>1</v>
      </c>
      <c r="N43" s="52"/>
      <c r="O43" s="8"/>
    </row>
    <row r="44" spans="2:16" ht="35.25" x14ac:dyDescent="0.5">
      <c r="B44" s="7"/>
      <c r="C44" s="3"/>
      <c r="D44" s="92"/>
      <c r="E44" s="91" t="s">
        <v>56</v>
      </c>
      <c r="F44" s="74"/>
      <c r="G44" s="74"/>
      <c r="H44" s="74"/>
      <c r="I44" s="74"/>
      <c r="J44" s="77"/>
      <c r="K44" s="89"/>
      <c r="L44" s="119">
        <v>0.19</v>
      </c>
      <c r="M44" s="120">
        <f>+M42*0.19</f>
        <v>1254</v>
      </c>
      <c r="N44" s="52"/>
      <c r="O44" s="8"/>
    </row>
    <row r="45" spans="2:16" ht="35.25" x14ac:dyDescent="0.5">
      <c r="B45" s="7"/>
      <c r="C45" s="3"/>
      <c r="D45" s="130"/>
      <c r="E45" s="94" t="s">
        <v>66</v>
      </c>
      <c r="F45" s="90"/>
      <c r="G45" s="79"/>
      <c r="H45" s="78"/>
      <c r="I45" s="74"/>
      <c r="J45" s="80"/>
      <c r="K45" s="88"/>
      <c r="L45" s="118" t="s">
        <v>27</v>
      </c>
      <c r="M45" s="117">
        <f>SUM(M42:M44)</f>
        <v>7855</v>
      </c>
      <c r="N45" s="52"/>
      <c r="O45" s="8"/>
    </row>
    <row r="46" spans="2:16" ht="18" x14ac:dyDescent="0.2">
      <c r="B46" s="7"/>
      <c r="C46" s="3"/>
      <c r="D46" s="73"/>
      <c r="E46" s="82"/>
      <c r="F46" s="93"/>
      <c r="G46" s="74"/>
      <c r="H46" s="62"/>
      <c r="I46" s="74"/>
      <c r="J46" s="81" t="s">
        <v>26</v>
      </c>
      <c r="K46" s="75"/>
      <c r="L46" s="110"/>
      <c r="M46" s="110"/>
      <c r="N46" s="52"/>
      <c r="O46" s="8"/>
    </row>
    <row r="47" spans="2:16" ht="26.25" x14ac:dyDescent="0.4">
      <c r="B47" s="7"/>
      <c r="C47" s="3"/>
      <c r="D47" s="108"/>
      <c r="E47" s="108"/>
      <c r="F47" s="111"/>
      <c r="G47" s="113"/>
      <c r="H47" s="113"/>
      <c r="I47" s="113"/>
      <c r="J47" s="75"/>
      <c r="K47" s="105"/>
      <c r="L47" s="131" t="s">
        <v>60</v>
      </c>
      <c r="M47" s="131"/>
      <c r="N47" s="52"/>
      <c r="O47" s="8"/>
    </row>
    <row r="48" spans="2:16" ht="51.75" customHeight="1" x14ac:dyDescent="0.2">
      <c r="B48" s="7"/>
      <c r="C48" s="3"/>
      <c r="D48" s="153" t="s">
        <v>79</v>
      </c>
      <c r="E48" s="149"/>
      <c r="F48" s="149"/>
      <c r="G48" s="149"/>
      <c r="H48" s="149"/>
      <c r="I48" s="149"/>
      <c r="J48" s="149"/>
      <c r="K48" s="149"/>
      <c r="L48" s="149"/>
      <c r="M48" s="149"/>
      <c r="N48" s="149"/>
      <c r="O48" s="149"/>
      <c r="P48" s="71"/>
    </row>
    <row r="49" spans="1:16" ht="23.25" x14ac:dyDescent="0.35">
      <c r="B49" s="7"/>
      <c r="C49" s="3"/>
      <c r="D49" s="138" t="s">
        <v>58</v>
      </c>
      <c r="E49" s="108"/>
      <c r="F49" s="76"/>
      <c r="G49" s="75"/>
      <c r="H49" s="75"/>
      <c r="I49" s="75"/>
      <c r="J49" s="75"/>
      <c r="K49" s="105"/>
      <c r="L49" s="101"/>
      <c r="M49" s="101"/>
      <c r="N49" s="101"/>
      <c r="O49" s="3"/>
      <c r="P49" s="71"/>
    </row>
    <row r="50" spans="1:16" ht="15" x14ac:dyDescent="0.2">
      <c r="B50" s="7"/>
      <c r="C50" s="3"/>
      <c r="D50" s="108"/>
      <c r="E50" s="108"/>
      <c r="F50" s="75"/>
      <c r="G50" s="75"/>
      <c r="H50" s="75"/>
      <c r="I50" s="75"/>
      <c r="J50" s="75"/>
      <c r="K50" s="101"/>
      <c r="L50" s="101"/>
      <c r="M50" s="101"/>
      <c r="N50" s="101"/>
      <c r="O50" s="3"/>
      <c r="P50" s="71"/>
    </row>
    <row r="51" spans="1:16" ht="18" customHeight="1" x14ac:dyDescent="0.35">
      <c r="B51" s="7"/>
      <c r="C51" s="3"/>
      <c r="D51" s="137" t="s">
        <v>67</v>
      </c>
      <c r="E51" s="104"/>
      <c r="F51" s="75"/>
      <c r="G51" s="75"/>
      <c r="H51" s="75"/>
      <c r="I51" s="75"/>
      <c r="J51" s="77"/>
      <c r="K51" s="83"/>
      <c r="L51" s="83"/>
      <c r="M51" s="84"/>
      <c r="N51" s="101"/>
      <c r="O51" s="3"/>
      <c r="P51" s="71"/>
    </row>
    <row r="52" spans="1:16" ht="18" x14ac:dyDescent="0.25">
      <c r="B52" s="7"/>
      <c r="C52" s="3"/>
      <c r="D52" s="161" t="s">
        <v>51</v>
      </c>
      <c r="E52" s="161"/>
      <c r="F52" s="161"/>
      <c r="G52" s="161"/>
      <c r="H52" s="161"/>
      <c r="I52" s="161"/>
      <c r="J52" s="161"/>
      <c r="K52" s="161"/>
      <c r="L52" s="161"/>
      <c r="M52" s="83"/>
      <c r="N52" s="87"/>
      <c r="O52" s="8"/>
    </row>
    <row r="53" spans="1:16" ht="18" x14ac:dyDescent="0.25">
      <c r="B53" s="7"/>
      <c r="C53" s="3"/>
      <c r="D53" s="161"/>
      <c r="E53" s="161"/>
      <c r="F53" s="161"/>
      <c r="G53" s="161"/>
      <c r="H53" s="161"/>
      <c r="I53" s="161"/>
      <c r="J53" s="161"/>
      <c r="K53" s="161"/>
      <c r="L53" s="161"/>
      <c r="M53" s="84"/>
      <c r="N53" s="87"/>
      <c r="O53" s="8"/>
    </row>
    <row r="54" spans="1:16" ht="15" x14ac:dyDescent="0.2">
      <c r="A54" s="109"/>
      <c r="B54" s="109"/>
      <c r="C54" s="3"/>
      <c r="D54" s="161"/>
      <c r="E54" s="161"/>
      <c r="F54" s="161"/>
      <c r="G54" s="161"/>
      <c r="H54" s="161"/>
      <c r="I54" s="161"/>
      <c r="J54" s="161"/>
      <c r="K54" s="161"/>
      <c r="L54" s="161"/>
      <c r="M54" s="84"/>
      <c r="N54" s="52"/>
      <c r="O54" s="8"/>
    </row>
    <row r="55" spans="1:16" ht="13.5" thickBot="1" x14ac:dyDescent="0.25">
      <c r="C55" s="3"/>
      <c r="D55" s="3"/>
      <c r="E55" s="3"/>
      <c r="F55" s="3"/>
      <c r="G55" s="3"/>
      <c r="H55" s="3"/>
      <c r="I55" s="3"/>
      <c r="J55" s="3"/>
      <c r="K55" s="3"/>
      <c r="L55" s="3"/>
      <c r="M55" s="3"/>
      <c r="N55" s="52"/>
      <c r="O55" s="8"/>
    </row>
    <row r="56" spans="1:16" ht="13.5" thickTop="1" x14ac:dyDescent="0.2">
      <c r="C56" s="3"/>
      <c r="D56" s="53"/>
      <c r="E56" s="53"/>
      <c r="F56" s="53"/>
      <c r="G56" s="53"/>
      <c r="H56" s="53"/>
      <c r="I56" s="53"/>
      <c r="J56" s="53"/>
      <c r="K56" s="53"/>
      <c r="L56" s="53"/>
      <c r="M56" s="53"/>
      <c r="N56" s="52"/>
      <c r="O56" s="8"/>
    </row>
    <row r="57" spans="1:16" x14ac:dyDescent="0.2">
      <c r="C57" s="109"/>
      <c r="D57" s="109"/>
      <c r="E57" s="109"/>
      <c r="F57" s="109"/>
      <c r="G57" s="109"/>
      <c r="H57" s="109"/>
      <c r="I57" s="109"/>
      <c r="J57" s="109"/>
      <c r="K57" s="109"/>
      <c r="L57" s="109"/>
      <c r="M57" s="110"/>
      <c r="N57" s="52"/>
      <c r="O57" s="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E21:J21"/>
    <mergeCell ref="L16:L18"/>
    <mergeCell ref="L20:M20"/>
    <mergeCell ref="L22:M22"/>
    <mergeCell ref="L23:M23"/>
    <mergeCell ref="E20:J20"/>
    <mergeCell ref="E23:J23"/>
    <mergeCell ref="D52:L54"/>
    <mergeCell ref="G22:H22"/>
    <mergeCell ref="F25:K25"/>
    <mergeCell ref="F27:K27"/>
    <mergeCell ref="F29:K29"/>
  </mergeCells>
  <phoneticPr fontId="0" type="noConversion"/>
  <dataValidations xWindow="574" yWindow="401" count="1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7"/>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2:H22"/>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5">
      <formula1>0</formula1>
      <formula2>0</formula2>
    </dataValidation>
    <dataValidation type="decimal" allowBlank="1" showErrorMessage="1" errorTitle="Prix unitaire" error="Tapez un nombre dans cette cellule." promptTitle="Prix unitaire" sqref="L26: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6:M41">
      <formula1>0</formula1>
      <formula2>0</formula2>
    </dataValidation>
    <dataValidation type="whole" errorStyle="warning" allowBlank="1" showErrorMessage="1" errorTitle="Quantité" error="Tapez un nombre dans cette cellule." promptTitle="Quantité" sqref="E26:E42">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Facture!$L$20</f>
        <v>Date : 16/10/2023</v>
      </c>
      <c r="D8" s="65" t="str">
        <f>Facture!$E$20</f>
        <v>Société d’Articles Hygiéniques (SAH)</v>
      </c>
      <c r="E8" s="62" t="str">
        <f>Facture!$E$21</f>
        <v>5 RUE 8610 ZI CHARGUIA 1</v>
      </c>
      <c r="F8" s="62">
        <f>Facture!$E$22</f>
        <v>2035</v>
      </c>
      <c r="G8" s="65" t="str">
        <f>Facture!$G$22</f>
        <v>TUNIS</v>
      </c>
      <c r="H8" s="65" t="str">
        <f>Facture!$J$22</f>
        <v>TN</v>
      </c>
      <c r="I8" s="62" t="str">
        <f>Facture!$E$23</f>
        <v>71 809 222                         FAX :71 806 804</v>
      </c>
      <c r="J8" s="66">
        <f>Facture!$M$45</f>
        <v>7855</v>
      </c>
      <c r="K8" s="62" t="str">
        <f>Facture!$L$22</f>
        <v xml:space="preserve">Responsable: Service achat </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2023-10-02T09:50:06Z</cp:lastPrinted>
  <dcterms:created xsi:type="dcterms:W3CDTF">1995-05-29T15:50:39Z</dcterms:created>
  <dcterms:modified xsi:type="dcterms:W3CDTF">2024-10-31T13:17:53Z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d’Articles Hygiéniques (SAH)</vt:lpwstr>
  </property>
  <property fmtid="{D5CDD505-2E9C-101B-9397-08002B2CF9AE}" pid="11" name="Montant de la facture" linkTarget="TOT">
    <vt:r8>7855</vt:r8>
  </property>
</Properties>
</file>