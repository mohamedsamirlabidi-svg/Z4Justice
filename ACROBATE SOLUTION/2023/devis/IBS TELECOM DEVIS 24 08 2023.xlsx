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3\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Facture!$K$44</definedName>
    <definedName name="_Tax3">Facture!$K$46</definedName>
    <definedName name="_tax4">Facture!$K$46</definedName>
    <definedName name="_xlnm.Auto_Open21">'AutoOpen Stub Data'!$A$1</definedName>
    <definedName name="boxes">Facture!$C$44:$C$45</definedName>
    <definedName name="CC">'Personnaliser votre facture'!$G$22:$G$25</definedName>
    <definedName name="CCT">Facture!$F$46</definedName>
    <definedName name="CDB">'Personnaliser votre facture'!$E$50</definedName>
    <definedName name="Country">33</definedName>
    <definedName name="CS">'Personnaliser votre facture'!$E$51</definedName>
    <definedName name="data1">Facture!$K$21</definedName>
    <definedName name="data10">Facture!$D$24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Facture!$L$22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Facture!$C$27</definedName>
    <definedName name="data48">Facture!$D$27</definedName>
    <definedName name="data49">Facture!$K$27</definedName>
    <definedName name="data5">Facture!$C$21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Facture!$D$22</definedName>
    <definedName name="data60">Facture!#REF!</definedName>
    <definedName name="data61">Facture!#REF!</definedName>
    <definedName name="data62">Facture!$C$44</definedName>
    <definedName name="data63">Facture!$C$45</definedName>
    <definedName name="data64">Facture!$C$46</definedName>
    <definedName name="data65">Facture!$F$45</definedName>
    <definedName name="data66">Facture!$D$52</definedName>
    <definedName name="data67">Facture!$D$53</definedName>
    <definedName name="data68">Facture!$E$57</definedName>
    <definedName name="data69">Facture!$I$57</definedName>
    <definedName name="data7">Facture!$F$23</definedName>
    <definedName name="data70">Facture!#REF!</definedName>
    <definedName name="data8">Facture!$H$23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Facture!$A$3:$M$69</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Facture!$C$21:$H$21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Facture!$K$21:$L$21</definedName>
    <definedName name="qzqzqz20">Facture!#REF!</definedName>
    <definedName name="qzqzqz21">Facture!$D$27:$I$27</definedName>
    <definedName name="qzqzqz22">Facture!#REF!</definedName>
    <definedName name="qzqzqz23">Facture!#REF!</definedName>
    <definedName name="qzqzqz24">Facture!#REF!</definedName>
    <definedName name="qzqzqz25">Facture!#REF!</definedName>
    <definedName name="qzqzqz26">Facture!$D$52:$G$52</definedName>
    <definedName name="qzqzqz27">Facture!#REF!</definedName>
    <definedName name="qzqzqz28">Facture!$D$53:$G$53</definedName>
    <definedName name="qzqzqz29">Facture!$I$57:$L$57</definedName>
    <definedName name="qzqzqz3">Facture!$C$22:$H$22</definedName>
    <definedName name="qzqzqz30">Facture!$E$57:$G$57</definedName>
    <definedName name="qzqzqz31">Facture!$E$57:$F$57</definedName>
    <definedName name="qzqzqz32">Facture!$I$53:$L$57</definedName>
    <definedName name="qzqzqz4">Facture!$E$23:$F$23</definedName>
    <definedName name="qzqzqz5">Facture!$K$23:$L$23</definedName>
    <definedName name="qzqzqz6">Facture!$C$24:$H$24</definedName>
    <definedName name="qzqzqz7">Facture!$K$24:$L$24</definedName>
    <definedName name="qzqzqz8">Facture!$D$26:$I$26</definedName>
    <definedName name="qzqzqz9">Facture!#REF!</definedName>
    <definedName name="SS">'Personnaliser votre facture'!$E$48</definedName>
    <definedName name="TOT">Facture!$L$45</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Facture!$A$3:$M$69</definedName>
  </definedNames>
  <calcPr calcId="152511"/>
</workbook>
</file>

<file path=xl/calcChain.xml><?xml version="1.0" encoding="utf-8"?>
<calcChain xmlns="http://schemas.openxmlformats.org/spreadsheetml/2006/main">
  <c r="L28" i="3" l="1"/>
  <c r="L29" i="3"/>
  <c r="L30" i="3"/>
  <c r="L31" i="3"/>
  <c r="L32" i="3"/>
  <c r="L33" i="3"/>
  <c r="L34" i="3"/>
  <c r="L35" i="3"/>
  <c r="L38" i="3"/>
  <c r="L39" i="3"/>
  <c r="K8" i="8" l="1"/>
  <c r="I8" i="8"/>
  <c r="H8" i="8"/>
  <c r="G8" i="8"/>
  <c r="F8" i="8"/>
  <c r="E8" i="8"/>
  <c r="D8" i="8"/>
  <c r="C8" i="8"/>
  <c r="B8" i="8"/>
  <c r="L27" i="3"/>
  <c r="F33" i="2"/>
  <c r="L42" i="3" l="1"/>
  <c r="L44" i="3" s="1"/>
  <c r="L45"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A3" authorId="0" shapeId="0">
      <text>
        <r>
          <rPr>
            <sz val="8"/>
            <color indexed="81"/>
            <rFont val="Tahoma"/>
            <family val="2"/>
          </rPr>
          <t>Si vous n'avez pas inséré de logo dans votre modèle de facture personnalisé, cette zone n'apparaîtra pas sur vos documents imprimés.</t>
        </r>
      </text>
    </comment>
    <comment ref="K14" authorId="0" shapeId="0">
      <text>
        <r>
          <rPr>
            <sz val="8"/>
            <color indexed="81"/>
            <rFont val="Tahoma"/>
            <family val="2"/>
          </rPr>
          <t>Cliquez sur ce bouton pour retourner à la feuille Personnaliser vos frais et modifier vos informations personnelles.</t>
        </r>
      </text>
    </comment>
    <comment ref="J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E43"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<sst xmlns="http://schemas.openxmlformats.org/spreadsheetml/2006/main" count="93" uniqueCount="77">
  <si>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</si>
  <si>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</si>
  <si>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</si>
  <si>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</si>
  <si>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</si>
  <si>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</si>
  <si>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</si>
  <si>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</si>
  <si>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</si>
  <si>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</si>
  <si>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</si>
  <si>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</si>
  <si>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</si>
  <si>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</si>
  <si>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</si>
  <si>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</si>
  <si>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</si>
  <si>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</si>
  <si>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</si>
  <si>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</si>
  <si>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</si>
  <si>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</si>
  <si>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</si>
  <si>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</si>
  <si>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</si>
  <si>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</si>
  <si>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</si>
  <si>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</si>
  <si>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</si>
  <si>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</si>
  <si>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</si>
  <si>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</si>
  <si>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</si>
  <si>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</si>
  <si>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</si>
  <si>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</si>
  <si>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</si>
  <si>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</si>
  <si>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</si>
  <si>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</si>
  <si>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</si>
  <si>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</si>
  <si>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</si>
  <si>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</si>
  <si>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</si>
  <si>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</si>
  <si>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</si>
  <si>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</si>
  <si>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</si>
  <si>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</si>
  <si>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</si>
  <si>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</si>
  <si>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</si>
  <si>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</si>
  <si>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</si>
  <si>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</si>
  <si>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</si>
  <si>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</si>
  <si>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</si>
  <si>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</si>
  <si>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</si>
  <si>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IBS TELECOM</t>
  </si>
  <si>
    <t>02 rue de la recolte Jaafar 1 ; route Raoued ; Ariana; Tunisie</t>
  </si>
  <si>
    <t>MR Khaterchi Mohsen</t>
  </si>
  <si>
    <t xml:space="preserve">24 614 045      Fax: </t>
  </si>
  <si>
    <t>1110069S/A/M/000</t>
  </si>
  <si>
    <t xml:space="preserve">Chèque  </t>
  </si>
  <si>
    <t>RIB: 10 000 000 080746 3788 95</t>
  </si>
  <si>
    <t>STB THAMEUR</t>
  </si>
  <si>
    <t>* Norme Européenne EN353-1 :2014+A1:2017</t>
  </si>
  <si>
    <t>* la réglementation nationale américaine,</t>
  </si>
  <si>
    <t>OSHA 1910</t>
  </si>
  <si>
    <t>ANSI A14 -3</t>
  </si>
  <si>
    <t>LIGNE DE VIE   conforme aux:</t>
  </si>
  <si>
    <t>ldv_15</t>
  </si>
  <si>
    <t xml:space="preserve">LIGNE DE VIE 15 M </t>
  </si>
  <si>
    <t>DEVIS  N° 2023-1275</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</si>
</sst>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5"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sz val="10"/>
      <color theme="1"/>
      <name val="Arial"/>
      <family val="2"/>
    </font>
    <font>
      <b/>
      <sz val="14"/>
      <name val="Times New Roman"/>
      <family val="1"/>
    </font>
    <font>
      <b/>
      <sz val="12"/>
      <name val="Times New Roman"/>
      <family val="1"/>
    </font>
    <font>
      <b/>
      <u/>
      <sz val="12"/>
      <color rgb="FFFF0000"/>
      <name val="Arial"/>
      <family val="2"/>
    </font>
    <font>
      <b/>
      <sz val="16"/>
      <name val="Arial"/>
      <family val="2"/>
    </font>
    <font>
      <b/>
      <sz val="1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right style="hair">
        <color indexed="64"/>
      </right>
      <top/>
      <bottom/>
      <diagonal/>
    </border>
    <border>
      <left/>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
      <left style="hair">
        <color indexed="64"/>
      </left>
      <right style="hair">
        <color indexed="64"/>
      </right>
      <top/>
      <bottom style="thin">
        <color indexed="64"/>
      </bottom>
      <diagonal/>
    </border>
    <border>
      <left style="hair">
        <color indexed="64"/>
      </left>
      <right/>
      <top/>
      <bottom style="thin">
        <color indexed="64"/>
      </bottom>
      <diagonal/>
    </border>
    <border>
      <left/>
      <right/>
      <top/>
      <bottom style="thin">
        <color indexed="64"/>
      </bottom>
      <diagonal/>
    </border>
    <border>
      <left/>
      <right style="hair">
        <color indexed="64"/>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5" fillId="0" borderId="0" applyNumberFormat="0" applyFill="0" applyBorder="0" applyAlignment="0" applyProtection="0">
      <alignment vertical="top"/>
      <protection locked="0"/>
    </xf>
  </cellStyleXfs>
  <cellXfs count="19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8" xfId="0" applyFill="1" applyBorder="1"/>
    <xf numFmtId="0" fontId="3" fillId="3" borderId="28" xfId="0" applyFont="1" applyFill="1" applyBorder="1"/>
    <xf numFmtId="0" fontId="8" fillId="3" borderId="0" xfId="0" applyFont="1" applyFill="1" applyBorder="1" applyAlignment="1"/>
    <xf numFmtId="0" fontId="0" fillId="3" borderId="29" xfId="0" applyNumberFormat="1" applyFill="1" applyBorder="1" applyAlignment="1">
      <alignment horizontal="left"/>
    </xf>
    <xf numFmtId="10" fontId="0" fillId="3" borderId="30"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9"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4" xfId="0" applyNumberFormat="1" applyFont="1" applyFill="1" applyBorder="1" applyAlignment="1">
      <alignment horizontal="left"/>
    </xf>
    <xf numFmtId="0" fontId="4" fillId="3" borderId="35"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2" fillId="3" borderId="31" xfId="0" applyFont="1" applyFill="1" applyBorder="1" applyAlignment="1">
      <alignment horizontal="left"/>
    </xf>
    <xf numFmtId="168" fontId="16" fillId="0" borderId="27" xfId="0" applyNumberFormat="1" applyFont="1" applyFill="1" applyBorder="1"/>
    <xf numFmtId="168" fontId="21" fillId="0" borderId="36"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6" xfId="0" quotePrefix="1" applyFont="1" applyFill="1" applyBorder="1" applyAlignment="1">
      <alignment horizontal="right"/>
    </xf>
    <xf numFmtId="168" fontId="15" fillId="0" borderId="36" xfId="0" applyNumberFormat="1" applyFont="1" applyFill="1" applyBorder="1"/>
    <xf numFmtId="10" fontId="16" fillId="0" borderId="36" xfId="0" quotePrefix="1" applyNumberFormat="1" applyFont="1" applyFill="1" applyBorder="1" applyAlignment="1">
      <alignment horizontal="center"/>
    </xf>
    <xf numFmtId="0" fontId="22" fillId="3" borderId="36" xfId="0" applyFont="1" applyFill="1" applyBorder="1" applyAlignment="1">
      <alignment horizontal="right"/>
    </xf>
    <xf numFmtId="0" fontId="2" fillId="3" borderId="0" xfId="0" applyFont="1" applyFill="1" applyBorder="1" applyAlignment="1">
      <alignment horizontal="left"/>
    </xf>
    <xf numFmtId="0" fontId="22" fillId="3" borderId="31" xfId="0" applyFont="1" applyFill="1" applyBorder="1" applyAlignment="1">
      <alignment horizontal="center"/>
    </xf>
    <xf numFmtId="0" fontId="2" fillId="6" borderId="0" xfId="0" applyFont="1" applyFill="1" applyBorder="1"/>
    <xf numFmtId="0" fontId="27" fillId="3" borderId="0" xfId="0" applyFont="1" applyFill="1" applyBorder="1"/>
    <xf numFmtId="0" fontId="25"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168" fontId="16" fillId="3" borderId="32" xfId="0" applyNumberFormat="1"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2" xfId="0" applyFont="1" applyFill="1" applyBorder="1" applyAlignment="1">
      <alignment horizontal="center" vertical="center" wrapText="1"/>
    </xf>
    <xf numFmtId="0" fontId="28" fillId="6" borderId="0" xfId="0" applyFont="1" applyFill="1" applyBorder="1"/>
    <xf numFmtId="0" fontId="22" fillId="3" borderId="0" xfId="0" applyFont="1" applyFill="1" applyBorder="1" applyAlignment="1">
      <alignment horizontal="left"/>
    </xf>
    <xf numFmtId="0" fontId="22" fillId="3" borderId="0" xfId="0" applyFont="1" applyFill="1" applyBorder="1" applyAlignment="1"/>
    <xf numFmtId="0" fontId="22" fillId="6" borderId="0" xfId="0" applyFont="1" applyFill="1"/>
    <xf numFmtId="0" fontId="22" fillId="6" borderId="0" xfId="0" applyFont="1" applyFill="1" applyBorder="1"/>
    <xf numFmtId="168" fontId="16" fillId="0" borderId="32" xfId="0" applyNumberFormat="1" applyFont="1" applyFill="1" applyBorder="1"/>
    <xf numFmtId="0" fontId="2" fillId="6" borderId="52" xfId="0" applyFont="1" applyFill="1" applyBorder="1"/>
    <xf numFmtId="0" fontId="2" fillId="6" borderId="32" xfId="0" applyFont="1" applyFill="1" applyBorder="1"/>
    <xf numFmtId="49" fontId="26" fillId="3" borderId="0" xfId="0" applyNumberFormat="1" applyFont="1" applyFill="1" applyBorder="1" applyAlignment="1"/>
    <xf numFmtId="49" fontId="16" fillId="0" borderId="31" xfId="0" applyNumberFormat="1" applyFont="1" applyFill="1" applyBorder="1" applyAlignment="1"/>
    <xf numFmtId="0" fontId="16" fillId="6" borderId="0" xfId="0" applyFont="1" applyFill="1" applyBorder="1"/>
    <xf numFmtId="0" fontId="5" fillId="6" borderId="42" xfId="0" applyFont="1" applyFill="1" applyBorder="1" applyAlignment="1">
      <alignment horizontal="center" vertical="center" wrapText="1"/>
    </xf>
    <xf numFmtId="0" fontId="5" fillId="6" borderId="0" xfId="0" applyFont="1" applyFill="1" applyBorder="1" applyAlignment="1">
      <alignment horizontal="center" vertical="center" wrapText="1"/>
    </xf>
    <xf numFmtId="0" fontId="10" fillId="6" borderId="0" xfId="0" applyFont="1" applyFill="1" applyBorder="1" applyAlignment="1">
      <alignment horizontal="left"/>
    </xf>
    <xf numFmtId="0" fontId="10" fillId="3" borderId="0" xfId="0" applyFont="1" applyFill="1" applyBorder="1"/>
    <xf numFmtId="0" fontId="22" fillId="3" borderId="54" xfId="0" applyFont="1" applyFill="1" applyBorder="1" applyAlignment="1">
      <alignment horizontal="center"/>
    </xf>
    <xf numFmtId="0" fontId="16" fillId="3" borderId="53" xfId="0" applyFont="1" applyFill="1" applyBorder="1" applyAlignment="1">
      <alignment horizontal="center"/>
    </xf>
    <xf numFmtId="0" fontId="16" fillId="3" borderId="55" xfId="0" applyFont="1" applyFill="1" applyBorder="1" applyAlignment="1"/>
    <xf numFmtId="0" fontId="2" fillId="6" borderId="55" xfId="0" applyFont="1" applyFill="1" applyBorder="1"/>
    <xf numFmtId="0" fontId="2" fillId="6" borderId="56" xfId="0" applyFont="1" applyFill="1" applyBorder="1"/>
    <xf numFmtId="0" fontId="29" fillId="3" borderId="0" xfId="0" applyFont="1" applyFill="1" applyBorder="1" applyAlignment="1">
      <alignment horizontal="left"/>
    </xf>
    <xf numFmtId="49" fontId="30" fillId="3" borderId="31" xfId="0" applyNumberFormat="1" applyFont="1" applyFill="1" applyBorder="1" applyAlignment="1"/>
    <xf numFmtId="49" fontId="31" fillId="3" borderId="0" xfId="0" applyNumberFormat="1" applyFont="1" applyFill="1" applyBorder="1" applyAlignment="1"/>
    <xf numFmtId="49" fontId="32" fillId="0" borderId="31" xfId="0" applyNumberFormat="1" applyFont="1" applyFill="1" applyBorder="1" applyAlignment="1"/>
    <xf numFmtId="0" fontId="1" fillId="3" borderId="0" xfId="0" applyFont="1" applyFill="1" applyBorder="1"/>
    <xf numFmtId="49" fontId="17" fillId="0" borderId="31" xfId="0" applyNumberFormat="1" applyFont="1" applyFill="1" applyBorder="1" applyAlignment="1"/>
    <xf numFmtId="0" fontId="12" fillId="3" borderId="37" xfId="0" applyFont="1" applyFill="1" applyBorder="1" applyAlignment="1"/>
    <xf numFmtId="0" fontId="0" fillId="2" borderId="37"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38" xfId="0" applyNumberFormat="1" applyFill="1" applyBorder="1" applyAlignment="1"/>
    <xf numFmtId="0" fontId="0" fillId="2" borderId="39" xfId="0" applyBorder="1" applyAlignment="1"/>
    <xf numFmtId="0" fontId="24" fillId="3" borderId="0" xfId="0" applyFont="1" applyFill="1" applyBorder="1" applyAlignment="1">
      <alignment horizontal="center" vertical="center"/>
    </xf>
    <xf numFmtId="0" fontId="1" fillId="3" borderId="0" xfId="0" applyFont="1" applyFill="1" applyBorder="1" applyAlignment="1">
      <alignment horizontal="center" vertical="center"/>
    </xf>
    <xf numFmtId="0" fontId="1" fillId="3" borderId="35" xfId="0" applyFont="1" applyFill="1" applyBorder="1" applyAlignment="1">
      <alignment horizontal="center"/>
    </xf>
    <xf numFmtId="0" fontId="4" fillId="3" borderId="35" xfId="0" applyFont="1" applyFill="1" applyBorder="1" applyAlignment="1">
      <alignment horizontal="center"/>
    </xf>
    <xf numFmtId="0" fontId="2" fillId="3" borderId="35" xfId="0" applyFont="1" applyFill="1" applyBorder="1" applyAlignment="1">
      <alignment horizontal="center"/>
    </xf>
    <xf numFmtId="0" fontId="25" fillId="3" borderId="0" xfId="5" applyFill="1" applyBorder="1" applyAlignment="1" applyProtection="1">
      <alignment horizontal="center"/>
    </xf>
    <xf numFmtId="0" fontId="0" fillId="3" borderId="0" xfId="0" applyFill="1" applyBorder="1" applyAlignment="1">
      <alignment horizontal="center"/>
    </xf>
    <xf numFmtId="2" fontId="1" fillId="3" borderId="44" xfId="0" applyNumberFormat="1" applyFont="1" applyFill="1" applyBorder="1" applyAlignment="1">
      <alignment horizontal="center" vertical="center" wrapText="1"/>
    </xf>
    <xf numFmtId="2" fontId="1" fillId="3" borderId="45" xfId="0" applyNumberFormat="1" applyFont="1" applyFill="1" applyBorder="1" applyAlignment="1">
      <alignment horizontal="center" vertical="center" wrapText="1"/>
    </xf>
    <xf numFmtId="2" fontId="1" fillId="3" borderId="46" xfId="0" applyNumberFormat="1" applyFont="1" applyFill="1" applyBorder="1" applyAlignment="1">
      <alignment horizontal="center" vertical="center" wrapText="1"/>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14" fontId="7" fillId="3" borderId="34" xfId="0" applyNumberFormat="1" applyFont="1" applyFill="1" applyBorder="1" applyAlignment="1">
      <alignment horizontal="center"/>
    </xf>
    <xf numFmtId="14" fontId="7" fillId="3" borderId="34" xfId="0" quotePrefix="1" applyNumberFormat="1" applyFont="1" applyFill="1" applyBorder="1" applyAlignment="1">
      <alignment horizontal="center"/>
    </xf>
    <xf numFmtId="49" fontId="16" fillId="3" borderId="0" xfId="0" applyNumberFormat="1" applyFont="1" applyFill="1" applyBorder="1" applyAlignment="1">
      <alignment horizontal="center"/>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vertical="center"/>
    </xf>
    <xf numFmtId="0" fontId="2" fillId="3" borderId="0" xfId="0" quotePrefix="1" applyFont="1" applyFill="1" applyBorder="1" applyAlignment="1">
      <alignment horizontal="center"/>
    </xf>
    <xf numFmtId="0" fontId="0" fillId="3" borderId="0" xfId="0" quotePrefix="1" applyFill="1" applyBorder="1" applyAlignment="1">
      <alignment horizontal="center"/>
    </xf>
    <xf numFmtId="0" fontId="27" fillId="3" borderId="0" xfId="0" applyFont="1" applyFill="1" applyBorder="1" applyAlignment="1">
      <alignment horizontal="center"/>
    </xf>
    <xf numFmtId="49" fontId="10" fillId="3" borderId="35" xfId="0" applyNumberFormat="1" applyFont="1" applyFill="1" applyBorder="1" applyAlignment="1">
      <alignment horizontal="left"/>
    </xf>
    <xf numFmtId="49" fontId="4" fillId="3" borderId="35" xfId="0" applyNumberFormat="1" applyFont="1" applyFill="1" applyBorder="1" applyAlignment="1">
      <alignment horizontal="left"/>
    </xf>
    <xf numFmtId="0" fontId="22" fillId="3" borderId="35" xfId="0" applyFont="1" applyFill="1" applyBorder="1" applyAlignment="1"/>
    <xf numFmtId="0" fontId="22" fillId="2" borderId="35" xfId="0" applyFont="1" applyBorder="1" applyAlignment="1"/>
    <xf numFmtId="49" fontId="19" fillId="3" borderId="34" xfId="0" applyNumberFormat="1" applyFont="1" applyFill="1" applyBorder="1" applyAlignment="1"/>
    <xf numFmtId="0" fontId="19" fillId="2" borderId="34" xfId="0" applyFont="1" applyBorder="1" applyAlignment="1"/>
    <xf numFmtId="3" fontId="2" fillId="3" borderId="34" xfId="0" applyNumberFormat="1" applyFont="1" applyFill="1" applyBorder="1" applyAlignment="1"/>
    <xf numFmtId="0" fontId="4" fillId="2" borderId="34" xfId="0" applyFont="1" applyBorder="1" applyAlignment="1"/>
    <xf numFmtId="49" fontId="30" fillId="3" borderId="40" xfId="0" applyNumberFormat="1" applyFont="1" applyFill="1" applyBorder="1" applyAlignment="1"/>
    <xf numFmtId="49" fontId="30" fillId="3" borderId="41" xfId="0" applyNumberFormat="1" applyFont="1" applyFill="1" applyBorder="1" applyAlignment="1"/>
    <xf numFmtId="0" fontId="17" fillId="3" borderId="36" xfId="0" applyFont="1" applyFill="1" applyBorder="1" applyAlignment="1">
      <alignment horizontal="center" vertical="center"/>
    </xf>
    <xf numFmtId="168" fontId="21" fillId="0" borderId="50" xfId="0" applyNumberFormat="1" applyFont="1" applyFill="1" applyBorder="1" applyAlignment="1">
      <alignment horizontal="center" vertical="center"/>
    </xf>
    <xf numFmtId="168" fontId="21" fillId="0" borderId="51" xfId="0" applyNumberFormat="1" applyFont="1" applyFill="1" applyBorder="1" applyAlignment="1">
      <alignment horizontal="center" vertical="center"/>
    </xf>
    <xf numFmtId="0" fontId="1" fillId="3" borderId="25" xfId="0" applyFont="1" applyFill="1" applyBorder="1" applyAlignment="1">
      <alignment horizontal="center"/>
    </xf>
    <xf numFmtId="0" fontId="1" fillId="3" borderId="33" xfId="0" applyFont="1" applyFill="1" applyBorder="1" applyAlignment="1">
      <alignment horizontal="center"/>
    </xf>
    <xf numFmtId="0" fontId="1" fillId="3" borderId="43" xfId="0" applyFont="1" applyFill="1" applyBorder="1" applyAlignment="1">
      <alignment horizontal="center"/>
    </xf>
    <xf numFmtId="49" fontId="34" fillId="0" borderId="31" xfId="0" applyNumberFormat="1" applyFont="1" applyFill="1" applyBorder="1" applyAlignment="1"/>
    <xf numFmtId="49" fontId="31" fillId="3" borderId="31" xfId="0" applyNumberFormat="1" applyFont="1" applyFill="1" applyBorder="1" applyAlignment="1"/>
    <xf numFmtId="0" fontId="33" fillId="3" borderId="0" xfId="0" applyFont="1" applyFill="1" applyBorder="1" applyAlignment="1"/>
    <xf numFmtId="14" fontId="28" fillId="3" borderId="34" xfId="0" applyNumberFormat="1" applyFont="1" applyFill="1" applyBorder="1" applyAlignment="1">
      <alignment horizontal="center"/>
    </xf>
    <xf numFmtId="14" fontId="28" fillId="3" borderId="34" xfId="0" quotePrefix="1" applyNumberFormat="1" applyFont="1" applyFill="1" applyBorder="1" applyAlignment="1">
      <alignment horizontal="center"/>
    </xf>
    <xf numFmtId="0" fontId="1" fillId="3" borderId="0" xfId="0"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C46"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0</xdr:colOff>
      <xdr:row>14</xdr:row>
      <xdr:rowOff>20052</xdr:rowOff>
    </xdr:from>
    <xdr:to>
      <xdr:col>1</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0</xdr:col>
      <xdr:colOff>161925</xdr:colOff>
      <xdr:row>19</xdr:row>
      <xdr:rowOff>66675</xdr:rowOff>
    </xdr:from>
    <xdr:to>
      <xdr:col>8</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9</xdr:col>
      <xdr:colOff>501</xdr:colOff>
      <xdr:row>19</xdr:row>
      <xdr:rowOff>56649</xdr:rowOff>
    </xdr:from>
    <xdr:to>
      <xdr:col>12</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2</xdr:col>
      <xdr:colOff>85725</xdr:colOff>
      <xdr:row>18</xdr:row>
      <xdr:rowOff>152400</xdr:rowOff>
    </xdr:from>
    <xdr:to>
      <xdr:col>4</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10</xdr:col>
      <xdr:colOff>601580</xdr:colOff>
      <xdr:row>6</xdr:row>
      <xdr:rowOff>110290</xdr:rowOff>
    </xdr:from>
    <xdr:to>
      <xdr:col>11</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10</xdr:col>
          <xdr:colOff>485775</xdr:colOff>
          <xdr:row>14</xdr:row>
          <xdr:rowOff>0</xdr:rowOff>
        </xdr:from>
        <xdr:to>
          <xdr:col>11</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400050</xdr:colOff>
          <xdr:row>42</xdr:row>
          <xdr:rowOff>152400</xdr:rowOff>
        </xdr:from>
        <xdr:to>
          <xdr:col>2</xdr:col>
          <xdr:colOff>695325</xdr:colOff>
          <xdr:row>43</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400050</xdr:colOff>
          <xdr:row>44</xdr:row>
          <xdr:rowOff>0</xdr:rowOff>
        </xdr:from>
        <xdr:to>
          <xdr:col>2</xdr:col>
          <xdr:colOff>704850</xdr:colOff>
          <xdr:row>45</xdr:row>
          <xdr:rowOff>9524</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409575</xdr:colOff>
          <xdr:row>45</xdr:row>
          <xdr:rowOff>28575</xdr:rowOff>
        </xdr:from>
        <xdr:to>
          <xdr:col>2</xdr:col>
          <xdr:colOff>714375</xdr:colOff>
          <xdr:row>46</xdr:row>
          <xdr:rowOff>38101</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0</xdr:col>
      <xdr:colOff>220577</xdr:colOff>
      <xdr:row>6</xdr:row>
      <xdr:rowOff>10026</xdr:rowOff>
    </xdr:from>
    <xdr:to>
      <xdr:col>5</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6</xdr:col>
      <xdr:colOff>250660</xdr:colOff>
      <xdr:row>7</xdr:row>
      <xdr:rowOff>130343</xdr:rowOff>
    </xdr:from>
    <xdr:to>
      <xdr:col>9</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1" t="s">
        <v>0</v>
      </c>
      <c r="E4" s="142"/>
      <c r="F4" s="142"/>
      <c r="G4" s="3"/>
      <c r="H4" s="3"/>
      <c r="I4" s="3"/>
      <c r="J4" s="8"/>
    </row>
    <row r="5" spans="2:10" ht="3" customHeight="1" thickTop="1" x14ac:dyDescent="0.2">
      <c r="B5" s="2"/>
      <c r="C5" s="56"/>
      <c r="D5" s="56"/>
      <c r="E5" s="56"/>
      <c r="F5" s="56"/>
      <c r="G5" s="56"/>
      <c r="H5" s="56"/>
      <c r="I5" s="56"/>
      <c r="J5" s="1"/>
    </row>
    <row r="6" spans="2:10" ht="12.75" customHeight="1" x14ac:dyDescent="0.3">
      <c r="B6" s="7"/>
      <c r="C6" s="3"/>
      <c r="D6" s="19"/>
      <c r="E6" s="3"/>
      <c r="F6" s="3"/>
      <c r="G6" s="3"/>
      <c r="H6" s="3"/>
      <c r="I6" s="3"/>
      <c r="J6" s="8"/>
    </row>
    <row r="7" spans="2:10" x14ac:dyDescent="0.2">
      <c r="B7" s="7"/>
      <c r="C7" s="3"/>
      <c r="D7" s="3"/>
      <c r="E7" s="3"/>
      <c r="F7" s="3"/>
      <c r="G7" s="62" t="s">
        <v>44</v>
      </c>
      <c r="H7" s="3"/>
      <c r="I7" s="3"/>
      <c r="J7" s="8"/>
    </row>
    <row r="8" spans="2:10" x14ac:dyDescent="0.2">
      <c r="B8" s="7"/>
      <c r="C8" s="3"/>
      <c r="D8" s="3"/>
      <c r="E8" s="3"/>
      <c r="F8" s="3"/>
      <c r="G8" s="62" t="s">
        <v>1</v>
      </c>
      <c r="H8" s="3"/>
      <c r="I8" s="3"/>
      <c r="J8" s="8"/>
    </row>
    <row r="9" spans="2:10" x14ac:dyDescent="0.2">
      <c r="B9" s="7"/>
      <c r="C9" s="3"/>
      <c r="D9" s="20"/>
      <c r="E9" s="3"/>
      <c r="F9" s="3"/>
      <c r="G9" s="42"/>
      <c r="H9" s="3"/>
      <c r="I9" s="3"/>
      <c r="J9" s="8"/>
    </row>
    <row r="10" spans="2:10" ht="13.5" thickBot="1" x14ac:dyDescent="0.25">
      <c r="B10" s="7"/>
      <c r="C10" s="3"/>
      <c r="D10" s="143" t="s">
        <v>2</v>
      </c>
      <c r="E10" s="144"/>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3" t="s">
        <v>4</v>
      </c>
      <c r="G12" s="16"/>
      <c r="H12" s="25"/>
      <c r="I12" s="3"/>
      <c r="J12" s="8"/>
    </row>
    <row r="13" spans="2:10" ht="13.5" thickBot="1" x14ac:dyDescent="0.25">
      <c r="B13" s="7"/>
      <c r="C13" s="3"/>
      <c r="D13" s="32" t="s">
        <v>5</v>
      </c>
      <c r="E13" s="13" t="s">
        <v>48</v>
      </c>
      <c r="F13" s="63"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5" t="s">
        <v>45</v>
      </c>
      <c r="E19" s="144"/>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1">
        <v>0.1</v>
      </c>
      <c r="F22" s="33"/>
      <c r="G22" s="36"/>
      <c r="H22" s="25"/>
      <c r="I22" s="3"/>
      <c r="J22" s="8"/>
    </row>
    <row r="23" spans="2:10" x14ac:dyDescent="0.2">
      <c r="B23" s="7"/>
      <c r="C23" s="3"/>
      <c r="D23" s="34">
        <v>2</v>
      </c>
      <c r="E23" s="64">
        <v>0.18</v>
      </c>
      <c r="F23" s="33"/>
      <c r="G23" s="37"/>
      <c r="H23" s="25"/>
      <c r="I23" s="3"/>
      <c r="J23" s="8"/>
    </row>
    <row r="24" spans="2:10" ht="13.5" thickBot="1" x14ac:dyDescent="0.25">
      <c r="B24" s="7"/>
      <c r="C24" s="3"/>
      <c r="D24" s="34">
        <v>3</v>
      </c>
      <c r="E24" s="60">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2">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59"/>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6" t="str">
        <f>LOWER(TemplateInformation!B3)</f>
        <v>c:\program files\microsoft office\office\macrolib\factbd.xls</v>
      </c>
      <c r="G33" s="147"/>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3" t="s">
        <v>16</v>
      </c>
      <c r="E36" s="144"/>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0"/>
      <c r="G38" s="45"/>
      <c r="H38" s="46"/>
      <c r="I38" s="58"/>
      <c r="J38" s="21"/>
    </row>
    <row r="39" spans="2:10" ht="14.25" x14ac:dyDescent="0.2">
      <c r="B39" s="7"/>
      <c r="C39" s="3"/>
      <c r="D39" s="44"/>
      <c r="E39" s="45"/>
      <c r="F39" s="47"/>
      <c r="G39" s="45"/>
      <c r="H39" s="46"/>
      <c r="I39" s="58"/>
      <c r="J39" s="21"/>
    </row>
    <row r="40" spans="2:10" ht="14.25" x14ac:dyDescent="0.2">
      <c r="B40" s="7"/>
      <c r="C40" s="3"/>
      <c r="D40" s="44"/>
      <c r="E40" s="45"/>
      <c r="F40" s="45"/>
      <c r="G40" s="45"/>
      <c r="H40" s="46"/>
      <c r="I40" s="58"/>
      <c r="J40" s="21"/>
    </row>
    <row r="41" spans="2:10" ht="14.25" x14ac:dyDescent="0.2">
      <c r="B41" s="7"/>
      <c r="C41" s="3"/>
      <c r="D41" s="44"/>
      <c r="E41" s="45"/>
      <c r="F41" s="45"/>
      <c r="G41" s="45"/>
      <c r="H41" s="46"/>
      <c r="I41" s="58"/>
      <c r="J41" s="21"/>
    </row>
    <row r="42" spans="2:10" ht="20.100000000000001" customHeight="1" x14ac:dyDescent="0.2">
      <c r="B42" s="7"/>
      <c r="C42" s="3"/>
      <c r="D42" s="44"/>
      <c r="E42" s="45"/>
      <c r="F42" s="45"/>
      <c r="G42" s="45"/>
      <c r="H42" s="46"/>
      <c r="I42" s="58"/>
      <c r="J42" s="21"/>
    </row>
    <row r="43" spans="2:10" ht="14.25" x14ac:dyDescent="0.2">
      <c r="B43" s="7"/>
      <c r="C43" s="3"/>
      <c r="D43" s="44"/>
      <c r="E43" s="45"/>
      <c r="F43" s="45"/>
      <c r="G43" s="45"/>
      <c r="H43" s="46"/>
      <c r="I43" s="58"/>
      <c r="J43" s="21"/>
    </row>
    <row r="44" spans="2:10" ht="26.25" customHeight="1" thickBot="1" x14ac:dyDescent="0.25">
      <c r="B44" s="7"/>
      <c r="C44" s="3"/>
      <c r="D44" s="48"/>
      <c r="E44" s="49"/>
      <c r="F44" s="49"/>
      <c r="G44" s="49"/>
      <c r="H44" s="50"/>
      <c r="I44" s="58"/>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1">
        <v>0</v>
      </c>
    </row>
    <row r="49" spans="5:5" x14ac:dyDescent="0.2">
      <c r="E49" s="61" t="b">
        <v>0</v>
      </c>
    </row>
    <row r="50" spans="5:5" x14ac:dyDescent="0.2">
      <c r="E50" s="61" t="b">
        <v>0</v>
      </c>
    </row>
    <row r="51" spans="5:5" x14ac:dyDescent="0.2">
      <c r="E51" s="61" t="s">
        <v>17</v>
      </c>
    </row>
    <row r="52" spans="5:5" x14ac:dyDescent="0.2">
      <c r="E52" s="61"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69"/>
  <sheetViews>
    <sheetView showGridLines="0" showRowColHeaders="0" tabSelected="1" topLeftCell="A8" zoomScale="95" workbookViewId="0">
      <selection activeCell="E52" sqref="E51:E52"/>
    </sheetView>
  </sheetViews>
  <sheetFormatPr baseColWidth="10" defaultColWidth="9.140625" defaultRowHeight="12.75" x14ac:dyDescent="0.2"/>
  <cols>
    <col min="1" max="1" width="3.7109375" customWidth="1"/>
    <col min="2" max="2" width="10.7109375" customWidth="1"/>
    <col min="3" max="3" width="11.7109375" customWidth="1"/>
    <col min="4" max="4" width="7.7109375" customWidth="1"/>
    <col min="5" max="5" width="9.140625" customWidth="1"/>
    <col min="6" max="6" width="13.7109375" customWidth="1"/>
    <col min="7" max="7" width="5.7109375" customWidth="1"/>
    <col min="8" max="8" width="7.28515625" customWidth="1"/>
    <col min="9" max="9" width="3.28515625" customWidth="1"/>
    <col min="10" max="10" width="12" customWidth="1"/>
    <col min="11" max="11" width="14.7109375" customWidth="1"/>
    <col min="12" max="12" width="15.710937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5"/>
      <c r="B2" s="5"/>
      <c r="C2" s="5"/>
      <c r="D2" s="5"/>
      <c r="E2" s="5"/>
      <c r="F2" s="5"/>
      <c r="G2" s="5"/>
      <c r="H2" s="5"/>
      <c r="I2" s="5"/>
      <c r="J2" s="5"/>
      <c r="K2" s="5"/>
      <c r="L2" s="5"/>
      <c r="M2" s="5"/>
      <c r="N2" s="6"/>
    </row>
    <row r="3" spans="1:14" x14ac:dyDescent="0.2">
      <c r="A3" s="3"/>
      <c r="B3" s="3"/>
      <c r="C3" s="3"/>
      <c r="D3" s="3"/>
      <c r="E3" s="3"/>
      <c r="F3" s="3"/>
      <c r="G3" s="3"/>
      <c r="H3" s="3"/>
      <c r="I3" s="3"/>
      <c r="J3" s="3"/>
      <c r="K3" s="3"/>
      <c r="L3" s="3"/>
      <c r="M3" s="3"/>
      <c r="N3" s="8"/>
    </row>
    <row r="4" spans="1:14" x14ac:dyDescent="0.2">
      <c r="A4" s="3"/>
      <c r="B4" s="3"/>
      <c r="C4" s="3"/>
      <c r="D4" s="3"/>
      <c r="E4" s="3"/>
      <c r="F4" s="3"/>
      <c r="G4" s="3"/>
      <c r="H4" s="3"/>
      <c r="I4" s="3"/>
      <c r="J4" s="3"/>
      <c r="K4" s="3"/>
      <c r="L4" s="3"/>
      <c r="M4" s="3"/>
      <c r="N4" s="8"/>
    </row>
    <row r="5" spans="1:14" x14ac:dyDescent="0.2">
      <c r="A5" s="3"/>
      <c r="B5" s="3"/>
      <c r="C5" s="3"/>
      <c r="D5" s="3"/>
      <c r="E5" s="3"/>
      <c r="F5" s="3"/>
      <c r="G5" s="3"/>
      <c r="H5" s="3"/>
      <c r="I5" s="3"/>
      <c r="J5" s="3"/>
      <c r="K5" s="3"/>
      <c r="L5" s="3"/>
      <c r="M5" s="3"/>
      <c r="N5" s="8"/>
    </row>
    <row r="6" spans="1:14" x14ac:dyDescent="0.2">
      <c r="A6" s="3"/>
      <c r="B6" s="3"/>
      <c r="C6" s="3"/>
      <c r="D6" s="3"/>
      <c r="E6" s="3"/>
      <c r="F6" s="3"/>
      <c r="G6" s="3"/>
      <c r="H6" s="3"/>
      <c r="I6" s="3"/>
      <c r="J6" s="3"/>
      <c r="K6" s="3"/>
      <c r="L6" s="3"/>
      <c r="M6" s="3"/>
      <c r="N6" s="8"/>
    </row>
    <row r="7" spans="1:14" x14ac:dyDescent="0.2">
      <c r="A7" s="3"/>
      <c r="B7" s="3"/>
      <c r="C7" s="3"/>
      <c r="D7" s="3"/>
      <c r="E7" s="3"/>
      <c r="F7" s="3"/>
      <c r="G7" s="3"/>
      <c r="H7" s="3"/>
      <c r="I7" s="3"/>
      <c r="J7" s="3"/>
      <c r="K7" s="3"/>
      <c r="L7" s="3"/>
      <c r="M7" s="3"/>
      <c r="N7" s="8"/>
    </row>
    <row r="8" spans="1:14" x14ac:dyDescent="0.2">
      <c r="A8" s="3"/>
      <c r="B8" s="3"/>
      <c r="C8" s="3"/>
      <c r="D8" s="3"/>
      <c r="E8" s="3"/>
      <c r="F8" s="3"/>
      <c r="G8" s="3"/>
      <c r="H8" s="3"/>
      <c r="I8" s="3"/>
      <c r="J8" s="3"/>
      <c r="K8" s="3"/>
      <c r="L8" s="3"/>
      <c r="M8" s="3"/>
      <c r="N8" s="8"/>
    </row>
    <row r="9" spans="1:14" x14ac:dyDescent="0.2">
      <c r="A9" s="3"/>
      <c r="B9" s="3"/>
      <c r="C9" s="3"/>
      <c r="D9" s="3"/>
      <c r="E9" s="3"/>
      <c r="F9" s="3"/>
      <c r="G9" s="3"/>
      <c r="H9" s="3"/>
      <c r="I9" s="3"/>
      <c r="J9" s="3"/>
      <c r="K9" s="148"/>
      <c r="L9" s="149"/>
      <c r="M9" s="3"/>
      <c r="N9" s="8"/>
    </row>
    <row r="10" spans="1:14" x14ac:dyDescent="0.2">
      <c r="A10" s="3"/>
      <c r="B10" s="3"/>
      <c r="C10" s="3"/>
      <c r="D10" s="3"/>
      <c r="E10" s="3"/>
      <c r="F10" s="3"/>
      <c r="G10" s="3"/>
      <c r="H10" s="3"/>
      <c r="I10" s="3"/>
      <c r="J10" s="3"/>
      <c r="K10" s="95"/>
      <c r="L10" s="95"/>
      <c r="M10" s="3"/>
      <c r="N10" s="8"/>
    </row>
    <row r="11" spans="1:14" x14ac:dyDescent="0.2">
      <c r="A11" s="3"/>
      <c r="B11" s="3"/>
      <c r="C11" s="3"/>
      <c r="D11" s="3"/>
      <c r="E11" s="3"/>
      <c r="F11" s="3"/>
      <c r="G11" s="3"/>
      <c r="H11" s="3"/>
      <c r="I11" s="3"/>
      <c r="J11" s="3"/>
      <c r="K11" s="106"/>
      <c r="L11" s="107"/>
      <c r="M11" s="3"/>
      <c r="N11" s="8"/>
    </row>
    <row r="12" spans="1:14" x14ac:dyDescent="0.2">
      <c r="A12" s="3"/>
      <c r="B12" s="3"/>
      <c r="C12" s="3"/>
      <c r="D12" s="3"/>
      <c r="E12" s="3"/>
      <c r="F12" s="3"/>
      <c r="G12" s="3"/>
      <c r="H12" s="3"/>
      <c r="I12" s="3"/>
      <c r="J12" s="3"/>
      <c r="K12" s="106"/>
      <c r="L12" s="107"/>
      <c r="M12" s="3"/>
      <c r="N12" s="8"/>
    </row>
    <row r="13" spans="1:14" x14ac:dyDescent="0.2">
      <c r="A13" s="3"/>
      <c r="B13" s="3"/>
      <c r="C13" s="3"/>
      <c r="D13" s="3"/>
      <c r="E13" s="3"/>
      <c r="F13" s="3"/>
      <c r="G13" s="3"/>
      <c r="H13" s="3"/>
      <c r="I13" s="3"/>
      <c r="J13" s="3"/>
      <c r="K13" s="153" t="s">
        <v>54</v>
      </c>
      <c r="L13" s="154"/>
      <c r="M13" s="3"/>
      <c r="N13" s="8"/>
    </row>
    <row r="14" spans="1:14" x14ac:dyDescent="0.2">
      <c r="A14" s="3"/>
      <c r="B14" s="3"/>
      <c r="C14" s="3"/>
      <c r="D14" s="3"/>
      <c r="E14" s="3"/>
      <c r="F14" s="168"/>
      <c r="G14" s="168"/>
      <c r="H14" s="168"/>
      <c r="I14" s="168"/>
      <c r="J14" s="168"/>
      <c r="K14" s="3"/>
      <c r="L14" s="3"/>
      <c r="M14" s="3"/>
      <c r="N14" s="8"/>
    </row>
    <row r="15" spans="1:14" ht="20.100000000000001" customHeight="1" x14ac:dyDescent="0.2">
      <c r="A15" s="3"/>
      <c r="B15" s="3"/>
      <c r="C15" s="3"/>
      <c r="D15" s="3"/>
      <c r="E15" s="3"/>
      <c r="F15" s="168"/>
      <c r="G15" s="168"/>
      <c r="H15" s="168"/>
      <c r="I15" s="168"/>
      <c r="J15" s="168"/>
      <c r="K15" s="3"/>
      <c r="L15" s="3"/>
      <c r="M15" s="3"/>
      <c r="N15" s="8"/>
    </row>
    <row r="16" spans="1:14" ht="3" customHeight="1" thickBot="1" x14ac:dyDescent="0.25">
      <c r="A16" s="3"/>
      <c r="B16" s="3"/>
      <c r="C16" s="3"/>
      <c r="D16" s="3"/>
      <c r="E16" s="3"/>
      <c r="F16" s="3"/>
      <c r="G16" s="3"/>
      <c r="H16" s="3"/>
      <c r="I16" s="3"/>
      <c r="J16" s="3"/>
      <c r="K16" s="3"/>
      <c r="L16" s="3"/>
      <c r="M16" s="3"/>
      <c r="N16" s="8"/>
    </row>
    <row r="17" spans="1:14" ht="14.1" customHeight="1" thickBot="1" x14ac:dyDescent="0.25">
      <c r="A17" s="3"/>
      <c r="B17" s="3"/>
      <c r="C17" s="3"/>
      <c r="D17" s="3"/>
      <c r="E17" s="3"/>
      <c r="F17" s="105"/>
      <c r="G17" s="3"/>
      <c r="H17" s="95"/>
      <c r="I17" s="3"/>
      <c r="J17" s="3"/>
      <c r="K17" s="155" t="s">
        <v>76</v>
      </c>
      <c r="L17" s="156"/>
      <c r="M17" s="3"/>
      <c r="N17" s="8"/>
    </row>
    <row r="18" spans="1:14" ht="19.5" thickTop="1" x14ac:dyDescent="0.3">
      <c r="A18" s="3"/>
      <c r="B18" s="56"/>
      <c r="C18" s="56"/>
      <c r="D18" s="56"/>
      <c r="E18" s="56"/>
      <c r="F18" s="56"/>
      <c r="G18" s="56"/>
      <c r="H18" s="57"/>
      <c r="I18" s="57"/>
      <c r="J18" s="57"/>
      <c r="K18" s="157"/>
      <c r="L18" s="158"/>
      <c r="M18" s="19"/>
      <c r="N18" s="8"/>
    </row>
    <row r="19" spans="1:14" ht="13.5" thickBot="1" x14ac:dyDescent="0.25">
      <c r="A19" s="3"/>
      <c r="B19" s="3"/>
      <c r="C19" s="3"/>
      <c r="D19" s="3"/>
      <c r="E19" s="3"/>
      <c r="F19" s="3"/>
      <c r="G19" s="3"/>
      <c r="H19" s="3"/>
      <c r="I19" s="3"/>
      <c r="J19" s="3"/>
      <c r="K19" s="159"/>
      <c r="L19" s="160"/>
      <c r="M19" s="3"/>
      <c r="N19" s="8"/>
    </row>
    <row r="20" spans="1:14" x14ac:dyDescent="0.2">
      <c r="A20" s="3"/>
      <c r="B20" s="3"/>
      <c r="C20" s="3"/>
      <c r="D20" s="3"/>
      <c r="E20" s="3"/>
      <c r="F20" s="3"/>
      <c r="G20" s="3"/>
      <c r="H20" s="3"/>
      <c r="I20" s="3"/>
      <c r="J20" s="3"/>
      <c r="K20" s="3"/>
      <c r="L20" s="3"/>
      <c r="M20" s="3"/>
      <c r="N20" s="8"/>
    </row>
    <row r="21" spans="1:14" ht="18" x14ac:dyDescent="0.25">
      <c r="A21" s="3"/>
      <c r="B21" s="80" t="s">
        <v>3</v>
      </c>
      <c r="C21" s="173" t="s">
        <v>61</v>
      </c>
      <c r="D21" s="174"/>
      <c r="E21" s="174"/>
      <c r="F21" s="174"/>
      <c r="G21" s="174"/>
      <c r="H21" s="174"/>
      <c r="I21" s="80"/>
      <c r="J21" s="82" t="s">
        <v>18</v>
      </c>
      <c r="K21" s="188">
        <v>45162</v>
      </c>
      <c r="L21" s="189"/>
      <c r="M21" s="53"/>
      <c r="N21" s="8"/>
    </row>
    <row r="22" spans="1:14" ht="14.25" x14ac:dyDescent="0.2">
      <c r="A22" s="3"/>
      <c r="B22" s="80" t="s">
        <v>5</v>
      </c>
      <c r="C22" s="171" t="s">
        <v>62</v>
      </c>
      <c r="D22" s="172"/>
      <c r="E22" s="172"/>
      <c r="F22" s="172"/>
      <c r="G22" s="172"/>
      <c r="H22" s="172"/>
      <c r="I22" s="80"/>
      <c r="J22" s="116" t="s">
        <v>59</v>
      </c>
      <c r="K22" s="161"/>
      <c r="L22" s="162"/>
      <c r="M22" s="54"/>
      <c r="N22" s="8"/>
    </row>
    <row r="23" spans="1:14" x14ac:dyDescent="0.2">
      <c r="A23" s="3"/>
      <c r="B23" s="80" t="s">
        <v>7</v>
      </c>
      <c r="C23" s="87"/>
      <c r="D23" s="88" t="s">
        <v>8</v>
      </c>
      <c r="E23" s="169"/>
      <c r="F23" s="170"/>
      <c r="G23" s="89" t="s">
        <v>9</v>
      </c>
      <c r="H23" s="86" t="s">
        <v>51</v>
      </c>
      <c r="I23" s="80"/>
      <c r="J23" s="82" t="s">
        <v>19</v>
      </c>
      <c r="K23" s="150" t="s">
        <v>63</v>
      </c>
      <c r="L23" s="151"/>
      <c r="M23" s="3"/>
      <c r="N23" s="8"/>
    </row>
    <row r="24" spans="1:14" x14ac:dyDescent="0.2">
      <c r="A24" s="3"/>
      <c r="B24" s="80" t="s">
        <v>20</v>
      </c>
      <c r="C24" s="175" t="s">
        <v>64</v>
      </c>
      <c r="D24" s="176"/>
      <c r="E24" s="176"/>
      <c r="F24" s="176"/>
      <c r="G24" s="176"/>
      <c r="H24" s="176"/>
      <c r="I24" s="80"/>
      <c r="J24" s="82" t="s">
        <v>47</v>
      </c>
      <c r="K24" s="152" t="s">
        <v>65</v>
      </c>
      <c r="L24" s="151"/>
      <c r="M24" s="3"/>
      <c r="N24" s="8"/>
    </row>
    <row r="25" spans="1:14" x14ac:dyDescent="0.2">
      <c r="A25" s="3"/>
      <c r="B25" s="80"/>
      <c r="C25" s="80"/>
      <c r="D25" s="80"/>
      <c r="E25" s="80"/>
      <c r="F25" s="80"/>
      <c r="G25" s="80"/>
      <c r="H25" s="80"/>
      <c r="I25" s="80"/>
      <c r="J25" s="80"/>
      <c r="K25" s="80"/>
      <c r="L25" s="80"/>
      <c r="M25" s="3"/>
      <c r="N25" s="8"/>
    </row>
    <row r="26" spans="1:14" x14ac:dyDescent="0.2">
      <c r="A26" s="3"/>
      <c r="B26" s="65" t="s">
        <v>34</v>
      </c>
      <c r="C26" s="51" t="s">
        <v>21</v>
      </c>
      <c r="D26" s="182" t="s">
        <v>22</v>
      </c>
      <c r="E26" s="183"/>
      <c r="F26" s="183"/>
      <c r="G26" s="183"/>
      <c r="H26" s="183"/>
      <c r="I26" s="183"/>
      <c r="J26" s="184"/>
      <c r="K26" s="52" t="s">
        <v>53</v>
      </c>
      <c r="L26" s="108" t="s">
        <v>23</v>
      </c>
      <c r="M26" s="55"/>
      <c r="N26" s="8"/>
    </row>
    <row r="27" spans="1:14" ht="18.75" x14ac:dyDescent="0.3">
      <c r="A27" s="3"/>
      <c r="B27" s="91"/>
      <c r="C27" s="73"/>
      <c r="D27" s="177"/>
      <c r="E27" s="178"/>
      <c r="F27" s="178"/>
      <c r="G27" s="178"/>
      <c r="H27" s="178"/>
      <c r="I27" s="178"/>
      <c r="J27" s="121"/>
      <c r="K27" s="120"/>
      <c r="L27" s="92" t="str">
        <f t="shared" ref="L27:L29" si="0">IF(C27&lt;&gt;"",C27*K27,"")</f>
        <v/>
      </c>
      <c r="M27" s="55"/>
      <c r="N27" s="8"/>
    </row>
    <row r="28" spans="1:14" ht="26.25" customHeight="1" x14ac:dyDescent="0.3">
      <c r="A28" s="3"/>
      <c r="B28" s="91"/>
      <c r="C28" s="73"/>
      <c r="D28" s="136" t="s">
        <v>73</v>
      </c>
      <c r="E28" s="137"/>
      <c r="F28" s="137"/>
      <c r="G28" s="137"/>
      <c r="H28" s="137"/>
      <c r="I28" s="137"/>
      <c r="J28" s="122"/>
      <c r="K28" s="120"/>
      <c r="L28" s="92" t="str">
        <f t="shared" si="0"/>
        <v/>
      </c>
      <c r="M28" s="55"/>
      <c r="N28" s="8"/>
    </row>
    <row r="29" spans="1:14" ht="26.25" customHeight="1" x14ac:dyDescent="0.25">
      <c r="A29" s="3"/>
      <c r="B29" s="91"/>
      <c r="C29" s="73"/>
      <c r="D29" s="186" t="s">
        <v>69</v>
      </c>
      <c r="E29" s="123"/>
      <c r="F29" s="123"/>
      <c r="G29" s="123"/>
      <c r="H29" s="123"/>
      <c r="I29" s="123"/>
      <c r="J29" s="122"/>
      <c r="K29" s="120"/>
      <c r="L29" s="92" t="str">
        <f t="shared" si="0"/>
        <v/>
      </c>
      <c r="M29" s="55"/>
      <c r="N29" s="8"/>
    </row>
    <row r="30" spans="1:14" ht="15.75" x14ac:dyDescent="0.25">
      <c r="A30" s="3"/>
      <c r="B30" s="103"/>
      <c r="C30" s="73"/>
      <c r="D30" s="140" t="s">
        <v>70</v>
      </c>
      <c r="E30" s="125"/>
      <c r="F30" s="79"/>
      <c r="G30" s="104"/>
      <c r="H30" s="104"/>
      <c r="I30" s="79"/>
      <c r="J30" s="122"/>
      <c r="K30" s="109"/>
      <c r="L30" s="92" t="str">
        <f>IF(C30&lt;&gt;"",C30*K30,"")</f>
        <v/>
      </c>
      <c r="M30" s="55"/>
      <c r="N30" s="8"/>
    </row>
    <row r="31" spans="1:14" ht="15.75" x14ac:dyDescent="0.25">
      <c r="A31" s="3"/>
      <c r="B31" s="103"/>
      <c r="C31" s="73"/>
      <c r="D31" s="185" t="s">
        <v>71</v>
      </c>
      <c r="E31" s="125"/>
      <c r="F31" s="79"/>
      <c r="G31" s="104"/>
      <c r="H31" s="104"/>
      <c r="I31" s="79"/>
      <c r="J31" s="122"/>
      <c r="K31" s="109"/>
      <c r="L31" s="92" t="str">
        <f t="shared" ref="L31:L33" si="1">IF(C31&lt;&gt;"",C31*K31,"")</f>
        <v/>
      </c>
      <c r="M31" s="55"/>
      <c r="N31" s="8"/>
    </row>
    <row r="32" spans="1:14" ht="18" customHeight="1" x14ac:dyDescent="0.25">
      <c r="A32" s="3"/>
      <c r="B32" s="103"/>
      <c r="C32" s="73"/>
      <c r="D32" s="185" t="s">
        <v>72</v>
      </c>
      <c r="E32" s="125"/>
      <c r="F32" s="79"/>
      <c r="G32" s="104"/>
      <c r="H32" s="104"/>
      <c r="I32" s="79"/>
      <c r="J32" s="122"/>
      <c r="K32" s="109"/>
      <c r="L32" s="92" t="str">
        <f t="shared" si="1"/>
        <v/>
      </c>
      <c r="M32" s="55"/>
      <c r="N32" s="8"/>
    </row>
    <row r="33" spans="1:14" ht="18" customHeight="1" x14ac:dyDescent="0.2">
      <c r="A33" s="3"/>
      <c r="B33" s="103"/>
      <c r="C33" s="73"/>
      <c r="D33" s="124"/>
      <c r="E33" s="125"/>
      <c r="F33" s="79"/>
      <c r="G33" s="104"/>
      <c r="H33" s="104"/>
      <c r="I33" s="79"/>
      <c r="J33" s="122"/>
      <c r="K33" s="109"/>
      <c r="L33" s="92" t="str">
        <f t="shared" si="1"/>
        <v/>
      </c>
      <c r="M33" s="55"/>
      <c r="N33" s="8"/>
    </row>
    <row r="34" spans="1:14" ht="15" x14ac:dyDescent="0.2">
      <c r="A34" s="3"/>
      <c r="B34" s="103"/>
      <c r="C34" s="73"/>
      <c r="D34" s="124"/>
      <c r="E34" s="125"/>
      <c r="F34" s="79"/>
      <c r="G34" s="104"/>
      <c r="H34" s="79"/>
      <c r="I34" s="79"/>
      <c r="J34" s="122"/>
      <c r="K34" s="109"/>
      <c r="L34" s="92" t="str">
        <f>IF(C34&lt;&gt;"",C34*K34,"")</f>
        <v/>
      </c>
      <c r="M34" s="55"/>
      <c r="N34" s="8"/>
    </row>
    <row r="35" spans="1:14" ht="20.25" x14ac:dyDescent="0.3">
      <c r="A35" s="3"/>
      <c r="B35" s="103" t="s">
        <v>74</v>
      </c>
      <c r="C35" s="73">
        <v>2</v>
      </c>
      <c r="D35" s="187" t="s">
        <v>75</v>
      </c>
      <c r="E35" s="115"/>
      <c r="F35" s="79"/>
      <c r="G35" s="104"/>
      <c r="H35" s="79"/>
      <c r="I35" s="79"/>
      <c r="J35" s="104"/>
      <c r="K35" s="92">
        <v>1757</v>
      </c>
      <c r="L35" s="92">
        <f t="shared" ref="L35:L39" si="2">IF(C35&lt;&gt;"",C35*K35,"")</f>
        <v>3514</v>
      </c>
      <c r="M35" s="55"/>
      <c r="N35" s="8"/>
    </row>
    <row r="36" spans="1:14" ht="18" x14ac:dyDescent="0.25">
      <c r="A36" s="3"/>
      <c r="B36" s="103"/>
      <c r="C36" s="73"/>
      <c r="D36" s="79"/>
      <c r="E36" s="115"/>
      <c r="F36" s="79"/>
      <c r="G36" s="104"/>
      <c r="H36" s="79"/>
      <c r="I36" s="79"/>
      <c r="J36" s="104"/>
      <c r="K36" s="92"/>
      <c r="L36" s="92"/>
      <c r="M36" s="55"/>
      <c r="N36" s="8"/>
    </row>
    <row r="37" spans="1:14" ht="18" x14ac:dyDescent="0.25">
      <c r="A37" s="3"/>
      <c r="B37" s="103"/>
      <c r="C37" s="73"/>
      <c r="D37" s="79"/>
      <c r="E37" s="115"/>
      <c r="F37" s="79"/>
      <c r="G37" s="104"/>
      <c r="H37" s="79"/>
      <c r="I37" s="79"/>
      <c r="J37" s="104"/>
      <c r="K37" s="92"/>
      <c r="L37" s="92"/>
      <c r="M37" s="55"/>
      <c r="N37" s="8"/>
    </row>
    <row r="38" spans="1:14" ht="18" x14ac:dyDescent="0.25">
      <c r="A38" s="3"/>
      <c r="B38" s="103"/>
      <c r="C38" s="73"/>
      <c r="D38" s="138"/>
      <c r="E38" s="115"/>
      <c r="F38" s="79"/>
      <c r="G38" s="104"/>
      <c r="H38" s="104"/>
      <c r="I38" s="79"/>
      <c r="J38" s="104"/>
      <c r="K38" s="92"/>
      <c r="L38" s="92" t="str">
        <f t="shared" si="2"/>
        <v/>
      </c>
      <c r="M38" s="55"/>
      <c r="N38" s="8"/>
    </row>
    <row r="39" spans="1:14" ht="18" x14ac:dyDescent="0.25">
      <c r="A39" s="3"/>
      <c r="B39" s="103"/>
      <c r="C39" s="73"/>
      <c r="D39" s="79"/>
      <c r="E39" s="115"/>
      <c r="F39" s="79"/>
      <c r="G39" s="104"/>
      <c r="H39" s="79"/>
      <c r="I39" s="79"/>
      <c r="J39" s="104"/>
      <c r="K39" s="92"/>
      <c r="L39" s="92" t="str">
        <f t="shared" si="2"/>
        <v/>
      </c>
      <c r="M39" s="55"/>
      <c r="N39" s="8"/>
    </row>
    <row r="40" spans="1:14" ht="18" x14ac:dyDescent="0.25">
      <c r="A40" s="3"/>
      <c r="B40" s="103"/>
      <c r="C40" s="73"/>
      <c r="D40" s="79"/>
      <c r="E40" s="115"/>
      <c r="F40" s="79"/>
      <c r="G40" s="104"/>
      <c r="H40" s="79"/>
      <c r="I40" s="79"/>
      <c r="J40" s="122"/>
      <c r="K40" s="92"/>
      <c r="L40" s="92"/>
      <c r="M40" s="55"/>
      <c r="N40" s="8"/>
    </row>
    <row r="41" spans="1:14" ht="15" x14ac:dyDescent="0.2">
      <c r="A41" s="3"/>
      <c r="B41" s="130"/>
      <c r="C41" s="131"/>
      <c r="D41" s="132"/>
      <c r="E41" s="133"/>
      <c r="F41" s="132"/>
      <c r="G41" s="133"/>
      <c r="H41" s="132"/>
      <c r="I41" s="132"/>
      <c r="J41" s="134"/>
      <c r="K41" s="92"/>
      <c r="L41" s="92"/>
      <c r="M41" s="55"/>
      <c r="N41" s="8"/>
    </row>
    <row r="42" spans="1:14" ht="15.75" x14ac:dyDescent="0.25">
      <c r="A42" s="3"/>
      <c r="B42" s="3"/>
      <c r="C42" s="80"/>
      <c r="D42" s="80"/>
      <c r="E42" s="80"/>
      <c r="F42" s="80"/>
      <c r="G42" s="80"/>
      <c r="H42" s="74"/>
      <c r="I42" s="74"/>
      <c r="J42" s="74"/>
      <c r="K42" s="98" t="s">
        <v>24</v>
      </c>
      <c r="L42" s="93">
        <f>SUM(L27:L41)</f>
        <v>3514</v>
      </c>
      <c r="M42" s="55"/>
      <c r="N42" s="8"/>
    </row>
    <row r="43" spans="1:14" ht="15" x14ac:dyDescent="0.2">
      <c r="A43" s="3"/>
      <c r="B43" s="3"/>
      <c r="C43" s="80"/>
      <c r="D43" s="80"/>
      <c r="E43" s="80"/>
      <c r="F43" s="80"/>
      <c r="G43" s="80"/>
      <c r="H43" s="74"/>
      <c r="I43" s="74"/>
      <c r="J43" s="74"/>
      <c r="K43" s="101" t="s">
        <v>46</v>
      </c>
      <c r="L43" s="99">
        <v>1</v>
      </c>
      <c r="M43" s="55"/>
      <c r="N43" s="8"/>
    </row>
    <row r="44" spans="1:14" ht="15" x14ac:dyDescent="0.2">
      <c r="A44" s="3"/>
      <c r="B44" s="3"/>
      <c r="C44" s="81"/>
      <c r="D44" s="190" t="s">
        <v>25</v>
      </c>
      <c r="E44" s="80"/>
      <c r="F44" s="80"/>
      <c r="G44" s="80"/>
      <c r="H44" s="76"/>
      <c r="I44" s="76"/>
      <c r="J44" s="75"/>
      <c r="K44" s="100">
        <v>0.19</v>
      </c>
      <c r="L44" s="99">
        <f>L42*0.19</f>
        <v>667.66</v>
      </c>
      <c r="M44" s="55"/>
      <c r="N44" s="8"/>
    </row>
    <row r="45" spans="1:14" ht="17.100000000000001" customHeight="1" x14ac:dyDescent="0.25">
      <c r="A45" s="3"/>
      <c r="B45" s="3"/>
      <c r="C45" s="83"/>
      <c r="D45" s="135" t="s">
        <v>66</v>
      </c>
      <c r="E45" s="85"/>
      <c r="F45" s="83"/>
      <c r="G45" s="80"/>
      <c r="H45" s="77"/>
      <c r="I45" s="74"/>
      <c r="J45" s="74"/>
      <c r="K45" s="179" t="s">
        <v>27</v>
      </c>
      <c r="L45" s="180">
        <f>+L42+L43+L44</f>
        <v>4182.66</v>
      </c>
      <c r="M45" s="55"/>
      <c r="N45" s="8"/>
    </row>
    <row r="46" spans="1:14" ht="17.100000000000001" customHeight="1" x14ac:dyDescent="0.2">
      <c r="A46" s="3"/>
      <c r="B46" s="3"/>
      <c r="C46" s="83">
        <v>1</v>
      </c>
      <c r="D46" s="102" t="s">
        <v>56</v>
      </c>
      <c r="E46" s="80"/>
      <c r="F46" s="84"/>
      <c r="G46" s="80"/>
      <c r="H46" s="78" t="s">
        <v>26</v>
      </c>
      <c r="I46" s="74"/>
      <c r="J46" s="74"/>
      <c r="K46" s="179"/>
      <c r="L46" s="181"/>
      <c r="M46" s="55"/>
      <c r="N46" s="8"/>
    </row>
    <row r="47" spans="1:14" ht="15" x14ac:dyDescent="0.2">
      <c r="A47" s="3"/>
      <c r="B47" s="3"/>
      <c r="C47" s="83"/>
      <c r="D47" s="102"/>
      <c r="E47" s="80"/>
      <c r="F47" s="84"/>
      <c r="G47" s="80"/>
      <c r="H47" s="78"/>
      <c r="I47" s="74"/>
      <c r="J47" s="74"/>
      <c r="K47" s="95"/>
      <c r="L47" s="96"/>
      <c r="M47" s="55"/>
      <c r="N47" s="8"/>
    </row>
    <row r="48" spans="1:14" ht="15" customHeight="1" x14ac:dyDescent="0.2">
      <c r="A48" s="3"/>
      <c r="B48" s="117"/>
      <c r="C48" s="117"/>
      <c r="D48" s="117"/>
      <c r="E48" s="117"/>
      <c r="F48" s="117"/>
      <c r="G48" s="117"/>
      <c r="H48" s="117"/>
      <c r="I48" s="117"/>
      <c r="J48" s="117"/>
      <c r="K48" s="118"/>
      <c r="L48" s="119"/>
      <c r="M48" s="55"/>
      <c r="N48" s="8"/>
    </row>
    <row r="49" spans="1:14" ht="15" customHeight="1" x14ac:dyDescent="0.2">
      <c r="A49" s="129"/>
      <c r="B49" s="116"/>
      <c r="C49" s="116"/>
      <c r="D49" s="116"/>
      <c r="E49" s="116"/>
      <c r="F49" s="116"/>
      <c r="G49" s="116"/>
      <c r="H49" s="116"/>
      <c r="I49" s="116"/>
      <c r="J49" s="116"/>
      <c r="K49" s="94" t="s">
        <v>60</v>
      </c>
      <c r="L49" s="97"/>
      <c r="M49" s="55"/>
      <c r="N49" s="8"/>
    </row>
    <row r="50" spans="1:14" ht="15" customHeight="1" x14ac:dyDescent="0.2">
      <c r="A50" s="3"/>
      <c r="B50" s="116"/>
      <c r="C50" s="116"/>
      <c r="D50" s="116"/>
      <c r="E50" s="116"/>
      <c r="F50" s="116"/>
      <c r="G50" s="116"/>
      <c r="H50" s="116"/>
      <c r="I50" s="116"/>
      <c r="J50" s="116"/>
      <c r="K50" s="97"/>
      <c r="L50" s="97"/>
      <c r="M50" s="55"/>
      <c r="N50" s="8"/>
    </row>
    <row r="51" spans="1:14" x14ac:dyDescent="0.2">
      <c r="A51" s="139" t="s">
        <v>67</v>
      </c>
      <c r="B51" s="116"/>
      <c r="C51" s="116"/>
      <c r="D51" s="116"/>
      <c r="E51" s="116"/>
      <c r="F51" s="116"/>
      <c r="G51" s="116"/>
      <c r="H51" s="116"/>
      <c r="I51" s="116"/>
      <c r="J51" s="116"/>
      <c r="K51" s="97"/>
      <c r="L51" s="97"/>
      <c r="M51" s="55"/>
      <c r="N51" s="8"/>
    </row>
    <row r="52" spans="1:14" ht="15" x14ac:dyDescent="0.2">
      <c r="A52" s="139" t="s">
        <v>68</v>
      </c>
      <c r="B52" s="128"/>
      <c r="C52" s="128"/>
      <c r="D52" s="128"/>
      <c r="E52" s="128"/>
      <c r="F52" s="128"/>
      <c r="G52" s="128"/>
      <c r="H52" s="128"/>
      <c r="I52" s="128"/>
      <c r="J52" s="128"/>
      <c r="K52" s="95"/>
      <c r="L52" s="96"/>
      <c r="M52" s="55"/>
      <c r="N52" s="8"/>
    </row>
    <row r="53" spans="1:14" x14ac:dyDescent="0.2">
      <c r="A53" s="3"/>
      <c r="B53" s="3"/>
      <c r="C53" s="166" t="s">
        <v>58</v>
      </c>
      <c r="D53" s="167"/>
      <c r="E53" s="167"/>
      <c r="F53" s="167"/>
      <c r="G53" s="167"/>
      <c r="H53" s="167"/>
      <c r="I53" s="167"/>
      <c r="J53" s="167"/>
      <c r="K53" s="167"/>
      <c r="L53" s="167"/>
      <c r="M53" s="55"/>
      <c r="N53" s="8"/>
    </row>
    <row r="54" spans="1:14" ht="15" customHeight="1" x14ac:dyDescent="0.2">
      <c r="A54" s="3"/>
      <c r="B54" s="3"/>
      <c r="C54" s="167"/>
      <c r="D54" s="167"/>
      <c r="E54" s="167"/>
      <c r="F54" s="167"/>
      <c r="G54" s="167"/>
      <c r="H54" s="167"/>
      <c r="I54" s="167"/>
      <c r="J54" s="167"/>
      <c r="K54" s="167"/>
      <c r="L54" s="167"/>
      <c r="M54" s="55"/>
      <c r="N54" s="8"/>
    </row>
    <row r="55" spans="1:14" ht="15" customHeight="1" x14ac:dyDescent="0.2">
      <c r="A55" s="117"/>
      <c r="B55" s="3"/>
      <c r="C55" s="112"/>
      <c r="D55" s="112"/>
      <c r="E55" s="112"/>
      <c r="F55" s="112"/>
      <c r="G55" s="112"/>
      <c r="H55" s="112"/>
      <c r="I55" s="112"/>
      <c r="J55" s="112"/>
      <c r="K55" s="112"/>
      <c r="L55" s="94"/>
      <c r="M55" s="55"/>
      <c r="N55" s="8"/>
    </row>
    <row r="56" spans="1:14" ht="12.75" customHeight="1" x14ac:dyDescent="0.2">
      <c r="A56" s="116"/>
      <c r="B56" s="3"/>
      <c r="C56" s="18"/>
      <c r="D56" s="163" t="s">
        <v>55</v>
      </c>
      <c r="E56" s="163"/>
      <c r="F56" s="163"/>
      <c r="G56" s="163"/>
      <c r="H56" s="163"/>
      <c r="I56" s="163"/>
      <c r="J56" s="163"/>
      <c r="K56" s="94"/>
      <c r="L56" s="94"/>
      <c r="M56" s="55"/>
      <c r="N56" s="8"/>
    </row>
    <row r="57" spans="1:14" ht="3" customHeight="1" x14ac:dyDescent="0.2">
      <c r="A57" s="116"/>
      <c r="B57" s="3"/>
      <c r="C57" s="165" t="s">
        <v>57</v>
      </c>
      <c r="D57" s="165"/>
      <c r="E57" s="165"/>
      <c r="F57" s="165"/>
      <c r="G57" s="165"/>
      <c r="H57" s="165"/>
      <c r="I57" s="165"/>
      <c r="J57" s="165"/>
      <c r="K57" s="165"/>
      <c r="L57" s="94"/>
      <c r="M57" s="55"/>
      <c r="N57" s="8"/>
    </row>
    <row r="58" spans="1:14" ht="15.75" x14ac:dyDescent="0.2">
      <c r="A58" s="116"/>
      <c r="B58" s="3"/>
      <c r="C58" s="165"/>
      <c r="D58" s="165"/>
      <c r="E58" s="165"/>
      <c r="F58" s="165"/>
      <c r="G58" s="165"/>
      <c r="H58" s="165"/>
      <c r="I58" s="165"/>
      <c r="J58" s="165"/>
      <c r="K58" s="165"/>
      <c r="L58" s="94"/>
      <c r="M58" s="55"/>
      <c r="N58" s="8"/>
    </row>
    <row r="59" spans="1:14" ht="15.75" customHeight="1" thickBot="1" x14ac:dyDescent="0.25">
      <c r="A59" s="128"/>
      <c r="B59" s="110"/>
      <c r="C59" s="111"/>
      <c r="D59" s="111"/>
      <c r="E59" s="111"/>
      <c r="F59" s="164"/>
      <c r="G59" s="164"/>
      <c r="H59" s="164"/>
      <c r="I59" s="164"/>
      <c r="J59" s="164"/>
      <c r="K59" s="111"/>
      <c r="L59" s="111"/>
      <c r="M59" s="55"/>
      <c r="N59" s="8"/>
    </row>
    <row r="60" spans="1:14" ht="15.75" customHeight="1" thickTop="1" x14ac:dyDescent="0.2">
      <c r="A60" s="3"/>
      <c r="B60" s="56"/>
      <c r="C60" s="56"/>
      <c r="D60" s="56"/>
      <c r="E60" s="56"/>
      <c r="F60" s="56"/>
      <c r="G60" s="56"/>
      <c r="H60" s="56"/>
      <c r="I60" s="56"/>
      <c r="J60" s="56"/>
      <c r="K60" s="56"/>
      <c r="L60" s="56"/>
      <c r="M60" s="55"/>
      <c r="N60" s="8"/>
    </row>
    <row r="61" spans="1:14" ht="0.95" customHeight="1" x14ac:dyDescent="0.2">
      <c r="A61" s="3"/>
      <c r="B61" s="114"/>
      <c r="C61" s="114"/>
      <c r="D61" s="114"/>
      <c r="E61" s="114"/>
      <c r="F61" s="114"/>
      <c r="G61" s="114"/>
      <c r="H61" s="114"/>
      <c r="I61" s="126"/>
      <c r="J61" s="126"/>
      <c r="K61" s="126"/>
      <c r="L61" s="126"/>
      <c r="M61" s="55"/>
      <c r="N61" s="8"/>
    </row>
    <row r="62" spans="1:14" ht="6" customHeight="1" x14ac:dyDescent="0.2">
      <c r="A62" s="3"/>
      <c r="B62" s="113"/>
      <c r="C62" s="113"/>
      <c r="D62" s="113"/>
      <c r="E62" s="113"/>
      <c r="F62" s="113"/>
      <c r="G62" s="113"/>
      <c r="H62" s="113"/>
      <c r="I62" s="127"/>
      <c r="J62" s="127"/>
      <c r="K62" s="127"/>
      <c r="L62" s="127"/>
      <c r="M62" s="55"/>
      <c r="N62" s="8"/>
    </row>
    <row r="63" spans="1:14" x14ac:dyDescent="0.2">
      <c r="A63" s="3"/>
      <c r="B63" s="95"/>
      <c r="C63" s="95"/>
      <c r="D63" s="95"/>
      <c r="E63" s="95"/>
      <c r="F63" s="95"/>
      <c r="G63" s="95"/>
      <c r="H63" s="95"/>
      <c r="I63" s="95"/>
      <c r="J63" s="95"/>
      <c r="K63" s="95"/>
      <c r="L63" s="95"/>
      <c r="M63" s="55"/>
      <c r="N63" s="8"/>
    </row>
    <row r="64" spans="1:14" x14ac:dyDescent="0.2">
      <c r="A64" s="3"/>
      <c r="B64" s="95"/>
      <c r="C64" s="95"/>
      <c r="D64" s="95"/>
      <c r="E64" s="95"/>
      <c r="F64" s="95"/>
      <c r="G64" s="95"/>
      <c r="H64" s="95"/>
      <c r="I64" s="95"/>
      <c r="J64" s="95"/>
      <c r="K64" s="95"/>
      <c r="L64" s="95"/>
      <c r="M64" s="55"/>
    </row>
    <row r="65" spans="1:13" x14ac:dyDescent="0.2">
      <c r="A65" s="3"/>
      <c r="B65" s="95"/>
      <c r="C65" s="95"/>
      <c r="D65" s="95"/>
      <c r="E65" s="95"/>
      <c r="F65" s="95"/>
      <c r="G65" s="95"/>
      <c r="H65" s="95"/>
      <c r="I65" s="95"/>
      <c r="J65" s="95"/>
      <c r="K65" s="95"/>
      <c r="L65" s="95"/>
      <c r="M65" s="55"/>
    </row>
    <row r="66" spans="1:13" ht="12.75" customHeight="1" x14ac:dyDescent="0.2">
      <c r="A66" s="3"/>
      <c r="B66" s="95"/>
      <c r="C66" s="95"/>
      <c r="D66" s="95"/>
      <c r="E66" s="95"/>
      <c r="F66" s="95"/>
      <c r="G66" s="95"/>
      <c r="H66" s="95"/>
      <c r="I66" s="95"/>
      <c r="J66" s="95"/>
      <c r="K66" s="95"/>
      <c r="L66" s="95"/>
      <c r="M66" s="55"/>
    </row>
    <row r="67" spans="1:13" x14ac:dyDescent="0.2">
      <c r="A67" s="3"/>
      <c r="B67" s="95"/>
      <c r="C67" s="95"/>
      <c r="D67" s="95"/>
      <c r="E67" s="95"/>
      <c r="F67" s="95"/>
      <c r="G67" s="95"/>
      <c r="H67" s="95"/>
      <c r="I67" s="95"/>
      <c r="J67" s="95"/>
      <c r="K67" s="95"/>
      <c r="L67" s="95"/>
      <c r="M67" s="55"/>
    </row>
    <row r="68" spans="1:13" x14ac:dyDescent="0.2">
      <c r="A68" s="3"/>
      <c r="B68" s="95"/>
      <c r="C68" s="95"/>
      <c r="D68" s="95"/>
      <c r="E68" s="95"/>
      <c r="F68" s="95"/>
      <c r="G68" s="95"/>
      <c r="H68" s="95"/>
      <c r="I68" s="95"/>
      <c r="J68" s="95"/>
      <c r="K68" s="95"/>
      <c r="L68" s="95"/>
      <c r="M68" s="55"/>
    </row>
    <row r="69" spans="1:13" x14ac:dyDescent="0.2">
      <c r="A69" s="3"/>
      <c r="B69" s="95"/>
      <c r="C69" s="95"/>
      <c r="D69" s="95"/>
      <c r="E69" s="95"/>
      <c r="F69" s="95"/>
      <c r="G69" s="95"/>
      <c r="H69" s="95"/>
      <c r="I69" s="95"/>
      <c r="J69" s="95"/>
      <c r="K69" s="95"/>
      <c r="L69" s="95"/>
      <c r="M69" s="55"/>
    </row>
  </sheetData>
  <scenarios current="0">
    <scenario name="sample1" locked="1" count="10" user="Nickte" comment="Created by Nickte on 23/10/96">
      <inputCells r="C21" val="M. Antoine CIVAUX"/>
      <inputCells r="C22" val="34, route de Marseille"/>
      <inputCells r="C23" val="84000"/>
      <inputCells r="C24" val="04.90.26.45.78"/>
      <inputCells r="E23" val="Avignon"/>
      <inputCells r="H23" val="France"/>
      <inputCells r="K21" val="35343" numFmtId="14"/>
      <inputCells r="K22" val="452"/>
      <inputCells r="K23" val="T. Farot"/>
      <inputCells r="K24" val="Le Havre"/>
    </scenario>
  </scenarios>
  <mergeCells count="20">
    <mergeCell ref="D56:J56"/>
    <mergeCell ref="F59:J59"/>
    <mergeCell ref="C57:K58"/>
    <mergeCell ref="C53:L54"/>
    <mergeCell ref="F14:J15"/>
    <mergeCell ref="E23:F23"/>
    <mergeCell ref="C22:H22"/>
    <mergeCell ref="C21:H21"/>
    <mergeCell ref="C24:H24"/>
    <mergeCell ref="D27:I27"/>
    <mergeCell ref="K45:K46"/>
    <mergeCell ref="L45:L46"/>
    <mergeCell ref="D26:J26"/>
    <mergeCell ref="K9:L9"/>
    <mergeCell ref="K21:L21"/>
    <mergeCell ref="K23:L23"/>
    <mergeCell ref="K24:L24"/>
    <mergeCell ref="K13:L13"/>
    <mergeCell ref="K17:L19"/>
    <mergeCell ref="K22:L22"/>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L4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43">
      <formula1>0</formula1>
      <formula2>0</formula2>
    </dataValidation>
    <dataValidation allowBlank="1" showErrorMessage="1" sqref="E23:F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44 L47">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K44">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52 L45">
      <formula1>0</formula1>
      <formula2>0</formula2>
    </dataValidation>
    <dataValidation type="list" allowBlank="1" showInputMessage="1" showErrorMessage="1" errorTitle="Code TVA" error="Tapez 1, 2, ou 3." sqref="J27:J29 J31:J41">
      <formula1>"1,2,3"</formula1>
    </dataValidation>
    <dataValidation errorStyle="warning" allowBlank="1" showInputMessage="1" errorTitle="Numéro de carte de crédit" promptTitle="Numéro de carte de crédit" prompt="Tapez ici le numéro de carte de crédit du client" sqref="D56"/>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9"/>
    <dataValidation type="decimal" allowBlank="1" showErrorMessage="1" errorTitle="Prix unitaire" error="Tapez un nombre dans cette cellule." promptTitle="Prix unitaire" sqref="K27:K41">
      <formula1>0</formula1>
      <formula2>1000000000</formula2>
    </dataValidation>
    <dataValidation type="whole" errorStyle="warning" allowBlank="1" showErrorMessage="1" errorTitle="Quantité" error="Tapez un nombre dans cette cellule." promptTitle="Quantité" sqref="C27:C41">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27:L41">
      <formula1>0</formula1>
      <formula2>0</formula2>
    </dataValidation>
  </dataValidations>
  <hyperlinks>
    <hyperlink ref="K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10</xdr:col>
                    <xdr:colOff>485775</xdr:colOff>
                    <xdr:row>14</xdr:row>
                    <xdr:rowOff>0</xdr:rowOff>
                  </from>
                  <to>
                    <xdr:col>11</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2</xdr:col>
                    <xdr:colOff>400050</xdr:colOff>
                    <xdr:row>42</xdr:row>
                    <xdr:rowOff>152400</xdr:rowOff>
                  </from>
                  <to>
                    <xdr:col>2</xdr:col>
                    <xdr:colOff>695325</xdr:colOff>
                    <xdr:row>43</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2</xdr:col>
                    <xdr:colOff>400050</xdr:colOff>
                    <xdr:row>44</xdr:row>
                    <xdr:rowOff>0</xdr:rowOff>
                  </from>
                  <to>
                    <xdr:col>2</xdr:col>
                    <xdr:colOff>704850</xdr:colOff>
                    <xdr:row>45</xdr:row>
                    <xdr:rowOff>9525</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2</xdr:col>
                    <xdr:colOff>409575</xdr:colOff>
                    <xdr:row>45</xdr:row>
                    <xdr:rowOff>28575</xdr:rowOff>
                  </from>
                  <to>
                    <xdr:col>2</xdr:col>
                    <xdr:colOff>714375</xdr:colOff>
                    <xdr:row>46</xdr:row>
                    <xdr:rowOff>38100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6"/>
  </cols>
  <sheetData>
    <row r="1" spans="1:11" x14ac:dyDescent="0.2">
      <c r="A1" s="66" t="s">
        <v>28</v>
      </c>
    </row>
    <row r="2" spans="1:11" x14ac:dyDescent="0.2">
      <c r="A2" s="66" t="s">
        <v>35</v>
      </c>
      <c r="B2" s="66" t="s">
        <v>29</v>
      </c>
    </row>
    <row r="3" spans="1:11" x14ac:dyDescent="0.2">
      <c r="A3" s="66" t="s">
        <v>36</v>
      </c>
      <c r="B3" s="66" t="s">
        <v>43</v>
      </c>
    </row>
    <row r="4" spans="1:11" x14ac:dyDescent="0.2">
      <c r="A4" s="66" t="s">
        <v>30</v>
      </c>
    </row>
    <row r="5" spans="1:11" x14ac:dyDescent="0.2">
      <c r="A5" s="66" t="s">
        <v>37</v>
      </c>
      <c r="B5" s="66">
        <v>1</v>
      </c>
    </row>
    <row r="6" spans="1:11" x14ac:dyDescent="0.2">
      <c r="A6" s="66">
        <v>1</v>
      </c>
      <c r="B6" s="66" t="s">
        <v>38</v>
      </c>
      <c r="C6" s="66" t="s">
        <v>42</v>
      </c>
      <c r="D6" s="66" t="s">
        <v>39</v>
      </c>
      <c r="E6" s="66">
        <v>10</v>
      </c>
      <c r="G6" s="66">
        <v>-1383939328</v>
      </c>
    </row>
    <row r="7" spans="1:11" x14ac:dyDescent="0.2">
      <c r="A7" s="66" t="s">
        <v>40</v>
      </c>
      <c r="B7" s="66" t="s">
        <v>31</v>
      </c>
      <c r="C7" s="66" t="s">
        <v>18</v>
      </c>
      <c r="D7" s="66" t="s">
        <v>3</v>
      </c>
      <c r="E7" s="66" t="s">
        <v>5</v>
      </c>
      <c r="F7" s="66" t="s">
        <v>7</v>
      </c>
      <c r="G7" s="66" t="s">
        <v>8</v>
      </c>
      <c r="H7" s="66" t="s">
        <v>9</v>
      </c>
      <c r="I7" s="66" t="s">
        <v>20</v>
      </c>
      <c r="J7" s="66" t="s">
        <v>32</v>
      </c>
      <c r="K7" s="66" t="s">
        <v>19</v>
      </c>
    </row>
    <row r="8" spans="1:11" x14ac:dyDescent="0.2">
      <c r="A8" s="66" t="s">
        <v>41</v>
      </c>
      <c r="B8" s="67" t="e">
        <f>Facture!#REF!</f>
        <v>#REF!</v>
      </c>
      <c r="C8" s="68">
        <f>Facture!$K$21</f>
        <v>45162</v>
      </c>
      <c r="D8" s="69" t="str">
        <f>Facture!$C$21</f>
        <v>IBS TELECOM</v>
      </c>
      <c r="E8" s="66" t="str">
        <f>Facture!$C$22</f>
        <v>02 rue de la recolte Jaafar 1 ; route Raoued ; Ariana; Tunisie</v>
      </c>
      <c r="F8" s="66">
        <f>Facture!$C$23</f>
        <v>0</v>
      </c>
      <c r="G8" s="69">
        <f>Facture!$E$23</f>
        <v>0</v>
      </c>
      <c r="H8" s="69" t="str">
        <f>Facture!$H$23</f>
        <v>TN</v>
      </c>
      <c r="I8" s="66" t="str">
        <f>Facture!$C$24</f>
        <v xml:space="preserve">24 614 045      Fax: </v>
      </c>
      <c r="J8" s="70">
        <f>Facture!$L$45</f>
        <v>4182.66</v>
      </c>
      <c r="K8" s="66" t="str">
        <f>Facture!$K$23</f>
        <v>MR Khaterchi Mohsen</v>
      </c>
    </row>
    <row r="9" spans="1:11" x14ac:dyDescent="0.2">
      <c r="A9" s="66" t="s">
        <v>30</v>
      </c>
    </row>
    <row r="10" spans="1:11" x14ac:dyDescent="0.2">
      <c r="G10" s="66">
        <v>-1261995520</v>
      </c>
    </row>
    <row r="14" spans="1:11" x14ac:dyDescent="0.2">
      <c r="G14" s="66">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68</vt:i4>
      </vt:variant>
    </vt:vector>
  </HeadingPairs>
  <TitlesOfParts>
    <vt:vector size="72"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data6</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2021-05-31T15:18:20Z</cp:lastPrinted>
  <dcterms:created xsi:type="dcterms:W3CDTF">1995-05-29T15:50:39Z</dcterms:created>
  <dcterms:modified xsi:type="dcterms:W3CDTF">2023-08-24T12:35:14Z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IBS TELECOM</vt:lpwstr>
  </property>
  <property fmtid="{D5CDD505-2E9C-101B-9397-08002B2CF9AE}" pid="11" name="Montant de la facture" linkTarget="TOT">
    <vt:r8>4182.66</vt:r8>
  </property>
</Properties>
</file>