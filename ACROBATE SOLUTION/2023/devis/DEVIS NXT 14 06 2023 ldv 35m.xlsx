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s="1"/>
  <c r="M41" i="3" l="1"/>
  <c r="M4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<sst xmlns="http://schemas.openxmlformats.org/spreadsheetml/2006/main" count="83" uniqueCount="73">
  <si>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</si>
  <si>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</si>
  <si>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</si>
  <si>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</si>
  <si>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</si>
  <si>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</si>
  <si>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</si>
  <si>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</si>
  <si>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</si>
  <si>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</si>
  <si>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</si>
  <si>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</si>
  <si>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</si>
  <si>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</si>
  <si>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</si>
  <si>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</si>
  <si>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</si>
  <si>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</si>
  <si>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</si>
  <si>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</si>
  <si>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</si>
  <si>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</si>
  <si>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</si>
  <si>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</si>
  <si>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</si>
  <si>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</si>
  <si>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</si>
  <si>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</si>
  <si>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</si>
  <si>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</si>
  <si>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</si>
  <si>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</si>
  <si>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</si>
  <si>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</si>
  <si>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</si>
  <si>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</si>
  <si>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</si>
  <si>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</si>
  <si>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</si>
  <si>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</si>
  <si>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</si>
  <si>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</si>
  <si>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</si>
  <si>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</si>
  <si>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</si>
  <si>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</si>
  <si>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</si>
  <si>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</si>
  <si>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</si>
  <si>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</si>
  <si>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</si>
  <si>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</si>
  <si>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</si>
  <si>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</si>
  <si>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</si>
  <si>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</si>
  <si>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</si>
  <si>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</si>
  <si>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</si>
  <si>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</si>
  <si>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</si>
  <si>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</si>
  <si>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</si>
  <si>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</si>
  <si>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</si>
  <si>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</si>
  <si>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</si>
  <si>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</si>
  <si>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Commande N°:  </t>
  </si>
  <si>
    <t>LDV 35M</t>
  </si>
  <si>
    <t>LONGUEUR  35 M</t>
  </si>
  <si>
    <t>Date: 14/06/2023</t>
  </si>
  <si>
    <t>DEVIS N° 2023-1310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</si>
</sst>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23" zoomScale="60" zoomScaleNormal="60" workbookViewId="0">
      <selection activeCell="J32" sqref="J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4" t="s">
        <v>72</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9" t="s">
        <v>66</v>
      </c>
      <c r="F22" s="209"/>
      <c r="G22" s="209"/>
      <c r="H22" s="209"/>
      <c r="I22" s="209"/>
      <c r="J22" s="209"/>
      <c r="K22" s="104"/>
      <c r="L22" s="207" t="s">
        <v>71</v>
      </c>
      <c r="M22" s="207"/>
      <c r="N22" s="52"/>
      <c r="O22" s="9"/>
    </row>
    <row r="23" spans="2:15" ht="33.75" x14ac:dyDescent="0.5">
      <c r="B23" s="7"/>
      <c r="C23" s="3"/>
      <c r="D23" s="103" t="s">
        <v>52</v>
      </c>
      <c r="E23" s="194" t="s">
        <v>64</v>
      </c>
      <c r="F23" s="194"/>
      <c r="G23" s="194"/>
      <c r="H23" s="194"/>
      <c r="I23" s="194"/>
      <c r="J23" s="194"/>
      <c r="K23" s="194"/>
      <c r="L23" s="105" t="s">
        <v>68</v>
      </c>
      <c r="M23" s="181"/>
      <c r="N23" s="53"/>
      <c r="O23" s="9"/>
    </row>
    <row r="24" spans="2:15" ht="33.75" x14ac:dyDescent="0.5">
      <c r="B24" s="7"/>
      <c r="C24" s="3"/>
      <c r="D24" s="103" t="s">
        <v>53</v>
      </c>
      <c r="E24" s="174"/>
      <c r="F24" s="106" t="s">
        <v>8</v>
      </c>
      <c r="G24" s="195"/>
      <c r="H24" s="195"/>
      <c r="I24" s="107" t="s">
        <v>9</v>
      </c>
      <c r="J24" s="108" t="s">
        <v>56</v>
      </c>
      <c r="K24" s="104"/>
      <c r="L24" s="208" t="s">
        <v>65</v>
      </c>
      <c r="M24" s="208"/>
      <c r="N24" s="3"/>
      <c r="O24" s="9"/>
    </row>
    <row r="25" spans="2:15" ht="33.75" x14ac:dyDescent="0.5">
      <c r="B25" s="7"/>
      <c r="C25" s="3"/>
      <c r="D25" s="103" t="s">
        <v>54</v>
      </c>
      <c r="E25" s="210">
        <v>71882832</v>
      </c>
      <c r="F25" s="211"/>
      <c r="G25" s="211"/>
      <c r="H25" s="211"/>
      <c r="I25" s="211"/>
      <c r="J25" s="211"/>
      <c r="K25" s="104"/>
      <c r="L25" s="208" t="s">
        <v>67</v>
      </c>
      <c r="M25" s="20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6" t="s">
        <v>23</v>
      </c>
      <c r="G27" s="197"/>
      <c r="H27" s="197"/>
      <c r="I27" s="197"/>
      <c r="J27" s="197"/>
      <c r="K27" s="198"/>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t="s">
        <v>69</v>
      </c>
      <c r="E29" s="149">
        <v>1</v>
      </c>
      <c r="F29" s="182" t="s">
        <v>70</v>
      </c>
      <c r="G29" s="183"/>
      <c r="H29" s="161"/>
      <c r="I29" s="161"/>
      <c r="J29" s="154"/>
      <c r="K29" s="155"/>
      <c r="L29" s="168">
        <v>2490</v>
      </c>
      <c r="M29" s="168">
        <v>2490</v>
      </c>
      <c r="N29" s="54"/>
      <c r="O29" s="9"/>
    </row>
    <row r="30" spans="2:15" ht="30" x14ac:dyDescent="0.4">
      <c r="B30" s="7"/>
      <c r="C30" s="3"/>
      <c r="D30" s="157"/>
      <c r="E30" s="149"/>
      <c r="F30" s="182"/>
      <c r="G30" s="183"/>
      <c r="H30" s="161"/>
      <c r="I30" s="161"/>
      <c r="J30" s="163"/>
      <c r="K30" s="164"/>
      <c r="L30" s="168"/>
      <c r="M30" s="168"/>
      <c r="N30" s="54"/>
      <c r="O30" s="9"/>
    </row>
    <row r="31" spans="2:15" ht="30" x14ac:dyDescent="0.4">
      <c r="B31" s="7"/>
      <c r="C31" s="3"/>
      <c r="D31" s="171"/>
      <c r="E31" s="172"/>
      <c r="F31" s="175"/>
      <c r="G31" s="183"/>
      <c r="H31" s="176"/>
      <c r="I31" s="176"/>
      <c r="J31" s="176"/>
      <c r="K31" s="177"/>
      <c r="L31" s="168"/>
      <c r="M31" s="168"/>
      <c r="N31" s="54"/>
      <c r="O31" s="9"/>
    </row>
    <row r="32" spans="2:15" ht="30" x14ac:dyDescent="0.4">
      <c r="B32" s="7"/>
      <c r="C32" s="3"/>
      <c r="D32" s="171"/>
      <c r="E32" s="172"/>
      <c r="F32" s="184"/>
      <c r="G32" s="183"/>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01"/>
      <c r="G34" s="202"/>
      <c r="H34" s="202"/>
      <c r="I34" s="202"/>
      <c r="J34" s="202"/>
      <c r="K34" s="203"/>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01"/>
      <c r="G36" s="202"/>
      <c r="H36" s="202"/>
      <c r="I36" s="202"/>
      <c r="J36" s="202"/>
      <c r="K36" s="203"/>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2490</v>
      </c>
      <c r="N39" s="54"/>
      <c r="O39" s="9"/>
    </row>
    <row r="40" spans="2:15" ht="35.25" x14ac:dyDescent="0.5">
      <c r="B40" s="7"/>
      <c r="C40" s="3"/>
      <c r="D40" s="102"/>
      <c r="E40" s="180" t="s">
        <v>63</v>
      </c>
      <c r="F40" s="77"/>
      <c r="G40" s="77"/>
      <c r="H40" s="77"/>
      <c r="I40" s="77"/>
      <c r="J40" s="78"/>
      <c r="K40" s="93"/>
      <c r="L40" s="125" t="s">
        <v>46</v>
      </c>
      <c r="M40" s="109">
        <v>1</v>
      </c>
      <c r="N40" s="54"/>
      <c r="O40" s="9"/>
    </row>
    <row r="41" spans="2:15" ht="35.25" x14ac:dyDescent="0.5">
      <c r="B41" s="7"/>
      <c r="C41" s="3"/>
      <c r="D41" s="99"/>
      <c r="E41" s="98" t="s">
        <v>55</v>
      </c>
      <c r="F41" s="165"/>
      <c r="G41" s="77"/>
      <c r="H41" s="77"/>
      <c r="I41" s="77"/>
      <c r="J41" s="80"/>
      <c r="K41" s="94"/>
      <c r="L41" s="127">
        <v>0.19</v>
      </c>
      <c r="M41" s="109">
        <f>(M39)*0.19</f>
        <v>473.1</v>
      </c>
      <c r="N41" s="54"/>
      <c r="O41" s="9"/>
    </row>
    <row r="42" spans="2:15" ht="35.25" x14ac:dyDescent="0.5">
      <c r="B42" s="7"/>
      <c r="C42" s="3"/>
      <c r="D42" s="85"/>
      <c r="E42" s="101"/>
      <c r="F42" s="97"/>
      <c r="G42" s="82"/>
      <c r="H42" s="81"/>
      <c r="I42" s="77"/>
      <c r="J42" s="83"/>
      <c r="K42" s="93"/>
      <c r="L42" s="110" t="s">
        <v>27</v>
      </c>
      <c r="M42" s="109">
        <f>+M39+M40+M41</f>
        <v>2964.1</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199"/>
      <c r="E45" s="199"/>
      <c r="F45" s="199"/>
      <c r="G45" s="199"/>
      <c r="H45" s="199"/>
      <c r="I45" s="199"/>
      <c r="J45" s="199"/>
      <c r="K45" s="199"/>
      <c r="L45" s="199"/>
      <c r="M45" s="120"/>
      <c r="N45" s="54"/>
      <c r="O45" s="9"/>
    </row>
    <row r="46" spans="2:15" ht="26.25" x14ac:dyDescent="0.4">
      <c r="B46" s="7"/>
      <c r="C46" s="3"/>
      <c r="D46" s="200"/>
      <c r="E46" s="200"/>
      <c r="F46" s="200"/>
      <c r="G46" s="200"/>
      <c r="H46" s="200"/>
      <c r="I46" s="200"/>
      <c r="J46" s="200"/>
      <c r="K46" s="200"/>
      <c r="L46" s="200"/>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3"/>
      <c r="H48" s="193"/>
      <c r="I48" s="193"/>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2" t="s">
        <v>62</v>
      </c>
      <c r="E54" s="192"/>
      <c r="F54" s="192"/>
      <c r="G54" s="192"/>
      <c r="H54" s="192"/>
      <c r="I54" s="192"/>
      <c r="J54" s="192"/>
      <c r="K54" s="192"/>
      <c r="L54" s="192"/>
      <c r="M54" s="88"/>
      <c r="N54" s="92"/>
      <c r="O54" s="9"/>
    </row>
    <row r="55" spans="1:16" ht="15" customHeight="1" x14ac:dyDescent="0.2">
      <c r="B55" s="7"/>
      <c r="C55" s="3"/>
      <c r="D55" s="192"/>
      <c r="E55" s="192"/>
      <c r="F55" s="192"/>
      <c r="G55" s="192"/>
      <c r="H55" s="192"/>
      <c r="I55" s="192"/>
      <c r="J55" s="192"/>
      <c r="K55" s="192"/>
      <c r="L55" s="192"/>
      <c r="M55" s="89"/>
      <c r="N55" s="54"/>
      <c r="O55" s="9"/>
    </row>
    <row r="56" spans="1:16" ht="20.100000000000001" customHeight="1" x14ac:dyDescent="0.2">
      <c r="B56" s="7"/>
      <c r="C56" s="3"/>
      <c r="D56" s="192"/>
      <c r="E56" s="192"/>
      <c r="F56" s="192"/>
      <c r="G56" s="192"/>
      <c r="H56" s="192"/>
      <c r="I56" s="192"/>
      <c r="J56" s="192"/>
      <c r="K56" s="192"/>
      <c r="L56" s="192"/>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29: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14/06/2023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2964.1</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2023-06-14T13:12:09Z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2964.1</vt:r8>
  </property>
</Properties>
</file>