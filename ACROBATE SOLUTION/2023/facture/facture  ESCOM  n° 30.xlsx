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37" i="3"/>
  <c r="M46" i="3"/>
  <c r="M47" i="3" s="1"/>
  <c r="M49" i="3" l="1"/>
  <c r="M50" i="3" s="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<sst xmlns="http://schemas.openxmlformats.org/spreadsheetml/2006/main" count="91" uniqueCount="82">
  <si>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</si>
  <si>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</si>
  <si>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</si>
  <si>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</si>
  <si>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</si>
  <si>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</si>
  <si>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</si>
  <si>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</si>
  <si>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</si>
  <si>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</si>
  <si>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</si>
  <si>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</si>
  <si>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</si>
  <si>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</si>
  <si>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</si>
  <si>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</si>
  <si>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</si>
  <si>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</si>
  <si>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</si>
  <si>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</si>
  <si>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</si>
  <si>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</si>
  <si>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</si>
  <si>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</si>
  <si>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</si>
  <si>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</si>
  <si>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</si>
  <si>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</si>
  <si>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</si>
  <si>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</si>
  <si>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</si>
  <si>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</si>
  <si>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</si>
  <si>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</si>
  <si>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</si>
  <si>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</si>
  <si>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</si>
  <si>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</si>
  <si>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</si>
  <si>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</si>
  <si>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</si>
  <si>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</si>
  <si>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</si>
  <si>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</si>
  <si>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</si>
  <si>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</si>
  <si>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</si>
  <si>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</si>
  <si>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</si>
  <si>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</si>
  <si>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</si>
  <si>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</si>
  <si>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</si>
  <si>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</si>
  <si>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</si>
  <si>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</si>
  <si>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</si>
  <si>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</si>
  <si>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</si>
  <si>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</si>
  <si>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</si>
  <si>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</si>
  <si>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</si>
  <si>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</si>
  <si>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</si>
  <si>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</si>
  <si>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LDV15M</t>
  </si>
  <si>
    <t>LONGUEUR  15M</t>
  </si>
  <si>
    <t xml:space="preserve">LIGNE DE VIE </t>
  </si>
  <si>
    <t>ESCOM</t>
  </si>
  <si>
    <t xml:space="preserve">IMMEUBLE AL BADR LES BERGES DU LAC </t>
  </si>
  <si>
    <t xml:space="preserve"> 26 51 60 04</t>
  </si>
  <si>
    <t>MF: 802838C/A/M/000</t>
  </si>
  <si>
    <t xml:space="preserve">Responsable: HASNA JELLALI </t>
  </si>
  <si>
    <t>NAB 1272 MRISSA</t>
  </si>
  <si>
    <t>JEN 1090</t>
  </si>
  <si>
    <t xml:space="preserve">Site OOREDOO </t>
  </si>
  <si>
    <t xml:space="preserve">SFX 1290 KASSAS SAKIT EZITE </t>
  </si>
  <si>
    <t xml:space="preserve">Arreté la present facture a la somme de : Cinq mille deux cent soixante seize dinars et 270 millimes </t>
  </si>
  <si>
    <t>commande n° : FBC230129</t>
  </si>
  <si>
    <t>Date: 18/05/2023</t>
  </si>
  <si>
    <t>FACTURE   N° 2023-030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</si>
</sst>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2"/>
      <color theme="1"/>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28" xfId="0" applyNumberFormat="1" applyFont="1" applyFill="1" applyBorder="1" applyAlignment="1"/>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45" fillId="0" borderId="0" xfId="0" applyFont="1" applyFill="1" applyAlignment="1"/>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0" fontId="35"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4" t="s">
        <v>81</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9" t="s">
        <v>69</v>
      </c>
      <c r="F22" s="189"/>
      <c r="G22" s="189"/>
      <c r="H22" s="189"/>
      <c r="I22" s="189"/>
      <c r="J22" s="189"/>
      <c r="K22" s="104"/>
      <c r="L22" s="187" t="s">
        <v>80</v>
      </c>
      <c r="M22" s="187"/>
      <c r="N22" s="52"/>
      <c r="O22" s="9"/>
    </row>
    <row r="23" spans="2:15" ht="33.75" x14ac:dyDescent="0.5">
      <c r="B23" s="7"/>
      <c r="C23" s="3"/>
      <c r="D23" s="103" t="s">
        <v>52</v>
      </c>
      <c r="E23" s="194" t="s">
        <v>70</v>
      </c>
      <c r="F23" s="194"/>
      <c r="G23" s="194"/>
      <c r="H23" s="194"/>
      <c r="I23" s="194"/>
      <c r="J23" s="194"/>
      <c r="K23" s="194"/>
      <c r="L23" s="105" t="s">
        <v>79</v>
      </c>
      <c r="M23" s="105"/>
      <c r="N23" s="53"/>
      <c r="O23" s="9"/>
    </row>
    <row r="24" spans="2:15" ht="33.75" x14ac:dyDescent="0.5">
      <c r="B24" s="7"/>
      <c r="C24" s="3"/>
      <c r="D24" s="103" t="s">
        <v>53</v>
      </c>
      <c r="E24" s="176"/>
      <c r="F24" s="106"/>
      <c r="G24" s="195"/>
      <c r="H24" s="195"/>
      <c r="I24" s="107"/>
      <c r="J24" s="108"/>
      <c r="K24" s="104"/>
      <c r="L24" s="188" t="s">
        <v>73</v>
      </c>
      <c r="M24" s="188"/>
      <c r="N24" s="3"/>
      <c r="O24" s="9"/>
    </row>
    <row r="25" spans="2:15" ht="33.75" x14ac:dyDescent="0.5">
      <c r="B25" s="7"/>
      <c r="C25" s="3"/>
      <c r="D25" s="103" t="s">
        <v>54</v>
      </c>
      <c r="E25" s="190" t="s">
        <v>71</v>
      </c>
      <c r="F25" s="191"/>
      <c r="G25" s="191"/>
      <c r="H25" s="191"/>
      <c r="I25" s="191"/>
      <c r="J25" s="191"/>
      <c r="K25" s="104"/>
      <c r="L25" s="188" t="s">
        <v>72</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6" t="s">
        <v>23</v>
      </c>
      <c r="G27" s="197"/>
      <c r="H27" s="197"/>
      <c r="I27" s="197"/>
      <c r="J27" s="197"/>
      <c r="K27" s="198"/>
      <c r="L27" s="90" t="s">
        <v>61</v>
      </c>
      <c r="M27" s="91" t="s">
        <v>24</v>
      </c>
      <c r="N27" s="92"/>
      <c r="O27" s="9"/>
    </row>
    <row r="28" spans="2:15" ht="30" x14ac:dyDescent="0.4">
      <c r="B28" s="7"/>
      <c r="C28" s="3"/>
      <c r="D28" s="150"/>
      <c r="E28" s="148"/>
      <c r="F28" s="157" t="s">
        <v>68</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64</v>
      </c>
      <c r="E32" s="170">
        <v>2</v>
      </c>
      <c r="F32" s="210" t="s">
        <v>65</v>
      </c>
      <c r="G32" s="211"/>
      <c r="H32" s="211"/>
      <c r="I32" s="211"/>
      <c r="J32" s="211"/>
      <c r="K32" s="212"/>
      <c r="L32" s="166">
        <v>1408</v>
      </c>
      <c r="M32" s="166">
        <f t="shared" ref="M32" si="0">L32*E32</f>
        <v>2816</v>
      </c>
      <c r="N32" s="54"/>
      <c r="O32" s="9"/>
    </row>
    <row r="33" spans="2:15" ht="30" x14ac:dyDescent="0.4">
      <c r="B33" s="7"/>
      <c r="C33" s="3"/>
      <c r="D33" s="169"/>
      <c r="E33" s="170"/>
      <c r="F33" s="209" t="s">
        <v>76</v>
      </c>
      <c r="G33" s="171"/>
      <c r="H33" s="171"/>
      <c r="I33" s="171"/>
      <c r="J33" s="171"/>
      <c r="K33" s="172"/>
      <c r="L33" s="166"/>
      <c r="M33" s="166"/>
      <c r="N33" s="54"/>
      <c r="O33" s="9"/>
    </row>
    <row r="34" spans="2:15" ht="30" x14ac:dyDescent="0.4">
      <c r="B34" s="7"/>
      <c r="C34" s="3"/>
      <c r="D34" s="169"/>
      <c r="E34" s="173"/>
      <c r="F34" s="200" t="s">
        <v>74</v>
      </c>
      <c r="G34" s="201"/>
      <c r="H34" s="201"/>
      <c r="I34" s="201"/>
      <c r="J34" s="201"/>
      <c r="K34" s="202"/>
      <c r="L34" s="166"/>
      <c r="M34" s="166"/>
      <c r="N34" s="54"/>
      <c r="O34" s="9"/>
    </row>
    <row r="35" spans="2:15" ht="30" x14ac:dyDescent="0.4">
      <c r="B35" s="7"/>
      <c r="C35" s="3"/>
      <c r="D35" s="174"/>
      <c r="E35" s="170"/>
      <c r="F35" s="206" t="s">
        <v>75</v>
      </c>
      <c r="G35" s="207"/>
      <c r="H35" s="207"/>
      <c r="I35" s="207"/>
      <c r="J35" s="207"/>
      <c r="K35" s="208"/>
      <c r="L35" s="166"/>
      <c r="M35" s="166"/>
      <c r="N35" s="54"/>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t="s">
        <v>66</v>
      </c>
      <c r="E37" s="170">
        <v>1</v>
      </c>
      <c r="F37" s="214" t="s">
        <v>67</v>
      </c>
      <c r="G37" s="215"/>
      <c r="H37" s="215"/>
      <c r="I37" s="215"/>
      <c r="J37" s="215"/>
      <c r="K37" s="216"/>
      <c r="L37" s="166">
        <v>1617</v>
      </c>
      <c r="M37" s="166">
        <f>L37*E37</f>
        <v>1617</v>
      </c>
      <c r="N37" s="54"/>
      <c r="O37" s="9"/>
    </row>
    <row r="38" spans="2:15" ht="30" x14ac:dyDescent="0.4">
      <c r="B38" s="7"/>
      <c r="C38" s="3"/>
      <c r="D38" s="174"/>
      <c r="E38" s="170"/>
      <c r="F38" s="213" t="s">
        <v>76</v>
      </c>
      <c r="G38" s="140"/>
      <c r="H38" s="140"/>
      <c r="I38" s="140"/>
      <c r="J38" s="140"/>
      <c r="K38" s="141"/>
      <c r="L38" s="166"/>
      <c r="M38" s="166"/>
      <c r="N38" s="54"/>
      <c r="O38" s="9"/>
    </row>
    <row r="39" spans="2:15" ht="30" x14ac:dyDescent="0.4">
      <c r="B39" s="7"/>
      <c r="C39" s="3"/>
      <c r="D39" s="174"/>
      <c r="E39" s="170"/>
      <c r="F39" s="203" t="s">
        <v>77</v>
      </c>
      <c r="G39" s="204"/>
      <c r="H39" s="204"/>
      <c r="I39" s="204"/>
      <c r="J39" s="204"/>
      <c r="K39" s="205"/>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03"/>
      <c r="G41" s="204"/>
      <c r="H41" s="204"/>
      <c r="I41" s="204"/>
      <c r="J41" s="204"/>
      <c r="K41" s="205"/>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03"/>
      <c r="G43" s="204"/>
      <c r="H43" s="204"/>
      <c r="I43" s="204"/>
      <c r="J43" s="204"/>
      <c r="K43" s="205"/>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4433</v>
      </c>
      <c r="N47" s="54"/>
      <c r="O47" s="9"/>
    </row>
    <row r="48" spans="2:15" ht="35.25" x14ac:dyDescent="0.5">
      <c r="B48" s="7"/>
      <c r="C48" s="3"/>
      <c r="D48" s="102"/>
      <c r="E48" s="98"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842.27</v>
      </c>
      <c r="N49" s="54"/>
      <c r="O49" s="9"/>
    </row>
    <row r="50" spans="2:16" ht="35.25" x14ac:dyDescent="0.5">
      <c r="B50" s="7"/>
      <c r="C50" s="3"/>
      <c r="D50" s="85"/>
      <c r="E50" s="101"/>
      <c r="F50" s="97"/>
      <c r="G50" s="82"/>
      <c r="H50" s="81"/>
      <c r="I50" s="77"/>
      <c r="J50" s="83"/>
      <c r="K50" s="93"/>
      <c r="L50" s="110" t="s">
        <v>27</v>
      </c>
      <c r="M50" s="109">
        <f>+M47+M48+M49</f>
        <v>5276.27</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199"/>
      <c r="E53" s="199"/>
      <c r="F53" s="199"/>
      <c r="G53" s="199"/>
      <c r="H53" s="199"/>
      <c r="I53" s="199"/>
      <c r="J53" s="199"/>
      <c r="K53" s="199"/>
      <c r="L53" s="199"/>
      <c r="M53" s="119"/>
      <c r="N53" s="54"/>
      <c r="O53" s="9"/>
    </row>
    <row r="54" spans="2:16" ht="26.25" x14ac:dyDescent="0.4">
      <c r="B54" s="7"/>
      <c r="C54" s="3"/>
      <c r="D54" s="217" t="s">
        <v>78</v>
      </c>
      <c r="E54" s="217"/>
      <c r="F54" s="217"/>
      <c r="G54" s="217"/>
      <c r="H54" s="217"/>
      <c r="I54" s="217"/>
      <c r="J54" s="217"/>
      <c r="K54" s="217"/>
      <c r="L54" s="217"/>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93"/>
      <c r="H56" s="193"/>
      <c r="I56" s="193"/>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2" t="s">
        <v>62</v>
      </c>
      <c r="E62" s="192"/>
      <c r="F62" s="192"/>
      <c r="G62" s="192"/>
      <c r="H62" s="192"/>
      <c r="I62" s="192"/>
      <c r="J62" s="192"/>
      <c r="K62" s="192"/>
      <c r="L62" s="192"/>
      <c r="M62" s="88"/>
      <c r="N62" s="92"/>
      <c r="O62" s="9"/>
    </row>
    <row r="63" spans="2:16" ht="15" customHeight="1" x14ac:dyDescent="0.2">
      <c r="B63" s="7"/>
      <c r="C63" s="3"/>
      <c r="D63" s="192"/>
      <c r="E63" s="192"/>
      <c r="F63" s="192"/>
      <c r="G63" s="192"/>
      <c r="H63" s="192"/>
      <c r="I63" s="192"/>
      <c r="J63" s="192"/>
      <c r="K63" s="192"/>
      <c r="L63" s="192"/>
      <c r="M63" s="89"/>
      <c r="N63" s="54"/>
      <c r="O63" s="9"/>
    </row>
    <row r="64" spans="2:16" ht="20.100000000000001" customHeight="1" x14ac:dyDescent="0.2">
      <c r="B64" s="7"/>
      <c r="C64" s="3"/>
      <c r="D64" s="192"/>
      <c r="E64" s="192"/>
      <c r="F64" s="192"/>
      <c r="G64" s="192"/>
      <c r="H64" s="192"/>
      <c r="I64" s="192"/>
      <c r="J64" s="192"/>
      <c r="K64" s="192"/>
      <c r="L64" s="192"/>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18/05/2023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5276.27</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2023-05-18T08:04:09Z</cp:lastPrinted>
  <dcterms:created xsi:type="dcterms:W3CDTF">1995-05-29T15:50:39Z</dcterms:created>
  <dcterms:modified xsi:type="dcterms:W3CDTF">2023-05-18T09:15:18Z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5276.27</vt:r8>
  </property>
</Properties>
</file>