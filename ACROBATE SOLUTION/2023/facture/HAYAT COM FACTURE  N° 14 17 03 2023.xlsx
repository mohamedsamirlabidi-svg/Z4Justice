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3" i="3" l="1"/>
  <c r="N38" i="3"/>
  <c r="N50" i="3"/>
  <c r="N51" i="3"/>
  <c r="N52" i="3" l="1"/>
  <c r="N27" i="3"/>
  <c r="N54" i="3" l="1"/>
  <c r="N55"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<sst xmlns="http://schemas.openxmlformats.org/spreadsheetml/2006/main" count="99" uniqueCount="83">
  <si>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</si>
  <si>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</si>
  <si>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</si>
  <si>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</si>
  <si>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</si>
  <si>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</si>
  <si>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</si>
  <si>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</si>
  <si>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</si>
  <si>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</si>
  <si>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</si>
  <si>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</si>
  <si>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</si>
  <si>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</si>
  <si>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</si>
  <si>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</si>
  <si>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</si>
  <si>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</si>
  <si>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</si>
  <si>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</si>
  <si>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</si>
  <si>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</si>
  <si>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</si>
  <si>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</si>
  <si>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</si>
  <si>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</si>
  <si>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</si>
  <si>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</si>
  <si>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</si>
  <si>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</si>
  <si>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</si>
  <si>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</si>
  <si>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</si>
  <si>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</si>
  <si>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</si>
  <si>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</si>
  <si>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</si>
  <si>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</si>
  <si>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</si>
  <si>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</si>
  <si>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</si>
  <si>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</si>
  <si>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</si>
  <si>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</si>
  <si>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</si>
  <si>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</si>
  <si>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</si>
  <si>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</si>
  <si>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</si>
  <si>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</si>
  <si>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</si>
  <si>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</si>
  <si>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</si>
  <si>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</si>
  <si>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</si>
  <si>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</si>
  <si>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</si>
  <si>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</si>
  <si>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</si>
  <si>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</si>
  <si>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</si>
  <si>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</si>
  <si>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</si>
  <si>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</si>
  <si>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</si>
  <si>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</si>
  <si>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</si>
  <si>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</si>
  <si>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</si>
  <si>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</si>
  <si>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</si>
  <si>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CONFORME EN 353-1: 2014 + A1:2017</t>
  </si>
  <si>
    <t>RIB: 10 000 000 080746 3788 95</t>
  </si>
  <si>
    <t>STB THAMEUR</t>
  </si>
  <si>
    <t xml:space="preserve">LIGNE DE VIE </t>
  </si>
  <si>
    <t>LDV35M</t>
  </si>
  <si>
    <t>LONGUEUR 35M</t>
  </si>
  <si>
    <t>KEF 0056</t>
  </si>
  <si>
    <t xml:space="preserve">Antichute Quickset ZIP PRO </t>
  </si>
  <si>
    <t xml:space="preserve">Arreté le présent Facture a la somme : TROIS MILLE NEUF CENT SOIXANTE QUINZE DINARS ET 600 MILLIMES </t>
  </si>
  <si>
    <t>BA0000163/2023</t>
  </si>
  <si>
    <t>Facture N° 2023-14</t>
  </si>
  <si>
    <t xml:space="preserve">modéle 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</si>
</sst>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34"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2"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0"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211056</xdr:colOff>
      <xdr:row>19</xdr:row>
      <xdr:rowOff>66675</xdr:rowOff>
    </xdr:from>
    <xdr:to>
      <xdr:col>14</xdr:col>
      <xdr:colOff>144381</xdr:colOff>
      <xdr:row>24</xdr:row>
      <xdr:rowOff>57150</xdr:rowOff>
    </xdr:to>
    <xdr:sp macro="" textlink="">
      <xdr:nvSpPr>
        <xdr:cNvPr id="2115" name="INVB2"/>
        <xdr:cNvSpPr>
          <a:spLocks noChangeArrowheads="1"/>
        </xdr:cNvSpPr>
      </xdr:nvSpPr>
      <xdr:spPr bwMode="auto">
        <a:xfrm>
          <a:off x="4973556" y="2964280"/>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1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7"/>
      <c r="N9" s="16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6" t="s">
        <v>54</v>
      </c>
      <c r="N13" s="177"/>
      <c r="O13" s="3"/>
      <c r="P13" s="8"/>
    </row>
    <row r="14" spans="2:16" x14ac:dyDescent="0.2">
      <c r="B14" s="7"/>
      <c r="C14" s="3"/>
      <c r="D14" s="3"/>
      <c r="E14" s="3"/>
      <c r="F14" s="3"/>
      <c r="G14" s="3"/>
      <c r="H14" s="166"/>
      <c r="I14" s="166"/>
      <c r="J14" s="166"/>
      <c r="K14" s="166"/>
      <c r="L14" s="166"/>
      <c r="M14" s="3"/>
      <c r="N14" s="3"/>
      <c r="O14" s="3"/>
      <c r="P14" s="8"/>
    </row>
    <row r="15" spans="2:16" ht="20.100000000000001" customHeight="1" x14ac:dyDescent="0.2">
      <c r="B15" s="7"/>
      <c r="C15" s="3"/>
      <c r="D15" s="3"/>
      <c r="E15" s="3"/>
      <c r="F15" s="3"/>
      <c r="G15" s="3"/>
      <c r="H15" s="166"/>
      <c r="I15" s="166"/>
      <c r="J15" s="166"/>
      <c r="K15" s="166"/>
      <c r="L15" s="16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5" t="s">
        <v>81</v>
      </c>
      <c r="N17" s="156"/>
      <c r="O17" s="3"/>
      <c r="P17" s="8"/>
    </row>
    <row r="18" spans="1:16" ht="19.5" thickTop="1" x14ac:dyDescent="0.3">
      <c r="B18" s="7"/>
      <c r="C18" s="3"/>
      <c r="D18" s="58"/>
      <c r="E18" s="58"/>
      <c r="F18" s="58"/>
      <c r="G18" s="58"/>
      <c r="H18" s="58"/>
      <c r="I18" s="58"/>
      <c r="J18" s="59"/>
      <c r="K18" s="59"/>
      <c r="L18" s="59"/>
      <c r="M18" s="157"/>
      <c r="N18" s="158"/>
      <c r="O18" s="19"/>
      <c r="P18" s="8"/>
    </row>
    <row r="19" spans="1:16" ht="13.5" thickBot="1" x14ac:dyDescent="0.25">
      <c r="B19" s="7"/>
      <c r="C19" s="3"/>
      <c r="D19" s="3"/>
      <c r="E19" s="3"/>
      <c r="F19" s="3"/>
      <c r="G19" s="3"/>
      <c r="H19" s="3"/>
      <c r="I19" s="3"/>
      <c r="J19" s="3"/>
      <c r="K19" s="3"/>
      <c r="L19" s="3"/>
      <c r="M19" s="159"/>
      <c r="N19" s="16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2" t="s">
        <v>64</v>
      </c>
      <c r="F21" s="183"/>
      <c r="G21" s="183"/>
      <c r="H21" s="183"/>
      <c r="I21" s="183"/>
      <c r="J21" s="183"/>
      <c r="K21" s="82"/>
      <c r="L21" s="84" t="s">
        <v>18</v>
      </c>
      <c r="M21" s="171">
        <v>45002</v>
      </c>
      <c r="N21" s="172"/>
      <c r="O21" s="55"/>
      <c r="P21" s="8"/>
    </row>
    <row r="22" spans="1:16" ht="14.25" x14ac:dyDescent="0.2">
      <c r="B22" s="7"/>
      <c r="C22" s="3"/>
      <c r="D22" s="82" t="s">
        <v>5</v>
      </c>
      <c r="E22" s="180" t="s">
        <v>63</v>
      </c>
      <c r="F22" s="181"/>
      <c r="G22" s="181"/>
      <c r="H22" s="181"/>
      <c r="I22" s="181"/>
      <c r="J22" s="181"/>
      <c r="K22" s="82"/>
      <c r="L22" s="127" t="s">
        <v>60</v>
      </c>
      <c r="M22" s="164" t="s">
        <v>80</v>
      </c>
      <c r="N22" s="165"/>
      <c r="O22" s="56"/>
      <c r="P22" s="8"/>
    </row>
    <row r="23" spans="1:16" x14ac:dyDescent="0.2">
      <c r="B23" s="7"/>
      <c r="C23" s="3"/>
      <c r="D23" s="82" t="s">
        <v>7</v>
      </c>
      <c r="E23" s="89">
        <v>2035</v>
      </c>
      <c r="F23" s="90" t="s">
        <v>8</v>
      </c>
      <c r="G23" s="178" t="s">
        <v>65</v>
      </c>
      <c r="H23" s="179"/>
      <c r="I23" s="91" t="s">
        <v>9</v>
      </c>
      <c r="J23" s="88" t="s">
        <v>51</v>
      </c>
      <c r="K23" s="82"/>
      <c r="L23" s="84" t="s">
        <v>19</v>
      </c>
      <c r="M23" s="173" t="s">
        <v>67</v>
      </c>
      <c r="N23" s="174"/>
      <c r="O23" s="3"/>
      <c r="P23" s="8"/>
    </row>
    <row r="24" spans="1:16" x14ac:dyDescent="0.2">
      <c r="B24" s="7"/>
      <c r="C24" s="3"/>
      <c r="D24" s="82" t="s">
        <v>20</v>
      </c>
      <c r="E24" s="184" t="s">
        <v>66</v>
      </c>
      <c r="F24" s="185"/>
      <c r="G24" s="185"/>
      <c r="H24" s="185"/>
      <c r="I24" s="185"/>
      <c r="J24" s="185"/>
      <c r="K24" s="82"/>
      <c r="L24" s="84" t="s">
        <v>47</v>
      </c>
      <c r="M24" s="175" t="s">
        <v>62</v>
      </c>
      <c r="N24" s="17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1" t="s">
        <v>22</v>
      </c>
      <c r="G26" s="162"/>
      <c r="H26" s="162"/>
      <c r="I26" s="162"/>
      <c r="J26" s="162"/>
      <c r="K26" s="162"/>
      <c r="L26" s="163"/>
      <c r="M26" s="52" t="s">
        <v>53</v>
      </c>
      <c r="N26" s="114" t="s">
        <v>23</v>
      </c>
      <c r="O26" s="57"/>
      <c r="P26" s="8"/>
    </row>
    <row r="27" spans="1:16" ht="20.25" x14ac:dyDescent="0.3">
      <c r="B27" s="7"/>
      <c r="C27" s="3"/>
      <c r="D27" s="93"/>
      <c r="E27" s="75"/>
      <c r="F27" s="186" t="s">
        <v>74</v>
      </c>
      <c r="G27" s="187"/>
      <c r="H27" s="187"/>
      <c r="I27" s="187"/>
      <c r="J27" s="187"/>
      <c r="K27" s="187"/>
      <c r="L27" s="132"/>
      <c r="M27" s="131"/>
      <c r="N27" s="96" t="str">
        <f t="shared" ref="N27" si="0">IF(E27&lt;&gt;"",E27*M27,"")</f>
        <v/>
      </c>
      <c r="O27" s="57"/>
      <c r="P27" s="8"/>
    </row>
    <row r="28" spans="1:16" ht="18.75" x14ac:dyDescent="0.3">
      <c r="B28" s="7"/>
      <c r="C28" s="3"/>
      <c r="D28" s="93"/>
      <c r="E28" s="75"/>
      <c r="F28" s="139" t="s">
        <v>71</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75</v>
      </c>
      <c r="E33" s="75">
        <v>1</v>
      </c>
      <c r="F33" s="141" t="s">
        <v>76</v>
      </c>
      <c r="G33" s="143"/>
      <c r="H33" s="81"/>
      <c r="I33" s="109"/>
      <c r="J33" s="81"/>
      <c r="K33" s="81"/>
      <c r="L33" s="109"/>
      <c r="M33" s="96">
        <v>2490</v>
      </c>
      <c r="N33" s="96">
        <f>M33*E33</f>
        <v>2490</v>
      </c>
      <c r="O33" s="57"/>
      <c r="P33" s="8"/>
    </row>
    <row r="34" spans="2:16" ht="18" x14ac:dyDescent="0.25">
      <c r="B34" s="7"/>
      <c r="C34" s="3"/>
      <c r="D34" s="108"/>
      <c r="E34" s="75"/>
      <c r="F34" s="141" t="s">
        <v>82</v>
      </c>
      <c r="G34" s="143"/>
      <c r="H34" s="81"/>
      <c r="I34" s="109"/>
      <c r="J34" s="81"/>
      <c r="K34" s="81"/>
      <c r="L34" s="109"/>
      <c r="M34" s="96"/>
      <c r="N34" s="96"/>
      <c r="O34" s="57"/>
      <c r="P34" s="8"/>
    </row>
    <row r="35" spans="2:16" ht="18" x14ac:dyDescent="0.25">
      <c r="B35" s="7"/>
      <c r="C35" s="3"/>
      <c r="D35" s="108"/>
      <c r="E35" s="75"/>
      <c r="F35" s="141" t="s">
        <v>77</v>
      </c>
      <c r="G35" s="143"/>
      <c r="H35" s="81"/>
      <c r="I35" s="109"/>
      <c r="J35" s="109"/>
      <c r="K35" s="81"/>
      <c r="L35" s="109"/>
      <c r="M35" s="96"/>
      <c r="N35" s="96"/>
      <c r="O35" s="57"/>
      <c r="P35" s="8"/>
    </row>
    <row r="36" spans="2:16" ht="15.75" x14ac:dyDescent="0.25">
      <c r="B36" s="7"/>
      <c r="C36" s="3"/>
      <c r="D36" s="108"/>
      <c r="E36" s="75"/>
      <c r="F36" s="141"/>
      <c r="G36" s="142"/>
      <c r="H36" s="81"/>
      <c r="I36" s="109"/>
      <c r="J36" s="109"/>
      <c r="K36" s="81"/>
      <c r="L36" s="133"/>
      <c r="M36" s="116"/>
      <c r="N36" s="96"/>
      <c r="O36" s="57"/>
      <c r="P36" s="8"/>
    </row>
    <row r="37" spans="2:16" ht="15.75" x14ac:dyDescent="0.25">
      <c r="B37" s="7"/>
      <c r="C37" s="3"/>
      <c r="D37" s="108"/>
      <c r="E37" s="75"/>
      <c r="F37" s="141"/>
      <c r="G37" s="142"/>
      <c r="H37" s="81"/>
      <c r="I37" s="109"/>
      <c r="J37" s="81"/>
      <c r="K37" s="81"/>
      <c r="L37" s="133"/>
      <c r="M37" s="116"/>
      <c r="N37" s="96"/>
      <c r="O37" s="57"/>
      <c r="P37" s="8"/>
    </row>
    <row r="38" spans="2:16" ht="18" x14ac:dyDescent="0.25">
      <c r="B38" s="7"/>
      <c r="C38" s="3"/>
      <c r="D38" s="108"/>
      <c r="E38" s="75">
        <v>1</v>
      </c>
      <c r="F38" s="141" t="s">
        <v>78</v>
      </c>
      <c r="G38" s="143"/>
      <c r="H38" s="81"/>
      <c r="I38" s="109"/>
      <c r="J38" s="81"/>
      <c r="K38" s="81"/>
      <c r="L38" s="109"/>
      <c r="M38" s="96">
        <v>850</v>
      </c>
      <c r="N38" s="96">
        <f t="shared" ref="N38" si="1">M38*E38</f>
        <v>850</v>
      </c>
      <c r="O38" s="57"/>
      <c r="P38" s="8"/>
    </row>
    <row r="39" spans="2:16" ht="18" x14ac:dyDescent="0.25">
      <c r="B39" s="7"/>
      <c r="C39" s="3"/>
      <c r="D39" s="108"/>
      <c r="E39" s="75"/>
      <c r="F39" s="141"/>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9"/>
      <c r="G51" s="170"/>
      <c r="H51" s="170"/>
      <c r="I51" s="170"/>
      <c r="J51" s="170"/>
      <c r="K51" s="170"/>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3340</v>
      </c>
      <c r="O52" s="57"/>
      <c r="P52" s="8"/>
    </row>
    <row r="53" spans="2:16" ht="15" customHeight="1" x14ac:dyDescent="0.2">
      <c r="B53" s="7"/>
      <c r="C53" s="195" t="s">
        <v>79</v>
      </c>
      <c r="D53" s="3"/>
      <c r="E53" s="82"/>
      <c r="F53" s="82"/>
      <c r="G53" s="82"/>
      <c r="H53" s="82"/>
      <c r="I53" s="82"/>
      <c r="J53" s="76"/>
      <c r="K53" s="76"/>
      <c r="L53" s="76"/>
      <c r="M53" s="106" t="s">
        <v>46</v>
      </c>
      <c r="N53" s="104">
        <v>1</v>
      </c>
      <c r="O53" s="57"/>
      <c r="P53" s="8"/>
    </row>
    <row r="54" spans="2:16" ht="12.75" customHeight="1" x14ac:dyDescent="0.2">
      <c r="B54" s="7"/>
      <c r="C54" s="3"/>
      <c r="D54" s="3"/>
      <c r="E54" s="83"/>
      <c r="F54" s="107" t="s">
        <v>25</v>
      </c>
      <c r="G54" s="82"/>
      <c r="H54" s="82"/>
      <c r="I54" s="82"/>
      <c r="J54" s="78"/>
      <c r="K54" s="78"/>
      <c r="L54" s="77"/>
      <c r="M54" s="105">
        <v>0.19</v>
      </c>
      <c r="N54" s="104">
        <f>N52*0.19</f>
        <v>634.6</v>
      </c>
      <c r="O54" s="57"/>
      <c r="P54" s="8"/>
    </row>
    <row r="55" spans="2:16" ht="3" customHeight="1" x14ac:dyDescent="0.25">
      <c r="B55" s="7"/>
      <c r="C55" s="3"/>
      <c r="D55" s="3"/>
      <c r="E55" s="85"/>
      <c r="F55" s="134" t="s">
        <v>68</v>
      </c>
      <c r="G55" s="87"/>
      <c r="H55" s="85"/>
      <c r="I55" s="82"/>
      <c r="J55" s="79"/>
      <c r="K55" s="76"/>
      <c r="L55" s="76"/>
      <c r="M55" s="152" t="s">
        <v>27</v>
      </c>
      <c r="N55" s="153">
        <f>+N52+N53+N54</f>
        <v>3975.6</v>
      </c>
      <c r="O55" s="57"/>
      <c r="P55" s="8"/>
    </row>
    <row r="56" spans="2:16" ht="15" x14ac:dyDescent="0.2">
      <c r="B56" s="7"/>
      <c r="C56" s="3"/>
      <c r="D56" s="3"/>
      <c r="E56" s="85">
        <v>3</v>
      </c>
      <c r="F56" s="107" t="s">
        <v>69</v>
      </c>
      <c r="G56" s="82"/>
      <c r="H56" s="86"/>
      <c r="I56" s="82"/>
      <c r="J56" s="80" t="s">
        <v>26</v>
      </c>
      <c r="K56" s="76"/>
      <c r="L56" s="76"/>
      <c r="M56" s="152"/>
      <c r="N56" s="154"/>
      <c r="O56" s="57"/>
      <c r="P56" s="8"/>
    </row>
    <row r="57" spans="2:16" ht="15.75" customHeight="1" x14ac:dyDescent="0.25">
      <c r="B57" s="7"/>
      <c r="C57" s="3"/>
      <c r="D57" s="3"/>
      <c r="E57" s="85"/>
      <c r="F57" s="144"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88" t="s">
        <v>72</v>
      </c>
      <c r="D61" s="188"/>
      <c r="E61" s="188"/>
      <c r="F61" s="188"/>
      <c r="G61" s="188"/>
      <c r="H61" s="127"/>
      <c r="I61" s="127"/>
      <c r="J61" s="127"/>
      <c r="K61" s="127"/>
      <c r="L61" s="127"/>
      <c r="M61" s="138" t="s">
        <v>70</v>
      </c>
      <c r="N61" s="102"/>
      <c r="O61" s="57"/>
      <c r="P61" s="8"/>
    </row>
    <row r="62" spans="2:16" ht="15.75" x14ac:dyDescent="0.2">
      <c r="B62" s="7"/>
      <c r="C62" s="189" t="s">
        <v>73</v>
      </c>
      <c r="D62" s="189"/>
      <c r="E62" s="189"/>
      <c r="F62" s="189"/>
      <c r="G62" s="189"/>
      <c r="H62" s="140"/>
      <c r="I62" s="140"/>
      <c r="J62" s="140"/>
      <c r="K62" s="140"/>
      <c r="L62" s="140"/>
      <c r="M62" s="100"/>
      <c r="N62" s="101"/>
      <c r="O62" s="57"/>
      <c r="P62" s="8"/>
    </row>
    <row r="63" spans="2:16" ht="15.75" x14ac:dyDescent="0.2">
      <c r="B63" s="7"/>
      <c r="C63" s="3"/>
      <c r="D63" s="3"/>
      <c r="E63" s="18"/>
      <c r="F63" s="192"/>
      <c r="G63" s="192"/>
      <c r="H63" s="192"/>
      <c r="I63" s="192"/>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93" t="s">
        <v>56</v>
      </c>
      <c r="G66" s="193"/>
      <c r="H66" s="193"/>
      <c r="I66" s="193"/>
      <c r="J66" s="193"/>
      <c r="K66" s="193"/>
      <c r="L66" s="193"/>
      <c r="M66" s="98"/>
      <c r="N66" s="98"/>
      <c r="O66" s="57"/>
      <c r="P66" s="8"/>
    </row>
    <row r="67" spans="1:16" ht="15.75" x14ac:dyDescent="0.2">
      <c r="B67" s="125"/>
      <c r="C67" s="3"/>
      <c r="D67" s="3"/>
      <c r="E67" s="194" t="s">
        <v>58</v>
      </c>
      <c r="F67" s="194"/>
      <c r="G67" s="194"/>
      <c r="H67" s="194"/>
      <c r="I67" s="194"/>
      <c r="J67" s="194"/>
      <c r="K67" s="194"/>
      <c r="L67" s="194"/>
      <c r="M67" s="194"/>
      <c r="N67" s="98"/>
      <c r="O67" s="57"/>
    </row>
    <row r="68" spans="1:16" ht="15.75" x14ac:dyDescent="0.2">
      <c r="B68" s="124"/>
      <c r="C68" s="3"/>
      <c r="D68" s="3"/>
      <c r="E68" s="194"/>
      <c r="F68" s="194"/>
      <c r="G68" s="194"/>
      <c r="H68" s="194"/>
      <c r="I68" s="194"/>
      <c r="J68" s="194"/>
      <c r="K68" s="194"/>
      <c r="L68" s="194"/>
      <c r="M68" s="194"/>
      <c r="N68" s="98"/>
      <c r="O68" s="57"/>
    </row>
    <row r="69" spans="1:16" ht="13.5" thickBot="1" x14ac:dyDescent="0.25">
      <c r="C69" s="119"/>
      <c r="D69" s="119"/>
      <c r="E69" s="120"/>
      <c r="F69" s="120"/>
      <c r="G69" s="120"/>
      <c r="H69" s="191"/>
      <c r="I69" s="191"/>
      <c r="J69" s="191"/>
      <c r="K69" s="191"/>
      <c r="L69" s="191"/>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90"/>
      <c r="L71" s="190"/>
      <c r="M71" s="190"/>
      <c r="N71" s="190"/>
      <c r="O71" s="190"/>
    </row>
    <row r="72" spans="1:16" x14ac:dyDescent="0.2">
      <c r="C72" s="124"/>
      <c r="D72" s="124"/>
      <c r="E72" s="124"/>
      <c r="F72" s="124"/>
      <c r="G72" s="124"/>
      <c r="H72" s="124"/>
      <c r="I72" s="124"/>
      <c r="J72" s="124"/>
      <c r="K72" s="191"/>
      <c r="L72" s="191"/>
      <c r="M72" s="191"/>
      <c r="N72" s="191"/>
      <c r="O72" s="191"/>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61:G61"/>
    <mergeCell ref="C62:G62"/>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40 M27:M51 N32:N38">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45002</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3975.6</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2023-03-17T07:36:18Z</cp:lastPrinted>
  <dcterms:created xsi:type="dcterms:W3CDTF">1995-05-29T15:50:39Z</dcterms:created>
  <dcterms:modified xsi:type="dcterms:W3CDTF">2023-03-17T07:36:46Z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3975.6</vt:r8>
  </property>
</Properties>
</file>