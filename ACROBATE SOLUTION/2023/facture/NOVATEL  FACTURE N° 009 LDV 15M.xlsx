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3" i="3" l="1"/>
  <c r="M35" i="3" l="1"/>
  <c r="M32" i="3" l="1"/>
  <c r="M34" i="3"/>
  <c r="M30" i="3" l="1"/>
  <c r="M42" i="3"/>
  <c r="M43" i="3"/>
  <c r="M44" i="3" l="1"/>
  <c r="M46" i="3" s="1"/>
  <c r="M47" i="3" s="1"/>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<sst xmlns="http://schemas.openxmlformats.org/spreadsheetml/2006/main" count="87" uniqueCount="77">
  <si>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</si>
  <si>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</si>
  <si>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</si>
  <si>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</si>
  <si>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</si>
  <si>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</si>
  <si>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</si>
  <si>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</si>
  <si>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</si>
  <si>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</si>
  <si>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</si>
  <si>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</si>
  <si>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</si>
  <si>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</si>
  <si>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</si>
  <si>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</si>
  <si>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</si>
  <si>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</si>
  <si>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</si>
  <si>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</si>
  <si>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</si>
  <si>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</si>
  <si>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</si>
  <si>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</si>
  <si>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</si>
  <si>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</si>
  <si>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</si>
  <si>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</si>
  <si>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</si>
  <si>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</si>
  <si>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</si>
  <si>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</si>
  <si>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</si>
  <si>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</si>
  <si>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</si>
  <si>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</si>
  <si>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</si>
  <si>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</si>
  <si>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</si>
  <si>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</si>
  <si>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</si>
  <si>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</si>
  <si>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</si>
  <si>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</si>
  <si>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</si>
  <si>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</si>
  <si>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</si>
  <si>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</si>
  <si>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</si>
  <si>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</si>
  <si>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</si>
  <si>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</si>
  <si>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</si>
  <si>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</si>
  <si>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</si>
  <si>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</si>
  <si>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</si>
  <si>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</si>
  <si>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</si>
  <si>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</si>
  <si>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</si>
  <si>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</si>
  <si>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</si>
  <si>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</si>
  <si>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8 rue Ibn Nafis    Z.A Kheireddine – </t>
  </si>
  <si>
    <t>MF : 1260904M/A/M/000</t>
  </si>
  <si>
    <t>55 168 801 / 58 512 960</t>
  </si>
  <si>
    <t>Responsable: Taoufik SAADANI</t>
  </si>
  <si>
    <t>NOVATEL TEl TUNISIA</t>
  </si>
  <si>
    <t>CONFORME EN 353-1: 2014 + A1:2017</t>
  </si>
  <si>
    <t>LDV 15</t>
  </si>
  <si>
    <t>LONGUEUR 15 M</t>
  </si>
  <si>
    <t>Date: 24/02/2023</t>
  </si>
  <si>
    <t>Consultation: 08_2023</t>
  </si>
  <si>
    <t xml:space="preserve">LIGNE DE VIE </t>
  </si>
  <si>
    <t>SAF_0289</t>
  </si>
  <si>
    <t>Facture  N°2023-009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</si>
</sst>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sz val="24"/>
      <color theme="1"/>
      <name val="Arial"/>
      <family val="2"/>
    </font>
    <font>
      <b/>
      <sz val="22"/>
      <name val="Times New Roman"/>
      <family val="1"/>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8" fillId="0" borderId="50" xfId="5" applyNumberFormat="1" applyFill="1" applyBorder="1" applyAlignment="1"/>
    <xf numFmtId="49" fontId="38" fillId="0" borderId="51"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4" fillId="0" borderId="55"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1" fontId="29"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0" fillId="6" borderId="53" xfId="5" applyNumberFormat="1" applyFont="1" applyFill="1" applyBorder="1" applyAlignment="1"/>
    <xf numFmtId="49" fontId="40" fillId="6" borderId="49" xfId="5" applyNumberFormat="1" applyFont="1" applyFill="1" applyBorder="1" applyAlignment="1"/>
    <xf numFmtId="49" fontId="40" fillId="6" borderId="0" xfId="5" applyNumberFormat="1" applyFont="1" applyFill="1" applyBorder="1" applyAlignment="1"/>
    <xf numFmtId="49" fontId="40" fillId="6" borderId="39" xfId="5" applyNumberFormat="1" applyFont="1" applyFill="1" applyBorder="1" applyAlignment="1"/>
    <xf numFmtId="0" fontId="23" fillId="6" borderId="28" xfId="0" applyFont="1" applyFill="1" applyBorder="1"/>
    <xf numFmtId="1" fontId="31" fillId="0" borderId="39" xfId="0" applyNumberFormat="1" applyFont="1" applyFill="1" applyBorder="1" applyAlignment="1">
      <alignment horizontal="center"/>
    </xf>
    <xf numFmtId="0" fontId="23" fillId="6" borderId="29" xfId="0" applyFont="1" applyFill="1" applyBorder="1" applyAlignment="1">
      <alignment horizontal="center"/>
    </xf>
    <xf numFmtId="49" fontId="34" fillId="0" borderId="0" xfId="0" applyNumberFormat="1" applyFont="1" applyFill="1" applyBorder="1" applyAlignment="1"/>
    <xf numFmtId="49" fontId="32" fillId="0" borderId="52" xfId="0" applyNumberFormat="1" applyFont="1" applyFill="1" applyBorder="1" applyAlignment="1"/>
    <xf numFmtId="49" fontId="32" fillId="0" borderId="53" xfId="0" applyNumberFormat="1" applyFont="1" applyFill="1" applyBorder="1" applyAlignment="1"/>
    <xf numFmtId="49" fontId="32" fillId="0" borderId="28" xfId="0" applyNumberFormat="1" applyFont="1" applyFill="1" applyBorder="1" applyAlignment="1"/>
    <xf numFmtId="49" fontId="32" fillId="0" borderId="0" xfId="0" applyNumberFormat="1" applyFont="1" applyFill="1" applyBorder="1" applyAlignment="1"/>
    <xf numFmtId="49" fontId="41" fillId="0" borderId="28" xfId="0" applyNumberFormat="1" applyFont="1" applyFill="1" applyBorder="1" applyAlignment="1"/>
    <xf numFmtId="49" fontId="43" fillId="0" borderId="0"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49" fontId="42" fillId="0" borderId="39" xfId="5"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29" fillId="0" borderId="29" xfId="0" applyNumberFormat="1" applyFont="1" applyFill="1" applyBorder="1" applyAlignment="1"/>
    <xf numFmtId="170" fontId="33" fillId="0" borderId="29" xfId="0" applyNumberFormat="1" applyFont="1" applyFill="1" applyBorder="1" applyAlignment="1">
      <alignment horizontal="center"/>
    </xf>
    <xf numFmtId="170" fontId="33" fillId="0" borderId="29" xfId="0" applyNumberFormat="1" applyFont="1" applyFill="1" applyBorder="1" applyAlignment="1">
      <alignment horizontal="center" vertical="center" shrinkToFit="1"/>
    </xf>
    <xf numFmtId="170" fontId="32" fillId="0" borderId="29" xfId="0" applyNumberFormat="1" applyFont="1" applyFill="1" applyBorder="1" applyAlignment="1">
      <alignment horizontal="center" vertical="center" shrinkToFit="1"/>
    </xf>
    <xf numFmtId="0" fontId="44" fillId="0" borderId="0" xfId="0" applyFont="1" applyFill="1" applyBorder="1"/>
    <xf numFmtId="0" fontId="45" fillId="0" borderId="0" xfId="0" applyFont="1" applyFill="1" applyBorder="1" applyAlignment="1">
      <alignment wrapText="1"/>
    </xf>
    <xf numFmtId="49" fontId="42" fillId="0" borderId="28" xfId="0" applyNumberFormat="1" applyFont="1" applyFill="1" applyBorder="1" applyAlignment="1"/>
    <xf numFmtId="49" fontId="23" fillId="0" borderId="28" xfId="0" applyNumberFormat="1" applyFont="1" applyFill="1" applyBorder="1" applyAlignment="1">
      <alignment horizontal="left" vertical="top"/>
    </xf>
    <xf numFmtId="49" fontId="46" fillId="0" borderId="28" xfId="0" applyNumberFormat="1" applyFont="1" applyFill="1" applyBorder="1" applyAlignment="1">
      <alignment horizontal="left" vertical="top"/>
    </xf>
    <xf numFmtId="49" fontId="47" fillId="0" borderId="28" xfId="0" applyNumberFormat="1" applyFont="1" applyFill="1" applyBorder="1" applyAlignment="1"/>
    <xf numFmtId="49" fontId="4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33" fillId="0" borderId="28" xfId="0" applyNumberFormat="1" applyFont="1" applyFill="1" applyBorder="1" applyAlignment="1"/>
    <xf numFmtId="49" fontId="48" fillId="0" borderId="28" xfId="0" applyNumberFormat="1" applyFont="1" applyFill="1" applyBorder="1" applyAlignment="1"/>
    <xf numFmtId="0" fontId="49" fillId="3" borderId="41" xfId="0" applyFont="1" applyFill="1" applyBorder="1" applyAlignment="1">
      <alignment horizontal="center" vertical="center" wrapText="1" shrinkToFit="1"/>
    </xf>
    <xf numFmtId="0" fontId="49" fillId="3" borderId="42" xfId="0" applyFont="1" applyFill="1" applyBorder="1" applyAlignment="1">
      <alignment horizontal="center" vertical="center" wrapText="1" shrinkToFit="1"/>
    </xf>
    <xf numFmtId="0" fontId="49" fillId="3" borderId="43" xfId="0" applyFont="1" applyFill="1" applyBorder="1" applyAlignment="1">
      <alignment horizontal="center" vertical="center" wrapText="1" shrinkToFit="1"/>
    </xf>
    <xf numFmtId="0" fontId="50"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40" zoomScale="60" zoomScaleNormal="60" workbookViewId="0">
      <selection activeCell="G53" sqref="G53:I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8" t="s">
        <v>76</v>
      </c>
      <c r="M18" s="3"/>
      <c r="N18" s="3"/>
      <c r="O18" s="9"/>
    </row>
    <row r="19" spans="2:15" ht="21.95" customHeight="1" thickTop="1" x14ac:dyDescent="0.3">
      <c r="B19" s="7"/>
      <c r="C19" s="3"/>
      <c r="D19" s="55"/>
      <c r="E19" s="55"/>
      <c r="F19" s="55"/>
      <c r="G19" s="55"/>
      <c r="H19" s="55"/>
      <c r="I19" s="55"/>
      <c r="J19" s="56"/>
      <c r="K19" s="56"/>
      <c r="L19" s="209"/>
      <c r="M19" s="56"/>
      <c r="N19" s="20"/>
      <c r="O19" s="9"/>
    </row>
    <row r="20" spans="2:15" ht="21.95" customHeight="1" thickBot="1" x14ac:dyDescent="0.25">
      <c r="B20" s="7"/>
      <c r="C20" s="3"/>
      <c r="D20" s="3"/>
      <c r="E20" s="3"/>
      <c r="F20" s="3"/>
      <c r="G20" s="3"/>
      <c r="H20" s="3"/>
      <c r="I20" s="3"/>
      <c r="J20" s="3"/>
      <c r="K20" s="3"/>
      <c r="L20" s="21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4" t="s">
        <v>68</v>
      </c>
      <c r="F22" s="194"/>
      <c r="G22" s="194"/>
      <c r="H22" s="194"/>
      <c r="I22" s="194"/>
      <c r="J22" s="194"/>
      <c r="K22" s="104"/>
      <c r="L22" s="192" t="s">
        <v>72</v>
      </c>
      <c r="M22" s="192"/>
      <c r="N22" s="52"/>
      <c r="O22" s="9"/>
    </row>
    <row r="23" spans="2:15" ht="33.75" x14ac:dyDescent="0.5">
      <c r="B23" s="7"/>
      <c r="C23" s="3"/>
      <c r="D23" s="103" t="s">
        <v>52</v>
      </c>
      <c r="E23" s="199" t="s">
        <v>64</v>
      </c>
      <c r="F23" s="199"/>
      <c r="G23" s="199"/>
      <c r="H23" s="199"/>
      <c r="I23" s="199"/>
      <c r="J23" s="199"/>
      <c r="K23" s="199"/>
      <c r="L23" s="105" t="s">
        <v>73</v>
      </c>
      <c r="M23" s="105"/>
      <c r="N23" s="53"/>
      <c r="O23" s="9"/>
    </row>
    <row r="24" spans="2:15" ht="33.75" x14ac:dyDescent="0.5">
      <c r="B24" s="7"/>
      <c r="C24" s="3"/>
      <c r="D24" s="103" t="s">
        <v>53</v>
      </c>
      <c r="E24" s="116"/>
      <c r="F24" s="106" t="s">
        <v>8</v>
      </c>
      <c r="G24" s="200"/>
      <c r="H24" s="200"/>
      <c r="I24" s="107" t="s">
        <v>9</v>
      </c>
      <c r="J24" s="108" t="s">
        <v>56</v>
      </c>
      <c r="K24" s="104"/>
      <c r="L24" s="193" t="s">
        <v>67</v>
      </c>
      <c r="M24" s="193"/>
      <c r="N24" s="3"/>
      <c r="O24" s="9"/>
    </row>
    <row r="25" spans="2:15" ht="33.75" x14ac:dyDescent="0.5">
      <c r="B25" s="7"/>
      <c r="C25" s="3"/>
      <c r="D25" s="103" t="s">
        <v>54</v>
      </c>
      <c r="E25" s="195" t="s">
        <v>66</v>
      </c>
      <c r="F25" s="196"/>
      <c r="G25" s="196"/>
      <c r="H25" s="196"/>
      <c r="I25" s="196"/>
      <c r="J25" s="196"/>
      <c r="K25" s="104"/>
      <c r="L25" s="193" t="s">
        <v>65</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1" t="s">
        <v>23</v>
      </c>
      <c r="G27" s="202"/>
      <c r="H27" s="202"/>
      <c r="I27" s="202"/>
      <c r="J27" s="202"/>
      <c r="K27" s="203"/>
      <c r="L27" s="90" t="s">
        <v>61</v>
      </c>
      <c r="M27" s="91" t="s">
        <v>24</v>
      </c>
      <c r="N27" s="92"/>
      <c r="O27" s="9"/>
    </row>
    <row r="28" spans="2:15" ht="30" x14ac:dyDescent="0.4">
      <c r="B28" s="7"/>
      <c r="C28" s="3"/>
      <c r="D28" s="153"/>
      <c r="E28" s="151"/>
      <c r="F28" s="162" t="s">
        <v>74</v>
      </c>
      <c r="G28" s="163"/>
      <c r="H28" s="163"/>
      <c r="I28" s="163"/>
      <c r="J28" s="154"/>
      <c r="K28" s="155"/>
      <c r="L28" s="112"/>
      <c r="M28" s="112" t="str">
        <f>IF(E28&lt;&gt;"",E28*L28,"")</f>
        <v/>
      </c>
      <c r="N28" s="54"/>
      <c r="O28" s="9"/>
    </row>
    <row r="29" spans="2:15" ht="30" x14ac:dyDescent="0.4">
      <c r="B29" s="7"/>
      <c r="C29" s="3"/>
      <c r="D29" s="160"/>
      <c r="E29" s="151"/>
      <c r="F29" s="164" t="s">
        <v>69</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c r="E31" s="159"/>
      <c r="F31" s="183"/>
      <c r="G31" s="143"/>
      <c r="H31" s="143"/>
      <c r="I31" s="143"/>
      <c r="J31" s="167"/>
      <c r="K31" s="170"/>
      <c r="L31" s="174"/>
      <c r="M31" s="175"/>
      <c r="N31" s="54"/>
      <c r="O31" s="9"/>
    </row>
    <row r="32" spans="2:15" ht="30" x14ac:dyDescent="0.4">
      <c r="B32" s="7"/>
      <c r="C32" s="3"/>
      <c r="D32" s="160"/>
      <c r="E32" s="151"/>
      <c r="F32" s="184"/>
      <c r="G32" s="143"/>
      <c r="H32" s="143"/>
      <c r="I32" s="143"/>
      <c r="J32" s="167"/>
      <c r="K32" s="170"/>
      <c r="L32" s="174"/>
      <c r="M32" s="175" t="str">
        <f t="shared" ref="M32:M43" si="0">IF(E32&lt;&gt;"",E32*L32,"")</f>
        <v/>
      </c>
      <c r="N32" s="54"/>
      <c r="O32" s="9"/>
    </row>
    <row r="33" spans="2:15" ht="30" x14ac:dyDescent="0.4">
      <c r="B33" s="7"/>
      <c r="C33" s="3"/>
      <c r="D33" s="160" t="s">
        <v>70</v>
      </c>
      <c r="E33" s="159">
        <v>1</v>
      </c>
      <c r="F33" s="207" t="s">
        <v>71</v>
      </c>
      <c r="G33" s="143"/>
      <c r="H33" s="143"/>
      <c r="I33" s="143"/>
      <c r="J33" s="167"/>
      <c r="K33" s="170"/>
      <c r="L33" s="174">
        <v>1617</v>
      </c>
      <c r="M33" s="175">
        <f t="shared" si="0"/>
        <v>1617</v>
      </c>
      <c r="N33" s="95"/>
      <c r="O33" s="9"/>
    </row>
    <row r="34" spans="2:15" ht="30" x14ac:dyDescent="0.4">
      <c r="B34" s="7"/>
      <c r="C34" s="3"/>
      <c r="D34" s="160"/>
      <c r="E34" s="159"/>
      <c r="F34" s="206" t="s">
        <v>75</v>
      </c>
      <c r="G34" s="143"/>
      <c r="H34" s="143"/>
      <c r="I34" s="143"/>
      <c r="J34" s="167"/>
      <c r="K34" s="170"/>
      <c r="L34" s="174"/>
      <c r="M34" s="175" t="str">
        <f t="shared" si="0"/>
        <v/>
      </c>
      <c r="N34" s="95"/>
      <c r="O34" s="9"/>
    </row>
    <row r="35" spans="2:15" ht="30" x14ac:dyDescent="0.4">
      <c r="B35" s="7"/>
      <c r="C35" s="3"/>
      <c r="D35" s="160"/>
      <c r="E35" s="159"/>
      <c r="F35" s="120"/>
      <c r="G35" s="143"/>
      <c r="H35" s="143"/>
      <c r="I35" s="143"/>
      <c r="J35" s="167"/>
      <c r="K35" s="170"/>
      <c r="L35" s="174"/>
      <c r="M35" s="175" t="str">
        <f t="shared" si="0"/>
        <v/>
      </c>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1617</v>
      </c>
      <c r="N44" s="54"/>
      <c r="O44" s="9"/>
    </row>
    <row r="45" spans="2:15" ht="35.25" x14ac:dyDescent="0.5">
      <c r="B45" s="7"/>
      <c r="C45" s="3"/>
      <c r="D45" s="102"/>
      <c r="E45" s="211" t="s">
        <v>63</v>
      </c>
      <c r="F45" s="77"/>
      <c r="G45" s="77"/>
      <c r="H45" s="77"/>
      <c r="I45" s="77"/>
      <c r="J45" s="78"/>
      <c r="K45" s="93"/>
      <c r="L45" s="127" t="s">
        <v>46</v>
      </c>
      <c r="M45" s="109">
        <v>1</v>
      </c>
      <c r="N45" s="54"/>
      <c r="O45" s="9"/>
    </row>
    <row r="46" spans="2:15" ht="35.25" x14ac:dyDescent="0.5">
      <c r="B46" s="7"/>
      <c r="C46" s="3"/>
      <c r="D46" s="99"/>
      <c r="E46" s="98" t="s">
        <v>55</v>
      </c>
      <c r="F46" s="171"/>
      <c r="G46" s="77"/>
      <c r="H46" s="77"/>
      <c r="I46" s="77"/>
      <c r="J46" s="80"/>
      <c r="K46" s="94"/>
      <c r="L46" s="129">
        <v>0.19</v>
      </c>
      <c r="M46" s="109">
        <f>(M44)*0.19</f>
        <v>307.23</v>
      </c>
      <c r="N46" s="54"/>
      <c r="O46" s="9"/>
    </row>
    <row r="47" spans="2:15" ht="35.25" x14ac:dyDescent="0.5">
      <c r="B47" s="7"/>
      <c r="C47" s="3"/>
      <c r="D47" s="85"/>
      <c r="E47" s="101"/>
      <c r="F47" s="97"/>
      <c r="G47" s="82"/>
      <c r="H47" s="81"/>
      <c r="I47" s="77"/>
      <c r="J47" s="83"/>
      <c r="K47" s="93"/>
      <c r="L47" s="110" t="s">
        <v>27</v>
      </c>
      <c r="M47" s="109">
        <f>+M44+M45+M46</f>
        <v>1925.23</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4"/>
      <c r="E50" s="204"/>
      <c r="F50" s="204"/>
      <c r="G50" s="204"/>
      <c r="H50" s="204"/>
      <c r="I50" s="204"/>
      <c r="J50" s="204"/>
      <c r="K50" s="204"/>
      <c r="L50" s="204"/>
      <c r="M50" s="122"/>
      <c r="N50" s="54"/>
      <c r="O50" s="9"/>
    </row>
    <row r="51" spans="1:16" ht="26.25" x14ac:dyDescent="0.4">
      <c r="B51" s="7"/>
      <c r="C51" s="3"/>
      <c r="D51" s="205"/>
      <c r="E51" s="205"/>
      <c r="F51" s="205"/>
      <c r="G51" s="205"/>
      <c r="H51" s="205"/>
      <c r="I51" s="205"/>
      <c r="J51" s="205"/>
      <c r="K51" s="205"/>
      <c r="L51" s="205"/>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8"/>
      <c r="H53" s="198"/>
      <c r="I53" s="198"/>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7" t="s">
        <v>62</v>
      </c>
      <c r="E59" s="197"/>
      <c r="F59" s="197"/>
      <c r="G59" s="197"/>
      <c r="H59" s="197"/>
      <c r="I59" s="197"/>
      <c r="J59" s="197"/>
      <c r="K59" s="197"/>
      <c r="L59" s="197"/>
      <c r="M59" s="88"/>
      <c r="N59" s="92"/>
      <c r="O59" s="9"/>
    </row>
    <row r="60" spans="1:16" ht="15" customHeight="1" x14ac:dyDescent="0.2">
      <c r="B60" s="7"/>
      <c r="C60" s="3"/>
      <c r="D60" s="197"/>
      <c r="E60" s="197"/>
      <c r="F60" s="197"/>
      <c r="G60" s="197"/>
      <c r="H60" s="197"/>
      <c r="I60" s="197"/>
      <c r="J60" s="197"/>
      <c r="K60" s="197"/>
      <c r="L60" s="197"/>
      <c r="M60" s="89"/>
      <c r="N60" s="54"/>
      <c r="O60" s="9"/>
    </row>
    <row r="61" spans="1:16" ht="20.100000000000001" customHeight="1" x14ac:dyDescent="0.2">
      <c r="B61" s="7"/>
      <c r="C61" s="3"/>
      <c r="D61" s="197"/>
      <c r="E61" s="197"/>
      <c r="F61" s="197"/>
      <c r="G61" s="197"/>
      <c r="H61" s="197"/>
      <c r="I61" s="197"/>
      <c r="J61" s="197"/>
      <c r="K61" s="197"/>
      <c r="L61" s="197"/>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24/02/2023</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1925.23</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2023-02-24T15:09:34Z</cp:lastPrinted>
  <dcterms:created xsi:type="dcterms:W3CDTF">1995-05-29T15:50:39Z</dcterms:created>
  <dcterms:modified xsi:type="dcterms:W3CDTF">2023-02-24T15:11:39Z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1925.23</vt:r8>
  </property>
</Properties>
</file>