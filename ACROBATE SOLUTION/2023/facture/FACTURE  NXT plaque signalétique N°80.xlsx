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8" i="3" l="1"/>
  <c r="M29" i="3"/>
  <c r="M30" i="3"/>
  <c r="M40" i="3"/>
  <c r="M41" i="3" l="1"/>
  <c r="M43" i="3" s="1"/>
  <c r="M44" i="3" s="1"/>
  <c r="M3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<sst xmlns="http://schemas.openxmlformats.org/spreadsheetml/2006/main" count="92" uniqueCount="75">
  <si>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</si>
  <si>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</si>
  <si>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</si>
  <si>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</si>
  <si>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</si>
  <si>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</si>
  <si>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</si>
  <si>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</si>
  <si>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</si>
  <si>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</si>
  <si>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</si>
  <si>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</si>
  <si>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</si>
  <si>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</si>
  <si>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</si>
  <si>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</si>
  <si>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</si>
  <si>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</si>
  <si>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</si>
  <si>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</si>
  <si>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</si>
  <si>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</si>
  <si>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</si>
  <si>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</si>
  <si>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</si>
  <si>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</si>
  <si>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</si>
  <si>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</si>
  <si>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</si>
  <si>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</si>
  <si>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</si>
  <si>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</si>
  <si>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</si>
  <si>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</si>
  <si>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</si>
  <si>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</si>
  <si>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</si>
  <si>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</si>
  <si>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</si>
  <si>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</si>
  <si>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</si>
  <si>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</si>
  <si>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</si>
  <si>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</si>
  <si>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</si>
  <si>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</si>
  <si>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</si>
  <si>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</si>
  <si>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</si>
  <si>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</si>
  <si>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</si>
  <si>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</si>
  <si>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</si>
  <si>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</si>
  <si>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</si>
  <si>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</si>
  <si>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</si>
  <si>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</si>
  <si>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</si>
  <si>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</si>
  <si>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</si>
  <si>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</si>
  <si>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</si>
  <si>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</si>
  <si>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</si>
  <si>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</si>
  <si>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</si>
  <si>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plaque signalétique métallique gravée</t>
  </si>
  <si>
    <t>PLQ</t>
  </si>
  <si>
    <t>NETWORK EXPERTISE TUNISIA</t>
  </si>
  <si>
    <t>808707S/A/M/000</t>
  </si>
  <si>
    <t xml:space="preserve">CODE SITE </t>
  </si>
  <si>
    <t>MON 0121</t>
  </si>
  <si>
    <t>BC FR 20231332</t>
  </si>
  <si>
    <t>FACTURE   N°2023-080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</si>
</sst>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2"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3"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5"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0" t="s">
        <v>74</v>
      </c>
      <c r="M17" s="151"/>
      <c r="N17" s="3"/>
      <c r="O17" s="8"/>
    </row>
    <row r="18" spans="1:15" ht="19.5" thickTop="1" x14ac:dyDescent="0.3">
      <c r="A18" s="7"/>
      <c r="B18" s="3"/>
      <c r="C18" s="58"/>
      <c r="D18" s="58"/>
      <c r="E18" s="58"/>
      <c r="F18" s="58"/>
      <c r="G18" s="58"/>
      <c r="H18" s="58"/>
      <c r="I18" s="59"/>
      <c r="J18" s="59"/>
      <c r="K18" s="59"/>
      <c r="L18" s="152"/>
      <c r="M18" s="153"/>
      <c r="N18" s="19"/>
      <c r="O18" s="8"/>
    </row>
    <row r="19" spans="1:15" ht="13.5" thickBot="1" x14ac:dyDescent="0.25">
      <c r="A19" s="7"/>
      <c r="B19" s="3"/>
      <c r="C19" s="3"/>
      <c r="D19" s="3"/>
      <c r="E19" s="3"/>
      <c r="F19" s="3"/>
      <c r="G19" s="3"/>
      <c r="H19" s="3"/>
      <c r="I19" s="3"/>
      <c r="J19" s="3"/>
      <c r="K19" s="3"/>
      <c r="L19" s="154"/>
      <c r="M19" s="155"/>
      <c r="N19" s="3"/>
      <c r="O19" s="8"/>
    </row>
    <row r="20" spans="1:15" x14ac:dyDescent="0.2">
      <c r="A20" s="7"/>
      <c r="B20" s="3"/>
      <c r="C20" s="3"/>
      <c r="D20" s="3"/>
      <c r="E20" s="3"/>
      <c r="F20" s="3"/>
      <c r="G20" s="3"/>
      <c r="H20" s="3"/>
      <c r="I20" s="3"/>
      <c r="J20" s="3"/>
      <c r="K20" s="3"/>
      <c r="L20" s="135"/>
      <c r="M20" s="3"/>
      <c r="N20" s="3"/>
      <c r="O20" s="8"/>
    </row>
    <row r="21" spans="1:15" ht="18" x14ac:dyDescent="0.25">
      <c r="A21" s="7"/>
      <c r="B21" s="3"/>
      <c r="C21" s="82" t="s">
        <v>3</v>
      </c>
      <c r="D21" s="185" t="s">
        <v>69</v>
      </c>
      <c r="E21" s="186"/>
      <c r="F21" s="186"/>
      <c r="G21" s="186"/>
      <c r="H21" s="186"/>
      <c r="I21" s="186"/>
      <c r="J21" s="82"/>
      <c r="K21" s="84" t="s">
        <v>18</v>
      </c>
      <c r="L21" s="174">
        <v>45230</v>
      </c>
      <c r="M21" s="175"/>
      <c r="N21" s="55"/>
      <c r="O21" s="8"/>
    </row>
    <row r="22" spans="1:15" ht="14.25" x14ac:dyDescent="0.2">
      <c r="A22" s="7"/>
      <c r="B22" s="3"/>
      <c r="C22" s="82" t="s">
        <v>5</v>
      </c>
      <c r="D22" s="183" t="s">
        <v>62</v>
      </c>
      <c r="E22" s="184"/>
      <c r="F22" s="184"/>
      <c r="G22" s="184"/>
      <c r="H22" s="184"/>
      <c r="I22" s="184"/>
      <c r="J22" s="82"/>
      <c r="K22" s="124" t="s">
        <v>59</v>
      </c>
      <c r="L22" s="165" t="s">
        <v>73</v>
      </c>
      <c r="M22" s="166"/>
      <c r="N22" s="56"/>
      <c r="O22" s="8"/>
    </row>
    <row r="23" spans="1:15" x14ac:dyDescent="0.2">
      <c r="A23" s="7"/>
      <c r="B23" s="3"/>
      <c r="C23" s="82" t="s">
        <v>7</v>
      </c>
      <c r="D23" s="89"/>
      <c r="E23" s="90" t="s">
        <v>8</v>
      </c>
      <c r="F23" s="181"/>
      <c r="G23" s="182"/>
      <c r="H23" s="91" t="s">
        <v>9</v>
      </c>
      <c r="I23" s="88" t="s">
        <v>51</v>
      </c>
      <c r="J23" s="82"/>
      <c r="K23" s="84" t="s">
        <v>19</v>
      </c>
      <c r="L23" s="176" t="s">
        <v>60</v>
      </c>
      <c r="M23" s="177"/>
      <c r="N23" s="3"/>
      <c r="O23" s="8"/>
    </row>
    <row r="24" spans="1:15" x14ac:dyDescent="0.2">
      <c r="A24" s="7"/>
      <c r="B24" s="3"/>
      <c r="C24" s="82" t="s">
        <v>20</v>
      </c>
      <c r="D24" s="187" t="s">
        <v>63</v>
      </c>
      <c r="E24" s="188"/>
      <c r="F24" s="188"/>
      <c r="G24" s="188"/>
      <c r="H24" s="188"/>
      <c r="I24" s="188"/>
      <c r="J24" s="82"/>
      <c r="K24" s="84" t="s">
        <v>47</v>
      </c>
      <c r="L24" s="178" t="s">
        <v>70</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9"/>
      <c r="L27" s="128"/>
      <c r="M27" s="96" t="str">
        <f t="shared" ref="M27:M29" si="0">IF(D27&lt;&gt;"",D27*L27,"")</f>
        <v/>
      </c>
      <c r="N27" s="57"/>
      <c r="O27" s="8"/>
    </row>
    <row r="28" spans="1:15" ht="18.75" x14ac:dyDescent="0.3">
      <c r="A28" s="7"/>
      <c r="B28" s="3"/>
      <c r="C28" s="93"/>
      <c r="D28" s="75"/>
      <c r="E28" s="133"/>
      <c r="F28" s="131"/>
      <c r="G28" s="131"/>
      <c r="H28" s="131"/>
      <c r="I28" s="131"/>
      <c r="J28" s="131"/>
      <c r="K28" s="130"/>
      <c r="L28" s="128"/>
      <c r="M28" s="96" t="str">
        <f t="shared" si="0"/>
        <v/>
      </c>
      <c r="N28" s="57"/>
      <c r="O28" s="8"/>
    </row>
    <row r="29" spans="1:15" ht="18.75" x14ac:dyDescent="0.3">
      <c r="A29" s="7"/>
      <c r="B29" s="3"/>
      <c r="C29" s="93" t="s">
        <v>68</v>
      </c>
      <c r="D29" s="75">
        <v>1</v>
      </c>
      <c r="E29" s="140" t="s">
        <v>67</v>
      </c>
      <c r="F29" s="131"/>
      <c r="G29" s="131"/>
      <c r="H29" s="131"/>
      <c r="I29" s="131"/>
      <c r="J29" s="131"/>
      <c r="K29" s="130"/>
      <c r="L29" s="128">
        <v>80</v>
      </c>
      <c r="M29" s="96">
        <f t="shared" si="0"/>
        <v>80</v>
      </c>
      <c r="N29" s="57"/>
      <c r="O29" s="8"/>
    </row>
    <row r="30" spans="1:15" ht="15" x14ac:dyDescent="0.2">
      <c r="A30" s="7"/>
      <c r="B30" s="3"/>
      <c r="C30" s="107"/>
      <c r="D30" s="75"/>
      <c r="E30" s="134" t="s">
        <v>71</v>
      </c>
      <c r="F30" s="132"/>
      <c r="G30" s="81"/>
      <c r="H30" s="108"/>
      <c r="I30" s="108"/>
      <c r="J30" s="81"/>
      <c r="K30" s="130"/>
      <c r="L30" s="114"/>
      <c r="M30" s="96" t="str">
        <f>IF(D30&lt;&gt;"",D30*L30,"")</f>
        <v/>
      </c>
      <c r="N30" s="57"/>
      <c r="O30" s="8"/>
    </row>
    <row r="31" spans="1:15" ht="18" x14ac:dyDescent="0.25">
      <c r="A31" s="7"/>
      <c r="B31" s="3"/>
      <c r="C31" s="107"/>
      <c r="D31" s="75"/>
      <c r="E31" s="122" t="s">
        <v>72</v>
      </c>
      <c r="F31" s="132"/>
      <c r="G31" s="81"/>
      <c r="H31" s="108"/>
      <c r="I31" s="108"/>
      <c r="J31" s="81"/>
      <c r="K31" s="130"/>
      <c r="L31" s="114"/>
      <c r="M31" s="96"/>
      <c r="N31" s="57"/>
      <c r="O31" s="8"/>
    </row>
    <row r="32" spans="1:15" ht="18" x14ac:dyDescent="0.25">
      <c r="A32" s="7"/>
      <c r="B32" s="3"/>
      <c r="C32" s="107"/>
      <c r="D32" s="75"/>
      <c r="E32" s="122"/>
      <c r="F32" s="132"/>
      <c r="G32" s="81"/>
      <c r="H32" s="108"/>
      <c r="I32" s="108"/>
      <c r="J32" s="81"/>
      <c r="K32" s="130"/>
      <c r="L32" s="114"/>
      <c r="M32" s="96"/>
      <c r="N32" s="57"/>
      <c r="O32" s="8"/>
    </row>
    <row r="33" spans="1:15" ht="15" x14ac:dyDescent="0.2">
      <c r="A33" s="7"/>
      <c r="B33" s="3"/>
      <c r="C33" s="107"/>
      <c r="D33" s="75"/>
      <c r="E33" s="134"/>
      <c r="F33" s="132"/>
      <c r="G33" s="81"/>
      <c r="H33" s="108"/>
      <c r="I33" s="108"/>
      <c r="J33" s="81"/>
      <c r="K33" s="130"/>
      <c r="L33" s="114"/>
      <c r="M33" s="96"/>
      <c r="N33" s="57"/>
      <c r="O33" s="8"/>
    </row>
    <row r="34" spans="1:15" ht="15" x14ac:dyDescent="0.2">
      <c r="A34" s="7"/>
      <c r="B34" s="3"/>
      <c r="C34" s="107"/>
      <c r="D34" s="75"/>
      <c r="E34" s="81"/>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5" x14ac:dyDescent="0.2">
      <c r="A36" s="7"/>
      <c r="B36" s="3"/>
      <c r="C36" s="107"/>
      <c r="D36" s="75"/>
      <c r="E36" s="113"/>
      <c r="F36" s="108"/>
      <c r="G36" s="81"/>
      <c r="H36" s="108"/>
      <c r="I36" s="108"/>
      <c r="J36" s="81"/>
      <c r="K36" s="108"/>
      <c r="L36" s="96"/>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t="str">
        <f>IF(D40&lt;&gt;"",D40*L39,"")</f>
        <v/>
      </c>
      <c r="N39" s="57"/>
      <c r="O39" s="8"/>
    </row>
    <row r="40" spans="1:15" ht="15" customHeight="1" x14ac:dyDescent="0.2">
      <c r="A40" s="7"/>
      <c r="B40" s="3"/>
      <c r="C40" s="94"/>
      <c r="D40" s="54"/>
      <c r="E40" s="172"/>
      <c r="F40" s="173"/>
      <c r="G40" s="173"/>
      <c r="H40" s="173"/>
      <c r="I40" s="173"/>
      <c r="J40" s="173"/>
      <c r="K40" s="116"/>
      <c r="L40" s="96"/>
      <c r="M40" s="96" t="str">
        <f>IF(D41&lt;&gt;"",D41*L40,"")</f>
        <v/>
      </c>
      <c r="N40" s="57"/>
      <c r="O40" s="8"/>
    </row>
    <row r="41" spans="1:15" ht="15" customHeight="1" x14ac:dyDescent="0.25">
      <c r="A41" s="7"/>
      <c r="B41" s="3"/>
      <c r="C41" s="3"/>
      <c r="D41" s="82"/>
      <c r="E41" s="82"/>
      <c r="F41" s="82"/>
      <c r="G41" s="82"/>
      <c r="H41" s="82"/>
      <c r="I41" s="76"/>
      <c r="J41" s="76"/>
      <c r="K41" s="76"/>
      <c r="L41" s="102" t="s">
        <v>24</v>
      </c>
      <c r="M41" s="97">
        <f>SUM(M27:M40)</f>
        <v>80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15.2</v>
      </c>
      <c r="N43" s="57"/>
      <c r="O43" s="8"/>
    </row>
    <row r="44" spans="1:15" ht="15.75" x14ac:dyDescent="0.25">
      <c r="A44" s="7"/>
      <c r="B44" s="3"/>
      <c r="C44" s="3"/>
      <c r="D44" s="85"/>
      <c r="E44" s="137" t="s">
        <v>64</v>
      </c>
      <c r="F44" s="87"/>
      <c r="G44" s="85"/>
      <c r="H44" s="82"/>
      <c r="I44" s="79"/>
      <c r="J44" s="76"/>
      <c r="K44" s="76"/>
      <c r="L44" s="168" t="s">
        <v>27</v>
      </c>
      <c r="M44" s="148">
        <f>+M41+M42+M43</f>
        <v>96.2</v>
      </c>
      <c r="N44" s="57"/>
      <c r="O44" s="8"/>
    </row>
    <row r="45" spans="1:15" ht="15" x14ac:dyDescent="0.2">
      <c r="A45" s="7"/>
      <c r="B45" s="3"/>
      <c r="C45" s="3"/>
      <c r="D45" s="85">
        <v>1</v>
      </c>
      <c r="E45" s="106" t="s">
        <v>56</v>
      </c>
      <c r="F45" s="82"/>
      <c r="G45" s="86"/>
      <c r="H45" s="82"/>
      <c r="I45" s="80" t="s">
        <v>26</v>
      </c>
      <c r="J45" s="76"/>
      <c r="K45" s="76"/>
      <c r="L45" s="168"/>
      <c r="M45" s="149"/>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5"/>
      <c r="C47" s="125"/>
      <c r="D47" s="125"/>
      <c r="E47" s="125"/>
      <c r="F47" s="125"/>
      <c r="G47" s="125"/>
      <c r="H47" s="125"/>
      <c r="I47" s="125"/>
      <c r="J47" s="125"/>
      <c r="K47" s="125"/>
      <c r="L47" s="126"/>
      <c r="M47" s="127"/>
      <c r="N47" s="57"/>
      <c r="O47" s="8"/>
    </row>
    <row r="48" spans="1:15" ht="12.75" customHeight="1" x14ac:dyDescent="0.2">
      <c r="A48" s="7"/>
      <c r="B48" s="124"/>
      <c r="C48" s="124"/>
      <c r="D48" s="124"/>
      <c r="E48" s="124"/>
      <c r="F48" s="124"/>
      <c r="G48" s="124"/>
      <c r="H48" s="124"/>
      <c r="I48" s="124"/>
      <c r="J48" s="124"/>
      <c r="K48" s="124"/>
      <c r="L48" s="98" t="s">
        <v>61</v>
      </c>
      <c r="M48" s="101"/>
      <c r="N48" s="57"/>
      <c r="O48" s="8"/>
    </row>
    <row r="49" spans="1:15" ht="3" customHeight="1" x14ac:dyDescent="0.2">
      <c r="A49" s="7"/>
      <c r="B49" s="124"/>
      <c r="C49" s="124" t="s">
        <v>65</v>
      </c>
      <c r="D49" s="124"/>
      <c r="E49" s="124"/>
      <c r="F49" s="124"/>
      <c r="G49" s="124"/>
      <c r="H49" s="124"/>
      <c r="I49" s="124"/>
      <c r="J49" s="124"/>
      <c r="K49" s="124"/>
      <c r="L49" s="101"/>
      <c r="M49" s="101"/>
      <c r="N49" s="57"/>
      <c r="O49" s="8"/>
    </row>
    <row r="50" spans="1:15" ht="15.75" x14ac:dyDescent="0.25">
      <c r="A50" s="7"/>
      <c r="B50" s="138"/>
      <c r="C50" s="139" t="s">
        <v>65</v>
      </c>
      <c r="D50" s="138"/>
      <c r="E50" s="124"/>
      <c r="F50" s="124"/>
      <c r="G50" s="124"/>
      <c r="H50" s="124"/>
      <c r="I50" s="124"/>
      <c r="J50" s="124"/>
      <c r="K50" s="124"/>
      <c r="L50" s="101"/>
      <c r="M50" s="101"/>
      <c r="N50" s="57"/>
      <c r="O50" s="8"/>
    </row>
    <row r="51" spans="1:15" ht="15.75" customHeight="1" x14ac:dyDescent="0.2">
      <c r="A51" s="7"/>
      <c r="B51" s="167" t="s">
        <v>66</v>
      </c>
      <c r="C51" s="167"/>
      <c r="D51" s="167"/>
      <c r="E51" s="136"/>
      <c r="F51" s="136"/>
      <c r="G51" s="136"/>
      <c r="H51" s="136"/>
      <c r="I51" s="136"/>
      <c r="J51" s="136"/>
      <c r="K51" s="136"/>
      <c r="L51" s="99"/>
      <c r="M51" s="100"/>
      <c r="N51" s="57"/>
      <c r="O51" s="8"/>
    </row>
    <row r="52" spans="1:15" ht="15.75" customHeight="1" x14ac:dyDescent="0.2">
      <c r="A52" s="7"/>
      <c r="B52" s="3"/>
      <c r="C52" s="3"/>
      <c r="D52" s="160" t="s">
        <v>58</v>
      </c>
      <c r="E52" s="161"/>
      <c r="F52" s="161"/>
      <c r="G52" s="161"/>
      <c r="H52" s="161"/>
      <c r="I52" s="161"/>
      <c r="J52" s="161"/>
      <c r="K52" s="161"/>
      <c r="L52" s="161"/>
      <c r="M52" s="161"/>
      <c r="N52" s="57"/>
      <c r="O52" s="8"/>
    </row>
    <row r="53" spans="1:15" ht="0.95" customHeight="1" x14ac:dyDescent="0.2">
      <c r="A53" s="7"/>
      <c r="B53" s="3"/>
      <c r="C53" s="3"/>
      <c r="D53" s="161"/>
      <c r="E53" s="161"/>
      <c r="F53" s="161"/>
      <c r="G53" s="161"/>
      <c r="H53" s="161"/>
      <c r="I53" s="161"/>
      <c r="J53" s="161"/>
      <c r="K53" s="161"/>
      <c r="L53" s="161"/>
      <c r="M53" s="161"/>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58" t="s">
        <v>55</v>
      </c>
      <c r="F55" s="158"/>
      <c r="G55" s="158"/>
      <c r="H55" s="158"/>
      <c r="I55" s="158"/>
      <c r="J55" s="158"/>
      <c r="K55" s="158"/>
      <c r="L55" s="98"/>
      <c r="M55" s="98"/>
      <c r="N55" s="57"/>
      <c r="O55" s="8"/>
    </row>
    <row r="56" spans="1:15" ht="16.5" thickTop="1" x14ac:dyDescent="0.2">
      <c r="A56" s="58"/>
      <c r="B56" s="3"/>
      <c r="C56" s="3"/>
      <c r="D56" s="159" t="s">
        <v>57</v>
      </c>
      <c r="E56" s="159"/>
      <c r="F56" s="159"/>
      <c r="G56" s="159"/>
      <c r="H56" s="159"/>
      <c r="I56" s="159"/>
      <c r="J56" s="159"/>
      <c r="K56" s="159"/>
      <c r="L56" s="159"/>
      <c r="M56" s="98"/>
      <c r="N56" s="57"/>
    </row>
    <row r="57" spans="1:15" ht="15.75" x14ac:dyDescent="0.2">
      <c r="A57" s="121"/>
      <c r="B57" s="3"/>
      <c r="C57" s="3"/>
      <c r="D57" s="159"/>
      <c r="E57" s="159"/>
      <c r="F57" s="159"/>
      <c r="G57" s="159"/>
      <c r="H57" s="159"/>
      <c r="I57" s="159"/>
      <c r="J57" s="159"/>
      <c r="K57" s="159"/>
      <c r="L57" s="159"/>
      <c r="M57" s="98"/>
      <c r="N57" s="57"/>
    </row>
    <row r="58" spans="1:15" ht="12.75" customHeight="1" thickBot="1" x14ac:dyDescent="0.25">
      <c r="A58" s="120"/>
      <c r="B58" s="117"/>
      <c r="C58" s="117"/>
      <c r="D58" s="118"/>
      <c r="E58" s="118"/>
      <c r="F58" s="118"/>
      <c r="G58" s="157"/>
      <c r="H58" s="157"/>
      <c r="I58" s="157"/>
      <c r="J58" s="157"/>
      <c r="K58" s="157"/>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56"/>
      <c r="K60" s="156"/>
      <c r="L60" s="156"/>
      <c r="M60" s="156"/>
      <c r="N60" s="156"/>
    </row>
    <row r="61" spans="1:15" x14ac:dyDescent="0.2">
      <c r="B61" s="120"/>
      <c r="C61" s="120"/>
      <c r="D61" s="120"/>
      <c r="E61" s="120"/>
      <c r="F61" s="120"/>
      <c r="G61" s="120"/>
      <c r="H61" s="120"/>
      <c r="I61" s="120"/>
      <c r="J61" s="157"/>
      <c r="K61" s="157"/>
      <c r="L61" s="157"/>
      <c r="M61" s="157"/>
      <c r="N61" s="15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29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L27:L40">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0">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45230</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96.2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2023-10-31T08:37:23Z</cp:lastPrinted>
  <dcterms:created xsi:type="dcterms:W3CDTF">1995-05-29T15:50:39Z</dcterms:created>
  <dcterms:modified xsi:type="dcterms:W3CDTF">2023-10-31T08:38:08Z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96.2</vt:r8>
  </property>
</Properties>
</file>