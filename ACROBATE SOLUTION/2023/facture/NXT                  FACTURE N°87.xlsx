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1" i="3" l="1"/>
  <c r="M35" i="3"/>
  <c r="M44" i="3"/>
  <c r="M46" i="3"/>
  <c r="M47" i="3" s="1"/>
  <c r="M28" i="3" l="1"/>
  <c r="M2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<sst xmlns="http://schemas.openxmlformats.org/spreadsheetml/2006/main" count="98" uniqueCount="81">
  <si>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</si>
  <si>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</si>
  <si>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</si>
  <si>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</si>
  <si>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</si>
  <si>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</si>
  <si>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</si>
  <si>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</si>
  <si>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</si>
  <si>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</si>
  <si>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</si>
  <si>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</si>
  <si>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</si>
  <si>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</si>
  <si>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</si>
  <si>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</si>
  <si>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</si>
  <si>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</si>
  <si>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</si>
  <si>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</si>
  <si>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</si>
  <si>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</si>
  <si>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</si>
  <si>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</si>
  <si>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</si>
  <si>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</si>
  <si>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</si>
  <si>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</si>
  <si>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</si>
  <si>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</si>
  <si>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</si>
  <si>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</si>
  <si>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</si>
  <si>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</si>
  <si>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</si>
  <si>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</si>
  <si>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</si>
  <si>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</si>
  <si>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</si>
  <si>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</si>
  <si>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</si>
  <si>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</si>
  <si>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</si>
  <si>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</si>
  <si>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</si>
  <si>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</si>
  <si>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</si>
  <si>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</si>
  <si>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</si>
  <si>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</si>
  <si>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</si>
  <si>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</si>
  <si>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</si>
  <si>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</si>
  <si>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</si>
  <si>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</si>
  <si>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</si>
  <si>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</si>
  <si>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</si>
  <si>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</si>
  <si>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</si>
  <si>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</si>
  <si>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</si>
  <si>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</si>
  <si>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</si>
  <si>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</si>
  <si>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</si>
  <si>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</si>
  <si>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</si>
  <si>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</si>
  <si>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</si>
  <si>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LDV25M</t>
  </si>
  <si>
    <t xml:space="preserve">SITE ORANGE </t>
  </si>
  <si>
    <t xml:space="preserve">LONGUEUR 25M SANS PLAQUE </t>
  </si>
  <si>
    <t>LDV45M</t>
  </si>
  <si>
    <t xml:space="preserve">LONGUEUR 45M </t>
  </si>
  <si>
    <t>SITE OOREEDO</t>
  </si>
  <si>
    <t>MED1199</t>
  </si>
  <si>
    <t>MON0121</t>
  </si>
  <si>
    <t>BC_FR _20231372/BC_FR_20231411</t>
  </si>
  <si>
    <t>Facture N°2023-087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</si>
</sst>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6" borderId="0" xfId="0" applyFont="1" applyFill="1" applyBorder="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23" fillId="3" borderId="37" xfId="0" applyNumberFormat="1" applyFont="1" applyFill="1" applyBorder="1" applyAlignment="1">
      <alignment horizontal="center"/>
    </xf>
    <xf numFmtId="49" fontId="23"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5"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6"/>
      <c r="M9" s="16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5" t="s">
        <v>54</v>
      </c>
      <c r="M13" s="176"/>
      <c r="N13" s="3"/>
      <c r="O13" s="8"/>
    </row>
    <row r="14" spans="1:15" x14ac:dyDescent="0.2">
      <c r="A14" s="7"/>
      <c r="B14" s="3"/>
      <c r="C14" s="3"/>
      <c r="D14" s="3"/>
      <c r="E14" s="3"/>
      <c r="F14" s="3"/>
      <c r="G14" s="165"/>
      <c r="H14" s="165"/>
      <c r="I14" s="165"/>
      <c r="J14" s="165"/>
      <c r="K14" s="165"/>
      <c r="L14" s="3"/>
      <c r="M14" s="3"/>
      <c r="N14" s="3"/>
      <c r="O14" s="8"/>
    </row>
    <row r="15" spans="1:15" ht="20.100000000000001" customHeight="1" x14ac:dyDescent="0.2">
      <c r="A15" s="7"/>
      <c r="B15" s="3"/>
      <c r="C15" s="3"/>
      <c r="D15" s="3"/>
      <c r="E15" s="3"/>
      <c r="F15" s="3"/>
      <c r="G15" s="165"/>
      <c r="H15" s="165"/>
      <c r="I15" s="165"/>
      <c r="J15" s="165"/>
      <c r="K15" s="16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80</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1" t="s">
        <v>68</v>
      </c>
      <c r="E21" s="182"/>
      <c r="F21" s="182"/>
      <c r="G21" s="182"/>
      <c r="H21" s="182"/>
      <c r="I21" s="182"/>
      <c r="J21" s="82"/>
      <c r="K21" s="84" t="s">
        <v>18</v>
      </c>
      <c r="L21" s="170">
        <v>45254</v>
      </c>
      <c r="M21" s="171"/>
      <c r="N21" s="55"/>
      <c r="O21" s="8"/>
    </row>
    <row r="22" spans="1:15" x14ac:dyDescent="0.2">
      <c r="A22" s="7"/>
      <c r="B22" s="3"/>
      <c r="C22" s="82" t="s">
        <v>5</v>
      </c>
      <c r="D22" s="179" t="s">
        <v>62</v>
      </c>
      <c r="E22" s="180"/>
      <c r="F22" s="180"/>
      <c r="G22" s="180"/>
      <c r="H22" s="180"/>
      <c r="I22" s="180"/>
      <c r="J22" s="82"/>
      <c r="K22" s="123" t="s">
        <v>59</v>
      </c>
      <c r="L22" s="193" t="s">
        <v>79</v>
      </c>
      <c r="M22" s="194"/>
      <c r="N22" s="56"/>
      <c r="O22" s="8"/>
    </row>
    <row r="23" spans="1:15" x14ac:dyDescent="0.2">
      <c r="A23" s="7"/>
      <c r="B23" s="3"/>
      <c r="C23" s="82" t="s">
        <v>7</v>
      </c>
      <c r="D23" s="89"/>
      <c r="E23" s="90" t="s">
        <v>8</v>
      </c>
      <c r="F23" s="177"/>
      <c r="G23" s="178"/>
      <c r="H23" s="91" t="s">
        <v>9</v>
      </c>
      <c r="I23" s="88" t="s">
        <v>51</v>
      </c>
      <c r="J23" s="82"/>
      <c r="K23" s="84" t="s">
        <v>19</v>
      </c>
      <c r="L23" s="172" t="s">
        <v>60</v>
      </c>
      <c r="M23" s="173"/>
      <c r="N23" s="3"/>
      <c r="O23" s="8"/>
    </row>
    <row r="24" spans="1:15" x14ac:dyDescent="0.2">
      <c r="A24" s="7"/>
      <c r="B24" s="3"/>
      <c r="C24" s="82" t="s">
        <v>20</v>
      </c>
      <c r="D24" s="183" t="s">
        <v>63</v>
      </c>
      <c r="E24" s="184"/>
      <c r="F24" s="184"/>
      <c r="G24" s="184"/>
      <c r="H24" s="184"/>
      <c r="I24" s="184"/>
      <c r="J24" s="82"/>
      <c r="K24" s="84" t="s">
        <v>47</v>
      </c>
      <c r="L24" s="174" t="s">
        <v>67</v>
      </c>
      <c r="M24" s="17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2" t="s">
        <v>23</v>
      </c>
      <c r="N26" s="57"/>
      <c r="O26" s="8"/>
    </row>
    <row r="27" spans="1:15" ht="15.75" x14ac:dyDescent="0.25">
      <c r="A27" s="7"/>
      <c r="B27" s="3"/>
      <c r="C27" s="93"/>
      <c r="D27" s="75"/>
      <c r="E27" s="185"/>
      <c r="F27" s="186"/>
      <c r="G27" s="186"/>
      <c r="H27" s="186"/>
      <c r="I27" s="186"/>
      <c r="J27" s="186"/>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2"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71</v>
      </c>
      <c r="D31" s="75">
        <v>1</v>
      </c>
      <c r="E31" s="138" t="s">
        <v>73</v>
      </c>
      <c r="F31" s="140"/>
      <c r="G31" s="81"/>
      <c r="H31" s="108"/>
      <c r="I31" s="108"/>
      <c r="J31" s="81"/>
      <c r="K31" s="129"/>
      <c r="L31" s="114">
        <v>2075</v>
      </c>
      <c r="M31" s="114">
        <f>+L31*D31</f>
        <v>2075</v>
      </c>
      <c r="N31" s="57"/>
      <c r="O31" s="8"/>
    </row>
    <row r="32" spans="1:15" ht="20.25" x14ac:dyDescent="0.3">
      <c r="A32" s="7"/>
      <c r="B32" s="3"/>
      <c r="C32" s="107"/>
      <c r="D32" s="75"/>
      <c r="E32" s="138" t="s">
        <v>72</v>
      </c>
      <c r="F32" s="140"/>
      <c r="G32" s="81"/>
      <c r="H32" s="108"/>
      <c r="I32" s="108"/>
      <c r="J32" s="81"/>
      <c r="K32" s="129"/>
      <c r="L32" s="114"/>
      <c r="M32" s="114"/>
      <c r="N32" s="57"/>
      <c r="O32" s="8"/>
    </row>
    <row r="33" spans="1:15" ht="20.25" x14ac:dyDescent="0.3">
      <c r="A33" s="7"/>
      <c r="B33" s="3"/>
      <c r="C33" s="107"/>
      <c r="D33" s="75"/>
      <c r="E33" s="143" t="s">
        <v>78</v>
      </c>
      <c r="F33" s="140"/>
      <c r="G33" s="81"/>
      <c r="H33" s="108"/>
      <c r="I33" s="108"/>
      <c r="J33" s="81"/>
      <c r="K33" s="129"/>
      <c r="L33" s="114"/>
      <c r="M33" s="114"/>
      <c r="N33" s="57"/>
      <c r="O33" s="8"/>
    </row>
    <row r="34" spans="1:15" ht="20.25" x14ac:dyDescent="0.3">
      <c r="A34" s="7"/>
      <c r="B34" s="3"/>
      <c r="C34" s="107"/>
      <c r="D34" s="75"/>
      <c r="E34" s="138"/>
      <c r="F34" s="131"/>
      <c r="G34" s="81"/>
      <c r="H34" s="108"/>
      <c r="I34" s="81"/>
      <c r="J34" s="81"/>
      <c r="K34" s="129"/>
      <c r="L34" s="114"/>
      <c r="M34" s="114"/>
      <c r="N34" s="57"/>
      <c r="O34" s="8"/>
    </row>
    <row r="35" spans="1:15" ht="20.25" x14ac:dyDescent="0.3">
      <c r="A35" s="7"/>
      <c r="B35" s="3"/>
      <c r="C35" s="107" t="s">
        <v>74</v>
      </c>
      <c r="D35" s="75">
        <v>1</v>
      </c>
      <c r="E35" s="138" t="s">
        <v>75</v>
      </c>
      <c r="F35" s="131"/>
      <c r="G35" s="81"/>
      <c r="H35" s="108"/>
      <c r="I35" s="81"/>
      <c r="J35" s="81"/>
      <c r="K35" s="108"/>
      <c r="L35" s="96">
        <v>2948</v>
      </c>
      <c r="M35" s="114">
        <f t="shared" ref="M35" si="1">+L35*D35</f>
        <v>2948</v>
      </c>
      <c r="N35" s="57"/>
      <c r="O35" s="8"/>
    </row>
    <row r="36" spans="1:15" ht="20.25" x14ac:dyDescent="0.3">
      <c r="A36" s="7"/>
      <c r="B36" s="3"/>
      <c r="C36" s="141"/>
      <c r="D36" s="75"/>
      <c r="E36" s="138" t="s">
        <v>76</v>
      </c>
      <c r="F36" s="122"/>
      <c r="G36" s="81"/>
      <c r="H36" s="108"/>
      <c r="I36" s="81"/>
      <c r="J36" s="81"/>
      <c r="K36" s="108"/>
      <c r="L36" s="96"/>
      <c r="M36" s="96"/>
      <c r="N36" s="57"/>
      <c r="O36" s="8"/>
    </row>
    <row r="37" spans="1:15" ht="18" x14ac:dyDescent="0.25">
      <c r="A37" s="7"/>
      <c r="B37" s="3"/>
      <c r="C37" s="107"/>
      <c r="D37" s="75"/>
      <c r="E37" s="143" t="s">
        <v>77</v>
      </c>
      <c r="F37" s="122"/>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68"/>
      <c r="F43" s="169"/>
      <c r="G43" s="169"/>
      <c r="H43" s="169"/>
      <c r="I43" s="169"/>
      <c r="J43" s="169"/>
      <c r="K43" s="116"/>
      <c r="L43" s="96"/>
      <c r="M43" s="96"/>
      <c r="N43" s="57"/>
      <c r="O43" s="8"/>
    </row>
    <row r="44" spans="1:15" ht="15" customHeight="1" x14ac:dyDescent="0.25">
      <c r="A44" s="7"/>
      <c r="B44" s="3"/>
      <c r="C44" s="3"/>
      <c r="D44" s="82"/>
      <c r="E44" s="82"/>
      <c r="F44" s="82"/>
      <c r="G44" s="82"/>
      <c r="H44" s="82"/>
      <c r="I44" s="76"/>
      <c r="J44" s="76"/>
      <c r="K44" s="76"/>
      <c r="L44" s="102" t="s">
        <v>24</v>
      </c>
      <c r="M44" s="97">
        <f>SUM(M30:M36)</f>
        <v>5023</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44" t="s">
        <v>25</v>
      </c>
      <c r="F46" s="82"/>
      <c r="G46" s="82"/>
      <c r="H46" s="82"/>
      <c r="I46" s="78"/>
      <c r="J46" s="78"/>
      <c r="K46" s="77"/>
      <c r="L46" s="104">
        <v>0.19</v>
      </c>
      <c r="M46" s="103">
        <f>M44*0.19</f>
        <v>954.37</v>
      </c>
      <c r="N46" s="57"/>
      <c r="O46" s="8"/>
    </row>
    <row r="47" spans="1:15" ht="15.75" x14ac:dyDescent="0.25">
      <c r="A47" s="7"/>
      <c r="B47" s="3"/>
      <c r="C47" s="3"/>
      <c r="D47" s="85"/>
      <c r="E47" s="134" t="s">
        <v>64</v>
      </c>
      <c r="F47" s="87"/>
      <c r="G47" s="85"/>
      <c r="H47" s="82"/>
      <c r="I47" s="79"/>
      <c r="J47" s="76"/>
      <c r="K47" s="76"/>
      <c r="L47" s="164" t="s">
        <v>27</v>
      </c>
      <c r="M47" s="152">
        <f>SUM(M44:M46)</f>
        <v>5978.37</v>
      </c>
      <c r="N47" s="57"/>
      <c r="O47" s="8"/>
    </row>
    <row r="48" spans="1:15" ht="15" x14ac:dyDescent="0.2">
      <c r="A48" s="7"/>
      <c r="B48" s="3"/>
      <c r="C48" s="3"/>
      <c r="D48" s="85">
        <v>1</v>
      </c>
      <c r="E48" s="106" t="s">
        <v>56</v>
      </c>
      <c r="F48" s="82"/>
      <c r="G48" s="86"/>
      <c r="H48" s="82"/>
      <c r="I48" s="80" t="s">
        <v>26</v>
      </c>
      <c r="J48" s="76"/>
      <c r="K48" s="76"/>
      <c r="L48" s="164"/>
      <c r="M48" s="153"/>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63" t="s">
        <v>66</v>
      </c>
      <c r="C54" s="163"/>
      <c r="D54" s="163"/>
      <c r="E54" s="133"/>
      <c r="F54" s="133"/>
      <c r="G54" s="133"/>
      <c r="H54" s="133"/>
      <c r="I54" s="133"/>
      <c r="J54" s="133"/>
      <c r="K54" s="133"/>
      <c r="L54" s="99"/>
      <c r="M54" s="100"/>
      <c r="N54" s="57"/>
      <c r="O54" s="8"/>
    </row>
    <row r="55" spans="1:15" ht="15.75" customHeight="1" x14ac:dyDescent="0.2">
      <c r="A55" s="7"/>
      <c r="B55" s="3"/>
      <c r="C55" s="3"/>
      <c r="D55" s="192" t="s">
        <v>58</v>
      </c>
      <c r="E55" s="192"/>
      <c r="F55" s="192"/>
      <c r="G55" s="192"/>
      <c r="H55" s="192"/>
      <c r="I55" s="192"/>
      <c r="J55" s="192"/>
      <c r="K55" s="192"/>
      <c r="L55" s="192"/>
      <c r="M55" s="192"/>
      <c r="N55" s="57"/>
      <c r="O55" s="8"/>
    </row>
    <row r="56" spans="1:15" ht="0.95" customHeight="1" x14ac:dyDescent="0.2">
      <c r="A56" s="7"/>
      <c r="B56" s="3"/>
      <c r="C56" s="3"/>
      <c r="D56" s="192"/>
      <c r="E56" s="192"/>
      <c r="F56" s="192"/>
      <c r="G56" s="192"/>
      <c r="H56" s="192"/>
      <c r="I56" s="192"/>
      <c r="J56" s="192"/>
      <c r="K56" s="192"/>
      <c r="L56" s="192"/>
      <c r="M56" s="192"/>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91" t="s">
        <v>55</v>
      </c>
      <c r="F58" s="191"/>
      <c r="G58" s="191"/>
      <c r="H58" s="191"/>
      <c r="I58" s="191"/>
      <c r="J58" s="191"/>
      <c r="K58" s="191"/>
      <c r="L58" s="98"/>
      <c r="M58" s="98"/>
      <c r="N58" s="57"/>
      <c r="O58" s="8"/>
    </row>
    <row r="59" spans="1:15" ht="16.5" thickTop="1" x14ac:dyDescent="0.2">
      <c r="A59" s="58"/>
      <c r="B59" s="3"/>
      <c r="C59" s="3"/>
      <c r="D59" s="190" t="s">
        <v>57</v>
      </c>
      <c r="E59" s="190"/>
      <c r="F59" s="190"/>
      <c r="G59" s="190"/>
      <c r="H59" s="190"/>
      <c r="I59" s="190"/>
      <c r="J59" s="190"/>
      <c r="K59" s="190"/>
      <c r="L59" s="190"/>
      <c r="M59" s="98"/>
      <c r="N59" s="57"/>
    </row>
    <row r="60" spans="1:15" ht="15.75" x14ac:dyDescent="0.2">
      <c r="A60" s="121"/>
      <c r="B60" s="3"/>
      <c r="C60" s="3"/>
      <c r="D60" s="190"/>
      <c r="E60" s="190"/>
      <c r="F60" s="190"/>
      <c r="G60" s="190"/>
      <c r="H60" s="190"/>
      <c r="I60" s="190"/>
      <c r="J60" s="190"/>
      <c r="K60" s="190"/>
      <c r="L60" s="190"/>
      <c r="M60" s="98"/>
      <c r="N60" s="57"/>
    </row>
    <row r="61" spans="1:15" ht="12.75" customHeight="1" thickBot="1" x14ac:dyDescent="0.25">
      <c r="A61" s="120"/>
      <c r="B61" s="117"/>
      <c r="C61" s="117"/>
      <c r="D61" s="118"/>
      <c r="E61" s="118"/>
      <c r="F61" s="118"/>
      <c r="G61" s="189"/>
      <c r="H61" s="189"/>
      <c r="I61" s="189"/>
      <c r="J61" s="189"/>
      <c r="K61" s="189"/>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87"/>
      <c r="K63" s="187"/>
      <c r="L63" s="187"/>
      <c r="M63" s="187"/>
      <c r="N63" s="187"/>
    </row>
    <row r="64" spans="1:15" x14ac:dyDescent="0.2">
      <c r="B64" s="120"/>
      <c r="C64" s="120"/>
      <c r="D64" s="120"/>
      <c r="E64" s="120"/>
      <c r="F64" s="120"/>
      <c r="G64" s="120"/>
      <c r="H64" s="120"/>
      <c r="I64" s="120"/>
      <c r="J64" s="188"/>
      <c r="K64" s="188"/>
      <c r="L64" s="188"/>
      <c r="M64" s="188"/>
      <c r="N64" s="18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27: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45254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5978.37</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2023-11-24T09:57:44Z</cp:lastPrinted>
  <dcterms:created xsi:type="dcterms:W3CDTF">1995-05-29T15:50:39Z</dcterms:created>
  <dcterms:modified xsi:type="dcterms:W3CDTF">2023-11-24T14:44:07Z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5978.37</vt:r8>
  </property>
</Properties>
</file>