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29" i="3" l="1"/>
  <c r="M31" i="3"/>
  <c r="M34" i="3"/>
  <c r="M44" i="3" s="1"/>
  <c r="M46" i="3" s="1"/>
  <c r="M47" i="3" s="1"/>
  <c r="M41" i="3" l="1"/>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<sst xmlns="http://schemas.openxmlformats.org/spreadsheetml/2006/main" count="90" uniqueCount="80">
  <si>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</si>
  <si>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</si>
  <si>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</si>
  <si>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</si>
  <si>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</si>
  <si>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</si>
  <si>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</si>
  <si>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</si>
  <si>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</si>
  <si>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</si>
  <si>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</si>
  <si>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</si>
  <si>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</si>
  <si>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</si>
  <si>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</si>
  <si>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</si>
  <si>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</si>
  <si>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</si>
  <si>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</si>
  <si>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</si>
  <si>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</si>
  <si>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</si>
  <si>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</si>
  <si>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</si>
  <si>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</si>
  <si>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</si>
  <si>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</si>
  <si>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</si>
  <si>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</si>
  <si>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</si>
  <si>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</si>
  <si>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</si>
  <si>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</si>
  <si>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</si>
  <si>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</si>
  <si>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</si>
  <si>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</si>
  <si>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</si>
  <si>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</si>
  <si>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</si>
  <si>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</si>
  <si>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</si>
  <si>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</si>
  <si>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</si>
  <si>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</si>
  <si>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</si>
  <si>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</si>
  <si>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</si>
  <si>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</si>
  <si>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</si>
  <si>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</si>
  <si>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</si>
  <si>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</si>
  <si>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</si>
  <si>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</si>
  <si>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</si>
  <si>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</si>
  <si>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</si>
  <si>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</si>
  <si>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</si>
  <si>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</si>
  <si>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</si>
  <si>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</si>
  <si>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</si>
  <si>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</si>
  <si>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</si>
  <si>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</si>
  <si>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</si>
  <si>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</si>
  <si>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</si>
  <si>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</si>
  <si>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</si>
  <si>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CONFORME EN 353-1: 2014 + A1:2017</t>
  </si>
  <si>
    <t>MODEL OOREDOO</t>
  </si>
  <si>
    <t>LDV35M</t>
  </si>
  <si>
    <t>LONGUEUR  35 M</t>
  </si>
  <si>
    <t>BAR 1272</t>
  </si>
  <si>
    <t>Date : 28/09/2023</t>
  </si>
  <si>
    <t>Réf commande: "10399"</t>
  </si>
  <si>
    <t>FACTURE    N°2023-070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</si>
</sst>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b/>
      <sz val="20"/>
      <color theme="1"/>
      <name val="Arial"/>
      <family val="2"/>
    </font>
    <font>
      <sz val="22"/>
      <color theme="1"/>
      <name val="Arial"/>
      <family val="2"/>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4" fillId="0" borderId="0" xfId="0" applyFont="1" applyFill="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3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8" zoomScale="60" zoomScaleNormal="60" workbookViewId="0">
      <selection activeCell="E45" sqref="E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8" t="s">
        <v>79</v>
      </c>
      <c r="M18" s="3"/>
      <c r="N18" s="3"/>
    </row>
    <row r="19" spans="2:14" ht="21.95" customHeight="1" thickTop="1" x14ac:dyDescent="0.3">
      <c r="B19" s="7"/>
      <c r="C19" s="3"/>
      <c r="D19" s="55"/>
      <c r="E19" s="55"/>
      <c r="F19" s="55"/>
      <c r="G19" s="55"/>
      <c r="H19" s="55"/>
      <c r="I19" s="55"/>
      <c r="J19" s="56"/>
      <c r="K19" s="56"/>
      <c r="L19" s="189"/>
      <c r="M19" s="56"/>
      <c r="N19" s="20"/>
    </row>
    <row r="20" spans="2:14" ht="21.95" customHeight="1" thickBot="1" x14ac:dyDescent="0.25">
      <c r="B20" s="7"/>
      <c r="C20" s="3"/>
      <c r="D20" s="3"/>
      <c r="E20" s="3"/>
      <c r="F20" s="3"/>
      <c r="G20" s="3"/>
      <c r="H20" s="3"/>
      <c r="I20" s="3"/>
      <c r="J20" s="3"/>
      <c r="K20" s="3"/>
      <c r="L20" s="19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4" t="s">
        <v>65</v>
      </c>
      <c r="F22" s="194"/>
      <c r="G22" s="194"/>
      <c r="H22" s="194"/>
      <c r="I22" s="194"/>
      <c r="J22" s="194"/>
      <c r="K22" s="96"/>
      <c r="L22" s="191" t="s">
        <v>77</v>
      </c>
      <c r="M22" s="191"/>
      <c r="N22" s="52"/>
    </row>
    <row r="23" spans="2:14" ht="33.75" x14ac:dyDescent="0.5">
      <c r="B23" s="7"/>
      <c r="C23" s="3"/>
      <c r="D23" s="95" t="s">
        <v>53</v>
      </c>
      <c r="E23" s="198" t="s">
        <v>64</v>
      </c>
      <c r="F23" s="199"/>
      <c r="G23" s="199"/>
      <c r="H23" s="199"/>
      <c r="I23" s="199"/>
      <c r="J23" s="199"/>
      <c r="K23" s="199"/>
      <c r="L23" s="97" t="s">
        <v>78</v>
      </c>
      <c r="M23" s="97"/>
      <c r="N23" s="53"/>
    </row>
    <row r="24" spans="2:14" ht="33.75" x14ac:dyDescent="0.5">
      <c r="B24" s="7"/>
      <c r="C24" s="3"/>
      <c r="D24" s="95" t="s">
        <v>54</v>
      </c>
      <c r="E24" s="107"/>
      <c r="F24" s="98" t="s">
        <v>8</v>
      </c>
      <c r="G24" s="200"/>
      <c r="H24" s="200"/>
      <c r="I24" s="99" t="s">
        <v>9</v>
      </c>
      <c r="J24" s="100" t="s">
        <v>57</v>
      </c>
      <c r="K24" s="96"/>
      <c r="L24" s="192" t="s">
        <v>70</v>
      </c>
      <c r="M24" s="193"/>
      <c r="N24" s="3"/>
    </row>
    <row r="25" spans="2:14" ht="33.75" x14ac:dyDescent="0.5">
      <c r="B25" s="7"/>
      <c r="C25" s="3"/>
      <c r="D25" s="95" t="s">
        <v>55</v>
      </c>
      <c r="E25" s="195" t="s">
        <v>66</v>
      </c>
      <c r="F25" s="195"/>
      <c r="G25" s="195"/>
      <c r="H25" s="195"/>
      <c r="I25" s="195"/>
      <c r="J25" s="195"/>
      <c r="K25" s="96"/>
      <c r="L25" s="193" t="s">
        <v>63</v>
      </c>
      <c r="M25" s="19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1" t="s">
        <v>23</v>
      </c>
      <c r="G27" s="202"/>
      <c r="H27" s="202"/>
      <c r="I27" s="202"/>
      <c r="J27" s="202"/>
      <c r="K27" s="203"/>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6"/>
      <c r="E29" s="157"/>
      <c r="F29" s="158" t="s">
        <v>71</v>
      </c>
      <c r="G29" s="159"/>
      <c r="H29" s="159"/>
      <c r="I29" s="159"/>
      <c r="J29" s="160"/>
      <c r="K29" s="161"/>
      <c r="L29" s="103"/>
      <c r="M29" s="103" t="str">
        <f>IF(E29&lt;&gt;"",E29*L29,"")</f>
        <v/>
      </c>
      <c r="N29" s="54"/>
    </row>
    <row r="30" spans="2:14" ht="30" x14ac:dyDescent="0.4">
      <c r="B30" s="7"/>
      <c r="C30" s="3"/>
      <c r="D30" s="162"/>
      <c r="E30" s="157"/>
      <c r="F30" s="163" t="s">
        <v>72</v>
      </c>
      <c r="G30" s="164"/>
      <c r="H30" s="164"/>
      <c r="I30" s="164"/>
      <c r="J30" s="165"/>
      <c r="K30" s="166"/>
      <c r="L30" s="167"/>
      <c r="M30" s="167"/>
      <c r="N30" s="54"/>
    </row>
    <row r="31" spans="2:14" ht="30" x14ac:dyDescent="0.4">
      <c r="B31" s="7"/>
      <c r="C31" s="3"/>
      <c r="D31" s="162"/>
      <c r="E31" s="157"/>
      <c r="F31" s="168"/>
      <c r="G31" s="169"/>
      <c r="H31" s="169"/>
      <c r="I31" s="169"/>
      <c r="J31" s="170"/>
      <c r="K31" s="171"/>
      <c r="L31" s="167"/>
      <c r="M31" s="167" t="str">
        <f>IF(E31&lt;&gt;"",E31*L31,"")</f>
        <v/>
      </c>
      <c r="N31" s="54"/>
    </row>
    <row r="32" spans="2:14" ht="30" x14ac:dyDescent="0.4">
      <c r="B32" s="7"/>
      <c r="C32" s="3"/>
      <c r="D32" s="172"/>
      <c r="E32" s="173"/>
      <c r="F32" s="163"/>
      <c r="G32" s="174"/>
      <c r="H32" s="174"/>
      <c r="I32" s="174"/>
      <c r="J32" s="174"/>
      <c r="K32" s="175"/>
      <c r="L32" s="167"/>
      <c r="M32" s="167"/>
      <c r="N32" s="54"/>
    </row>
    <row r="33" spans="2:14" ht="30" x14ac:dyDescent="0.4">
      <c r="B33" s="7"/>
      <c r="C33" s="3"/>
      <c r="D33" s="172"/>
      <c r="E33" s="173"/>
      <c r="F33" s="176"/>
      <c r="G33" s="174"/>
      <c r="H33" s="174"/>
      <c r="I33" s="174"/>
      <c r="J33" s="174"/>
      <c r="K33" s="175"/>
      <c r="L33" s="167"/>
      <c r="M33" s="167"/>
      <c r="N33" s="54"/>
    </row>
    <row r="34" spans="2:14" ht="30" x14ac:dyDescent="0.4">
      <c r="B34" s="7"/>
      <c r="C34" s="3"/>
      <c r="D34" s="172" t="s">
        <v>74</v>
      </c>
      <c r="E34" s="173">
        <v>1</v>
      </c>
      <c r="F34" s="180" t="s">
        <v>75</v>
      </c>
      <c r="G34" s="174"/>
      <c r="H34" s="174"/>
      <c r="I34" s="174"/>
      <c r="J34" s="174"/>
      <c r="K34" s="175"/>
      <c r="L34" s="167">
        <v>2490</v>
      </c>
      <c r="M34" s="167">
        <f>L34*E34</f>
        <v>2490</v>
      </c>
      <c r="N34" s="54"/>
    </row>
    <row r="35" spans="2:14" ht="30" x14ac:dyDescent="0.4">
      <c r="B35" s="7"/>
      <c r="C35" s="3"/>
      <c r="D35" s="172"/>
      <c r="E35" s="177"/>
      <c r="F35" s="210" t="s">
        <v>73</v>
      </c>
      <c r="G35" s="211"/>
      <c r="H35" s="211"/>
      <c r="I35" s="211"/>
      <c r="J35" s="211"/>
      <c r="K35" s="212"/>
      <c r="L35" s="167"/>
      <c r="M35" s="167"/>
      <c r="N35" s="54"/>
    </row>
    <row r="36" spans="2:14" ht="30" x14ac:dyDescent="0.4">
      <c r="B36" s="7"/>
      <c r="C36" s="3"/>
      <c r="D36" s="178"/>
      <c r="E36" s="173"/>
      <c r="F36" s="213" t="s">
        <v>76</v>
      </c>
      <c r="G36" s="214"/>
      <c r="H36" s="214"/>
      <c r="I36" s="214"/>
      <c r="J36" s="214"/>
      <c r="K36" s="215"/>
      <c r="L36" s="167"/>
      <c r="M36" s="167"/>
      <c r="N36" s="54"/>
    </row>
    <row r="37" spans="2:14" ht="30" x14ac:dyDescent="0.4">
      <c r="B37" s="7"/>
      <c r="C37" s="3"/>
      <c r="D37" s="178"/>
      <c r="E37" s="173"/>
      <c r="F37" s="219"/>
      <c r="G37" s="220"/>
      <c r="H37" s="220"/>
      <c r="I37" s="220"/>
      <c r="J37" s="220"/>
      <c r="K37" s="221"/>
      <c r="L37" s="167"/>
      <c r="M37" s="167"/>
      <c r="N37" s="54"/>
    </row>
    <row r="38" spans="2:14" ht="30" x14ac:dyDescent="0.4">
      <c r="B38" s="7"/>
      <c r="C38" s="3"/>
      <c r="D38" s="178"/>
      <c r="E38" s="173"/>
      <c r="F38" s="216"/>
      <c r="G38" s="217"/>
      <c r="H38" s="217"/>
      <c r="I38" s="217"/>
      <c r="J38" s="217"/>
      <c r="K38" s="218"/>
      <c r="L38" s="167"/>
      <c r="M38" s="167"/>
      <c r="N38" s="54"/>
    </row>
    <row r="39" spans="2:14" ht="30" x14ac:dyDescent="0.4">
      <c r="B39" s="7"/>
      <c r="C39" s="3"/>
      <c r="D39" s="178"/>
      <c r="E39" s="173"/>
      <c r="F39" s="179"/>
      <c r="G39" s="128"/>
      <c r="H39" s="128"/>
      <c r="I39" s="128"/>
      <c r="J39" s="128"/>
      <c r="K39" s="129"/>
      <c r="L39" s="167"/>
      <c r="M39" s="167"/>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SUM(M34:M43)</f>
        <v>2490</v>
      </c>
      <c r="N44" s="54"/>
    </row>
    <row r="45" spans="2:14" ht="35.25" x14ac:dyDescent="0.5">
      <c r="B45" s="7"/>
      <c r="C45" s="3"/>
      <c r="D45" s="94"/>
      <c r="E45" s="222"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473.1</v>
      </c>
      <c r="N46" s="54"/>
    </row>
    <row r="47" spans="2:14" ht="35.25" x14ac:dyDescent="0.5">
      <c r="B47" s="7"/>
      <c r="C47" s="3"/>
      <c r="D47" s="76"/>
      <c r="E47" s="82"/>
      <c r="F47" s="93"/>
      <c r="G47" s="77"/>
      <c r="H47" s="64"/>
      <c r="I47" s="77"/>
      <c r="J47" s="80" t="s">
        <v>27</v>
      </c>
      <c r="K47" s="78"/>
      <c r="L47" s="138" t="s">
        <v>28</v>
      </c>
      <c r="M47" s="101">
        <f>+M44+M45+M46</f>
        <v>2964.1</v>
      </c>
      <c r="N47" s="54"/>
    </row>
    <row r="48" spans="2:14" ht="15.75" x14ac:dyDescent="0.25">
      <c r="B48" s="7"/>
      <c r="C48" s="3"/>
      <c r="D48" s="204"/>
      <c r="E48" s="205"/>
      <c r="F48" s="205"/>
      <c r="G48" s="205"/>
      <c r="H48" s="205"/>
      <c r="I48" s="205"/>
      <c r="J48" s="205"/>
      <c r="K48" s="205"/>
      <c r="L48" s="205"/>
      <c r="M48" s="112"/>
      <c r="N48" s="54"/>
    </row>
    <row r="49" spans="1:14" ht="26.25" x14ac:dyDescent="0.4">
      <c r="B49" s="7"/>
      <c r="C49" s="3"/>
      <c r="D49" s="206"/>
      <c r="E49" s="206"/>
      <c r="F49" s="206"/>
      <c r="G49" s="206"/>
      <c r="H49" s="206"/>
      <c r="I49" s="206"/>
      <c r="J49" s="206"/>
      <c r="K49" s="206"/>
      <c r="L49" s="206"/>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7"/>
      <c r="H51" s="197"/>
      <c r="I51" s="197"/>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7" t="s">
        <v>67</v>
      </c>
      <c r="E56" s="207"/>
      <c r="F56" s="207"/>
      <c r="G56" s="207"/>
      <c r="H56" s="207"/>
      <c r="I56" s="207"/>
      <c r="J56" s="207"/>
      <c r="K56" s="207"/>
      <c r="L56" s="207"/>
      <c r="M56" s="207"/>
      <c r="N56" s="155"/>
    </row>
    <row r="57" spans="1:14" ht="18" customHeight="1" x14ac:dyDescent="0.25">
      <c r="B57" s="7"/>
      <c r="C57" s="3"/>
      <c r="D57" s="208"/>
      <c r="E57" s="208"/>
      <c r="F57" s="208"/>
      <c r="G57" s="208"/>
      <c r="H57" s="208"/>
      <c r="I57" s="208"/>
      <c r="J57" s="208"/>
      <c r="K57" s="208"/>
      <c r="L57" s="208"/>
      <c r="M57" s="208"/>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9" t="s">
        <v>68</v>
      </c>
      <c r="F59" s="209"/>
      <c r="G59" s="209"/>
      <c r="H59" s="209"/>
      <c r="I59" s="209"/>
      <c r="J59" s="209"/>
      <c r="K59" s="209"/>
      <c r="L59" s="152"/>
      <c r="M59" s="152"/>
      <c r="N59" s="54"/>
    </row>
    <row r="60" spans="1:14" ht="20.100000000000001" customHeight="1" x14ac:dyDescent="0.2">
      <c r="B60" s="7"/>
      <c r="C60" s="3"/>
      <c r="D60" s="196" t="s">
        <v>69</v>
      </c>
      <c r="E60" s="196"/>
      <c r="F60" s="196"/>
      <c r="G60" s="196"/>
      <c r="H60" s="196"/>
      <c r="I60" s="196"/>
      <c r="J60" s="196"/>
      <c r="K60" s="196"/>
      <c r="L60" s="196"/>
      <c r="M60" s="152"/>
      <c r="N60" s="54"/>
    </row>
    <row r="61" spans="1:14" ht="26.25" customHeight="1" x14ac:dyDescent="0.2">
      <c r="A61" s="141"/>
      <c r="B61" s="142"/>
      <c r="C61" s="3"/>
      <c r="D61" s="196"/>
      <c r="E61" s="196"/>
      <c r="F61" s="196"/>
      <c r="G61" s="196"/>
      <c r="H61" s="196"/>
      <c r="I61" s="196"/>
      <c r="J61" s="196"/>
      <c r="K61" s="196"/>
      <c r="L61" s="196"/>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1"/>
    <mergeCell ref="G51:I51"/>
    <mergeCell ref="E23:K23"/>
    <mergeCell ref="G24:H24"/>
    <mergeCell ref="F27:K27"/>
    <mergeCell ref="D48:L48"/>
    <mergeCell ref="D49:L49"/>
    <mergeCell ref="D56:M57"/>
    <mergeCell ref="E59:K59"/>
    <mergeCell ref="F35:K35"/>
    <mergeCell ref="F36:K36"/>
    <mergeCell ref="F38:K38"/>
    <mergeCell ref="F37:K37"/>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32:M39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28/09/2023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2964.1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2023-09-28T08:28:55Z</cp:lastPrinted>
  <dcterms:created xsi:type="dcterms:W3CDTF">1995-05-29T15:50:39Z</dcterms:created>
  <dcterms:modified xsi:type="dcterms:W3CDTF">2023-09-28T10:30:07Z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2964.1</vt:r8>
  </property>
</Properties>
</file>