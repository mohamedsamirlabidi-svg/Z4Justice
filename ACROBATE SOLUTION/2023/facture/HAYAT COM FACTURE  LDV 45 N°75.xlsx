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3" i="3" l="1"/>
  <c r="M44" i="3"/>
  <c r="M45" i="3" s="1"/>
  <c r="M47" i="3" l="1"/>
  <c r="M48" i="3" s="1"/>
  <c r="M43"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<sst xmlns="http://schemas.openxmlformats.org/spreadsheetml/2006/main" count="99" uniqueCount="83">
  <si>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</si>
  <si>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</si>
  <si>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</si>
  <si>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</si>
  <si>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</si>
  <si>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</si>
  <si>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</si>
  <si>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</si>
  <si>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</si>
  <si>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</si>
  <si>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</si>
  <si>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</si>
  <si>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</si>
  <si>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</si>
  <si>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</si>
  <si>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</si>
  <si>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</si>
  <si>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</si>
  <si>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</si>
  <si>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</si>
  <si>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</si>
  <si>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</si>
  <si>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</si>
  <si>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</si>
  <si>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</si>
  <si>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</si>
  <si>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</si>
  <si>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</si>
  <si>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</si>
  <si>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</si>
  <si>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</si>
  <si>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</si>
  <si>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</si>
  <si>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</si>
  <si>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</si>
  <si>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</si>
  <si>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</si>
  <si>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</si>
  <si>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</si>
  <si>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</si>
  <si>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</si>
  <si>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</si>
  <si>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</si>
  <si>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</si>
  <si>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</si>
  <si>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</si>
  <si>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</si>
  <si>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</si>
  <si>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</si>
  <si>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</si>
  <si>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</si>
  <si>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</si>
  <si>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</si>
  <si>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</si>
  <si>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</si>
  <si>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</si>
  <si>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</si>
  <si>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</si>
  <si>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</si>
  <si>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</si>
  <si>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</si>
  <si>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</si>
  <si>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</si>
  <si>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</si>
  <si>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</si>
  <si>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</si>
  <si>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</si>
  <si>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</si>
  <si>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</si>
  <si>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</si>
  <si>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</si>
  <si>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</si>
  <si>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</si>
  <si>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</si>
  <si>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</si>
  <si>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</si>
  <si>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BA0000621/2023</t>
  </si>
  <si>
    <t>LDV45M</t>
  </si>
  <si>
    <t>LONGUEUR  45M</t>
  </si>
  <si>
    <t>LIGNE DE VIE SECUROPE conforme aux:</t>
  </si>
  <si>
    <t>FACTURE   N° 2023-075</t>
  </si>
  <si>
    <t xml:space="preserve">Arretée la presente facture a la somme de : TROIS MILLE NEUF CENT TRENTE HUIT DINARS ET 710 MILLIMES </t>
  </si>
  <si>
    <t xml:space="preserve">Code Site :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</si>
</sst>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7" fillId="6" borderId="0" xfId="0" applyFont="1" applyFill="1" applyBorder="1" applyAlignment="1">
      <alignment horizontal="center" vertical="top"/>
    </xf>
    <xf numFmtId="0" fontId="17" fillId="6" borderId="0" xfId="0" applyFont="1" applyFill="1" applyBorder="1" applyAlignment="1">
      <alignment vertical="top"/>
    </xf>
    <xf numFmtId="0" fontId="17" fillId="6" borderId="7" xfId="0" applyFont="1" applyFill="1" applyBorder="1" applyAlignment="1">
      <alignment vertical="top"/>
    </xf>
    <xf numFmtId="0" fontId="16" fillId="6" borderId="0" xfId="0"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16" fillId="3" borderId="0" xfId="0" applyFont="1" applyFill="1" applyBorder="1" applyAlignment="1">
      <alignment horizontal="center" vertical="center"/>
    </xf>
    <xf numFmtId="0" fontId="16" fillId="3" borderId="27" xfId="0" applyFont="1" applyFill="1" applyBorder="1" applyAlignment="1">
      <alignment horizontal="right"/>
    </xf>
    <xf numFmtId="49" fontId="19" fillId="0" borderId="32" xfId="0" applyNumberFormat="1" applyFont="1" applyFill="1" applyBorder="1" applyAlignment="1">
      <alignment horizontal="left" vertical="center" readingOrder="2"/>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9" t="s">
        <v>0</v>
      </c>
      <c r="E4" s="150"/>
      <c r="F4" s="15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1" t="s">
        <v>2</v>
      </c>
      <c r="E10" s="15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3" t="s">
        <v>45</v>
      </c>
      <c r="E19" s="15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4" t="str">
        <f>LOWER(TemplateInformation!B3)</f>
        <v>c:\program files\microsoft office\office\macrolib\factbd.xls</v>
      </c>
      <c r="G33" s="15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1" t="s">
        <v>16</v>
      </c>
      <c r="E36" s="15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7" zoomScale="95" workbookViewId="0">
      <selection activeCell="H37" sqref="H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3" t="s">
        <v>54</v>
      </c>
      <c r="M13" s="174"/>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6" t="s">
        <v>80</v>
      </c>
      <c r="M17" s="187"/>
      <c r="N17" s="3"/>
      <c r="O17" s="8"/>
    </row>
    <row r="18" spans="1:15" ht="19.5" thickTop="1" x14ac:dyDescent="0.3">
      <c r="A18" s="7"/>
      <c r="B18" s="3"/>
      <c r="C18" s="58"/>
      <c r="D18" s="58"/>
      <c r="E18" s="58"/>
      <c r="F18" s="58"/>
      <c r="G18" s="58"/>
      <c r="H18" s="58"/>
      <c r="I18" s="59"/>
      <c r="J18" s="59"/>
      <c r="K18" s="59"/>
      <c r="L18" s="188"/>
      <c r="M18" s="189"/>
      <c r="N18" s="19"/>
      <c r="O18" s="8"/>
    </row>
    <row r="19" spans="1:15" ht="13.5"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9" t="s">
        <v>63</v>
      </c>
      <c r="E21" s="180"/>
      <c r="F21" s="180"/>
      <c r="G21" s="180"/>
      <c r="H21" s="180"/>
      <c r="I21" s="180"/>
      <c r="J21" s="82"/>
      <c r="K21" s="84" t="s">
        <v>18</v>
      </c>
      <c r="L21" s="168"/>
      <c r="M21" s="169"/>
      <c r="N21" s="55"/>
      <c r="O21" s="8"/>
    </row>
    <row r="22" spans="1:15" ht="14.25" x14ac:dyDescent="0.2">
      <c r="A22" s="7"/>
      <c r="B22" s="3"/>
      <c r="C22" s="82" t="s">
        <v>5</v>
      </c>
      <c r="D22" s="177" t="s">
        <v>62</v>
      </c>
      <c r="E22" s="178"/>
      <c r="F22" s="178"/>
      <c r="G22" s="178"/>
      <c r="H22" s="178"/>
      <c r="I22" s="178"/>
      <c r="J22" s="82"/>
      <c r="K22" s="125" t="s">
        <v>59</v>
      </c>
      <c r="L22" s="195" t="s">
        <v>76</v>
      </c>
      <c r="M22" s="196"/>
      <c r="N22" s="56"/>
      <c r="O22" s="8"/>
    </row>
    <row r="23" spans="1:15" x14ac:dyDescent="0.2">
      <c r="A23" s="7"/>
      <c r="B23" s="3"/>
      <c r="C23" s="82" t="s">
        <v>7</v>
      </c>
      <c r="D23" s="89">
        <v>2035</v>
      </c>
      <c r="E23" s="90" t="s">
        <v>8</v>
      </c>
      <c r="F23" s="175" t="s">
        <v>64</v>
      </c>
      <c r="G23" s="176"/>
      <c r="H23" s="91" t="s">
        <v>9</v>
      </c>
      <c r="I23" s="88" t="s">
        <v>51</v>
      </c>
      <c r="J23" s="82"/>
      <c r="K23" s="84" t="s">
        <v>19</v>
      </c>
      <c r="L23" s="170" t="s">
        <v>66</v>
      </c>
      <c r="M23" s="171"/>
      <c r="N23" s="3"/>
      <c r="O23" s="8"/>
    </row>
    <row r="24" spans="1:15" x14ac:dyDescent="0.2">
      <c r="A24" s="7"/>
      <c r="B24" s="3"/>
      <c r="C24" s="82" t="s">
        <v>20</v>
      </c>
      <c r="D24" s="181" t="s">
        <v>65</v>
      </c>
      <c r="E24" s="182"/>
      <c r="F24" s="182"/>
      <c r="G24" s="182"/>
      <c r="H24" s="182"/>
      <c r="I24" s="182"/>
      <c r="J24" s="82"/>
      <c r="K24" s="84" t="s">
        <v>47</v>
      </c>
      <c r="L24" s="172" t="s">
        <v>61</v>
      </c>
      <c r="M24" s="171"/>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2" t="s">
        <v>22</v>
      </c>
      <c r="F26" s="193"/>
      <c r="G26" s="193"/>
      <c r="H26" s="193"/>
      <c r="I26" s="193"/>
      <c r="J26" s="193"/>
      <c r="K26" s="194"/>
      <c r="L26" s="52" t="s">
        <v>53</v>
      </c>
      <c r="M26" s="113" t="s">
        <v>23</v>
      </c>
      <c r="N26" s="57"/>
      <c r="O26" s="8"/>
    </row>
    <row r="27" spans="1:15" ht="15.75" x14ac:dyDescent="0.25">
      <c r="A27" s="7"/>
      <c r="B27" s="3"/>
      <c r="C27" s="93"/>
      <c r="D27" s="75"/>
      <c r="E27" s="138" t="s">
        <v>79</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97" t="s">
        <v>73</v>
      </c>
      <c r="F29" s="198"/>
      <c r="G29" s="198"/>
      <c r="H29" s="198"/>
      <c r="I29" s="198"/>
      <c r="J29" s="198"/>
      <c r="K29" s="131"/>
      <c r="L29" s="115"/>
      <c r="M29" s="96"/>
      <c r="N29" s="57"/>
      <c r="O29" s="8"/>
    </row>
    <row r="30" spans="1:15" ht="15.75" x14ac:dyDescent="0.25">
      <c r="A30" s="7"/>
      <c r="B30" s="3"/>
      <c r="C30" s="107"/>
      <c r="D30" s="75"/>
      <c r="E30" s="199" t="s">
        <v>74</v>
      </c>
      <c r="F30" s="200"/>
      <c r="G30" s="200"/>
      <c r="H30" s="200"/>
      <c r="I30" s="200"/>
      <c r="J30" s="200"/>
      <c r="K30" s="131"/>
      <c r="L30" s="115"/>
      <c r="M30" s="96"/>
      <c r="N30" s="57"/>
      <c r="O30" s="8"/>
    </row>
    <row r="31" spans="1:15" ht="15.75" x14ac:dyDescent="0.25">
      <c r="A31" s="7"/>
      <c r="B31" s="3"/>
      <c r="C31" s="107"/>
      <c r="D31" s="75"/>
      <c r="E31" s="199" t="s">
        <v>75</v>
      </c>
      <c r="F31" s="200"/>
      <c r="G31" s="200"/>
      <c r="H31" s="200"/>
      <c r="I31" s="200"/>
      <c r="J31" s="200"/>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1</v>
      </c>
      <c r="E33" s="135" t="s">
        <v>78</v>
      </c>
      <c r="F33" s="137"/>
      <c r="G33" s="81"/>
      <c r="H33" s="108"/>
      <c r="I33" s="81"/>
      <c r="J33" s="81"/>
      <c r="K33" s="108"/>
      <c r="L33" s="96">
        <v>3309</v>
      </c>
      <c r="M33" s="96">
        <f>L33*D33</f>
        <v>3309</v>
      </c>
      <c r="N33" s="57"/>
      <c r="O33" s="8"/>
    </row>
    <row r="34" spans="1:15" ht="18" x14ac:dyDescent="0.25">
      <c r="A34" s="7"/>
      <c r="B34" s="3"/>
      <c r="C34" s="107"/>
      <c r="D34" s="75"/>
      <c r="E34" s="135" t="s">
        <v>82</v>
      </c>
      <c r="F34" s="137"/>
      <c r="G34" s="81"/>
      <c r="H34" s="108"/>
      <c r="I34" s="81"/>
      <c r="J34" s="81"/>
      <c r="K34" s="108"/>
      <c r="L34" s="96"/>
      <c r="M34" s="96"/>
      <c r="N34" s="57"/>
      <c r="O34" s="8"/>
    </row>
    <row r="35" spans="1:15" ht="18" x14ac:dyDescent="0.25">
      <c r="A35" s="7"/>
      <c r="B35" s="3"/>
      <c r="C35" s="107"/>
      <c r="D35" s="202"/>
      <c r="E35" s="203"/>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20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6"/>
      <c r="F44" s="167"/>
      <c r="G44" s="167"/>
      <c r="H44" s="167"/>
      <c r="I44" s="167"/>
      <c r="J44" s="167"/>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3309</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628.71</v>
      </c>
      <c r="N47" s="57"/>
      <c r="O47" s="8"/>
    </row>
    <row r="48" spans="1:15" ht="3" customHeight="1" x14ac:dyDescent="0.25">
      <c r="A48" s="7"/>
      <c r="B48" s="3"/>
      <c r="C48" s="3"/>
      <c r="D48" s="85"/>
      <c r="E48" s="132" t="s">
        <v>67</v>
      </c>
      <c r="F48" s="87"/>
      <c r="G48" s="85"/>
      <c r="H48" s="82"/>
      <c r="I48" s="79"/>
      <c r="J48" s="76"/>
      <c r="K48" s="76"/>
      <c r="L48" s="183" t="s">
        <v>27</v>
      </c>
      <c r="M48" s="184">
        <f>+M45+M46+M47</f>
        <v>3938.71</v>
      </c>
      <c r="N48" s="57"/>
      <c r="O48" s="8"/>
    </row>
    <row r="49" spans="1:15" ht="15" x14ac:dyDescent="0.2">
      <c r="A49" s="7"/>
      <c r="B49" s="3"/>
      <c r="C49" s="3"/>
      <c r="D49" s="85">
        <v>3</v>
      </c>
      <c r="E49" s="106" t="s">
        <v>68</v>
      </c>
      <c r="F49" s="82"/>
      <c r="G49" s="86"/>
      <c r="H49" s="82"/>
      <c r="I49" s="80" t="s">
        <v>26</v>
      </c>
      <c r="J49" s="76"/>
      <c r="K49" s="76"/>
      <c r="L49" s="183"/>
      <c r="M49" s="185"/>
      <c r="N49" s="57"/>
      <c r="O49" s="8"/>
    </row>
    <row r="50" spans="1:15" ht="15.75" customHeight="1" x14ac:dyDescent="0.2">
      <c r="A50" s="7"/>
      <c r="B50" s="3"/>
      <c r="C50" s="3"/>
      <c r="D50" s="85"/>
      <c r="E50" s="148"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6" t="s">
        <v>70</v>
      </c>
      <c r="C54" s="156"/>
      <c r="D54" s="156"/>
      <c r="E54" s="156"/>
      <c r="F54" s="156"/>
      <c r="G54" s="125"/>
      <c r="H54" s="125"/>
      <c r="I54" s="125"/>
      <c r="J54" s="125"/>
      <c r="K54" s="125"/>
      <c r="L54" s="133" t="s">
        <v>69</v>
      </c>
      <c r="M54" s="101"/>
      <c r="N54" s="57"/>
      <c r="O54" s="8"/>
    </row>
    <row r="55" spans="1:15" ht="15.75" x14ac:dyDescent="0.2">
      <c r="A55" s="7"/>
      <c r="B55" s="157" t="s">
        <v>71</v>
      </c>
      <c r="C55" s="157"/>
      <c r="D55" s="157"/>
      <c r="E55" s="157"/>
      <c r="F55" s="157"/>
      <c r="G55" s="134"/>
      <c r="H55" s="134"/>
      <c r="I55" s="134"/>
      <c r="J55" s="134"/>
      <c r="K55" s="134"/>
      <c r="L55" s="99"/>
      <c r="M55" s="100"/>
      <c r="N55" s="57"/>
      <c r="O55" s="8"/>
    </row>
    <row r="56" spans="1:15" ht="15.75" x14ac:dyDescent="0.2">
      <c r="A56" s="7"/>
      <c r="B56" s="147" t="s">
        <v>81</v>
      </c>
      <c r="C56" s="145"/>
      <c r="D56" s="145"/>
      <c r="E56" s="145"/>
      <c r="F56" s="145"/>
      <c r="G56" s="145"/>
      <c r="H56" s="145"/>
      <c r="I56" s="145"/>
      <c r="J56" s="145"/>
      <c r="K56" s="145"/>
      <c r="L56" s="145"/>
      <c r="M56" s="145"/>
      <c r="N56" s="145"/>
      <c r="O56" s="146"/>
    </row>
    <row r="57" spans="1:15" ht="15.75" x14ac:dyDescent="0.2">
      <c r="A57" s="7"/>
      <c r="B57" s="144"/>
      <c r="C57" s="144"/>
      <c r="D57" s="144"/>
      <c r="E57" s="144"/>
      <c r="F57" s="144"/>
      <c r="G57" s="134"/>
      <c r="H57" s="134"/>
      <c r="I57" s="134"/>
      <c r="J57" s="134"/>
      <c r="K57" s="134"/>
      <c r="L57" s="99"/>
      <c r="M57" s="100"/>
      <c r="N57" s="57"/>
      <c r="O57" s="8"/>
    </row>
    <row r="58" spans="1:15" ht="15.75" x14ac:dyDescent="0.2">
      <c r="A58" s="7"/>
      <c r="B58" s="3"/>
      <c r="C58" s="3"/>
      <c r="D58" s="18"/>
      <c r="E58" s="160"/>
      <c r="F58" s="160"/>
      <c r="G58" s="160"/>
      <c r="H58" s="160"/>
      <c r="I58" s="78"/>
      <c r="J58" s="99"/>
      <c r="K58" s="98"/>
      <c r="L58" s="98"/>
      <c r="M58" s="98"/>
      <c r="N58" s="57"/>
      <c r="O58" s="8"/>
    </row>
    <row r="59" spans="1:15" ht="12.75" customHeight="1" x14ac:dyDescent="0.2">
      <c r="A59" s="7"/>
      <c r="B59" s="3"/>
      <c r="C59" s="3"/>
      <c r="D59" s="18"/>
      <c r="E59" s="110"/>
      <c r="F59" s="120"/>
      <c r="G59" s="120"/>
      <c r="H59" s="120"/>
      <c r="I59" s="121"/>
      <c r="J59" s="98"/>
      <c r="K59" s="98"/>
      <c r="L59" s="98"/>
      <c r="M59" s="98"/>
      <c r="N59" s="57"/>
      <c r="O59" s="8"/>
    </row>
    <row r="60" spans="1:15" ht="16.5" thickBot="1" x14ac:dyDescent="0.25">
      <c r="A60" s="7"/>
      <c r="B60" s="3"/>
      <c r="C60" s="3"/>
      <c r="D60" s="122" t="s">
        <v>58</v>
      </c>
      <c r="E60" s="122"/>
      <c r="F60" s="122"/>
      <c r="G60" s="122"/>
      <c r="H60" s="122"/>
      <c r="I60" s="122"/>
      <c r="J60" s="122"/>
      <c r="K60" s="122"/>
      <c r="L60" s="122"/>
      <c r="M60" s="98"/>
      <c r="N60" s="57"/>
      <c r="O60" s="8"/>
    </row>
    <row r="61" spans="1:15" ht="16.5" thickTop="1" x14ac:dyDescent="0.2">
      <c r="A61" s="58"/>
      <c r="B61" s="3"/>
      <c r="C61" s="3"/>
      <c r="D61" s="18"/>
      <c r="E61" s="161" t="s">
        <v>55</v>
      </c>
      <c r="F61" s="161"/>
      <c r="G61" s="161"/>
      <c r="H61" s="161"/>
      <c r="I61" s="161"/>
      <c r="J61" s="161"/>
      <c r="K61" s="161"/>
      <c r="L61" s="98"/>
      <c r="M61" s="98"/>
      <c r="N61" s="57"/>
      <c r="O61" s="8"/>
    </row>
    <row r="62" spans="1:15" ht="15.75" x14ac:dyDescent="0.2">
      <c r="A62" s="124"/>
      <c r="B62" s="3"/>
      <c r="C62" s="3"/>
      <c r="D62" s="162" t="s">
        <v>57</v>
      </c>
      <c r="E62" s="162"/>
      <c r="F62" s="162"/>
      <c r="G62" s="162"/>
      <c r="H62" s="162"/>
      <c r="I62" s="162"/>
      <c r="J62" s="162"/>
      <c r="K62" s="162"/>
      <c r="L62" s="162"/>
      <c r="M62" s="98"/>
      <c r="N62" s="57"/>
    </row>
    <row r="63" spans="1:15" ht="15.75" x14ac:dyDescent="0.2">
      <c r="A63" s="123"/>
      <c r="B63" s="3"/>
      <c r="C63" s="3"/>
      <c r="D63" s="162"/>
      <c r="E63" s="162"/>
      <c r="F63" s="162"/>
      <c r="G63" s="162"/>
      <c r="H63" s="162"/>
      <c r="I63" s="162"/>
      <c r="J63" s="162"/>
      <c r="K63" s="162"/>
      <c r="L63" s="162"/>
      <c r="M63" s="98"/>
      <c r="N63" s="57"/>
    </row>
    <row r="64" spans="1:15" ht="13.5" thickBot="1" x14ac:dyDescent="0.25">
      <c r="B64" s="118"/>
      <c r="C64" s="118"/>
      <c r="D64" s="119"/>
      <c r="E64" s="119"/>
      <c r="F64" s="119"/>
      <c r="G64" s="159"/>
      <c r="H64" s="159"/>
      <c r="I64" s="159"/>
      <c r="J64" s="159"/>
      <c r="K64" s="159"/>
      <c r="L64" s="119"/>
      <c r="M64" s="119"/>
      <c r="N64" s="118"/>
    </row>
    <row r="65" spans="2:14" ht="13.5" thickTop="1" x14ac:dyDescent="0.2">
      <c r="B65" s="58"/>
      <c r="C65" s="58"/>
      <c r="D65" s="58"/>
      <c r="E65" s="58"/>
      <c r="F65" s="58"/>
      <c r="G65" s="58"/>
      <c r="H65" s="58"/>
      <c r="I65" s="58"/>
      <c r="J65" s="58"/>
      <c r="K65" s="58"/>
      <c r="L65" s="58"/>
      <c r="M65" s="58"/>
      <c r="N65" s="58"/>
    </row>
    <row r="66" spans="2:14" x14ac:dyDescent="0.2">
      <c r="B66" s="124"/>
      <c r="C66" s="124"/>
      <c r="D66" s="124"/>
      <c r="E66" s="124"/>
      <c r="F66" s="124"/>
      <c r="G66" s="124"/>
      <c r="H66" s="124"/>
      <c r="I66" s="124"/>
      <c r="J66" s="158"/>
      <c r="K66" s="158"/>
      <c r="L66" s="158"/>
      <c r="M66" s="158"/>
      <c r="N66" s="158"/>
    </row>
    <row r="67" spans="2:14" x14ac:dyDescent="0.2">
      <c r="B67" s="123"/>
      <c r="C67" s="123"/>
      <c r="D67" s="123"/>
      <c r="E67" s="123"/>
      <c r="F67" s="123"/>
      <c r="G67" s="123"/>
      <c r="H67" s="123"/>
      <c r="I67" s="123"/>
      <c r="J67" s="159"/>
      <c r="K67" s="159"/>
      <c r="L67" s="159"/>
      <c r="M67" s="159"/>
      <c r="N67"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6:N67"/>
    <mergeCell ref="E58:H58"/>
    <mergeCell ref="E61:K61"/>
    <mergeCell ref="G64:K64"/>
    <mergeCell ref="D62:L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55 M57">
      <formula1>0</formula1>
      <formula2>0</formula2>
    </dataValidation>
    <dataValidation errorStyle="warning" allowBlank="1" showInputMessage="1" errorTitle="Numéro de carte de crédit" promptTitle="Numéro de carte de crédit" prompt="Tapez ici le numéro de carte de crédit du client" sqref="E58:E59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 L52"/>
    <dataValidation type="decimal" allowBlank="1" showErrorMessage="1" errorTitle="Prix unitaire" error="Tapez un nombre dans cette cellule." promptTitle="Prix unitaire" sqref="M40 M32:M38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3938.71</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2023-10-12T12:51:06Z</cp:lastPrinted>
  <dcterms:created xsi:type="dcterms:W3CDTF">1995-05-29T15:50:39Z</dcterms:created>
  <dcterms:modified xsi:type="dcterms:W3CDTF">2023-10-16T11:12:56Z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3938.71</vt:r8>
  </property>
</Properties>
</file>