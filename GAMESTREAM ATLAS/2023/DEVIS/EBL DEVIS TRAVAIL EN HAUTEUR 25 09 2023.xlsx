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Facture!$K$49</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Facture!$K$19</definedName>
    <definedName name="data10">Facture!$E$22</definedName>
    <definedName name="data11">Facture!$D$25</definedName>
    <definedName name="data12">Facture!$E$25</definedName>
    <definedName name="data13">Facture!$K$25</definedName>
    <definedName name="data14">Facture!$D$26</definedName>
    <definedName name="data15">Facture!$E$26</definedName>
    <definedName name="data16">Facture!$K$26</definedName>
    <definedName name="data17">Facture!#REF!</definedName>
    <definedName name="data18">Facture!#REF!</definedName>
    <definedName name="data19">Facture!#REF!</definedName>
    <definedName name="data2">Facture!$L$20</definedName>
    <definedName name="data20">Facture!$D$27</definedName>
    <definedName name="data21">Facture!$E$27</definedName>
    <definedName name="data22">Facture!$K$27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Facture!$L$22</definedName>
    <definedName name="data40">Facture!#REF!</definedName>
    <definedName name="data41">Facture!#REF!</definedName>
    <definedName name="data42">Facture!#REF!</definedName>
    <definedName name="data43">Facture!#REF!</definedName>
    <definedName name="data44">Facture!#REF!</definedName>
    <definedName name="data45">Facture!$E$39</definedName>
    <definedName name="data46">Facture!#REF!</definedName>
    <definedName name="data47">Facture!$D$28</definedName>
    <definedName name="data48">Facture!$E$28</definedName>
    <definedName name="data49">Facture!$K$28</definedName>
    <definedName name="data5">Facture!$D$19</definedName>
    <definedName name="data50">Facture!#REF!</definedName>
    <definedName name="data51">Facture!#REF!</definedName>
    <definedName name="data52">Facture!#REF!</definedName>
    <definedName name="data53">Facture!$D$29</definedName>
    <definedName name="data54">Facture!$E$29</definedName>
    <definedName name="data55">Facture!$K$29</definedName>
    <definedName name="data56">Facture!#REF!</definedName>
    <definedName name="data57">Facture!#REF!</definedName>
    <definedName name="data58">Facture!#REF!</definedName>
    <definedName name="data59">Facture!$D$47</definedName>
    <definedName name="data6">Facture!$E$20</definedName>
    <definedName name="data60">Facture!#REF!</definedName>
    <definedName name="data61">Facture!$K$47</definedName>
    <definedName name="data62">Facture!$D$50</definedName>
    <definedName name="data63">Facture!$D$51</definedName>
    <definedName name="data64">Facture!#REF!</definedName>
    <definedName name="data65">Facture!$G$51</definedName>
    <definedName name="data66">Facture!$E$53</definedName>
    <definedName name="data67">Facture!#REF!</definedName>
    <definedName name="data68">Facture!$F$54</definedName>
    <definedName name="data69">Facture!$J$55</definedName>
    <definedName name="data7">Facture!$G$21</definedName>
    <definedName name="data70">Facture!$J$56</definedName>
    <definedName name="data8">Facture!$I$21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Facture!$D$19:$I$19</definedName>
    <definedName name="qzqzqz10">Facture!$E$26:$J$26</definedName>
    <definedName name="qzqzqz11">Facture!#REF!</definedName>
    <definedName name="qzqzqz12">Facture!$E$27:$J$27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Facture!$K$19:$L$19</definedName>
    <definedName name="qzqzqz20">Facture!$E$39:$J$39</definedName>
    <definedName name="qzqzqz21">Facture!$E$28:$J$28</definedName>
    <definedName name="qzqzqz22">Facture!#REF!</definedName>
    <definedName name="qzqzqz23">Facture!$E$29:$J$29</definedName>
    <definedName name="qzqzqz24">Facture!#REF!</definedName>
    <definedName name="qzqzqz25">Facture!#REF!</definedName>
    <definedName name="qzqzqz26">Facture!$E$53:$H$53</definedName>
    <definedName name="qzqzqz27">Facture!#REF!</definedName>
    <definedName name="qzqzqz28">Facture!#REF!</definedName>
    <definedName name="qzqzqz29">Facture!$J$54:$L$56</definedName>
    <definedName name="qzqzqz3">Facture!$D$20:$I$20</definedName>
    <definedName name="qzqzqz30">Facture!$F$54:$H$54</definedName>
    <definedName name="qzqzqz31">Facture!$F$54:$G$54</definedName>
    <definedName name="qzqzqz32">Facture!$J$54:$L$55</definedName>
    <definedName name="qzqzqz4">Facture!$F$21:$G$21</definedName>
    <definedName name="qzqzqz5">Facture!$K$21:$L$21</definedName>
    <definedName name="qzqzqz6">Facture!$D$22:$I$22</definedName>
    <definedName name="qzqzqz7">Facture!$K$22:$L$22</definedName>
    <definedName name="qzqzqz8">Facture!$E$24:$J$24</definedName>
    <definedName name="qzqzqz9">Facture!$E$25:$J$25</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L34" i="3" l="1"/>
  <c r="L35" i="3"/>
  <c r="L36" i="3"/>
  <c r="L37" i="3"/>
  <c r="L27" i="3"/>
  <c r="L28" i="3"/>
  <c r="L29" i="3"/>
  <c r="L30" i="3"/>
  <c r="L31" i="3"/>
  <c r="L32" i="3"/>
  <c r="L33" i="3"/>
  <c r="L39" i="3" l="1"/>
  <c r="L38" i="3" l="1"/>
  <c r="L25" i="3"/>
  <c r="L26" i="3"/>
  <c r="L47" i="3"/>
  <c r="F33" i="2"/>
  <c r="B8" i="8"/>
  <c r="C8" i="8"/>
  <c r="D8" i="8"/>
  <c r="E8" i="8"/>
  <c r="F8" i="8"/>
  <c r="G8" i="8"/>
  <c r="H8" i="8"/>
  <c r="I8" i="8"/>
  <c r="K8" i="8"/>
  <c r="L48" i="3" l="1"/>
  <c r="L49" i="3" s="1"/>
  <c r="L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K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K12" authorId="0" shapeId="0">
      <text>
        <r>
          <rPr>
            <sz val="8"/>
            <color indexed="81"/>
            <rFont val="Tahoma"/>
            <family val="2"/>
          </rPr>
          <t>Cliquez sur ce bouton pour retourner à la feuille Personnaliser vos frais et modifier vos informations personnelles.</t>
        </r>
      </text>
    </comment>
    <comment ref="K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<sst xmlns="http://schemas.openxmlformats.org/spreadsheetml/2006/main" count="105" uniqueCount="90">
  <si>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</si>
  <si>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</si>
  <si>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</si>
  <si>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</si>
  <si>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</si>
  <si>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</si>
  <si>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</si>
  <si>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</si>
  <si>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</si>
  <si>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</si>
  <si>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</si>
  <si>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</si>
  <si>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</si>
  <si>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</si>
  <si>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</si>
  <si>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</si>
  <si>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</si>
  <si>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</si>
  <si>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</si>
  <si>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</si>
  <si>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</si>
  <si>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</si>
  <si>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</si>
  <si>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</si>
  <si>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</si>
  <si>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</si>
  <si>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</si>
  <si>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</si>
  <si>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</si>
  <si>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</si>
  <si>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</si>
  <si>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</si>
  <si>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</si>
  <si>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</si>
  <si>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</si>
  <si>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</si>
  <si>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</si>
  <si>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</si>
  <si>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</si>
  <si>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</si>
  <si>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</si>
  <si>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</si>
  <si>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</si>
  <si>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</si>
  <si>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</si>
  <si>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</si>
  <si>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</si>
  <si>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</si>
  <si>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</si>
  <si>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</si>
  <si>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</si>
  <si>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</si>
  <si>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</si>
  <si>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</si>
  <si>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</si>
  <si>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</si>
  <si>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</si>
  <si>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 xml:space="preserve">FORMATION THEORIQUE ET PRATIQUE SUR  </t>
  </si>
  <si>
    <t xml:space="preserve">LE THEME  TRAVAIL EN HAUTEUR </t>
  </si>
  <si>
    <t>COMPRENANT :</t>
  </si>
  <si>
    <t xml:space="preserve">  1- PRESTATION DE L'ANIMATEUR </t>
  </si>
  <si>
    <t xml:space="preserve">  2- MISE A DISPOSITION DE MATERIEL PEDAGOGIQUE </t>
  </si>
  <si>
    <t>ET DE MATERIEL DE DEMONSTRATION POUR LES</t>
  </si>
  <si>
    <t>STAGIAIRES .</t>
  </si>
  <si>
    <t xml:space="preserve">  4- REMISE D'UNE DOCUMENTATION RICHE POUR LES </t>
  </si>
  <si>
    <t>PARTICIPANTS .</t>
  </si>
  <si>
    <t>Réf Commande:</t>
  </si>
  <si>
    <t xml:space="preserve">EBL ELECTRICITE </t>
  </si>
  <si>
    <t xml:space="preserve">Mme Fatma Zari </t>
  </si>
  <si>
    <t>MF:</t>
  </si>
  <si>
    <t xml:space="preserve">HABILITATION ELECTRIQUE </t>
  </si>
  <si>
    <t>HE001</t>
  </si>
  <si>
    <t>TH001</t>
  </si>
  <si>
    <t>N.B 1 :</t>
  </si>
  <si>
    <t xml:space="preserve">Comptant </t>
  </si>
  <si>
    <t xml:space="preserve">Virement </t>
  </si>
  <si>
    <r>
      <t>INTERNATIONNALE .</t>
    </r>
    <r>
      <rPr>
        <b/>
        <sz val="10"/>
        <color rgb="FFFF0000"/>
        <rFont val="Times New Roman"/>
        <family val="1"/>
      </rPr>
      <t xml:space="preserve">Valable 3ans </t>
    </r>
  </si>
  <si>
    <t xml:space="preserve"> - DUREE DE FORMATION : 1 JOURS  </t>
  </si>
  <si>
    <t xml:space="preserve">FORMATION  NACELLE </t>
  </si>
  <si>
    <t>NECL01</t>
  </si>
  <si>
    <t>RIB : 10 000 000 081951 8 78890</t>
  </si>
  <si>
    <t xml:space="preserve">STB THAMEUR </t>
  </si>
  <si>
    <t>4,RUE DU CAIRE 1001 TUNIS- Tunisie     Tél : (216).71 258 108 Fax : (216).71 259 346
RDC:B159472001 / MF:778013 ZMA 000
Mail:gamestream@planet.tn//gamestream.formation@gmail.com</t>
  </si>
  <si>
    <r>
      <t xml:space="preserve"> </t>
    </r>
    <r>
      <rPr>
        <b/>
        <sz val="10"/>
        <color rgb="FFFF0000"/>
        <rFont val="Times New Roman"/>
        <family val="1"/>
      </rPr>
      <t xml:space="preserve">- DUREE DE FORMATION : 1 JOURS  </t>
    </r>
  </si>
  <si>
    <t>LE STAGE EST SANCTIONNE PAR UNE HABILITATION</t>
  </si>
  <si>
    <t xml:space="preserve">AU SIEGE CROWN </t>
  </si>
  <si>
    <t xml:space="preserve"> AU SIEGE GAMESTREAM ATLAS </t>
  </si>
  <si>
    <t>DEVIS N° 2023-1105</t>
  </si>
  <si>
    <t>Date: 25/09/2023</t>
  </si>
  <si>
    <t xml:space="preserve">  AU SIEGE GAMESTREAM ATLAS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</si>
</sst>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u/>
      <sz val="11"/>
      <color rgb="FFFF0000"/>
      <name val="Arial"/>
      <family val="2"/>
    </font>
    <font>
      <b/>
      <sz val="9"/>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
      <b/>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168" fontId="32" fillId="3" borderId="28" xfId="0" applyNumberFormat="1" applyFont="1" applyFill="1" applyBorder="1" applyAlignment="1"/>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3" fillId="3" borderId="33"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4" fillId="3" borderId="33" xfId="0" applyNumberFormat="1" applyFont="1" applyFill="1" applyBorder="1" applyAlignment="1"/>
    <xf numFmtId="49" fontId="33" fillId="3" borderId="33" xfId="0" applyNumberFormat="1" applyFont="1" applyFill="1" applyBorder="1" applyAlignment="1">
      <alignment horizontal="left"/>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5" fillId="6" borderId="0" xfId="0" applyFont="1" applyFill="1"/>
    <xf numFmtId="0" fontId="24" fillId="6" borderId="0" xfId="0" applyFont="1" applyFill="1" applyBorder="1" applyAlignment="1">
      <alignment vertical="top"/>
    </xf>
    <xf numFmtId="0" fontId="36" fillId="6" borderId="34" xfId="0" applyFont="1" applyFill="1" applyBorder="1"/>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29" fillId="3" borderId="33" xfId="0" applyFont="1" applyFill="1" applyBorder="1" applyAlignment="1">
      <alignment horizontal="center" shrinkToFit="1"/>
    </xf>
    <xf numFmtId="49" fontId="26" fillId="3" borderId="0" xfId="0" applyNumberFormat="1" applyFont="1" applyFill="1" applyBorder="1" applyAlignment="1">
      <alignment horizontal="left"/>
    </xf>
    <xf numFmtId="0" fontId="22" fillId="6" borderId="0" xfId="0" applyFont="1" applyFill="1"/>
    <xf numFmtId="0" fontId="1" fillId="3" borderId="0" xfId="0" applyFont="1" applyFill="1" applyBorder="1" applyAlignment="1">
      <alignment horizontal="left" vertical="top" wrapText="1"/>
    </xf>
    <xf numFmtId="49" fontId="38" fillId="3" borderId="33"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6" borderId="0" xfId="0" applyFont="1" applyFill="1" applyBorder="1" applyAlignment="1">
      <alignment horizontal="center" vertical="center" wrapText="1"/>
    </xf>
    <xf numFmtId="0" fontId="31" fillId="3" borderId="0" xfId="0" applyFont="1" applyFill="1" applyBorder="1" applyAlignment="1">
      <alignment horizontal="center" shrinkToFit="1"/>
    </xf>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10</xdr:row>
      <xdr:rowOff>200025</xdr:rowOff>
    </xdr:from>
    <xdr:to>
      <xdr:col>5</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1</xdr:col>
      <xdr:colOff>171952</xdr:colOff>
      <xdr:row>17</xdr:row>
      <xdr:rowOff>96754</xdr:rowOff>
    </xdr:from>
    <xdr:to>
      <xdr:col>9</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9</xdr:col>
      <xdr:colOff>100263</xdr:colOff>
      <xdr:row>17</xdr:row>
      <xdr:rowOff>86728</xdr:rowOff>
    </xdr:from>
    <xdr:to>
      <xdr:col>12</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16</xdr:row>
      <xdr:rowOff>152400</xdr:rowOff>
    </xdr:from>
    <xdr:to>
      <xdr:col>4</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xdr:col>
      <xdr:colOff>140369</xdr:colOff>
      <xdr:row>3</xdr:row>
      <xdr:rowOff>50131</xdr:rowOff>
    </xdr:from>
    <xdr:to>
      <xdr:col>6</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10</xdr:col>
          <xdr:colOff>485775</xdr:colOff>
          <xdr:row>12</xdr:row>
          <xdr:rowOff>0</xdr:rowOff>
        </xdr:from>
        <xdr:to>
          <xdr:col>11</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152400</xdr:rowOff>
        </xdr:from>
        <xdr:to>
          <xdr:col>3</xdr:col>
          <xdr:colOff>695325</xdr:colOff>
          <xdr:row>49</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50</xdr:row>
          <xdr:rowOff>0</xdr:rowOff>
        </xdr:from>
        <xdr:to>
          <xdr:col>3</xdr:col>
          <xdr:colOff>704850</xdr:colOff>
          <xdr:row>51</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51</xdr:row>
          <xdr:rowOff>0</xdr:rowOff>
        </xdr:from>
        <xdr:to>
          <xdr:col>3</xdr:col>
          <xdr:colOff>714375</xdr:colOff>
          <xdr:row>52</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10</xdr:col>
      <xdr:colOff>832185</xdr:colOff>
      <xdr:row>53</xdr:row>
      <xdr:rowOff>20052</xdr:rowOff>
    </xdr:from>
    <xdr:to>
      <xdr:col>12</xdr:col>
      <xdr:colOff>220579</xdr:colOff>
      <xdr:row>59</xdr:row>
      <xdr:rowOff>9392</xdr:rowOff>
    </xdr:to>
    <xdr:pic>
      <xdr:nvPicPr>
        <xdr:cNvPr id="11" name="Picture 32"/>
        <xdr:cNvPicPr/>
      </xdr:nvPicPr>
      <xdr:blipFill>
        <a:blip xmlns:r="http://schemas.openxmlformats.org/officeDocument/2006/relationships" r:embed="rId2" cstate="print"/>
        <a:srcRect/>
        <a:stretch>
          <a:fillRect/>
        </a:stretch>
      </xdr:blipFill>
      <xdr:spPr bwMode="auto">
        <a:xfrm>
          <a:off x="5815264" y="11500184"/>
          <a:ext cx="1423736" cy="1012024"/>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topLeftCell="A28" zoomScale="95" workbookViewId="0">
      <selection activeCell="E35" sqref="E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81"/>
      <c r="L11" s="81" t="s">
        <v>53</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x14ac:dyDescent="0.2">
      <c r="A14" s="7"/>
      <c r="B14" s="3"/>
      <c r="C14" s="3"/>
      <c r="D14" s="3"/>
      <c r="E14" s="3"/>
      <c r="F14" s="3"/>
      <c r="G14" s="3"/>
      <c r="H14" s="3"/>
      <c r="I14" s="3"/>
      <c r="J14" s="3"/>
      <c r="K14" s="3"/>
      <c r="L14" s="3"/>
      <c r="M14" s="3"/>
      <c r="N14" s="9"/>
    </row>
    <row r="15" spans="1:14" ht="20.100000000000001" customHeight="1" thickBot="1" x14ac:dyDescent="0.3">
      <c r="A15" s="7"/>
      <c r="B15" s="3"/>
      <c r="C15" s="3"/>
      <c r="D15" s="3"/>
      <c r="E15" s="3"/>
      <c r="F15" s="3"/>
      <c r="G15" s="3"/>
      <c r="H15" s="3"/>
      <c r="I15" s="3"/>
      <c r="J15" s="3"/>
      <c r="K15" s="102" t="s">
        <v>87</v>
      </c>
      <c r="L15" s="95"/>
      <c r="M15" s="3"/>
      <c r="N15" s="9"/>
    </row>
    <row r="16" spans="1:14" ht="3" customHeight="1" thickTop="1" x14ac:dyDescent="0.3">
      <c r="A16" s="7"/>
      <c r="B16" s="3"/>
      <c r="C16" s="61"/>
      <c r="D16" s="61"/>
      <c r="E16" s="61"/>
      <c r="F16" s="61"/>
      <c r="G16" s="61"/>
      <c r="H16" s="61"/>
      <c r="I16" s="62"/>
      <c r="J16" s="62"/>
      <c r="K16" s="61"/>
      <c r="L16" s="62"/>
      <c r="M16" s="21"/>
      <c r="N16" s="9"/>
    </row>
    <row r="17" spans="1:14" ht="14.1" customHeight="1" x14ac:dyDescent="0.2">
      <c r="A17" s="7"/>
      <c r="B17" s="3"/>
      <c r="C17" s="3"/>
      <c r="D17" s="3"/>
      <c r="E17" s="3"/>
      <c r="F17" s="3"/>
      <c r="G17" s="3"/>
      <c r="H17" s="3"/>
      <c r="I17" s="3"/>
      <c r="J17" s="3"/>
      <c r="K17" s="3"/>
      <c r="L17" s="3"/>
      <c r="M17" s="3"/>
      <c r="N17" s="9"/>
    </row>
    <row r="18" spans="1:14" x14ac:dyDescent="0.2">
      <c r="A18" s="7"/>
      <c r="B18" s="3"/>
      <c r="C18" s="3"/>
      <c r="D18" s="3"/>
      <c r="E18" s="3"/>
      <c r="F18" s="3"/>
      <c r="G18" s="3"/>
      <c r="H18" s="3"/>
      <c r="I18" s="3"/>
      <c r="J18" s="3"/>
      <c r="K18" s="3"/>
      <c r="L18" s="3"/>
      <c r="M18" s="3"/>
      <c r="N18" s="9"/>
    </row>
    <row r="19" spans="1:14" ht="18" x14ac:dyDescent="0.25">
      <c r="A19" s="7"/>
      <c r="B19" s="3"/>
      <c r="C19" s="91" t="s">
        <v>3</v>
      </c>
      <c r="D19" s="168" t="s">
        <v>67</v>
      </c>
      <c r="E19" s="169"/>
      <c r="F19" s="169"/>
      <c r="G19" s="169"/>
      <c r="H19" s="169"/>
      <c r="I19" s="169"/>
      <c r="J19" s="105"/>
      <c r="K19" s="160" t="s">
        <v>88</v>
      </c>
      <c r="L19" s="161"/>
      <c r="M19" s="58"/>
      <c r="N19" s="9"/>
    </row>
    <row r="20" spans="1:14" x14ac:dyDescent="0.2">
      <c r="A20" s="7"/>
      <c r="B20" s="3"/>
      <c r="C20" s="91" t="s">
        <v>5</v>
      </c>
      <c r="D20" s="166"/>
      <c r="E20" s="167"/>
      <c r="F20" s="167"/>
      <c r="G20" s="167"/>
      <c r="H20" s="167"/>
      <c r="I20" s="167"/>
      <c r="J20" s="91"/>
      <c r="K20" s="172" t="s">
        <v>66</v>
      </c>
      <c r="L20" s="173"/>
      <c r="M20" s="59"/>
      <c r="N20" s="9"/>
    </row>
    <row r="21" spans="1:14" x14ac:dyDescent="0.2">
      <c r="A21" s="7"/>
      <c r="B21" s="3"/>
      <c r="C21" s="91" t="s">
        <v>7</v>
      </c>
      <c r="D21" s="98"/>
      <c r="E21" s="99" t="s">
        <v>8</v>
      </c>
      <c r="F21" s="164" t="s">
        <v>56</v>
      </c>
      <c r="G21" s="165"/>
      <c r="H21" s="100" t="s">
        <v>9</v>
      </c>
      <c r="I21" s="97" t="s">
        <v>51</v>
      </c>
      <c r="J21" s="91"/>
      <c r="K21" s="115" t="s">
        <v>55</v>
      </c>
      <c r="L21" s="135" t="s">
        <v>68</v>
      </c>
      <c r="M21" s="115"/>
      <c r="N21" s="9"/>
    </row>
    <row r="22" spans="1:14" x14ac:dyDescent="0.2">
      <c r="A22" s="7"/>
      <c r="B22" s="3"/>
      <c r="C22" s="91" t="s">
        <v>20</v>
      </c>
      <c r="D22" s="170">
        <v>58388901</v>
      </c>
      <c r="E22" s="171"/>
      <c r="F22" s="171"/>
      <c r="G22" s="171"/>
      <c r="H22" s="171"/>
      <c r="I22" s="171"/>
      <c r="J22" s="91"/>
      <c r="K22" s="162" t="s">
        <v>69</v>
      </c>
      <c r="L22" s="163"/>
      <c r="M22" s="3"/>
      <c r="N22" s="9"/>
    </row>
    <row r="23" spans="1:14" x14ac:dyDescent="0.2">
      <c r="A23" s="7"/>
      <c r="B23" s="3"/>
      <c r="C23" s="91"/>
      <c r="D23" s="91"/>
      <c r="E23" s="91"/>
      <c r="F23" s="91"/>
      <c r="G23" s="91"/>
      <c r="H23" s="91"/>
      <c r="I23" s="91"/>
      <c r="J23" s="91"/>
      <c r="K23" s="91"/>
      <c r="L23" s="91"/>
      <c r="M23" s="3"/>
      <c r="N23" s="9"/>
    </row>
    <row r="24" spans="1:14" x14ac:dyDescent="0.2">
      <c r="A24" s="7"/>
      <c r="B24" s="3"/>
      <c r="C24" s="72" t="s">
        <v>35</v>
      </c>
      <c r="D24" s="53" t="s">
        <v>21</v>
      </c>
      <c r="E24" s="174" t="s">
        <v>22</v>
      </c>
      <c r="F24" s="175"/>
      <c r="G24" s="175"/>
      <c r="H24" s="175"/>
      <c r="I24" s="175"/>
      <c r="J24" s="176"/>
      <c r="K24" s="53" t="s">
        <v>23</v>
      </c>
      <c r="L24" s="54" t="s">
        <v>24</v>
      </c>
      <c r="M24" s="60"/>
      <c r="N24" s="9"/>
    </row>
    <row r="25" spans="1:14" x14ac:dyDescent="0.2">
      <c r="A25" s="7"/>
      <c r="B25" s="3"/>
      <c r="C25" s="70"/>
      <c r="D25" s="55"/>
      <c r="E25" s="177"/>
      <c r="F25" s="178"/>
      <c r="G25" s="178"/>
      <c r="H25" s="178"/>
      <c r="I25" s="178"/>
      <c r="J25" s="179"/>
      <c r="K25" s="79"/>
      <c r="L25" s="106" t="str">
        <f t="shared" ref="L25:L39" si="0">IF(D25&lt;&gt;"",D25*K25,"")</f>
        <v/>
      </c>
      <c r="M25" s="60"/>
      <c r="N25" s="9"/>
    </row>
    <row r="26" spans="1:14" ht="15" x14ac:dyDescent="0.2">
      <c r="A26" s="7"/>
      <c r="B26" s="3"/>
      <c r="C26" s="142" t="s">
        <v>72</v>
      </c>
      <c r="D26" s="82">
        <v>1</v>
      </c>
      <c r="E26" s="180" t="s">
        <v>57</v>
      </c>
      <c r="F26" s="181"/>
      <c r="G26" s="181"/>
      <c r="H26" s="181"/>
      <c r="I26" s="181"/>
      <c r="J26" s="182"/>
      <c r="K26" s="83">
        <v>250</v>
      </c>
      <c r="L26" s="107">
        <f t="shared" si="0"/>
        <v>250</v>
      </c>
      <c r="M26" s="60"/>
      <c r="N26" s="9"/>
    </row>
    <row r="27" spans="1:14" ht="15" x14ac:dyDescent="0.2">
      <c r="A27" s="7"/>
      <c r="B27" s="3"/>
      <c r="C27" s="143"/>
      <c r="D27" s="82"/>
      <c r="E27" s="180" t="s">
        <v>58</v>
      </c>
      <c r="F27" s="181"/>
      <c r="G27" s="181"/>
      <c r="H27" s="181"/>
      <c r="I27" s="181"/>
      <c r="J27" s="182"/>
      <c r="K27" s="83"/>
      <c r="L27" s="107" t="str">
        <f t="shared" si="0"/>
        <v/>
      </c>
      <c r="M27" s="60"/>
      <c r="N27" s="9"/>
    </row>
    <row r="28" spans="1:14" ht="25.5" x14ac:dyDescent="0.35">
      <c r="A28" s="7"/>
      <c r="B28" s="3"/>
      <c r="C28" s="144"/>
      <c r="D28" s="82"/>
      <c r="E28" s="188" t="s">
        <v>77</v>
      </c>
      <c r="F28" s="189"/>
      <c r="G28" s="189"/>
      <c r="H28" s="189"/>
      <c r="I28" s="189"/>
      <c r="J28" s="190"/>
      <c r="K28" s="83"/>
      <c r="L28" s="107" t="str">
        <f t="shared" si="0"/>
        <v/>
      </c>
      <c r="M28" s="60"/>
      <c r="N28" s="9"/>
    </row>
    <row r="29" spans="1:14" ht="15" x14ac:dyDescent="0.2">
      <c r="A29" s="7"/>
      <c r="B29" s="3"/>
      <c r="C29" s="143"/>
      <c r="D29" s="82"/>
      <c r="E29" s="188" t="s">
        <v>86</v>
      </c>
      <c r="F29" s="189"/>
      <c r="G29" s="189"/>
      <c r="H29" s="189"/>
      <c r="I29" s="189"/>
      <c r="J29" s="190"/>
      <c r="K29" s="118"/>
      <c r="L29" s="107" t="str">
        <f t="shared" si="0"/>
        <v/>
      </c>
      <c r="M29" s="60"/>
      <c r="N29" s="9"/>
    </row>
    <row r="30" spans="1:14" ht="15" x14ac:dyDescent="0.2">
      <c r="A30" s="7"/>
      <c r="B30" s="3"/>
      <c r="C30" s="142" t="s">
        <v>79</v>
      </c>
      <c r="D30" s="56">
        <v>1</v>
      </c>
      <c r="E30" s="185" t="s">
        <v>78</v>
      </c>
      <c r="F30" s="186"/>
      <c r="G30" s="186"/>
      <c r="H30" s="186"/>
      <c r="I30" s="186"/>
      <c r="J30" s="187"/>
      <c r="K30" s="83">
        <v>300</v>
      </c>
      <c r="L30" s="107">
        <f t="shared" si="0"/>
        <v>300</v>
      </c>
      <c r="M30" s="60"/>
      <c r="N30" s="9"/>
    </row>
    <row r="31" spans="1:14" ht="15" x14ac:dyDescent="0.2">
      <c r="A31" s="7"/>
      <c r="B31" s="3"/>
      <c r="C31" s="143"/>
      <c r="D31" s="56"/>
      <c r="E31" s="140" t="s">
        <v>83</v>
      </c>
      <c r="F31" s="119"/>
      <c r="G31" s="119"/>
      <c r="H31" s="119"/>
      <c r="I31" s="119"/>
      <c r="J31" s="120"/>
      <c r="K31" s="83"/>
      <c r="L31" s="107" t="str">
        <f t="shared" si="0"/>
        <v/>
      </c>
      <c r="M31" s="60"/>
      <c r="N31" s="9"/>
    </row>
    <row r="32" spans="1:14" ht="15" x14ac:dyDescent="0.2">
      <c r="A32" s="7"/>
      <c r="B32" s="3"/>
      <c r="C32" s="143"/>
      <c r="D32" s="56"/>
      <c r="E32" s="148" t="s">
        <v>85</v>
      </c>
      <c r="F32" s="138"/>
      <c r="G32" s="138"/>
      <c r="H32" s="138"/>
      <c r="I32" s="138"/>
      <c r="J32" s="139"/>
      <c r="K32" s="83"/>
      <c r="L32" s="107" t="str">
        <f t="shared" si="0"/>
        <v/>
      </c>
      <c r="M32" s="60"/>
      <c r="N32" s="9"/>
    </row>
    <row r="33" spans="1:14" ht="15" x14ac:dyDescent="0.2">
      <c r="A33" s="7"/>
      <c r="B33" s="3"/>
      <c r="C33" s="142" t="s">
        <v>71</v>
      </c>
      <c r="D33" s="56">
        <v>1</v>
      </c>
      <c r="E33" s="180" t="s">
        <v>70</v>
      </c>
      <c r="F33" s="181"/>
      <c r="G33" s="181"/>
      <c r="H33" s="181"/>
      <c r="I33" s="181"/>
      <c r="J33" s="182"/>
      <c r="K33" s="83">
        <v>300</v>
      </c>
      <c r="L33" s="107">
        <f t="shared" si="0"/>
        <v>300</v>
      </c>
      <c r="M33" s="60"/>
      <c r="N33" s="9"/>
    </row>
    <row r="34" spans="1:14" ht="15" x14ac:dyDescent="0.2">
      <c r="A34" s="7"/>
      <c r="B34" s="3"/>
      <c r="C34" s="143"/>
      <c r="D34" s="56"/>
      <c r="E34" s="148" t="s">
        <v>77</v>
      </c>
      <c r="F34" s="145"/>
      <c r="G34" s="145"/>
      <c r="H34" s="145"/>
      <c r="I34" s="119"/>
      <c r="J34" s="120"/>
      <c r="K34" s="83"/>
      <c r="L34" s="107" t="str">
        <f t="shared" si="0"/>
        <v/>
      </c>
      <c r="M34" s="60"/>
      <c r="N34" s="9"/>
    </row>
    <row r="35" spans="1:14" ht="15" x14ac:dyDescent="0.2">
      <c r="A35" s="7"/>
      <c r="B35" s="3"/>
      <c r="C35" s="143"/>
      <c r="D35" s="56"/>
      <c r="E35" s="148" t="s">
        <v>89</v>
      </c>
      <c r="F35" s="138"/>
      <c r="G35" s="138"/>
      <c r="H35" s="138"/>
      <c r="I35" s="138"/>
      <c r="J35" s="139"/>
      <c r="K35" s="83"/>
      <c r="L35" s="107" t="str">
        <f t="shared" si="0"/>
        <v/>
      </c>
      <c r="M35" s="60"/>
      <c r="N35" s="9"/>
    </row>
    <row r="36" spans="1:14" ht="15" x14ac:dyDescent="0.2">
      <c r="A36" s="7"/>
      <c r="B36" s="3"/>
      <c r="C36" s="70"/>
      <c r="D36" s="56"/>
      <c r="E36" s="121" t="s">
        <v>59</v>
      </c>
      <c r="F36" s="122"/>
      <c r="G36" s="122"/>
      <c r="H36" s="122"/>
      <c r="I36" s="122"/>
      <c r="J36" s="123"/>
      <c r="K36" s="83"/>
      <c r="L36" s="107" t="str">
        <f t="shared" si="0"/>
        <v/>
      </c>
      <c r="M36" s="60"/>
      <c r="N36" s="9"/>
    </row>
    <row r="37" spans="1:14" ht="15" x14ac:dyDescent="0.2">
      <c r="A37" s="7"/>
      <c r="B37" s="3"/>
      <c r="C37" s="70"/>
      <c r="D37" s="56"/>
      <c r="E37" s="132" t="s">
        <v>60</v>
      </c>
      <c r="F37" s="129"/>
      <c r="G37" s="129"/>
      <c r="H37" s="129"/>
      <c r="I37" s="129"/>
      <c r="J37" s="130"/>
      <c r="K37" s="83"/>
      <c r="L37" s="107" t="str">
        <f t="shared" si="0"/>
        <v/>
      </c>
      <c r="M37" s="60"/>
      <c r="N37" s="9"/>
    </row>
    <row r="38" spans="1:14" ht="15" x14ac:dyDescent="0.2">
      <c r="A38" s="7"/>
      <c r="B38" s="3"/>
      <c r="C38" s="70"/>
      <c r="D38" s="56"/>
      <c r="E38" s="132" t="s">
        <v>61</v>
      </c>
      <c r="F38" s="129"/>
      <c r="G38" s="129"/>
      <c r="H38" s="129"/>
      <c r="I38" s="129"/>
      <c r="J38" s="130"/>
      <c r="K38" s="83"/>
      <c r="L38" s="107" t="str">
        <f t="shared" si="0"/>
        <v/>
      </c>
      <c r="M38" s="60"/>
      <c r="N38" s="9"/>
    </row>
    <row r="39" spans="1:14" ht="15" x14ac:dyDescent="0.2">
      <c r="A39" s="7"/>
      <c r="B39" s="3"/>
      <c r="C39" s="70"/>
      <c r="D39" s="56"/>
      <c r="E39" s="132" t="s">
        <v>62</v>
      </c>
      <c r="F39" s="129"/>
      <c r="G39" s="129"/>
      <c r="H39" s="129"/>
      <c r="I39" s="129"/>
      <c r="J39" s="130"/>
      <c r="K39" s="83"/>
      <c r="L39" s="107" t="str">
        <f t="shared" si="0"/>
        <v/>
      </c>
      <c r="M39" s="60"/>
      <c r="N39" s="9"/>
    </row>
    <row r="40" spans="1:14" ht="15" x14ac:dyDescent="0.2">
      <c r="A40" s="7"/>
      <c r="B40" s="3"/>
      <c r="C40" s="70"/>
      <c r="D40" s="56"/>
      <c r="E40" s="124" t="s">
        <v>63</v>
      </c>
      <c r="F40" s="127"/>
      <c r="G40" s="127"/>
      <c r="H40" s="127"/>
      <c r="I40" s="127"/>
      <c r="J40" s="128"/>
      <c r="K40" s="83"/>
      <c r="L40" s="107"/>
      <c r="M40" s="60"/>
      <c r="N40" s="9"/>
    </row>
    <row r="41" spans="1:14" ht="15" x14ac:dyDescent="0.2">
      <c r="A41" s="7"/>
      <c r="B41" s="3"/>
      <c r="C41" s="70"/>
      <c r="D41" s="56"/>
      <c r="E41" s="124" t="s">
        <v>64</v>
      </c>
      <c r="F41" s="125"/>
      <c r="G41" s="125"/>
      <c r="H41" s="125"/>
      <c r="I41" s="125"/>
      <c r="J41" s="126"/>
      <c r="K41" s="83"/>
      <c r="L41" s="107"/>
      <c r="M41" s="60"/>
      <c r="N41" s="9"/>
    </row>
    <row r="42" spans="1:14" ht="15" x14ac:dyDescent="0.2">
      <c r="A42" s="7"/>
      <c r="B42" s="3"/>
      <c r="C42" s="70"/>
      <c r="D42" s="56"/>
      <c r="E42" s="124" t="s">
        <v>65</v>
      </c>
      <c r="F42" s="125"/>
      <c r="G42" s="125"/>
      <c r="H42" s="125"/>
      <c r="I42" s="125"/>
      <c r="J42" s="126"/>
      <c r="K42" s="83"/>
      <c r="L42" s="107"/>
      <c r="M42" s="60"/>
      <c r="N42" s="9"/>
    </row>
    <row r="43" spans="1:14" ht="15" x14ac:dyDescent="0.2">
      <c r="A43" s="7"/>
      <c r="B43" s="3"/>
      <c r="C43" s="70"/>
      <c r="D43" s="56"/>
      <c r="E43" s="116"/>
      <c r="F43" s="116"/>
      <c r="G43" s="116"/>
      <c r="H43" s="116"/>
      <c r="I43" s="116"/>
      <c r="J43" s="116"/>
      <c r="K43" s="83"/>
      <c r="L43" s="107"/>
      <c r="M43" s="60"/>
      <c r="N43" s="9"/>
    </row>
    <row r="44" spans="1:14" ht="15.75" x14ac:dyDescent="0.25">
      <c r="A44" s="7"/>
      <c r="B44" s="3"/>
      <c r="C44" s="70"/>
      <c r="D44" s="56"/>
      <c r="E44" s="131" t="s">
        <v>73</v>
      </c>
      <c r="F44" s="125"/>
      <c r="G44" s="125"/>
      <c r="H44" s="125"/>
      <c r="I44" s="125"/>
      <c r="J44" s="126"/>
      <c r="K44" s="83"/>
      <c r="L44" s="107"/>
      <c r="M44" s="60"/>
      <c r="N44" s="9"/>
    </row>
    <row r="45" spans="1:14" ht="15" x14ac:dyDescent="0.2">
      <c r="A45" s="7"/>
      <c r="B45" s="3"/>
      <c r="C45" s="70"/>
      <c r="D45" s="56"/>
      <c r="E45" s="132" t="s">
        <v>84</v>
      </c>
      <c r="F45" s="129"/>
      <c r="G45" s="129"/>
      <c r="H45" s="129"/>
      <c r="I45" s="129"/>
      <c r="J45" s="130"/>
      <c r="K45" s="83"/>
      <c r="L45" s="107"/>
      <c r="M45" s="60"/>
      <c r="N45" s="9"/>
    </row>
    <row r="46" spans="1:14" ht="15" x14ac:dyDescent="0.2">
      <c r="A46" s="7"/>
      <c r="B46" s="3"/>
      <c r="C46" s="70"/>
      <c r="D46" s="56"/>
      <c r="E46" s="132" t="s">
        <v>76</v>
      </c>
      <c r="F46" s="129"/>
      <c r="G46" s="129"/>
      <c r="H46" s="129"/>
      <c r="I46" s="129"/>
      <c r="J46" s="130"/>
      <c r="K46" s="83"/>
      <c r="L46" s="107"/>
      <c r="M46" s="60"/>
      <c r="N46" s="9"/>
    </row>
    <row r="47" spans="1:14" ht="17.100000000000001" customHeight="1" x14ac:dyDescent="0.2">
      <c r="A47" s="7"/>
      <c r="B47" s="3"/>
      <c r="C47" s="71"/>
      <c r="D47" s="57"/>
      <c r="E47" s="137"/>
      <c r="F47" s="117"/>
      <c r="G47" s="117"/>
      <c r="H47" s="117"/>
      <c r="I47" s="117"/>
      <c r="J47" s="117"/>
      <c r="K47" s="134"/>
      <c r="L47" s="107" t="str">
        <f>IF(D47&lt;&gt;"",D47*K47,"")</f>
        <v/>
      </c>
      <c r="M47" s="60"/>
      <c r="N47" s="9"/>
    </row>
    <row r="48" spans="1:14" ht="17.100000000000001" customHeight="1" x14ac:dyDescent="0.25">
      <c r="A48" s="7"/>
      <c r="B48" s="3"/>
      <c r="C48" s="3"/>
      <c r="D48" s="91"/>
      <c r="E48" s="116"/>
      <c r="F48" s="116"/>
      <c r="G48" s="116"/>
      <c r="H48" s="116"/>
      <c r="I48" s="116"/>
      <c r="J48" s="116"/>
      <c r="K48" s="133" t="s">
        <v>25</v>
      </c>
      <c r="L48" s="108">
        <f>SUM(L26:L47)</f>
        <v>850</v>
      </c>
      <c r="M48" s="60"/>
      <c r="N48" s="9"/>
    </row>
    <row r="49" spans="1:14" ht="17.100000000000001" customHeight="1" x14ac:dyDescent="0.2">
      <c r="A49" s="7"/>
      <c r="B49" s="3"/>
      <c r="C49" s="3"/>
      <c r="D49" s="91"/>
      <c r="E49" s="116"/>
      <c r="F49" s="116"/>
      <c r="G49" s="116"/>
      <c r="H49" s="116"/>
      <c r="I49" s="116"/>
      <c r="J49" s="116"/>
      <c r="K49" s="109">
        <v>0.19</v>
      </c>
      <c r="L49" s="110">
        <f>L48*0.19</f>
        <v>161.5</v>
      </c>
      <c r="M49" s="60"/>
      <c r="N49" s="9"/>
    </row>
    <row r="50" spans="1:14" ht="15.75" x14ac:dyDescent="0.25">
      <c r="A50" s="7"/>
      <c r="B50" s="3"/>
      <c r="C50" s="3"/>
      <c r="D50" s="93"/>
      <c r="E50" s="146" t="s">
        <v>74</v>
      </c>
      <c r="F50" s="116"/>
      <c r="G50" s="116"/>
      <c r="H50" s="116"/>
      <c r="I50" s="116"/>
      <c r="J50" s="116"/>
      <c r="K50" s="112" t="s">
        <v>47</v>
      </c>
      <c r="L50" s="110">
        <v>1</v>
      </c>
      <c r="M50" s="60"/>
      <c r="N50" s="9"/>
    </row>
    <row r="51" spans="1:14" ht="15" customHeight="1" x14ac:dyDescent="0.25">
      <c r="A51" s="7"/>
      <c r="B51" s="3"/>
      <c r="C51" s="3"/>
      <c r="D51" s="94"/>
      <c r="E51" s="114" t="s">
        <v>26</v>
      </c>
      <c r="F51" s="96"/>
      <c r="G51" s="94"/>
      <c r="H51" s="91"/>
      <c r="I51" s="86"/>
      <c r="J51" s="84"/>
      <c r="K51" s="111" t="s">
        <v>28</v>
      </c>
      <c r="L51" s="108">
        <f>+L48+L49+L50</f>
        <v>1012.5</v>
      </c>
      <c r="M51" s="60"/>
      <c r="N51" s="9"/>
    </row>
    <row r="52" spans="1:14" ht="15.75" x14ac:dyDescent="0.25">
      <c r="A52" s="7"/>
      <c r="B52" s="3"/>
      <c r="C52" s="3"/>
      <c r="D52" s="92"/>
      <c r="E52" s="141" t="s">
        <v>75</v>
      </c>
      <c r="F52" s="91"/>
      <c r="G52" s="92"/>
      <c r="H52" s="91"/>
      <c r="I52" s="87" t="s">
        <v>27</v>
      </c>
      <c r="J52" s="84"/>
      <c r="K52" s="88"/>
      <c r="L52" s="88"/>
      <c r="M52" s="60"/>
      <c r="N52" s="9"/>
    </row>
    <row r="53" spans="1:14" ht="18" x14ac:dyDescent="0.25">
      <c r="A53" s="7"/>
      <c r="B53" s="157"/>
      <c r="C53" s="157"/>
      <c r="D53" s="157"/>
      <c r="E53" s="157"/>
      <c r="F53" s="157"/>
      <c r="G53" s="157"/>
      <c r="H53" s="157"/>
      <c r="I53" s="157"/>
      <c r="J53" s="157"/>
      <c r="K53" s="157"/>
      <c r="L53" s="157"/>
      <c r="M53" s="60"/>
      <c r="N53" s="9"/>
    </row>
    <row r="54" spans="1:14" ht="15.75" x14ac:dyDescent="0.2">
      <c r="A54" s="7"/>
      <c r="B54" s="3"/>
      <c r="C54" s="3"/>
      <c r="D54" s="20"/>
      <c r="E54" s="85"/>
      <c r="F54" s="183"/>
      <c r="G54" s="184"/>
      <c r="H54" s="184"/>
      <c r="I54" s="84"/>
      <c r="J54" s="136" t="s">
        <v>54</v>
      </c>
      <c r="K54" s="113"/>
      <c r="L54" s="113"/>
      <c r="M54" s="60"/>
      <c r="N54" s="9"/>
    </row>
    <row r="55" spans="1:14" ht="15.75" x14ac:dyDescent="0.25">
      <c r="A55" s="7"/>
      <c r="B55" s="8" t="s">
        <v>80</v>
      </c>
      <c r="C55" s="8"/>
      <c r="D55" s="8"/>
      <c r="E55" s="102"/>
      <c r="F55" s="102"/>
      <c r="G55" s="102"/>
      <c r="H55" s="102"/>
      <c r="I55" s="84"/>
      <c r="J55" s="113"/>
      <c r="K55" s="113"/>
      <c r="L55" s="113"/>
      <c r="M55" s="60"/>
      <c r="N55" s="9"/>
    </row>
    <row r="56" spans="1:14" ht="15.75" x14ac:dyDescent="0.25">
      <c r="A56" s="7"/>
      <c r="B56" s="8" t="s">
        <v>81</v>
      </c>
      <c r="C56" s="147"/>
      <c r="D56" s="8"/>
      <c r="E56" s="102"/>
      <c r="F56" s="102"/>
      <c r="G56" s="102"/>
      <c r="H56" s="102"/>
      <c r="I56" s="84"/>
      <c r="J56" s="113"/>
      <c r="K56" s="113"/>
      <c r="L56" s="113"/>
      <c r="M56" s="60"/>
      <c r="N56" s="9"/>
    </row>
    <row r="57" spans="1:14" ht="3" customHeight="1" x14ac:dyDescent="0.2">
      <c r="A57" s="7"/>
      <c r="B57" s="3"/>
      <c r="C57" s="3"/>
      <c r="D57" s="3"/>
      <c r="E57" s="103"/>
      <c r="F57" s="104"/>
      <c r="G57" s="104"/>
      <c r="H57" s="104"/>
      <c r="I57" s="104"/>
      <c r="J57" s="104"/>
      <c r="K57" s="104"/>
      <c r="L57" s="90"/>
      <c r="M57" s="60"/>
      <c r="N57" s="9"/>
    </row>
    <row r="58" spans="1:14" ht="15" x14ac:dyDescent="0.2">
      <c r="A58" s="7"/>
      <c r="B58" s="3"/>
      <c r="C58" s="3"/>
      <c r="D58" s="3"/>
      <c r="E58" s="104"/>
      <c r="F58" s="104"/>
      <c r="G58" s="104"/>
      <c r="H58" s="104"/>
      <c r="I58" s="104"/>
      <c r="J58" s="104"/>
      <c r="K58" s="104"/>
      <c r="L58" s="84"/>
      <c r="M58" s="60"/>
      <c r="N58" s="9"/>
    </row>
    <row r="59" spans="1:14" ht="15" x14ac:dyDescent="0.2">
      <c r="A59" s="7"/>
      <c r="B59" s="3"/>
      <c r="C59" s="3"/>
      <c r="D59" s="91"/>
      <c r="E59" s="104"/>
      <c r="F59" s="104"/>
      <c r="G59" s="104"/>
      <c r="H59" s="104"/>
      <c r="I59" s="104"/>
      <c r="J59" s="104"/>
      <c r="K59" s="104"/>
      <c r="L59" s="84"/>
      <c r="M59" s="60"/>
      <c r="N59" s="9"/>
    </row>
    <row r="60" spans="1:14" ht="15" x14ac:dyDescent="0.2">
      <c r="A60" s="104"/>
      <c r="B60" s="104"/>
      <c r="C60" s="104"/>
      <c r="D60" s="104"/>
      <c r="E60" s="104"/>
      <c r="F60" s="104"/>
      <c r="G60" s="104"/>
      <c r="H60" s="104"/>
      <c r="I60" s="104"/>
      <c r="J60" s="104"/>
      <c r="K60" s="104"/>
      <c r="L60" s="89"/>
      <c r="M60" s="60"/>
      <c r="N60" s="9"/>
    </row>
    <row r="61" spans="1:14" ht="0.95" customHeight="1" thickBot="1" x14ac:dyDescent="0.25">
      <c r="A61" s="3"/>
      <c r="B61" s="3"/>
      <c r="C61" s="3"/>
      <c r="D61" s="3"/>
      <c r="E61" s="3"/>
      <c r="F61" s="3"/>
      <c r="G61" s="3"/>
      <c r="H61" s="3"/>
      <c r="I61" s="3"/>
      <c r="J61" s="3"/>
      <c r="K61" s="3"/>
      <c r="L61" s="3"/>
      <c r="M61" s="60"/>
      <c r="N61" s="9"/>
    </row>
    <row r="62" spans="1:14" ht="6" customHeight="1" thickTop="1" x14ac:dyDescent="0.2">
      <c r="A62" s="61"/>
      <c r="B62" s="61"/>
      <c r="C62" s="61"/>
      <c r="D62" s="61"/>
      <c r="E62" s="61"/>
      <c r="F62" s="61"/>
      <c r="G62" s="61"/>
      <c r="H62" s="61"/>
      <c r="I62" s="61"/>
      <c r="J62" s="61"/>
      <c r="K62" s="61"/>
      <c r="L62" s="61"/>
      <c r="M62" s="60"/>
      <c r="N62" s="9"/>
    </row>
    <row r="63" spans="1:14" ht="12.75" customHeight="1" x14ac:dyDescent="0.2">
      <c r="A63" s="158"/>
      <c r="B63" s="156" t="s">
        <v>82</v>
      </c>
      <c r="C63" s="156"/>
      <c r="D63" s="156"/>
      <c r="E63" s="156"/>
      <c r="F63" s="156"/>
      <c r="G63" s="156"/>
      <c r="H63" s="156"/>
      <c r="I63" s="156"/>
      <c r="J63" s="156"/>
      <c r="K63" s="156"/>
      <c r="L63" s="156"/>
      <c r="M63" s="156"/>
      <c r="N63" s="9"/>
    </row>
    <row r="64" spans="1:14" ht="12.75" customHeight="1" x14ac:dyDescent="0.2">
      <c r="A64" s="159"/>
      <c r="B64" s="156"/>
      <c r="C64" s="156"/>
      <c r="D64" s="156"/>
      <c r="E64" s="156"/>
      <c r="F64" s="156"/>
      <c r="G64" s="156"/>
      <c r="H64" s="156"/>
      <c r="I64" s="156"/>
      <c r="J64" s="156"/>
      <c r="K64" s="156"/>
      <c r="L64" s="156"/>
      <c r="M64" s="156"/>
      <c r="N64" s="9"/>
    </row>
    <row r="65" spans="1:14" ht="12.75" customHeight="1" x14ac:dyDescent="0.2">
      <c r="A65" s="159"/>
      <c r="B65" s="156"/>
      <c r="C65" s="156"/>
      <c r="D65" s="156"/>
      <c r="E65" s="156"/>
      <c r="F65" s="156"/>
      <c r="G65" s="156"/>
      <c r="H65" s="156"/>
      <c r="I65" s="156"/>
      <c r="J65" s="156"/>
      <c r="K65" s="156"/>
      <c r="L65" s="156"/>
      <c r="M65" s="156"/>
      <c r="N65" s="9"/>
    </row>
    <row r="66" spans="1:14" ht="12.75" customHeight="1" x14ac:dyDescent="0.2">
      <c r="A66" s="3"/>
      <c r="B66" s="156"/>
      <c r="C66" s="156"/>
      <c r="D66" s="156"/>
      <c r="E66" s="156"/>
      <c r="F66" s="156"/>
      <c r="G66" s="156"/>
      <c r="H66" s="156"/>
      <c r="I66" s="156"/>
      <c r="J66" s="156"/>
      <c r="K66" s="156"/>
      <c r="L66" s="156"/>
      <c r="M66" s="156"/>
      <c r="N66" s="9"/>
    </row>
    <row r="67" spans="1:14" ht="13.5" customHeight="1" thickBot="1" x14ac:dyDescent="0.25">
      <c r="A67" s="11"/>
      <c r="B67" s="156"/>
      <c r="C67" s="156"/>
      <c r="D67" s="156"/>
      <c r="E67" s="156"/>
      <c r="F67" s="156"/>
      <c r="G67" s="156"/>
      <c r="H67" s="156"/>
      <c r="I67" s="156"/>
      <c r="J67" s="156"/>
      <c r="K67" s="156"/>
      <c r="L67" s="156"/>
      <c r="M67" s="156"/>
      <c r="N67" s="12"/>
    </row>
    <row r="68" spans="1:14" ht="13.5" thickTop="1" x14ac:dyDescent="0.2"/>
  </sheetData>
  <scenarios current="0">
    <scenario name="sample1" locked="1" count="10" user="Nickte" comment="Created by Nickte on 23/10/96">
      <inputCells r="D19" val="M. Antoine CIVAUX"/>
      <inputCells r="D20" val="34, route de Marseille"/>
      <inputCells r="D21" val="84000"/>
      <inputCells r="D22" val="04.90.26.45.78"/>
      <inputCells r="F21" val="Avignon"/>
      <inputCells r="I21" val="France"/>
      <inputCells r="K19" val="35343" numFmtId="14"/>
      <inputCells r="K20" val="452"/>
      <inputCells r="K21" val="T. Farot"/>
      <inputCells r="K22" val="Le Havre"/>
    </scenario>
    <scenario name="sample2" locked="1" count="10" user="Nickte" comment="Created by Nickte on 23/10/96">
      <inputCells r="C25" val="FV451"/>
      <inputCells r="D25" val="1"/>
      <inputCells r="E25" val="Bureau métal"/>
      <inputCells r="C26" val="RF458"/>
      <inputCells r="D26" val="1"/>
      <inputCells r="E26" val="Fauteuil ergonomique"/>
      <inputCells r="K25" val="2300" numFmtId="8"/>
      <inputCells r="K26" val="1300" numFmtId="8"/>
      <inputCells r="L26" undone="1" val="2"/>
      <inputCells r="L25" undone="1" val="2"/>
    </scenario>
  </scenarios>
  <mergeCells count="19">
    <mergeCell ref="E27:J27"/>
    <mergeCell ref="E29:J29"/>
    <mergeCell ref="E33:J33"/>
    <mergeCell ref="B63:M67"/>
    <mergeCell ref="B53:L53"/>
    <mergeCell ref="A63:A65"/>
    <mergeCell ref="K19:L19"/>
    <mergeCell ref="K22:L22"/>
    <mergeCell ref="F21:G21"/>
    <mergeCell ref="D20:I20"/>
    <mergeCell ref="D19:I19"/>
    <mergeCell ref="D22:I22"/>
    <mergeCell ref="K20:L20"/>
    <mergeCell ref="E24:J24"/>
    <mergeCell ref="E25:J25"/>
    <mergeCell ref="E26:J26"/>
    <mergeCell ref="F54:H54"/>
    <mergeCell ref="E30:J30"/>
    <mergeCell ref="E28:J28"/>
  </mergeCells>
  <phoneticPr fontId="0" type="noConversion"/>
  <dataValidations xWindow="574" yWindow="401" count="1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5"/>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allowBlank="1" showErrorMessage="1" sqref="F21:G21"/>
    <dataValidation type="textLength" errorStyle="warning" allowBlank="1" showErrorMessage="1" errorTitle="Total" error="Les cellules ombrées contiennent des formules et sont calculées automatiquement par Excel. N'y tapez aucune information." promptTitle="Total" sqref="L51">
      <formula1>0</formula1>
      <formula2>0</formula2>
    </dataValidation>
    <dataValidation type="whole" errorStyle="warning" allowBlank="1" showErrorMessage="1" errorTitle="Quantité" error="Tapez un nombre dans cette cellule." promptTitle="Quantité" sqref="D25:D47">
      <formula1>0</formula1>
      <formula2>1000000000</formula2>
    </dataValidation>
    <dataValidation type="decimal" allowBlank="1" showErrorMessage="1" errorTitle="Prix unitaire" error="Tapez un nombre dans cette cellule." promptTitle="Prix unitaire" sqref="K25:K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5:L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12</xdr:row>
                    <xdr:rowOff>0</xdr:rowOff>
                  </from>
                  <to>
                    <xdr:col>11</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48</xdr:row>
                    <xdr:rowOff>152400</xdr:rowOff>
                  </from>
                  <to>
                    <xdr:col>3</xdr:col>
                    <xdr:colOff>695325</xdr:colOff>
                    <xdr:row>49</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50</xdr:row>
                    <xdr:rowOff>0</xdr:rowOff>
                  </from>
                  <to>
                    <xdr:col>3</xdr:col>
                    <xdr:colOff>704850</xdr:colOff>
                    <xdr:row>51</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51</xdr:row>
                    <xdr:rowOff>0</xdr:rowOff>
                  </from>
                  <to>
                    <xdr:col>3</xdr:col>
                    <xdr:colOff>714375</xdr:colOff>
                    <xdr:row>52</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Facture!$L$11</f>
        <v/>
      </c>
      <c r="C8" s="75" t="str">
        <f>Facture!$K$19</f>
        <v>Date: 25/09/2023</v>
      </c>
      <c r="D8" s="76" t="str">
        <f>Facture!$D$19</f>
        <v xml:space="preserve">EBL ELECTRICITE </v>
      </c>
      <c r="E8" s="73">
        <f>Facture!$D$20</f>
        <v>0</v>
      </c>
      <c r="F8" s="73">
        <f>Facture!$D$21</f>
        <v>0</v>
      </c>
      <c r="G8" s="76" t="str">
        <f>Facture!$F$21</f>
        <v xml:space="preserve">TUNIS </v>
      </c>
      <c r="H8" s="76" t="str">
        <f>Facture!$I$21</f>
        <v>TN</v>
      </c>
      <c r="I8" s="73">
        <f>Facture!$D$22</f>
        <v>58388901</v>
      </c>
      <c r="J8" s="77">
        <f>Facture!$L$51</f>
        <v>1012.5</v>
      </c>
      <c r="K8" s="73" t="str">
        <f>Facture!$K$21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data61</vt:lpstr>
      <vt:lpstr>data62</vt:lpstr>
      <vt:lpstr>data63</vt:lpstr>
      <vt:lpstr>data65</vt:lpstr>
      <vt:lpstr>data66</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qzqzqz26</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2023-09-25T15:27:50Z</cp:lastPrinted>
  <dcterms:created xsi:type="dcterms:W3CDTF">1995-05-29T15:50:39Z</dcterms:created>
  <dcterms:modified xsi:type="dcterms:W3CDTF">2023-09-25T15:43:06Z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EBL ELECTRICITE </vt:lpwstr>
  </property>
  <property fmtid="{D5CDD505-2E9C-101B-9397-08002B2CF9AE}" pid="11" name="Montant de la facture" linkTarget="TOT">
    <vt:r8>1012.5</vt:r8>
  </property>
</Properties>
</file>