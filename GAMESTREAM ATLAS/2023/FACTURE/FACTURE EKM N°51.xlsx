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3\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Facture!$J$47</definedName>
    <definedName name="_Tax2">Facture!#REF!</definedName>
    <definedName name="_Tax3">Facture!#REF!</definedName>
    <definedName name="_tax4">Facture!#REF!</definedName>
    <definedName name="_xlnm.Auto_Open21">'AutoOpen Stub Data'!$A$1</definedName>
    <definedName name="boxes">Facture!$C$47:$C$48</definedName>
    <definedName name="CC">'Personnaliser votre facture'!$G$22:$G$25</definedName>
    <definedName name="CCT">Facture!$F$50</definedName>
    <definedName name="CDB">'Personnaliser votre facture'!$E$50</definedName>
    <definedName name="Country">33</definedName>
    <definedName name="CS">'Personnaliser votre facture'!$E$51</definedName>
    <definedName name="data1">Facture!$J$23</definedName>
    <definedName name="data10">Facture!$D$26</definedName>
    <definedName name="data11">Facture!$C$31</definedName>
    <definedName name="data12">Facture!$D$31</definedName>
    <definedName name="data13">Facture!$J$31</definedName>
    <definedName name="data14">Facture!$C$32</definedName>
    <definedName name="data15">Facture!$D$32</definedName>
    <definedName name="data16">Facture!$J$32</definedName>
    <definedName name="data17">Facture!#REF!</definedName>
    <definedName name="data18">Facture!#REF!</definedName>
    <definedName name="data19">Facture!#REF!</definedName>
    <definedName name="data2">Facture!$K$24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Facture!$K$25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Facture!$K$26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Facture!$C$23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Facture!$C$44</definedName>
    <definedName name="data6">Facture!$D$24</definedName>
    <definedName name="data60">Facture!$D$43</definedName>
    <definedName name="data61">Facture!$J$44</definedName>
    <definedName name="data62">Facture!$C$47</definedName>
    <definedName name="data63">Facture!$C$48</definedName>
    <definedName name="data64">Facture!$C$49</definedName>
    <definedName name="data65">Facture!$F$49</definedName>
    <definedName name="data66">Facture!$D$55</definedName>
    <definedName name="data67">Facture!#REF!</definedName>
    <definedName name="data68">Facture!#REF!</definedName>
    <definedName name="data69">Facture!#REF!</definedName>
    <definedName name="data7">Facture!$F$25</definedName>
    <definedName name="data70">Facture!#REF!</definedName>
    <definedName name="data8">Facture!$H$25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Facture!$A$3:$L$55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Facture!$K$11</definedName>
    <definedName name="NS">'Personnaliser votre facture'!$E$49</definedName>
    <definedName name="qzqzqz1">Facture!$C$23:$H$23</definedName>
    <definedName name="qzqzqz10">Facture!$D$32:$I$32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Facture!$J$23:$K$23</definedName>
    <definedName name="qzqzqz20">Facture!#REF!</definedName>
    <definedName name="qzqzqz21">Facture!#REF!</definedName>
    <definedName name="qzqzqz22">Facture!#REF!</definedName>
    <definedName name="qzqzqz23">Facture!#REF!</definedName>
    <definedName name="qzqzqz24">Facture!#REF!</definedName>
    <definedName name="qzqzqz25">Facture!$D$45:$I$45</definedName>
    <definedName name="qzqzqz26">Facture!#REF!</definedName>
    <definedName name="qzqzqz27">Facture!$D$56:$G$56</definedName>
    <definedName name="qzqzqz28">Facture!#REF!</definedName>
    <definedName name="qzqzqz29">Facture!#REF!</definedName>
    <definedName name="qzqzqz3">Facture!$C$24:$H$24</definedName>
    <definedName name="qzqzqz30">Facture!#REF!</definedName>
    <definedName name="qzqzqz31">Facture!#REF!</definedName>
    <definedName name="qzqzqz32">Facture!$J$56:$K$56</definedName>
    <definedName name="qzqzqz4">Facture!$E$25:$F$25</definedName>
    <definedName name="qzqzqz5">Facture!$J$25:$K$25</definedName>
    <definedName name="qzqzqz6">Facture!$C$26:$H$26</definedName>
    <definedName name="qzqzqz7">Facture!$J$26:$K$26</definedName>
    <definedName name="qzqzqz8">Facture!$D$30:$I$30</definedName>
    <definedName name="qzqzqz9">Facture!$D$31:$I$31</definedName>
    <definedName name="SS">'Personnaliser votre facture'!$E$48</definedName>
    <definedName name="TOT">Facture!$K$48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Facture!$A$3:$L$55</definedName>
  </definedNames>
  <calcPr calcId="152511"/>
</workbook>
</file>

<file path=xl/calcChain.xml><?xml version="1.0" encoding="utf-8"?>
<calcChain xmlns="http://schemas.openxmlformats.org/spreadsheetml/2006/main">
  <c r="K34" i="3" l="1"/>
  <c r="K45" i="3" s="1"/>
  <c r="K35" i="3"/>
  <c r="K40" i="3"/>
  <c r="K41" i="3"/>
  <c r="K42" i="3"/>
  <c r="K43" i="3"/>
  <c r="K44" i="3"/>
  <c r="K47" i="3" l="1"/>
  <c r="K48" i="3" s="1"/>
  <c r="K37" i="3"/>
  <c r="K38" i="3"/>
  <c r="K39" i="3"/>
  <c r="K31" i="3" l="1"/>
  <c r="K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A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<sst xmlns="http://schemas.openxmlformats.org/spreadsheetml/2006/main" count="87" uniqueCount="77">
  <si>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</si>
  <si>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</si>
  <si>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</si>
  <si>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</si>
  <si>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</si>
  <si>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</si>
  <si>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</si>
  <si>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</si>
  <si>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</si>
  <si>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</si>
  <si>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</si>
  <si>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</si>
  <si>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</si>
  <si>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</si>
  <si>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</si>
  <si>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</si>
  <si>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</si>
  <si>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</si>
  <si>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</si>
  <si>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</si>
  <si>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</si>
  <si>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</si>
  <si>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</si>
  <si>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</si>
  <si>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</si>
  <si>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</si>
  <si>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</si>
  <si>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</si>
  <si>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</si>
  <si>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</si>
  <si>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</si>
  <si>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</si>
  <si>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</si>
  <si>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</si>
  <si>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</si>
  <si>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</si>
  <si>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</si>
  <si>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</si>
  <si>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</si>
  <si>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</si>
  <si>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</si>
  <si>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</si>
  <si>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</si>
  <si>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</si>
  <si>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</si>
  <si>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</si>
  <si>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</si>
  <si>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</si>
  <si>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</si>
  <si>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</si>
  <si>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</si>
  <si>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</si>
  <si>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</si>
  <si>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</si>
  <si>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</si>
  <si>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</si>
  <si>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</si>
  <si>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</si>
  <si>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</si>
  <si>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</si>
  <si>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</si>
  <si>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</si>
  <si>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</si>
  <si>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NOMBRE</t>
  </si>
  <si>
    <t>FTH001</t>
  </si>
  <si>
    <t xml:space="preserve">Chèque   </t>
  </si>
  <si>
    <t>RIB : 10 000 000 081951 8 78890</t>
  </si>
  <si>
    <t xml:space="preserve">STB THAMEUR </t>
  </si>
  <si>
    <t xml:space="preserve">HABILITATION  TRAVAIL EN HAUTEUR </t>
  </si>
  <si>
    <t xml:space="preserve">EKM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</si>
  <si>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</si>
  <si>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349828V/M/000</t>
  </si>
  <si>
    <t xml:space="preserve">       MF:</t>
  </si>
  <si>
    <t xml:space="preserve">37 Rue des fonderies ZI Ben Arous </t>
  </si>
  <si>
    <t xml:space="preserve">     Responsable :   SERVICE ACHAT </t>
  </si>
  <si>
    <t xml:space="preserve">Arreté le présent facture a la somme de : deux cent   quatre vingt dix huit dinars et 500 millimes </t>
  </si>
  <si>
    <t>Facture  N°2023-051</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</si>
</sst>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6"/>
      <name val="Arial"/>
      <family val="2"/>
    </font>
    <font>
      <sz val="11"/>
      <color rgb="FFFF0000"/>
      <name val="Arial"/>
      <family val="2"/>
    </font>
    <font>
      <b/>
      <sz val="20"/>
      <color rgb="FFFF0000"/>
      <name val="Times New Roman"/>
      <family val="1"/>
    </font>
    <font>
      <b/>
      <sz val="10"/>
      <color rgb="FFFF0000"/>
      <name val="Arial"/>
      <family val="2"/>
    </font>
    <font>
      <b/>
      <sz val="11"/>
      <color rgb="FFFF0000"/>
      <name val="Arial"/>
      <family val="2"/>
    </font>
    <font>
      <u/>
      <sz val="20"/>
      <name val="Times New Roman"/>
      <family val="1"/>
    </font>
    <font>
      <b/>
      <i/>
      <u/>
      <sz val="20"/>
      <color rgb="FFFF0000"/>
      <name val="Times New Roman"/>
      <family val="1"/>
    </font>
    <font>
      <b/>
      <sz val="20"/>
      <color theme="1"/>
      <name val="Times New Roman"/>
      <family val="1"/>
    </font>
    <font>
      <b/>
      <u/>
      <sz val="20"/>
      <name val="Times New Roman"/>
      <family val="1"/>
    </font>
    <font>
      <b/>
      <sz val="28"/>
      <name val="Aharoni"/>
      <charset val="177"/>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19" fillId="4" borderId="0" xfId="0" applyFont="1" applyFill="1" applyBorder="1" applyAlignment="1"/>
    <xf numFmtId="0" fontId="0" fillId="3" borderId="33" xfId="0" applyFill="1" applyBorder="1"/>
    <xf numFmtId="0" fontId="3" fillId="3" borderId="33" xfId="0" applyFont="1" applyFill="1" applyBorder="1"/>
    <xf numFmtId="168" fontId="0" fillId="0" borderId="34" xfId="0" applyNumberFormat="1" applyFill="1" applyBorder="1" applyAlignment="1"/>
    <xf numFmtId="168" fontId="0" fillId="0" borderId="25" xfId="0" applyNumberFormat="1" applyFill="1" applyBorder="1"/>
    <xf numFmtId="0" fontId="20" fillId="3" borderId="35" xfId="0" applyFont="1" applyFill="1" applyBorder="1" applyAlignment="1">
      <alignment horizontal="center"/>
    </xf>
    <xf numFmtId="0" fontId="20" fillId="3" borderId="36" xfId="0" applyFont="1" applyFill="1" applyBorder="1" applyAlignment="1">
      <alignment horizontal="center"/>
    </xf>
    <xf numFmtId="0" fontId="26" fillId="3" borderId="34" xfId="0" applyFont="1" applyFill="1" applyBorder="1" applyAlignment="1">
      <alignment horizontal="center"/>
    </xf>
    <xf numFmtId="168" fontId="26" fillId="0" borderId="34" xfId="0" applyNumberFormat="1" applyFont="1" applyFill="1" applyBorder="1" applyAlignment="1"/>
    <xf numFmtId="168" fontId="26" fillId="0" borderId="34" xfId="0" applyNumberFormat="1" applyFont="1" applyFill="1" applyBorder="1"/>
    <xf numFmtId="0" fontId="27" fillId="3" borderId="34" xfId="0" applyFont="1" applyFill="1" applyBorder="1" applyAlignment="1">
      <alignment horizontal="center"/>
    </xf>
    <xf numFmtId="168" fontId="27" fillId="0" borderId="34" xfId="0" applyNumberFormat="1" applyFont="1" applyFill="1" applyBorder="1" applyAlignment="1"/>
    <xf numFmtId="168" fontId="27" fillId="0" borderId="34" xfId="0" applyNumberFormat="1" applyFont="1" applyFill="1" applyBorder="1"/>
    <xf numFmtId="49" fontId="30" fillId="3" borderId="0" xfId="0" quotePrefix="1" applyNumberFormat="1" applyFont="1" applyFill="1" applyBorder="1" applyAlignment="1"/>
    <xf numFmtId="49" fontId="30" fillId="3" borderId="32" xfId="0" quotePrefix="1" applyNumberFormat="1" applyFont="1" applyFill="1" applyBorder="1" applyAlignment="1"/>
    <xf numFmtId="0" fontId="0" fillId="6" borderId="0" xfId="0" applyFill="1" applyBorder="1"/>
    <xf numFmtId="0" fontId="26" fillId="6" borderId="0" xfId="0" applyFont="1" applyFill="1" applyAlignment="1">
      <alignment horizontal="center" vertical="center"/>
    </xf>
    <xf numFmtId="14" fontId="32" fillId="6" borderId="38" xfId="0" applyNumberFormat="1" applyFont="1" applyFill="1" applyBorder="1" applyAlignment="1"/>
    <xf numFmtId="0" fontId="23" fillId="3" borderId="0" xfId="0" applyFont="1" applyFill="1" applyBorder="1" applyAlignment="1">
      <alignment horizontal="left"/>
    </xf>
    <xf numFmtId="0" fontId="32" fillId="6" borderId="38" xfId="0" applyFont="1" applyFill="1" applyBorder="1" applyAlignment="1"/>
    <xf numFmtId="0" fontId="33" fillId="3" borderId="0" xfId="0" applyFont="1" applyFill="1" applyBorder="1" applyAlignment="1">
      <alignment horizontal="right"/>
    </xf>
    <xf numFmtId="49" fontId="32" fillId="3" borderId="40" xfId="0" applyNumberFormat="1" applyFont="1" applyFill="1" applyBorder="1" applyAlignment="1">
      <alignment horizontal="left"/>
    </xf>
    <xf numFmtId="0" fontId="31" fillId="3" borderId="0" xfId="0" applyFont="1" applyFill="1" applyBorder="1"/>
    <xf numFmtId="0" fontId="31" fillId="3" borderId="0" xfId="0" applyFont="1" applyFill="1"/>
    <xf numFmtId="168" fontId="34" fillId="0" borderId="36" xfId="0" applyNumberFormat="1" applyFont="1" applyFill="1" applyBorder="1" applyAlignment="1">
      <alignment shrinkToFit="1"/>
    </xf>
    <xf numFmtId="49" fontId="33" fillId="3" borderId="0" xfId="0" applyNumberFormat="1" applyFont="1" applyFill="1" applyBorder="1" applyAlignment="1">
      <alignment horizontal="left"/>
    </xf>
    <xf numFmtId="0" fontId="7" fillId="3" borderId="0" xfId="0" applyFont="1" applyFill="1" applyBorder="1"/>
    <xf numFmtId="170" fontId="35" fillId="0" borderId="36" xfId="0" applyNumberFormat="1" applyFont="1" applyFill="1" applyBorder="1" applyAlignment="1">
      <alignment shrinkToFit="1"/>
    </xf>
    <xf numFmtId="0" fontId="24"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4" fillId="3" borderId="0" xfId="0" applyFont="1" applyFill="1" applyBorder="1"/>
    <xf numFmtId="0" fontId="32" fillId="0" borderId="36" xfId="0" applyFont="1" applyFill="1" applyBorder="1" applyAlignment="1">
      <alignment horizontal="right"/>
    </xf>
    <xf numFmtId="10" fontId="31" fillId="0" borderId="36" xfId="0" quotePrefix="1" applyNumberFormat="1" applyFont="1" applyFill="1" applyBorder="1" applyAlignment="1">
      <alignment horizontal="center"/>
    </xf>
    <xf numFmtId="0" fontId="28" fillId="0" borderId="36" xfId="0" applyFont="1" applyFill="1" applyBorder="1" applyAlignment="1">
      <alignment horizontal="right"/>
    </xf>
    <xf numFmtId="0" fontId="31" fillId="0" borderId="35" xfId="0" quotePrefix="1" applyFont="1" applyFill="1" applyBorder="1" applyAlignment="1">
      <alignment horizontal="right"/>
    </xf>
    <xf numFmtId="168" fontId="35" fillId="0" borderId="26" xfId="0" applyNumberFormat="1" applyFont="1" applyFill="1" applyBorder="1" applyAlignment="1">
      <alignment shrinkToFit="1"/>
    </xf>
    <xf numFmtId="0" fontId="22" fillId="3" borderId="30" xfId="0" applyFont="1" applyFill="1" applyBorder="1" applyAlignment="1">
      <alignment horizontal="center"/>
    </xf>
    <xf numFmtId="0" fontId="0" fillId="6" borderId="34" xfId="0" applyFill="1" applyBorder="1"/>
    <xf numFmtId="0" fontId="36" fillId="6" borderId="37" xfId="0" applyFont="1" applyFill="1" applyBorder="1" applyAlignment="1">
      <alignment vertical="center"/>
    </xf>
    <xf numFmtId="0" fontId="0" fillId="6" borderId="37" xfId="0" applyFill="1" applyBorder="1" applyAlignment="1"/>
    <xf numFmtId="168" fontId="27" fillId="0" borderId="30" xfId="0" applyNumberFormat="1" applyFont="1" applyFill="1" applyBorder="1" applyAlignment="1"/>
    <xf numFmtId="0" fontId="23" fillId="3" borderId="39" xfId="0" applyFont="1" applyFill="1" applyBorder="1"/>
    <xf numFmtId="167" fontId="40" fillId="3" borderId="0" xfId="0" applyNumberFormat="1" applyFont="1" applyFill="1" applyBorder="1" applyAlignment="1"/>
    <xf numFmtId="0" fontId="17" fillId="3" borderId="35" xfId="0" applyFont="1" applyFill="1" applyBorder="1" applyAlignment="1">
      <alignment horizontal="center"/>
    </xf>
    <xf numFmtId="0" fontId="42" fillId="3" borderId="0" xfId="0" applyFont="1" applyFill="1" applyBorder="1" applyAlignment="1">
      <alignment vertical="top"/>
    </xf>
    <xf numFmtId="167" fontId="43" fillId="3" borderId="0" xfId="0" applyNumberFormat="1" applyFont="1" applyFill="1" applyBorder="1" applyAlignment="1"/>
    <xf numFmtId="0" fontId="24" fillId="6" borderId="0" xfId="0" applyFont="1" applyFill="1" applyBorder="1" applyAlignment="1"/>
    <xf numFmtId="49" fontId="30" fillId="3" borderId="0" xfId="0" applyNumberFormat="1" applyFont="1" applyFill="1" applyBorder="1" applyAlignment="1">
      <alignment horizontal="left"/>
    </xf>
    <xf numFmtId="49" fontId="30" fillId="3" borderId="32" xfId="0" applyNumberFormat="1" applyFont="1" applyFill="1" applyBorder="1" applyAlignment="1">
      <alignment horizontal="left"/>
    </xf>
    <xf numFmtId="49" fontId="44" fillId="3" borderId="30" xfId="0" applyNumberFormat="1" applyFont="1" applyFill="1" applyBorder="1" applyAlignment="1"/>
    <xf numFmtId="49" fontId="45" fillId="3" borderId="30" xfId="0" applyNumberFormat="1" applyFont="1" applyFill="1" applyBorder="1" applyAlignment="1">
      <alignment horizontal="left"/>
    </xf>
    <xf numFmtId="49" fontId="45" fillId="3" borderId="0" xfId="0" applyNumberFormat="1" applyFont="1" applyFill="1" applyBorder="1" applyAlignment="1">
      <alignment horizontal="left"/>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49" fontId="30" fillId="3" borderId="30" xfId="0" applyNumberFormat="1" applyFont="1" applyFill="1" applyBorder="1" applyAlignment="1"/>
    <xf numFmtId="49" fontId="30" fillId="3" borderId="30" xfId="0" applyNumberFormat="1" applyFont="1" applyFill="1" applyBorder="1" applyAlignment="1">
      <alignment horizontal="left"/>
    </xf>
    <xf numFmtId="49" fontId="30" fillId="3" borderId="0" xfId="0" applyNumberFormat="1" applyFont="1" applyFill="1" applyBorder="1" applyAlignment="1">
      <alignment horizontal="left"/>
    </xf>
    <xf numFmtId="49" fontId="30" fillId="3" borderId="32" xfId="0" applyNumberFormat="1" applyFont="1" applyFill="1" applyBorder="1" applyAlignment="1">
      <alignment horizontal="left"/>
    </xf>
    <xf numFmtId="0" fontId="33" fillId="3" borderId="0" xfId="0" applyFont="1" applyFill="1" applyBorder="1" applyAlignment="1">
      <alignment horizontal="left" vertical="top"/>
    </xf>
    <xf numFmtId="0" fontId="27" fillId="3" borderId="34" xfId="0" applyFont="1" applyFill="1" applyBorder="1" applyAlignment="1">
      <alignment horizontal="center" vertical="center"/>
    </xf>
    <xf numFmtId="0" fontId="26" fillId="0" borderId="0" xfId="0" applyFont="1" applyFill="1" applyBorder="1" applyAlignment="1">
      <alignment horizontal="center" vertical="center"/>
    </xf>
    <xf numFmtId="0" fontId="26" fillId="0" borderId="0" xfId="0" applyFont="1" applyFill="1" applyBorder="1" applyAlignment="1">
      <alignment horizontal="center" vertical="center"/>
    </xf>
    <xf numFmtId="0" fontId="33" fillId="3" borderId="0" xfId="0" applyFont="1" applyFill="1" applyBorder="1" applyAlignment="1">
      <alignment vertical="center"/>
    </xf>
    <xf numFmtId="0" fontId="0" fillId="3" borderId="0" xfId="0" applyFill="1" applyBorder="1" applyAlignment="1">
      <alignment horizontal="center" vertical="center"/>
    </xf>
    <xf numFmtId="0" fontId="0" fillId="3" borderId="0" xfId="0" applyNumberFormat="1" applyFont="1" applyFill="1" applyBorder="1" applyAlignment="1">
      <alignment horizontal="center" vertical="center"/>
    </xf>
    <xf numFmtId="0" fontId="0" fillId="6" borderId="0" xfId="0" applyNumberFormat="1" applyFont="1" applyFill="1" applyBorder="1" applyAlignment="1">
      <alignment horizontal="center" vertical="center"/>
    </xf>
    <xf numFmtId="0" fontId="0" fillId="6" borderId="0" xfId="0" applyFill="1" applyBorder="1" applyAlignment="1">
      <alignment horizontal="center" vertical="center"/>
    </xf>
    <xf numFmtId="0" fontId="0" fillId="6" borderId="0" xfId="0" applyFill="1" applyAlignment="1">
      <alignment horizontal="center" vertical="center"/>
    </xf>
    <xf numFmtId="0" fontId="0" fillId="6" borderId="9" xfId="0" applyFill="1" applyBorder="1" applyAlignment="1">
      <alignment horizontal="center" vertical="center"/>
    </xf>
    <xf numFmtId="0" fontId="26" fillId="6" borderId="0" xfId="0" applyFont="1" applyFill="1" applyBorder="1" applyAlignment="1">
      <alignment horizontal="left" vertical="top"/>
    </xf>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39" fillId="6" borderId="0" xfId="0" applyFont="1" applyFill="1" applyBorder="1" applyAlignment="1">
      <alignment horizontal="center" vertical="center" wrapText="1"/>
    </xf>
    <xf numFmtId="0" fontId="26" fillId="0" borderId="0" xfId="0" applyFont="1" applyFill="1" applyBorder="1" applyAlignment="1">
      <alignment horizontal="center" vertical="center"/>
    </xf>
    <xf numFmtId="0" fontId="24" fillId="6" borderId="0" xfId="0" applyFont="1" applyFill="1" applyBorder="1" applyAlignment="1">
      <alignment horizontal="left"/>
    </xf>
    <xf numFmtId="49" fontId="21" fillId="3" borderId="45" xfId="0" applyNumberFormat="1" applyFont="1" applyFill="1" applyBorder="1" applyAlignment="1"/>
    <xf numFmtId="49" fontId="21" fillId="3" borderId="46" xfId="0" applyNumberFormat="1" applyFont="1" applyFill="1" applyBorder="1" applyAlignment="1"/>
    <xf numFmtId="49" fontId="21" fillId="3" borderId="47" xfId="0" applyNumberFormat="1" applyFont="1" applyFill="1" applyBorder="1" applyAlignment="1"/>
    <xf numFmtId="49" fontId="47" fillId="3" borderId="30" xfId="0" applyNumberFormat="1" applyFont="1" applyFill="1" applyBorder="1" applyAlignment="1"/>
    <xf numFmtId="49" fontId="47" fillId="3" borderId="0" xfId="0" applyNumberFormat="1" applyFont="1" applyFill="1" applyBorder="1" applyAlignment="1"/>
    <xf numFmtId="49" fontId="47" fillId="3" borderId="32" xfId="0" applyNumberFormat="1" applyFont="1" applyFill="1" applyBorder="1" applyAlignment="1"/>
    <xf numFmtId="49" fontId="30" fillId="3" borderId="30" xfId="0" applyNumberFormat="1" applyFont="1" applyFill="1" applyBorder="1" applyAlignment="1"/>
    <xf numFmtId="49" fontId="30" fillId="3" borderId="0" xfId="0" applyNumberFormat="1" applyFont="1" applyFill="1" applyBorder="1" applyAlignment="1"/>
    <xf numFmtId="49" fontId="30" fillId="3" borderId="32" xfId="0" applyNumberFormat="1" applyFont="1" applyFill="1" applyBorder="1" applyAlignment="1"/>
    <xf numFmtId="49" fontId="38" fillId="3" borderId="30" xfId="0" applyNumberFormat="1" applyFont="1" applyFill="1" applyBorder="1" applyAlignment="1">
      <alignment horizontal="center" vertical="center"/>
    </xf>
    <xf numFmtId="49" fontId="38" fillId="3" borderId="0" xfId="0" applyNumberFormat="1" applyFont="1" applyFill="1" applyBorder="1" applyAlignment="1">
      <alignment horizontal="center" vertical="center"/>
    </xf>
    <xf numFmtId="49" fontId="38" fillId="3" borderId="32" xfId="0" applyNumberFormat="1" applyFont="1" applyFill="1" applyBorder="1" applyAlignment="1">
      <alignment horizontal="center" vertical="center"/>
    </xf>
    <xf numFmtId="49" fontId="41" fillId="3" borderId="30" xfId="0" applyNumberFormat="1" applyFont="1" applyFill="1" applyBorder="1" applyAlignment="1">
      <alignment horizontal="center" vertical="center"/>
    </xf>
    <xf numFmtId="49" fontId="41" fillId="3" borderId="0" xfId="0" applyNumberFormat="1" applyFont="1" applyFill="1" applyBorder="1" applyAlignment="1">
      <alignment horizontal="center" vertical="center"/>
    </xf>
    <xf numFmtId="49" fontId="41" fillId="3" borderId="32" xfId="0" applyNumberFormat="1" applyFont="1" applyFill="1" applyBorder="1" applyAlignment="1">
      <alignment horizontal="center" vertical="center"/>
    </xf>
    <xf numFmtId="49" fontId="46" fillId="3" borderId="30" xfId="0" applyNumberFormat="1" applyFont="1" applyFill="1" applyBorder="1" applyAlignment="1">
      <alignment horizontal="left" vertical="top"/>
    </xf>
    <xf numFmtId="49" fontId="46" fillId="3" borderId="0" xfId="0" applyNumberFormat="1" applyFont="1" applyFill="1" applyBorder="1" applyAlignment="1">
      <alignment horizontal="left" vertical="top"/>
    </xf>
    <xf numFmtId="49" fontId="46" fillId="3" borderId="32" xfId="0" applyNumberFormat="1" applyFont="1" applyFill="1" applyBorder="1" applyAlignment="1">
      <alignment horizontal="left" vertical="top"/>
    </xf>
    <xf numFmtId="0" fontId="29" fillId="6" borderId="0" xfId="0" applyFont="1" applyFill="1" applyAlignment="1">
      <alignment horizontal="center" vertical="center"/>
    </xf>
    <xf numFmtId="49" fontId="48" fillId="3" borderId="40" xfId="0" applyNumberFormat="1" applyFont="1" applyFill="1" applyBorder="1" applyAlignment="1">
      <alignment horizontal="left" vertical="top"/>
    </xf>
    <xf numFmtId="49" fontId="32" fillId="3" borderId="39" xfId="0" applyNumberFormat="1" applyFont="1" applyFill="1" applyBorder="1" applyAlignment="1">
      <alignment horizontal="left"/>
    </xf>
    <xf numFmtId="0" fontId="20" fillId="3" borderId="35" xfId="0" applyFont="1" applyFill="1" applyBorder="1" applyAlignment="1"/>
    <xf numFmtId="0" fontId="20" fillId="3" borderId="37" xfId="0" applyFont="1" applyFill="1" applyBorder="1" applyAlignment="1"/>
    <xf numFmtId="0" fontId="20" fillId="3" borderId="44" xfId="0" applyFont="1" applyFill="1" applyBorder="1" applyAlignment="1"/>
    <xf numFmtId="3" fontId="25" fillId="3" borderId="40" xfId="0" applyNumberFormat="1" applyFont="1" applyFill="1" applyBorder="1" applyAlignment="1">
      <alignment horizontal="left" wrapText="1"/>
    </xf>
    <xf numFmtId="0" fontId="33" fillId="2" borderId="40" xfId="0" applyFont="1" applyBorder="1" applyAlignment="1">
      <alignment horizontal="left"/>
    </xf>
    <xf numFmtId="0" fontId="23" fillId="3" borderId="48" xfId="0" applyFont="1" applyFill="1" applyBorder="1" applyAlignment="1">
      <alignment horizontal="left"/>
    </xf>
    <xf numFmtId="0" fontId="23" fillId="2" borderId="48" xfId="0" applyFont="1" applyBorder="1" applyAlignment="1">
      <alignment horizontal="left"/>
    </xf>
    <xf numFmtId="0" fontId="25" fillId="3" borderId="0" xfId="0" applyFont="1" applyFill="1" applyBorder="1" applyAlignment="1">
      <alignment horizontal="center"/>
    </xf>
    <xf numFmtId="0" fontId="25" fillId="3" borderId="41" xfId="0" applyFont="1" applyFill="1" applyBorder="1" applyAlignment="1">
      <alignment horizontal="center"/>
    </xf>
    <xf numFmtId="0" fontId="26" fillId="3" borderId="0" xfId="0" applyFont="1" applyFill="1" applyBorder="1" applyAlignment="1">
      <alignment horizontal="left"/>
    </xf>
    <xf numFmtId="0" fontId="25" fillId="6" borderId="0" xfId="0" applyFont="1" applyFill="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66675</xdr:colOff>
      <xdr:row>21</xdr:row>
      <xdr:rowOff>123825</xdr:rowOff>
    </xdr:from>
    <xdr:to>
      <xdr:col>7</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8</xdr:col>
      <xdr:colOff>228600</xdr:colOff>
      <xdr:row>21</xdr:row>
      <xdr:rowOff>76200</xdr:rowOff>
    </xdr:from>
    <xdr:to>
      <xdr:col>11</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0</xdr:col>
      <xdr:colOff>113434</xdr:colOff>
      <xdr:row>12</xdr:row>
      <xdr:rowOff>114300</xdr:rowOff>
    </xdr:from>
    <xdr:to>
      <xdr:col>7</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8</xdr:col>
      <xdr:colOff>1162051</xdr:colOff>
      <xdr:row>13</xdr:row>
      <xdr:rowOff>238125</xdr:rowOff>
    </xdr:from>
    <xdr:to>
      <xdr:col>11</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2</xdr:col>
          <xdr:colOff>266700</xdr:colOff>
          <xdr:row>46</xdr:row>
          <xdr:rowOff>9525</xdr:rowOff>
        </xdr:from>
        <xdr:to>
          <xdr:col>2</xdr:col>
          <xdr:colOff>571500</xdr:colOff>
          <xdr:row>46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152400</xdr:colOff>
      <xdr:row>5</xdr:row>
      <xdr:rowOff>114300</xdr:rowOff>
    </xdr:from>
    <xdr:to>
      <xdr:col>8</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2</xdr:col>
          <xdr:colOff>266700</xdr:colOff>
          <xdr:row>45</xdr:row>
          <xdr:rowOff>9525</xdr:rowOff>
        </xdr:from>
        <xdr:to>
          <xdr:col>2</xdr:col>
          <xdr:colOff>571500</xdr:colOff>
          <xdr:row>45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7" t="s">
        <v>0</v>
      </c>
      <c r="E4" s="158"/>
      <c r="F4" s="158"/>
      <c r="G4" s="3"/>
      <c r="H4" s="3"/>
      <c r="I4" s="3"/>
      <c r="J4" s="9"/>
    </row>
    <row r="5" spans="2:10" ht="3" customHeight="1" thickTop="1" x14ac:dyDescent="0.2">
      <c r="B5" s="2"/>
      <c r="C5" s="57"/>
      <c r="D5" s="57"/>
      <c r="E5" s="57"/>
      <c r="F5" s="57"/>
      <c r="G5" s="57"/>
      <c r="H5" s="57"/>
      <c r="I5" s="57"/>
      <c r="J5" s="1"/>
    </row>
    <row r="6" spans="2:10" ht="12.75" customHeight="1" x14ac:dyDescent="0.3">
      <c r="B6" s="7"/>
      <c r="C6" s="3"/>
      <c r="D6" s="20"/>
      <c r="E6" s="3"/>
      <c r="F6" s="3"/>
      <c r="G6" s="3"/>
      <c r="H6" s="3"/>
      <c r="I6" s="3"/>
      <c r="J6" s="9"/>
    </row>
    <row r="7" spans="2:10" x14ac:dyDescent="0.2">
      <c r="B7" s="7"/>
      <c r="C7" s="3"/>
      <c r="D7" s="3"/>
      <c r="E7" s="3"/>
      <c r="F7" s="3"/>
      <c r="G7" s="63" t="s">
        <v>43</v>
      </c>
      <c r="H7" s="3"/>
      <c r="I7" s="3"/>
      <c r="J7" s="9"/>
    </row>
    <row r="8" spans="2:10" x14ac:dyDescent="0.2">
      <c r="B8" s="7"/>
      <c r="C8" s="3"/>
      <c r="D8" s="3"/>
      <c r="E8" s="3"/>
      <c r="F8" s="3"/>
      <c r="G8" s="63" t="s">
        <v>1</v>
      </c>
      <c r="H8" s="3"/>
      <c r="I8" s="3"/>
      <c r="J8" s="9"/>
    </row>
    <row r="9" spans="2:10" x14ac:dyDescent="0.2">
      <c r="B9" s="7"/>
      <c r="C9" s="3"/>
      <c r="D9" s="21"/>
      <c r="E9" s="3"/>
      <c r="F9" s="3"/>
      <c r="G9" s="43"/>
      <c r="H9" s="3"/>
      <c r="I9" s="3"/>
      <c r="J9" s="9"/>
    </row>
    <row r="10" spans="2:10" ht="13.5" thickBot="1" x14ac:dyDescent="0.25">
      <c r="B10" s="7"/>
      <c r="C10" s="3"/>
      <c r="D10" s="159" t="s">
        <v>2</v>
      </c>
      <c r="E10" s="160"/>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4" t="s">
        <v>4</v>
      </c>
      <c r="G12" s="17"/>
      <c r="H12" s="26"/>
      <c r="I12" s="3"/>
      <c r="J12" s="9"/>
    </row>
    <row r="13" spans="2:10" ht="13.5" thickBot="1" x14ac:dyDescent="0.25">
      <c r="B13" s="7"/>
      <c r="C13" s="3"/>
      <c r="D13" s="33" t="s">
        <v>5</v>
      </c>
      <c r="E13" s="14" t="s">
        <v>46</v>
      </c>
      <c r="F13" s="64" t="s">
        <v>6</v>
      </c>
      <c r="G13" s="18"/>
      <c r="H13" s="26"/>
      <c r="I13" s="3"/>
      <c r="J13" s="9"/>
    </row>
    <row r="14" spans="2:10" x14ac:dyDescent="0.2">
      <c r="B14" s="7"/>
      <c r="C14" s="3"/>
      <c r="D14" s="33" t="s">
        <v>7</v>
      </c>
      <c r="E14" s="15" t="s">
        <v>47</v>
      </c>
      <c r="F14" s="27"/>
      <c r="G14" s="28"/>
      <c r="H14" s="26"/>
      <c r="I14" s="3"/>
      <c r="J14" s="9"/>
    </row>
    <row r="15" spans="2:10" x14ac:dyDescent="0.2">
      <c r="B15" s="7"/>
      <c r="C15" s="3"/>
      <c r="D15" s="33" t="s">
        <v>8</v>
      </c>
      <c r="E15" s="14" t="s">
        <v>48</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1" t="s">
        <v>44</v>
      </c>
      <c r="E19" s="160"/>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32</v>
      </c>
      <c r="F21" s="34"/>
      <c r="G21" s="42" t="s">
        <v>10</v>
      </c>
      <c r="H21" s="26"/>
      <c r="I21" s="3"/>
      <c r="J21" s="9"/>
    </row>
    <row r="22" spans="2:10" x14ac:dyDescent="0.2">
      <c r="B22" s="7"/>
      <c r="C22" s="3"/>
      <c r="D22" s="33">
        <v>1</v>
      </c>
      <c r="E22" s="73">
        <v>0.1</v>
      </c>
      <c r="F22" s="34"/>
      <c r="G22" s="37"/>
      <c r="H22" s="26"/>
      <c r="I22" s="3"/>
      <c r="J22" s="9"/>
    </row>
    <row r="23" spans="2:10" x14ac:dyDescent="0.2">
      <c r="B23" s="7"/>
      <c r="C23" s="3"/>
      <c r="D23" s="35">
        <v>2</v>
      </c>
      <c r="E23" s="65">
        <v>0.18</v>
      </c>
      <c r="F23" s="34"/>
      <c r="G23" s="38"/>
      <c r="H23" s="26"/>
      <c r="I23" s="3"/>
      <c r="J23" s="9"/>
    </row>
    <row r="24" spans="2:10" ht="13.5" thickBot="1" x14ac:dyDescent="0.25">
      <c r="B24" s="7"/>
      <c r="C24" s="3"/>
      <c r="D24" s="35">
        <v>3</v>
      </c>
      <c r="E24" s="61">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45</v>
      </c>
      <c r="G27" s="74">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60"/>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2" t="str">
        <f>LOWER(TemplateInformation!B3)</f>
        <v>c:\program files\microsoft office\office\macrolib\factbd.xls</v>
      </c>
      <c r="G33" s="163"/>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9" t="s">
        <v>16</v>
      </c>
      <c r="E36" s="160"/>
      <c r="F36" s="3"/>
      <c r="G36" s="3"/>
      <c r="H36" s="3"/>
      <c r="I36" s="3"/>
      <c r="J36" s="9"/>
    </row>
    <row r="37" spans="2:10" ht="14.25" x14ac:dyDescent="0.2">
      <c r="B37" s="7"/>
      <c r="C37" s="3"/>
      <c r="D37" s="23"/>
      <c r="E37" s="24"/>
      <c r="F37" s="24"/>
      <c r="G37" s="24"/>
      <c r="H37" s="25"/>
      <c r="I37" s="3"/>
      <c r="J37" s="9"/>
    </row>
    <row r="38" spans="2:10" ht="14.25" x14ac:dyDescent="0.2">
      <c r="B38" s="7"/>
      <c r="C38" s="3"/>
      <c r="D38" s="45"/>
      <c r="E38" s="46"/>
      <c r="F38" s="85"/>
      <c r="G38" s="46"/>
      <c r="H38" s="47"/>
      <c r="I38" s="59"/>
      <c r="J38" s="22"/>
    </row>
    <row r="39" spans="2:10" ht="14.25" x14ac:dyDescent="0.2">
      <c r="B39" s="7"/>
      <c r="C39" s="3"/>
      <c r="D39" s="45"/>
      <c r="E39" s="46"/>
      <c r="F39" s="48"/>
      <c r="G39" s="46"/>
      <c r="H39" s="47"/>
      <c r="I39" s="59"/>
      <c r="J39" s="22"/>
    </row>
    <row r="40" spans="2:10" ht="14.25" x14ac:dyDescent="0.2">
      <c r="B40" s="7"/>
      <c r="C40" s="3"/>
      <c r="D40" s="45"/>
      <c r="E40" s="46"/>
      <c r="F40" s="46"/>
      <c r="G40" s="46"/>
      <c r="H40" s="47"/>
      <c r="I40" s="59"/>
      <c r="J40" s="22"/>
    </row>
    <row r="41" spans="2:10" ht="14.25" x14ac:dyDescent="0.2">
      <c r="B41" s="7"/>
      <c r="C41" s="3"/>
      <c r="D41" s="45"/>
      <c r="E41" s="46"/>
      <c r="F41" s="46"/>
      <c r="G41" s="46"/>
      <c r="H41" s="47"/>
      <c r="I41" s="59"/>
      <c r="J41" s="22"/>
    </row>
    <row r="42" spans="2:10" ht="20.100000000000001" customHeight="1" x14ac:dyDescent="0.2">
      <c r="B42" s="7"/>
      <c r="C42" s="3"/>
      <c r="D42" s="45"/>
      <c r="E42" s="46"/>
      <c r="F42" s="46"/>
      <c r="G42" s="46"/>
      <c r="H42" s="47"/>
      <c r="I42" s="59"/>
      <c r="J42" s="22"/>
    </row>
    <row r="43" spans="2:10" ht="14.25" x14ac:dyDescent="0.2">
      <c r="B43" s="7"/>
      <c r="C43" s="3"/>
      <c r="D43" s="45"/>
      <c r="E43" s="46"/>
      <c r="F43" s="46"/>
      <c r="G43" s="46"/>
      <c r="H43" s="47"/>
      <c r="I43" s="59"/>
      <c r="J43" s="22"/>
    </row>
    <row r="44" spans="2:10" ht="26.25" customHeight="1" thickBot="1" x14ac:dyDescent="0.25">
      <c r="B44" s="7"/>
      <c r="C44" s="3"/>
      <c r="D44" s="49"/>
      <c r="E44" s="50"/>
      <c r="F44" s="50"/>
      <c r="G44" s="50"/>
      <c r="H44" s="51"/>
      <c r="I44" s="59"/>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2">
        <v>0</v>
      </c>
    </row>
    <row r="49" spans="5:5" x14ac:dyDescent="0.2">
      <c r="E49" s="62" t="b">
        <v>0</v>
      </c>
    </row>
    <row r="50" spans="5:5" x14ac:dyDescent="0.2">
      <c r="E50" s="62" t="b">
        <v>0</v>
      </c>
    </row>
    <row r="51" spans="5:5" x14ac:dyDescent="0.2">
      <c r="E51" s="62" t="s">
        <v>17</v>
      </c>
    </row>
    <row r="52" spans="5:5" x14ac:dyDescent="0.2">
      <c r="E52" s="62"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M76"/>
  <sheetViews>
    <sheetView showGridLines="0" showRowColHeaders="0" tabSelected="1" topLeftCell="A10" zoomScale="50" zoomScaleNormal="50" workbookViewId="0">
      <selection activeCell="J15" sqref="J15:K19"/>
    </sheetView>
  </sheetViews>
  <sheetFormatPr baseColWidth="10" defaultColWidth="9.140625" defaultRowHeight="12.75" x14ac:dyDescent="0.2"/>
  <cols>
    <col min="1" max="1" width="3.7109375" customWidth="1"/>
    <col min="2" max="2" width="24.7109375" customWidth="1"/>
    <col min="3" max="3" width="12.42578125" customWidth="1"/>
    <col min="4" max="4" width="11.140625" customWidth="1"/>
    <col min="5" max="5" width="9.140625" customWidth="1"/>
    <col min="6" max="6" width="13.7109375" customWidth="1"/>
    <col min="7" max="7" width="11.7109375" customWidth="1"/>
    <col min="8" max="8" width="15.7109375" customWidth="1"/>
    <col min="9" max="9" width="17.7109375" customWidth="1"/>
    <col min="10" max="10" width="32.28515625" customWidth="1"/>
    <col min="11" max="11" width="26.28515625" customWidth="1"/>
    <col min="12" max="12" width="3.7109375" customWidth="1"/>
    <col min="13" max="13" width="0.42578125" customWidth="1"/>
    <col min="14" max="14" width="1.7109375" customWidth="1"/>
  </cols>
  <sheetData>
    <row r="1" spans="1:13" ht="6" customHeight="1" thickBot="1" x14ac:dyDescent="0.25"/>
    <row r="2" spans="1:13" ht="0.95" customHeight="1" thickTop="1" x14ac:dyDescent="0.2">
      <c r="A2" s="5"/>
      <c r="B2" s="5"/>
      <c r="C2" s="5"/>
      <c r="D2" s="5"/>
      <c r="E2" s="5"/>
      <c r="F2" s="5"/>
      <c r="G2" s="5"/>
      <c r="H2" s="5"/>
      <c r="I2" s="5"/>
      <c r="J2" s="5"/>
      <c r="K2" s="5"/>
      <c r="L2" s="5"/>
      <c r="M2" s="6"/>
    </row>
    <row r="3" spans="1:13" x14ac:dyDescent="0.2">
      <c r="A3" s="3"/>
      <c r="B3" s="3"/>
      <c r="C3" s="3"/>
      <c r="D3" s="3"/>
      <c r="E3" s="3"/>
      <c r="F3" s="3"/>
      <c r="G3" s="3"/>
      <c r="H3" s="3"/>
      <c r="I3" s="3"/>
      <c r="J3" s="3"/>
      <c r="K3" s="3"/>
      <c r="L3" s="3"/>
      <c r="M3" s="9"/>
    </row>
    <row r="4" spans="1:13" x14ac:dyDescent="0.2">
      <c r="A4" s="3"/>
      <c r="B4" s="3"/>
      <c r="C4" s="3"/>
      <c r="D4" s="3"/>
      <c r="E4" s="3"/>
      <c r="F4" s="3"/>
      <c r="G4" s="3"/>
      <c r="H4" s="3"/>
      <c r="I4" s="3"/>
      <c r="J4" s="3"/>
      <c r="K4" s="3"/>
      <c r="L4" s="3"/>
      <c r="M4" s="9"/>
    </row>
    <row r="5" spans="1:13" x14ac:dyDescent="0.2">
      <c r="A5" s="3"/>
      <c r="B5" s="3"/>
      <c r="C5" s="3"/>
      <c r="D5" s="3"/>
      <c r="E5" s="3"/>
      <c r="F5" s="3"/>
      <c r="G5" s="3"/>
      <c r="H5" s="3"/>
      <c r="I5" s="3"/>
      <c r="J5" s="3"/>
      <c r="K5" s="3"/>
      <c r="L5" s="3"/>
      <c r="M5" s="9"/>
    </row>
    <row r="6" spans="1:13" x14ac:dyDescent="0.2">
      <c r="A6" s="3"/>
      <c r="B6" s="3"/>
      <c r="C6" s="3"/>
      <c r="D6" s="3"/>
      <c r="E6" s="3"/>
      <c r="F6" s="3"/>
      <c r="G6" s="3"/>
      <c r="H6" s="3"/>
      <c r="I6" s="3"/>
      <c r="J6" s="3"/>
      <c r="K6" s="3"/>
      <c r="L6" s="3"/>
      <c r="M6" s="9"/>
    </row>
    <row r="7" spans="1:13" x14ac:dyDescent="0.2">
      <c r="A7" s="3"/>
      <c r="B7" s="3"/>
      <c r="C7" s="3"/>
      <c r="D7" s="3"/>
      <c r="E7" s="3"/>
      <c r="F7" s="3"/>
      <c r="G7" s="3"/>
      <c r="H7" s="3"/>
      <c r="I7" s="3"/>
      <c r="J7" s="3"/>
      <c r="K7" s="3"/>
      <c r="L7" s="3"/>
      <c r="M7" s="9"/>
    </row>
    <row r="8" spans="1:13" x14ac:dyDescent="0.2">
      <c r="A8" s="3"/>
      <c r="B8" s="3"/>
      <c r="C8" s="3"/>
      <c r="D8" s="3"/>
      <c r="E8" s="3"/>
      <c r="F8" s="3"/>
      <c r="G8" s="3"/>
      <c r="H8" s="3"/>
      <c r="I8" s="3"/>
      <c r="J8" s="3"/>
      <c r="K8" s="3"/>
      <c r="L8" s="3"/>
      <c r="M8" s="9"/>
    </row>
    <row r="9" spans="1:13" x14ac:dyDescent="0.2">
      <c r="A9" s="3"/>
      <c r="B9" s="3"/>
      <c r="C9" s="3"/>
      <c r="D9" s="3"/>
      <c r="E9" s="3"/>
      <c r="F9" s="3"/>
      <c r="G9" s="3"/>
      <c r="H9" s="3"/>
      <c r="I9" s="3"/>
      <c r="J9" s="3"/>
      <c r="K9" s="3"/>
      <c r="L9" s="3"/>
      <c r="M9" s="9"/>
    </row>
    <row r="10" spans="1:13" x14ac:dyDescent="0.2">
      <c r="A10" s="3"/>
      <c r="B10" s="3"/>
      <c r="C10" s="3"/>
      <c r="D10" s="3"/>
      <c r="E10" s="3"/>
      <c r="F10" s="3"/>
      <c r="G10" s="3"/>
      <c r="H10" s="3"/>
      <c r="I10" s="3"/>
      <c r="J10" s="3"/>
      <c r="K10" s="3"/>
      <c r="L10" s="3"/>
      <c r="M10" s="9"/>
    </row>
    <row r="11" spans="1:13" ht="20.25" x14ac:dyDescent="0.3">
      <c r="A11" s="3"/>
      <c r="B11" s="3"/>
      <c r="C11" s="3"/>
      <c r="D11" s="3"/>
      <c r="E11" s="3"/>
      <c r="F11" s="3"/>
      <c r="G11" s="3"/>
      <c r="H11" s="3"/>
      <c r="I11" s="8"/>
      <c r="J11" s="75"/>
      <c r="K11" s="75" t="s">
        <v>50</v>
      </c>
      <c r="L11" s="19"/>
      <c r="M11" s="9"/>
    </row>
    <row r="12" spans="1:13" x14ac:dyDescent="0.2">
      <c r="A12" s="3"/>
      <c r="B12" s="3"/>
      <c r="C12" s="3"/>
      <c r="D12" s="3"/>
      <c r="E12" s="3"/>
      <c r="F12" s="3"/>
      <c r="G12" s="3"/>
      <c r="H12" s="3"/>
      <c r="I12" s="3"/>
      <c r="J12" s="3"/>
      <c r="K12" s="3"/>
      <c r="L12" s="3"/>
      <c r="M12" s="9"/>
    </row>
    <row r="13" spans="1:13" x14ac:dyDescent="0.2">
      <c r="A13" s="3"/>
      <c r="B13" s="3"/>
      <c r="C13" s="3"/>
      <c r="D13" s="3"/>
      <c r="E13" s="3"/>
      <c r="F13" s="3"/>
      <c r="G13" s="3"/>
      <c r="H13" s="3"/>
      <c r="I13" s="3"/>
      <c r="J13" s="3"/>
      <c r="K13" s="3"/>
      <c r="L13" s="3"/>
      <c r="M13" s="9"/>
    </row>
    <row r="14" spans="1:13" ht="26.25" x14ac:dyDescent="0.2">
      <c r="A14" s="3"/>
      <c r="B14" s="3"/>
      <c r="C14" s="3"/>
      <c r="D14" s="3"/>
      <c r="E14" s="3"/>
      <c r="F14" s="3"/>
      <c r="G14" s="3"/>
      <c r="H14" s="3"/>
      <c r="I14" s="100"/>
      <c r="J14" s="101"/>
      <c r="K14" s="101"/>
      <c r="L14" s="3"/>
      <c r="M14" s="9"/>
    </row>
    <row r="15" spans="1:13" x14ac:dyDescent="0.2">
      <c r="A15" s="3"/>
      <c r="B15" s="3"/>
      <c r="C15" s="3"/>
      <c r="D15" s="3"/>
      <c r="E15" s="3"/>
      <c r="F15" s="3"/>
      <c r="G15" s="3"/>
      <c r="H15" s="3"/>
      <c r="I15" s="100"/>
      <c r="J15" s="185" t="s">
        <v>76</v>
      </c>
      <c r="K15" s="185"/>
      <c r="L15" s="3"/>
      <c r="M15" s="9"/>
    </row>
    <row r="16" spans="1:13" x14ac:dyDescent="0.2">
      <c r="A16" s="3"/>
      <c r="B16" s="3"/>
      <c r="C16" s="3"/>
      <c r="D16" s="3"/>
      <c r="E16" s="3"/>
      <c r="F16" s="3"/>
      <c r="G16" s="3"/>
      <c r="H16" s="3"/>
      <c r="I16" s="100"/>
      <c r="J16" s="185"/>
      <c r="K16" s="185"/>
      <c r="L16" s="3"/>
      <c r="M16" s="9"/>
    </row>
    <row r="17" spans="1:13" ht="12.75" customHeight="1" x14ac:dyDescent="0.2">
      <c r="A17" s="3"/>
      <c r="B17" s="3"/>
      <c r="C17" s="3"/>
      <c r="D17" s="3"/>
      <c r="E17" s="3"/>
      <c r="F17" s="3"/>
      <c r="G17" s="3"/>
      <c r="H17" s="3"/>
      <c r="I17" s="100"/>
      <c r="J17" s="185"/>
      <c r="K17" s="185"/>
      <c r="L17" s="3"/>
      <c r="M17" s="9"/>
    </row>
    <row r="18" spans="1:13" ht="12.75" customHeight="1" x14ac:dyDescent="0.2">
      <c r="A18" s="3"/>
      <c r="B18" s="195"/>
      <c r="C18" s="195"/>
      <c r="D18" s="195"/>
      <c r="E18" s="195"/>
      <c r="F18" s="195"/>
      <c r="G18" s="3"/>
      <c r="H18" s="3"/>
      <c r="I18" s="100"/>
      <c r="J18" s="185"/>
      <c r="K18" s="185"/>
      <c r="L18" s="3"/>
      <c r="M18" s="9"/>
    </row>
    <row r="19" spans="1:13" ht="20.100000000000001" customHeight="1" thickBot="1" x14ac:dyDescent="0.25">
      <c r="A19" s="3"/>
      <c r="B19" s="196"/>
      <c r="C19" s="196"/>
      <c r="D19" s="196"/>
      <c r="E19" s="196"/>
      <c r="F19" s="196"/>
      <c r="G19" s="3"/>
      <c r="H19" s="3"/>
      <c r="I19" s="100"/>
      <c r="J19" s="185"/>
      <c r="K19" s="185"/>
      <c r="L19" s="3"/>
      <c r="M19" s="9"/>
    </row>
    <row r="20" spans="1:13" ht="3" customHeight="1" thickTop="1" x14ac:dyDescent="0.3">
      <c r="A20" s="3"/>
      <c r="B20" s="57"/>
      <c r="C20" s="57"/>
      <c r="D20" s="57"/>
      <c r="E20" s="57"/>
      <c r="F20" s="57"/>
      <c r="G20" s="57"/>
      <c r="H20" s="58"/>
      <c r="I20" s="58"/>
      <c r="J20" s="86"/>
      <c r="K20" s="87"/>
      <c r="L20" s="20"/>
      <c r="M20" s="9"/>
    </row>
    <row r="21" spans="1:13" ht="14.1" customHeight="1" x14ac:dyDescent="0.2">
      <c r="A21" s="3"/>
      <c r="B21" s="3"/>
      <c r="C21" s="3"/>
      <c r="D21" s="3"/>
      <c r="E21" s="3"/>
      <c r="F21" s="3"/>
      <c r="G21" s="3"/>
      <c r="H21" s="3"/>
      <c r="I21" s="3"/>
      <c r="J21" s="3"/>
      <c r="K21" s="3"/>
      <c r="L21" s="3"/>
      <c r="M21" s="9"/>
    </row>
    <row r="22" spans="1:13" x14ac:dyDescent="0.2">
      <c r="A22" s="3"/>
      <c r="B22" s="3"/>
      <c r="C22" s="3"/>
      <c r="D22" s="3"/>
      <c r="E22" s="3"/>
      <c r="F22" s="3"/>
      <c r="G22" s="3"/>
      <c r="H22" s="3"/>
      <c r="I22" s="3"/>
      <c r="J22" s="3"/>
      <c r="K22" s="3"/>
      <c r="L22" s="3"/>
      <c r="M22" s="9"/>
    </row>
    <row r="23" spans="1:13" ht="35.25" x14ac:dyDescent="0.35">
      <c r="A23" s="3"/>
      <c r="B23" s="116" t="s">
        <v>52</v>
      </c>
      <c r="C23" s="186" t="s">
        <v>69</v>
      </c>
      <c r="D23" s="186"/>
      <c r="E23" s="186"/>
      <c r="F23" s="186"/>
      <c r="G23" s="186"/>
      <c r="H23" s="186"/>
      <c r="I23" s="113" t="s">
        <v>57</v>
      </c>
      <c r="J23" s="102">
        <v>45205</v>
      </c>
      <c r="K23" s="104"/>
      <c r="L23" s="54"/>
      <c r="M23" s="9"/>
    </row>
    <row r="24" spans="1:13" ht="23.25" x14ac:dyDescent="0.35">
      <c r="A24" s="3"/>
      <c r="B24" s="116" t="s">
        <v>53</v>
      </c>
      <c r="C24" s="193" t="s">
        <v>73</v>
      </c>
      <c r="D24" s="193"/>
      <c r="E24" s="193"/>
      <c r="F24" s="194"/>
      <c r="G24" s="194"/>
      <c r="H24" s="194"/>
      <c r="I24" s="166"/>
      <c r="J24" s="166"/>
      <c r="K24" s="166"/>
      <c r="L24" s="55"/>
      <c r="M24" s="9"/>
    </row>
    <row r="25" spans="1:13" ht="27.75" x14ac:dyDescent="0.4">
      <c r="A25" s="3"/>
      <c r="B25" s="116" t="s">
        <v>59</v>
      </c>
      <c r="C25" s="127"/>
      <c r="D25" s="105" t="s">
        <v>51</v>
      </c>
      <c r="E25" s="187"/>
      <c r="F25" s="187"/>
      <c r="G25" s="110" t="s">
        <v>55</v>
      </c>
      <c r="H25" s="106" t="s">
        <v>56</v>
      </c>
      <c r="I25" s="113" t="s">
        <v>74</v>
      </c>
      <c r="J25" s="124"/>
      <c r="K25" s="125"/>
      <c r="L25" s="3"/>
      <c r="M25" s="9"/>
    </row>
    <row r="26" spans="1:13" ht="27.75" customHeight="1" x14ac:dyDescent="0.4">
      <c r="A26" s="3"/>
      <c r="B26" s="116" t="s">
        <v>54</v>
      </c>
      <c r="C26" s="191"/>
      <c r="D26" s="192"/>
      <c r="E26" s="192"/>
      <c r="F26" s="192"/>
      <c r="G26" s="192"/>
      <c r="H26" s="192"/>
      <c r="I26" s="156" t="s">
        <v>72</v>
      </c>
      <c r="J26" s="132" t="s">
        <v>71</v>
      </c>
      <c r="K26" s="132"/>
      <c r="L26" s="3"/>
      <c r="M26" s="9"/>
    </row>
    <row r="27" spans="1:13" x14ac:dyDescent="0.2">
      <c r="A27" s="3"/>
      <c r="B27" s="80"/>
      <c r="C27" s="80"/>
      <c r="D27" s="80"/>
      <c r="E27" s="80"/>
      <c r="F27" s="80"/>
      <c r="G27" s="80"/>
      <c r="H27" s="80"/>
      <c r="I27" s="80"/>
      <c r="J27" s="80"/>
      <c r="K27" s="80"/>
      <c r="L27" s="3"/>
      <c r="M27" s="9"/>
    </row>
    <row r="28" spans="1:13" x14ac:dyDescent="0.2">
      <c r="A28" s="3"/>
      <c r="B28" s="80"/>
      <c r="C28" s="80"/>
      <c r="D28" s="80"/>
      <c r="E28" s="80"/>
      <c r="F28" s="80"/>
      <c r="G28" s="80"/>
      <c r="H28" s="80"/>
      <c r="I28" s="80"/>
      <c r="J28" s="80"/>
      <c r="K28" s="80"/>
      <c r="L28" s="3"/>
      <c r="M28" s="9"/>
    </row>
    <row r="29" spans="1:13" x14ac:dyDescent="0.2">
      <c r="A29" s="3"/>
      <c r="B29" s="80"/>
      <c r="C29" s="80"/>
      <c r="D29" s="80"/>
      <c r="E29" s="80"/>
      <c r="F29" s="80"/>
      <c r="G29" s="80"/>
      <c r="H29" s="80"/>
      <c r="I29" s="80"/>
      <c r="J29" s="80"/>
      <c r="K29" s="80"/>
      <c r="L29" s="3"/>
      <c r="M29" s="9"/>
    </row>
    <row r="30" spans="1:13" ht="18" x14ac:dyDescent="0.25">
      <c r="A30" s="3"/>
      <c r="B30" s="90" t="s">
        <v>33</v>
      </c>
      <c r="C30" s="129" t="s">
        <v>63</v>
      </c>
      <c r="D30" s="188" t="s">
        <v>21</v>
      </c>
      <c r="E30" s="189"/>
      <c r="F30" s="189"/>
      <c r="G30" s="189"/>
      <c r="H30" s="189"/>
      <c r="I30" s="190"/>
      <c r="J30" s="90" t="s">
        <v>22</v>
      </c>
      <c r="K30" s="91" t="s">
        <v>23</v>
      </c>
      <c r="L30" s="56"/>
      <c r="M30" s="9"/>
    </row>
    <row r="31" spans="1:13" ht="18.75" x14ac:dyDescent="0.3">
      <c r="A31" s="3"/>
      <c r="B31" s="66"/>
      <c r="C31" s="52"/>
      <c r="D31" s="167"/>
      <c r="E31" s="168"/>
      <c r="F31" s="168"/>
      <c r="G31" s="168"/>
      <c r="H31" s="168"/>
      <c r="I31" s="169"/>
      <c r="J31" s="88"/>
      <c r="K31" s="89" t="str">
        <f>IF(C31&lt;&gt;"",C31*J31,"")</f>
        <v/>
      </c>
      <c r="L31" s="56"/>
      <c r="M31" s="9"/>
    </row>
    <row r="32" spans="1:13" ht="26.25" x14ac:dyDescent="0.4">
      <c r="A32" s="3"/>
      <c r="B32" s="123"/>
      <c r="C32" s="92"/>
      <c r="D32" s="170" t="s">
        <v>58</v>
      </c>
      <c r="E32" s="171"/>
      <c r="F32" s="171"/>
      <c r="G32" s="171"/>
      <c r="H32" s="171"/>
      <c r="I32" s="172"/>
      <c r="J32" s="93"/>
      <c r="K32" s="94" t="str">
        <f>IF(C32&lt;&gt;"",C32*J32,"")</f>
        <v/>
      </c>
      <c r="L32" s="56"/>
      <c r="M32" s="9"/>
    </row>
    <row r="33" spans="1:13" ht="26.25" x14ac:dyDescent="0.4">
      <c r="A33" s="3"/>
      <c r="B33" s="122"/>
      <c r="C33" s="95"/>
      <c r="D33" s="173"/>
      <c r="E33" s="174"/>
      <c r="F33" s="174"/>
      <c r="G33" s="174"/>
      <c r="H33" s="174"/>
      <c r="I33" s="175"/>
      <c r="J33" s="96"/>
      <c r="K33" s="97"/>
      <c r="L33" s="56"/>
      <c r="M33" s="9"/>
    </row>
    <row r="34" spans="1:13" ht="25.5" x14ac:dyDescent="0.35">
      <c r="A34" s="3"/>
      <c r="B34" s="122" t="s">
        <v>64</v>
      </c>
      <c r="C34" s="95">
        <v>1</v>
      </c>
      <c r="D34" s="176" t="s">
        <v>68</v>
      </c>
      <c r="E34" s="177"/>
      <c r="F34" s="177"/>
      <c r="G34" s="177"/>
      <c r="H34" s="177"/>
      <c r="I34" s="178"/>
      <c r="J34" s="96">
        <v>250</v>
      </c>
      <c r="K34" s="97">
        <f t="shared" ref="K34:K44" si="0">IF(C34&lt;&gt;"",C34*J34,"")</f>
        <v>250</v>
      </c>
      <c r="L34" s="56"/>
      <c r="M34" s="9"/>
    </row>
    <row r="35" spans="1:13" ht="26.25" customHeight="1" x14ac:dyDescent="0.35">
      <c r="A35" s="3"/>
      <c r="B35" s="122"/>
      <c r="C35" s="146"/>
      <c r="D35" s="182"/>
      <c r="E35" s="183"/>
      <c r="F35" s="183"/>
      <c r="G35" s="183"/>
      <c r="H35" s="183"/>
      <c r="I35" s="184"/>
      <c r="J35" s="96"/>
      <c r="K35" s="97" t="str">
        <f t="shared" si="0"/>
        <v/>
      </c>
      <c r="L35" s="56"/>
      <c r="M35" s="9"/>
    </row>
    <row r="36" spans="1:13" ht="25.5" x14ac:dyDescent="0.35">
      <c r="A36" s="3"/>
      <c r="B36" s="122"/>
      <c r="C36" s="95"/>
      <c r="D36" s="179"/>
      <c r="E36" s="180"/>
      <c r="F36" s="180"/>
      <c r="G36" s="180"/>
      <c r="H36" s="180"/>
      <c r="I36" s="181"/>
      <c r="J36" s="96"/>
      <c r="K36" s="97"/>
      <c r="L36" s="56"/>
      <c r="M36" s="9"/>
    </row>
    <row r="37" spans="1:13" ht="26.25" x14ac:dyDescent="0.4">
      <c r="A37" s="3"/>
      <c r="B37" s="122"/>
      <c r="C37" s="95"/>
      <c r="D37" s="142"/>
      <c r="E37" s="143"/>
      <c r="F37" s="143"/>
      <c r="G37" s="143"/>
      <c r="H37" s="143"/>
      <c r="I37" s="144"/>
      <c r="J37" s="96"/>
      <c r="K37" s="97" t="str">
        <f t="shared" si="0"/>
        <v/>
      </c>
      <c r="L37" s="56"/>
      <c r="M37" s="9"/>
    </row>
    <row r="38" spans="1:13" ht="25.5" x14ac:dyDescent="0.35">
      <c r="A38" s="3"/>
      <c r="B38" s="122"/>
      <c r="C38" s="95"/>
      <c r="D38" s="138"/>
      <c r="E38" s="139"/>
      <c r="F38" s="139"/>
      <c r="G38" s="139"/>
      <c r="H38" s="139"/>
      <c r="I38" s="140"/>
      <c r="J38" s="96"/>
      <c r="K38" s="97" t="str">
        <f t="shared" si="0"/>
        <v/>
      </c>
      <c r="L38" s="56"/>
      <c r="M38" s="9"/>
    </row>
    <row r="39" spans="1:13" ht="26.25" x14ac:dyDescent="0.4">
      <c r="A39" s="3"/>
      <c r="B39" s="122"/>
      <c r="C39" s="95"/>
      <c r="D39" s="142"/>
      <c r="E39" s="143"/>
      <c r="F39" s="143"/>
      <c r="G39" s="143"/>
      <c r="H39" s="143"/>
      <c r="I39" s="144"/>
      <c r="J39" s="96"/>
      <c r="K39" s="97" t="str">
        <f t="shared" si="0"/>
        <v/>
      </c>
      <c r="L39" s="56"/>
      <c r="M39" s="9"/>
    </row>
    <row r="40" spans="1:13" ht="26.25" x14ac:dyDescent="0.4">
      <c r="A40" s="3"/>
      <c r="B40" s="122"/>
      <c r="C40" s="95"/>
      <c r="D40" s="141"/>
      <c r="E40" s="98"/>
      <c r="F40" s="98"/>
      <c r="G40" s="98"/>
      <c r="H40" s="98"/>
      <c r="I40" s="99"/>
      <c r="J40" s="126"/>
      <c r="K40" s="97" t="str">
        <f t="shared" si="0"/>
        <v/>
      </c>
      <c r="L40" s="56"/>
      <c r="M40" s="9"/>
    </row>
    <row r="41" spans="1:13" ht="26.25" x14ac:dyDescent="0.4">
      <c r="A41" s="3"/>
      <c r="B41" s="122"/>
      <c r="C41" s="95"/>
      <c r="D41" s="135"/>
      <c r="E41" s="143"/>
      <c r="F41" s="143"/>
      <c r="G41" s="143"/>
      <c r="H41" s="143"/>
      <c r="I41" s="144"/>
      <c r="J41" s="126"/>
      <c r="K41" s="97" t="str">
        <f t="shared" si="0"/>
        <v/>
      </c>
      <c r="L41" s="56"/>
      <c r="M41" s="9"/>
    </row>
    <row r="42" spans="1:13" ht="26.25" x14ac:dyDescent="0.4">
      <c r="A42" s="3"/>
      <c r="B42" s="122"/>
      <c r="C42" s="95"/>
      <c r="D42" s="142"/>
      <c r="E42" s="98"/>
      <c r="F42" s="98"/>
      <c r="G42" s="98"/>
      <c r="H42" s="98"/>
      <c r="I42" s="99"/>
      <c r="J42" s="126"/>
      <c r="K42" s="97" t="str">
        <f t="shared" si="0"/>
        <v/>
      </c>
      <c r="L42" s="56"/>
      <c r="M42" s="9"/>
    </row>
    <row r="43" spans="1:13" ht="26.25" x14ac:dyDescent="0.4">
      <c r="A43" s="3"/>
      <c r="B43" s="122"/>
      <c r="C43" s="95"/>
      <c r="D43" s="136"/>
      <c r="E43" s="143"/>
      <c r="F43" s="143"/>
      <c r="G43" s="143"/>
      <c r="H43" s="143"/>
      <c r="I43" s="144"/>
      <c r="J43" s="126"/>
      <c r="K43" s="97" t="str">
        <f t="shared" si="0"/>
        <v/>
      </c>
      <c r="L43" s="56"/>
      <c r="M43" s="9"/>
    </row>
    <row r="44" spans="1:13" ht="26.25" x14ac:dyDescent="0.4">
      <c r="A44" s="3"/>
      <c r="B44" s="67"/>
      <c r="C44" s="53"/>
      <c r="D44" s="137"/>
      <c r="E44" s="143"/>
      <c r="F44" s="143"/>
      <c r="G44" s="143"/>
      <c r="H44" s="143"/>
      <c r="I44" s="144"/>
      <c r="J44" s="67"/>
      <c r="K44" s="97" t="str">
        <f t="shared" si="0"/>
        <v/>
      </c>
      <c r="L44" s="56"/>
      <c r="M44" s="9"/>
    </row>
    <row r="45" spans="1:13" ht="30" x14ac:dyDescent="0.4">
      <c r="A45" s="3"/>
      <c r="B45" s="111"/>
      <c r="C45" s="80"/>
      <c r="D45" s="80"/>
      <c r="E45" s="133"/>
      <c r="F45" s="133"/>
      <c r="G45" s="133"/>
      <c r="H45" s="133"/>
      <c r="I45" s="134"/>
      <c r="J45" s="120" t="s">
        <v>24</v>
      </c>
      <c r="K45" s="109">
        <f>SUM(K34:K44)</f>
        <v>250</v>
      </c>
      <c r="L45" s="56"/>
      <c r="M45" s="9"/>
    </row>
    <row r="46" spans="1:13" ht="30" x14ac:dyDescent="0.4">
      <c r="A46" s="3"/>
      <c r="B46" s="3"/>
      <c r="C46" s="81"/>
      <c r="D46" s="197" t="s">
        <v>65</v>
      </c>
      <c r="E46" s="80"/>
      <c r="F46" s="80"/>
      <c r="G46" s="80"/>
      <c r="H46" s="76"/>
      <c r="I46" s="107"/>
      <c r="J46" s="117" t="s">
        <v>45</v>
      </c>
      <c r="K46" s="121">
        <v>1</v>
      </c>
      <c r="L46" s="56"/>
      <c r="M46" s="9"/>
    </row>
    <row r="47" spans="1:13" ht="30" x14ac:dyDescent="0.4">
      <c r="A47" s="3"/>
      <c r="B47" s="3"/>
      <c r="C47" s="81"/>
      <c r="D47" s="103" t="s">
        <v>62</v>
      </c>
      <c r="E47" s="80"/>
      <c r="F47" s="80"/>
      <c r="G47" s="80"/>
      <c r="H47" s="76"/>
      <c r="I47" s="107"/>
      <c r="J47" s="118" t="s">
        <v>60</v>
      </c>
      <c r="K47" s="112">
        <f>K45*0.19</f>
        <v>47.5</v>
      </c>
      <c r="L47" s="56"/>
      <c r="M47" s="9"/>
    </row>
    <row r="48" spans="1:13" ht="30" x14ac:dyDescent="0.4">
      <c r="A48" s="114"/>
      <c r="B48" s="3"/>
      <c r="C48" s="83"/>
      <c r="D48" s="197"/>
      <c r="E48" s="80"/>
      <c r="F48" s="80"/>
      <c r="G48" s="80"/>
      <c r="H48" s="77"/>
      <c r="I48" s="108"/>
      <c r="J48" s="119" t="s">
        <v>26</v>
      </c>
      <c r="K48" s="109">
        <f>K45+K47+K46</f>
        <v>298.5</v>
      </c>
      <c r="L48" s="56"/>
      <c r="M48" s="9"/>
    </row>
    <row r="49" spans="1:13" ht="30" x14ac:dyDescent="0.4">
      <c r="A49" s="3"/>
      <c r="B49" s="3"/>
      <c r="C49" s="83"/>
      <c r="D49" s="82"/>
      <c r="E49" s="130"/>
      <c r="F49" s="131"/>
      <c r="G49" s="128"/>
      <c r="H49" s="78"/>
      <c r="I49" s="107"/>
      <c r="J49" s="165" t="s">
        <v>61</v>
      </c>
      <c r="K49" s="165"/>
      <c r="L49" s="56"/>
      <c r="M49" s="9"/>
    </row>
    <row r="50" spans="1:13" ht="30" x14ac:dyDescent="0.4">
      <c r="A50" s="114"/>
      <c r="B50" s="149"/>
      <c r="C50" s="145"/>
      <c r="D50" s="145"/>
      <c r="E50" s="80"/>
      <c r="F50" s="84"/>
      <c r="G50" s="80"/>
      <c r="H50" s="79" t="s">
        <v>25</v>
      </c>
      <c r="I50" s="107"/>
      <c r="J50" s="165"/>
      <c r="K50" s="165"/>
      <c r="L50" s="56"/>
      <c r="M50" s="9"/>
    </row>
    <row r="51" spans="1:13" ht="30" x14ac:dyDescent="0.4">
      <c r="A51" s="198" t="s">
        <v>75</v>
      </c>
      <c r="B51" s="149"/>
      <c r="C51" s="145"/>
      <c r="D51" s="145"/>
      <c r="E51" s="80"/>
      <c r="F51" s="84"/>
      <c r="G51" s="80"/>
      <c r="H51" s="79"/>
      <c r="I51" s="107"/>
      <c r="J51" s="148"/>
      <c r="K51" s="148"/>
      <c r="L51" s="56"/>
      <c r="M51" s="9"/>
    </row>
    <row r="52" spans="1:13" ht="30" x14ac:dyDescent="0.4">
      <c r="A52" s="114"/>
      <c r="B52" s="149"/>
      <c r="C52" s="145"/>
      <c r="D52" s="145"/>
      <c r="E52" s="80"/>
      <c r="F52" s="84"/>
      <c r="G52" s="80"/>
      <c r="H52" s="79"/>
      <c r="I52" s="107"/>
      <c r="J52" s="148"/>
      <c r="K52" s="148"/>
      <c r="L52" s="56"/>
      <c r="M52" s="9"/>
    </row>
    <row r="53" spans="1:13" ht="30" x14ac:dyDescent="0.4">
      <c r="A53" s="149" t="s">
        <v>66</v>
      </c>
      <c r="B53" s="149" t="s">
        <v>66</v>
      </c>
      <c r="C53" s="145"/>
      <c r="D53" s="145"/>
      <c r="E53" s="80"/>
      <c r="F53" s="84"/>
      <c r="G53" s="80"/>
      <c r="H53" s="79"/>
      <c r="I53" s="107"/>
      <c r="J53" s="148"/>
      <c r="K53" s="148"/>
      <c r="L53" s="56"/>
      <c r="M53" s="9"/>
    </row>
    <row r="54" spans="1:13" ht="30" x14ac:dyDescent="0.4">
      <c r="A54" s="149" t="s">
        <v>67</v>
      </c>
      <c r="B54" s="149" t="s">
        <v>67</v>
      </c>
      <c r="C54" s="145"/>
      <c r="D54" s="145"/>
      <c r="E54" s="80"/>
      <c r="F54" s="84"/>
      <c r="G54" s="80"/>
      <c r="H54" s="79"/>
      <c r="I54" s="107"/>
      <c r="J54" s="147"/>
      <c r="K54" s="147"/>
      <c r="L54" s="56"/>
      <c r="M54" s="9"/>
    </row>
    <row r="55" spans="1:13" x14ac:dyDescent="0.2">
      <c r="A55" s="150"/>
      <c r="B55" s="150"/>
      <c r="C55" s="150"/>
      <c r="D55" s="150"/>
      <c r="E55" s="150"/>
      <c r="F55" s="150"/>
      <c r="G55" s="150"/>
      <c r="H55" s="150"/>
      <c r="I55" s="150"/>
      <c r="J55" s="150"/>
      <c r="K55" s="150"/>
      <c r="L55" s="151"/>
      <c r="M55" s="9"/>
    </row>
    <row r="56" spans="1:13" x14ac:dyDescent="0.2">
      <c r="A56" s="115"/>
      <c r="B56" s="115"/>
      <c r="C56" s="115"/>
      <c r="D56" s="115"/>
      <c r="E56" s="115"/>
      <c r="F56" s="115"/>
      <c r="G56" s="115"/>
      <c r="H56" s="115"/>
      <c r="I56" s="115"/>
      <c r="J56" s="115"/>
      <c r="K56" s="115"/>
      <c r="L56" s="152"/>
    </row>
    <row r="57" spans="1:13" x14ac:dyDescent="0.2">
      <c r="A57" s="164" t="s">
        <v>70</v>
      </c>
      <c r="B57" s="164"/>
      <c r="C57" s="164"/>
      <c r="D57" s="164"/>
      <c r="E57" s="164"/>
      <c r="F57" s="164"/>
      <c r="G57" s="164"/>
      <c r="H57" s="164"/>
      <c r="I57" s="164"/>
      <c r="J57" s="164"/>
      <c r="K57" s="164"/>
      <c r="L57" s="164"/>
    </row>
    <row r="58" spans="1:13" x14ac:dyDescent="0.2">
      <c r="A58" s="164"/>
      <c r="B58" s="164"/>
      <c r="C58" s="164"/>
      <c r="D58" s="164"/>
      <c r="E58" s="164"/>
      <c r="F58" s="164"/>
      <c r="G58" s="164"/>
      <c r="H58" s="164"/>
      <c r="I58" s="164"/>
      <c r="J58" s="164"/>
      <c r="K58" s="164"/>
      <c r="L58" s="164"/>
    </row>
    <row r="59" spans="1:13" ht="12.75" customHeight="1" x14ac:dyDescent="0.2">
      <c r="A59" s="164"/>
      <c r="B59" s="164"/>
      <c r="C59" s="164"/>
      <c r="D59" s="164"/>
      <c r="E59" s="164"/>
      <c r="F59" s="164"/>
      <c r="G59" s="164"/>
      <c r="H59" s="164"/>
      <c r="I59" s="164"/>
      <c r="J59" s="164"/>
      <c r="K59" s="164"/>
      <c r="L59" s="164"/>
    </row>
    <row r="60" spans="1:13" ht="12.75" customHeight="1" x14ac:dyDescent="0.2">
      <c r="A60" s="164"/>
      <c r="B60" s="164"/>
      <c r="C60" s="164"/>
      <c r="D60" s="164"/>
      <c r="E60" s="164"/>
      <c r="F60" s="164"/>
      <c r="G60" s="164"/>
      <c r="H60" s="164"/>
      <c r="I60" s="164"/>
      <c r="J60" s="164"/>
      <c r="K60" s="164"/>
      <c r="L60" s="164"/>
    </row>
    <row r="61" spans="1:13" ht="12.75" customHeight="1" x14ac:dyDescent="0.2">
      <c r="A61" s="164"/>
      <c r="B61" s="164"/>
      <c r="C61" s="164"/>
      <c r="D61" s="164"/>
      <c r="E61" s="164"/>
      <c r="F61" s="164"/>
      <c r="G61" s="164"/>
      <c r="H61" s="164"/>
      <c r="I61" s="164"/>
      <c r="J61" s="164"/>
      <c r="K61" s="164"/>
      <c r="L61" s="164"/>
    </row>
    <row r="62" spans="1:13" ht="12.75" customHeight="1" x14ac:dyDescent="0.2">
      <c r="A62" s="153"/>
      <c r="B62" s="154"/>
      <c r="C62" s="154"/>
      <c r="D62" s="154"/>
      <c r="E62" s="154"/>
      <c r="F62" s="154"/>
      <c r="G62" s="154"/>
      <c r="H62" s="154"/>
      <c r="I62" s="154"/>
      <c r="J62" s="154"/>
      <c r="K62" s="154"/>
      <c r="L62" s="154"/>
    </row>
    <row r="63" spans="1:13" ht="12.75" customHeight="1" thickBot="1" x14ac:dyDescent="0.25">
      <c r="A63" s="155"/>
      <c r="B63" s="154"/>
      <c r="C63" s="154"/>
      <c r="D63" s="154"/>
      <c r="E63" s="154"/>
      <c r="F63" s="154"/>
      <c r="G63" s="154"/>
      <c r="H63" s="154"/>
      <c r="I63" s="154"/>
      <c r="J63" s="154"/>
      <c r="K63" s="154"/>
      <c r="L63" s="154"/>
    </row>
    <row r="64" spans="1:13" ht="13.5" customHeight="1" thickTop="1" x14ac:dyDescent="0.2"/>
    <row r="65" ht="24.95" customHeight="1" x14ac:dyDescent="0.2"/>
    <row r="66" ht="24.95" customHeight="1" x14ac:dyDescent="0.2"/>
    <row r="67" ht="12.75" customHeight="1" x14ac:dyDescent="0.2"/>
    <row r="68" ht="12.75" customHeight="1" x14ac:dyDescent="0.2"/>
    <row r="69" ht="12.75" customHeight="1" x14ac:dyDescent="0.2"/>
    <row r="70" ht="12.75" customHeight="1" x14ac:dyDescent="0.2"/>
    <row r="71" ht="3" customHeight="1" x14ac:dyDescent="0.2"/>
    <row r="72" ht="12.75" customHeight="1" x14ac:dyDescent="0.2"/>
    <row r="73" ht="13.5" customHeight="1" x14ac:dyDescent="0.2"/>
    <row r="75" ht="0.95" customHeight="1" x14ac:dyDescent="0.2"/>
    <row r="76" ht="6" customHeight="1" x14ac:dyDescent="0.2"/>
  </sheetData>
  <scenarios current="0">
    <scenario name="sample1" locked="1" count="10" user="Nickte" comment="Created by Nickte on 23/10/96">
      <inputCells r="C23" val="M. Antoine CIVAUX"/>
      <inputCells r="C24" val="34, route de Marseille"/>
      <inputCells r="C25" val="84000"/>
      <inputCells r="C26" val="04.90.26.45.78"/>
      <inputCells r="E25" val="Avignon"/>
      <inputCells r="H25" val="France"/>
      <inputCells r="J23" val="35343" numFmtId="14"/>
      <inputCells r="J24" val="452"/>
      <inputCells r="J25" val="T. Farot"/>
      <inputCells r="J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16">
    <mergeCell ref="J15:K19"/>
    <mergeCell ref="C23:H23"/>
    <mergeCell ref="E25:F25"/>
    <mergeCell ref="D30:I30"/>
    <mergeCell ref="C26:H26"/>
    <mergeCell ref="C24:H24"/>
    <mergeCell ref="B18:F19"/>
    <mergeCell ref="A57:L61"/>
    <mergeCell ref="J49:K50"/>
    <mergeCell ref="I24:K24"/>
    <mergeCell ref="D31:I31"/>
    <mergeCell ref="D32:I32"/>
    <mergeCell ref="D33:I33"/>
    <mergeCell ref="D34:I34"/>
    <mergeCell ref="D36:I36"/>
    <mergeCell ref="D35:I35"/>
  </mergeCells>
  <phoneticPr fontId="0" type="noConversion"/>
  <dataValidations xWindow="258" yWindow="385" count="1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49"/>
    <dataValidation type="textLength" errorStyle="warning" allowBlank="1" showErrorMessage="1" errorTitle="Sous-total" error="Les cellules ombrées contiennent des formules et sont calculées automatiquement par Excel. N'y tapez aucune information." promptTitle="Sous-total" sqref="K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K46">
      <formula1>0</formula1>
      <formula2>0</formula2>
    </dataValidation>
    <dataValidation allowBlank="1" showErrorMessage="1" sqref="E25:F25"/>
    <dataValidation type="textLength" errorStyle="warning" allowBlank="1" showErrorMessage="1" errorTitle="T.V.A." error="Les cellules ombrées contiennent des formules et sont calculées automatiquement par Excel. N'y tapez aucune information." promptTitle="T.V.A." sqref="J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K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K4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J55 D56:I56"/>
    <dataValidation type="whole" errorStyle="warning" allowBlank="1" showErrorMessage="1" errorTitle="Quantité" error="Tapez un nombre dans cette cellule." promptTitle="Quantité" sqref="C31:C44">
      <formula1>0</formula1>
      <formula2>1000000000</formula2>
    </dataValidation>
    <dataValidation type="decimal" allowBlank="1" showErrorMessage="1" errorTitle="Prix unitaire" error="Tapez un nombre dans cette cellule." promptTitle="Prix unitaire" sqref="J31:J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K31:K4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2</xdr:col>
                    <xdr:colOff>266700</xdr:colOff>
                    <xdr:row>46</xdr:row>
                    <xdr:rowOff>9525</xdr:rowOff>
                  </from>
                  <to>
                    <xdr:col>2</xdr:col>
                    <xdr:colOff>571500</xdr:colOff>
                    <xdr:row>46</xdr:row>
                    <xdr:rowOff>228600</xdr:rowOff>
                  </to>
                </anchor>
              </controlPr>
            </control>
          </mc:Choice>
        </mc:AlternateContent>
        <mc:AlternateContent xmlns:mc="http://schemas.openxmlformats.org/markup-compatibility/2006">
          <mc:Choice Requires="x14">
            <control shapeId="2110" r:id="rId5" name="pd2">
              <controlPr defaultSize="0" autoFill="0" autoLine="0" autoPict="0" macro="[2]!INV_Payments">
                <anchor moveWithCells="1">
                  <from>
                    <xdr:col>2</xdr:col>
                    <xdr:colOff>266700</xdr:colOff>
                    <xdr:row>45</xdr:row>
                    <xdr:rowOff>9525</xdr:rowOff>
                  </from>
                  <to>
                    <xdr:col>2</xdr:col>
                    <xdr:colOff>571500</xdr:colOff>
                    <xdr:row>45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27</v>
      </c>
    </row>
    <row r="2" spans="1:11" x14ac:dyDescent="0.2">
      <c r="A2" s="68" t="s">
        <v>34</v>
      </c>
      <c r="B2" s="68" t="s">
        <v>28</v>
      </c>
    </row>
    <row r="3" spans="1:11" x14ac:dyDescent="0.2">
      <c r="A3" s="68" t="s">
        <v>35</v>
      </c>
      <c r="B3" s="68" t="s">
        <v>42</v>
      </c>
    </row>
    <row r="4" spans="1:11" x14ac:dyDescent="0.2">
      <c r="A4" s="68" t="s">
        <v>29</v>
      </c>
    </row>
    <row r="5" spans="1:11" x14ac:dyDescent="0.2">
      <c r="A5" s="68" t="s">
        <v>36</v>
      </c>
      <c r="B5" s="68">
        <v>1</v>
      </c>
    </row>
    <row r="6" spans="1:11" x14ac:dyDescent="0.2">
      <c r="A6" s="68">
        <v>1</v>
      </c>
      <c r="B6" s="68" t="s">
        <v>37</v>
      </c>
      <c r="C6" s="68" t="s">
        <v>41</v>
      </c>
      <c r="D6" s="68" t="s">
        <v>38</v>
      </c>
      <c r="E6" s="68">
        <v>10</v>
      </c>
      <c r="G6" s="68">
        <v>-727923968</v>
      </c>
    </row>
    <row r="7" spans="1:11" x14ac:dyDescent="0.2">
      <c r="A7" s="68" t="s">
        <v>39</v>
      </c>
      <c r="B7" s="68" t="s">
        <v>30</v>
      </c>
      <c r="C7" s="68" t="s">
        <v>18</v>
      </c>
      <c r="D7" s="68" t="s">
        <v>3</v>
      </c>
      <c r="E7" s="68" t="s">
        <v>5</v>
      </c>
      <c r="F7" s="68" t="s">
        <v>7</v>
      </c>
      <c r="G7" s="68" t="s">
        <v>8</v>
      </c>
      <c r="H7" s="68" t="s">
        <v>9</v>
      </c>
      <c r="I7" s="68" t="s">
        <v>20</v>
      </c>
      <c r="J7" s="68" t="s">
        <v>31</v>
      </c>
      <c r="K7" s="68" t="s">
        <v>19</v>
      </c>
    </row>
    <row r="8" spans="1:11" x14ac:dyDescent="0.2">
      <c r="A8" s="68" t="s">
        <v>40</v>
      </c>
      <c r="B8" s="69" t="str">
        <f>Facture!$K$11</f>
        <v/>
      </c>
      <c r="C8" s="70">
        <f>Facture!$J$23</f>
        <v>45205</v>
      </c>
      <c r="D8" s="71" t="str">
        <f>Facture!$C$23</f>
        <v xml:space="preserve">EKM </v>
      </c>
      <c r="E8" s="68" t="str">
        <f>Facture!$C$24</f>
        <v xml:space="preserve">37 Rue des fonderies ZI Ben Arous </v>
      </c>
      <c r="F8" s="68">
        <f>Facture!$C$25</f>
        <v>0</v>
      </c>
      <c r="G8" s="71">
        <f>Facture!$E$25</f>
        <v>0</v>
      </c>
      <c r="H8" s="71" t="str">
        <f>Facture!$H$25</f>
        <v>TN</v>
      </c>
      <c r="I8" s="68">
        <f>Facture!$C$26</f>
        <v>0</v>
      </c>
      <c r="J8" s="72">
        <f>Facture!$K$48</f>
        <v>298.5</v>
      </c>
      <c r="K8" s="68">
        <f>Facture!$J$25</f>
        <v>0</v>
      </c>
    </row>
    <row r="9" spans="1:11" x14ac:dyDescent="0.2">
      <c r="A9" s="68" t="s">
        <v>29</v>
      </c>
    </row>
    <row r="10" spans="1:11" x14ac:dyDescent="0.2">
      <c r="G10" s="68">
        <v>324499967</v>
      </c>
    </row>
    <row r="14" spans="1:11" x14ac:dyDescent="0.2">
      <c r="G14" s="68">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qzqzqz27</vt:lpstr>
      <vt:lpstr>qzqzqz3</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2023-10-05T15:11:32Z</cp:lastPrinted>
  <dcterms:created xsi:type="dcterms:W3CDTF">1995-05-29T15:50:39Z</dcterms:created>
  <dcterms:modified xsi:type="dcterms:W3CDTF">2023-10-05T15:11:54Z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EKM </vt:lpwstr>
  </property>
  <property fmtid="{D5CDD505-2E9C-101B-9397-08002B2CF9AE}" pid="11" name="Montant de la facture" linkTarget="TOT">
    <vt:r8>298.5</vt:r8>
  </property>
</Properties>
</file>