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2" i="3" l="1"/>
  <c r="M34" i="3"/>
  <c r="M35" i="3"/>
  <c r="M36" i="3"/>
  <c r="M46" i="3"/>
  <c r="M47" i="3"/>
  <c r="M48" i="3" l="1"/>
  <c r="M50" i="3"/>
  <c r="M51"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<sst xmlns="http://schemas.openxmlformats.org/spreadsheetml/2006/main" count="87" uniqueCount="78">
  <si>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</si>
  <si>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</si>
  <si>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</si>
  <si>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</si>
  <si>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</si>
  <si>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</si>
  <si>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</si>
  <si>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</si>
  <si>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</si>
  <si>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</si>
  <si>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</si>
  <si>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</si>
  <si>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</si>
  <si>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</si>
  <si>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</si>
  <si>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</si>
  <si>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</si>
  <si>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</si>
  <si>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</si>
  <si>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</si>
  <si>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</si>
  <si>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</si>
  <si>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</si>
  <si>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</si>
  <si>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</si>
  <si>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</si>
  <si>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</si>
  <si>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</si>
  <si>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</si>
  <si>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</si>
  <si>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</si>
  <si>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</si>
  <si>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</si>
  <si>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</si>
  <si>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</si>
  <si>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</si>
  <si>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</si>
  <si>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</si>
  <si>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</si>
  <si>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</si>
  <si>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</si>
  <si>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</si>
  <si>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</si>
  <si>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</si>
  <si>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</si>
  <si>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</si>
  <si>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</si>
  <si>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</si>
  <si>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</si>
  <si>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</si>
  <si>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</si>
  <si>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</si>
  <si>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</si>
  <si>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</si>
  <si>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</si>
  <si>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</si>
  <si>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</si>
  <si>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</si>
  <si>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</si>
  <si>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</si>
  <si>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</si>
  <si>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</si>
  <si>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</si>
  <si>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</si>
  <si>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</si>
  <si>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</si>
  <si>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</si>
  <si>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</si>
  <si>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</si>
  <si>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</si>
  <si>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</si>
  <si>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</si>
  <si>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</si>
  <si>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</si>
  <si>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FACTURE  N°2023-002</t>
  </si>
  <si>
    <t xml:space="preserve">    COMMANDE N°:  4500001572/4500001575</t>
  </si>
  <si>
    <t>ELCH001</t>
  </si>
  <si>
    <t xml:space="preserve">HABILITATION ELECTRIQUE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</si>
</sst>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F44" sqref="F44:K4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95" t="s">
        <v>74</v>
      </c>
      <c r="M15" s="195"/>
      <c r="N15" s="3"/>
      <c r="O15" s="9"/>
    </row>
    <row r="16" spans="2:15" x14ac:dyDescent="0.2">
      <c r="B16" s="7"/>
      <c r="C16" s="3"/>
      <c r="D16" s="3"/>
      <c r="E16" s="3"/>
      <c r="F16" s="3"/>
      <c r="G16" s="3"/>
      <c r="H16" s="3"/>
      <c r="I16" s="3"/>
      <c r="J16" s="3"/>
      <c r="K16" s="105"/>
      <c r="L16" s="195"/>
      <c r="M16" s="195"/>
      <c r="N16" s="3"/>
      <c r="O16" s="9"/>
    </row>
    <row r="17" spans="1:15" ht="12.75" customHeight="1" x14ac:dyDescent="0.2">
      <c r="B17" s="7"/>
      <c r="C17" s="3"/>
      <c r="D17" s="3"/>
      <c r="E17" s="3"/>
      <c r="F17" s="3"/>
      <c r="G17" s="3"/>
      <c r="H17" s="3"/>
      <c r="I17" s="3"/>
      <c r="J17" s="3"/>
      <c r="K17" s="105"/>
      <c r="L17" s="195"/>
      <c r="M17" s="195"/>
      <c r="N17" s="3"/>
      <c r="O17" s="9"/>
    </row>
    <row r="18" spans="1:15" ht="12.75" customHeight="1" x14ac:dyDescent="0.2">
      <c r="B18" s="7"/>
      <c r="C18" s="3"/>
      <c r="D18" s="207"/>
      <c r="E18" s="207"/>
      <c r="F18" s="207"/>
      <c r="G18" s="207"/>
      <c r="H18" s="207"/>
      <c r="I18" s="3"/>
      <c r="J18" s="3"/>
      <c r="K18" s="105"/>
      <c r="L18" s="195"/>
      <c r="M18" s="195"/>
      <c r="N18" s="3"/>
      <c r="O18" s="9"/>
    </row>
    <row r="19" spans="1:15" ht="20.100000000000001" customHeight="1" thickBot="1" x14ac:dyDescent="0.25">
      <c r="B19" s="7"/>
      <c r="C19" s="3"/>
      <c r="D19" s="208"/>
      <c r="E19" s="208"/>
      <c r="F19" s="208"/>
      <c r="G19" s="208"/>
      <c r="H19" s="208"/>
      <c r="I19" s="3"/>
      <c r="J19" s="3"/>
      <c r="K19" s="105"/>
      <c r="L19" s="195"/>
      <c r="M19" s="19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6" t="s">
        <v>67</v>
      </c>
      <c r="F23" s="197"/>
      <c r="G23" s="197"/>
      <c r="H23" s="197"/>
      <c r="I23" s="197"/>
      <c r="J23" s="197"/>
      <c r="K23" s="122" t="s">
        <v>57</v>
      </c>
      <c r="L23" s="107">
        <v>44943</v>
      </c>
      <c r="M23" s="109"/>
      <c r="N23" s="55"/>
      <c r="O23" s="9"/>
    </row>
    <row r="24" spans="1:15" ht="23.25" x14ac:dyDescent="0.35">
      <c r="B24" s="7"/>
      <c r="C24" s="3"/>
      <c r="D24" s="125" t="s">
        <v>53</v>
      </c>
      <c r="E24" s="204" t="s">
        <v>70</v>
      </c>
      <c r="F24" s="204"/>
      <c r="G24" s="204"/>
      <c r="H24" s="205"/>
      <c r="I24" s="205"/>
      <c r="J24" s="205"/>
      <c r="K24" s="209" t="s">
        <v>75</v>
      </c>
      <c r="L24" s="209"/>
      <c r="M24" s="209"/>
      <c r="N24" s="56"/>
      <c r="O24" s="9"/>
    </row>
    <row r="25" spans="1:15" ht="27.75" x14ac:dyDescent="0.4">
      <c r="B25" s="7"/>
      <c r="C25" s="3"/>
      <c r="D25" s="125" t="s">
        <v>58</v>
      </c>
      <c r="E25" s="146">
        <v>2088</v>
      </c>
      <c r="F25" s="110" t="s">
        <v>51</v>
      </c>
      <c r="G25" s="198" t="s">
        <v>68</v>
      </c>
      <c r="H25" s="198"/>
      <c r="I25" s="117" t="s">
        <v>55</v>
      </c>
      <c r="J25" s="111" t="s">
        <v>56</v>
      </c>
      <c r="K25" s="122" t="s">
        <v>66</v>
      </c>
      <c r="L25" s="137"/>
      <c r="M25" s="138"/>
      <c r="N25" s="3"/>
      <c r="O25" s="9"/>
    </row>
    <row r="26" spans="1:15" ht="27.75" customHeight="1" x14ac:dyDescent="0.4">
      <c r="A26">
        <v>71</v>
      </c>
      <c r="B26" s="7"/>
      <c r="C26" s="3"/>
      <c r="D26" s="125" t="s">
        <v>54</v>
      </c>
      <c r="E26" s="202">
        <v>71857740</v>
      </c>
      <c r="F26" s="203"/>
      <c r="G26" s="203"/>
      <c r="H26" s="203"/>
      <c r="I26" s="203"/>
      <c r="J26" s="203"/>
      <c r="K26" s="122" t="s">
        <v>62</v>
      </c>
      <c r="L26" s="206" t="s">
        <v>69</v>
      </c>
      <c r="M26" s="20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99" t="s">
        <v>21</v>
      </c>
      <c r="G30" s="200"/>
      <c r="H30" s="200"/>
      <c r="I30" s="200"/>
      <c r="J30" s="200"/>
      <c r="K30" s="201"/>
      <c r="L30" s="95" t="s">
        <v>22</v>
      </c>
      <c r="M30" s="96" t="s">
        <v>23</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36"/>
      <c r="E32" s="97"/>
      <c r="F32" s="178"/>
      <c r="G32" s="179"/>
      <c r="H32" s="179"/>
      <c r="I32" s="179"/>
      <c r="J32" s="179"/>
      <c r="K32" s="18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76</v>
      </c>
      <c r="E34" s="100">
        <v>4</v>
      </c>
      <c r="F34" s="161" t="s">
        <v>77</v>
      </c>
      <c r="G34" s="103"/>
      <c r="H34" s="103"/>
      <c r="I34" s="103"/>
      <c r="J34" s="103"/>
      <c r="K34" s="104"/>
      <c r="L34" s="101">
        <v>200</v>
      </c>
      <c r="M34" s="102">
        <f t="shared" ref="M34:M47" si="0">IF(E34&lt;&gt;"",E34*L34,"")</f>
        <v>800</v>
      </c>
      <c r="N34" s="57"/>
      <c r="O34" s="9"/>
    </row>
    <row r="35" spans="2:15" ht="26.25" x14ac:dyDescent="0.4">
      <c r="B35" s="7"/>
      <c r="C35" s="3"/>
      <c r="D35" s="132"/>
      <c r="E35" s="100"/>
      <c r="F35" s="161"/>
      <c r="G35" s="103"/>
      <c r="H35" s="103"/>
      <c r="I35" s="103"/>
      <c r="J35" s="103"/>
      <c r="K35" s="104"/>
      <c r="L35" s="101"/>
      <c r="M35" s="102" t="str">
        <f t="shared" si="0"/>
        <v/>
      </c>
      <c r="N35" s="57"/>
      <c r="O35" s="9"/>
    </row>
    <row r="36" spans="2:15" ht="26.25" x14ac:dyDescent="0.4">
      <c r="B36" s="7"/>
      <c r="C36" s="3"/>
      <c r="D36" s="132"/>
      <c r="E36" s="100"/>
      <c r="F36" s="158"/>
      <c r="G36" s="159"/>
      <c r="H36" s="159"/>
      <c r="I36" s="159"/>
      <c r="J36" s="159"/>
      <c r="K36" s="160"/>
      <c r="L36" s="139"/>
      <c r="M36" s="102" t="str">
        <f t="shared" si="0"/>
        <v/>
      </c>
      <c r="N36" s="57"/>
      <c r="O36" s="9"/>
    </row>
    <row r="37" spans="2:15" ht="26.25" x14ac:dyDescent="0.4">
      <c r="B37" s="7"/>
      <c r="C37" s="3"/>
      <c r="D37" s="132"/>
      <c r="E37" s="100"/>
      <c r="F37" s="157"/>
      <c r="G37" s="159"/>
      <c r="H37" s="159"/>
      <c r="I37" s="159"/>
      <c r="J37" s="159"/>
      <c r="K37" s="160"/>
      <c r="L37" s="139"/>
      <c r="M37" s="102"/>
      <c r="N37" s="57"/>
      <c r="O37" s="9"/>
    </row>
    <row r="38" spans="2:15" ht="26.25" x14ac:dyDescent="0.4">
      <c r="B38" s="7"/>
      <c r="C38" s="3"/>
      <c r="D38" s="132"/>
      <c r="E38" s="100"/>
      <c r="F38" s="154"/>
      <c r="G38" s="155"/>
      <c r="H38" s="155"/>
      <c r="I38" s="155"/>
      <c r="J38" s="155"/>
      <c r="K38" s="156"/>
      <c r="L38" s="139"/>
      <c r="M38" s="102"/>
      <c r="N38" s="57"/>
      <c r="O38" s="9"/>
    </row>
    <row r="39" spans="2:15" ht="26.25" x14ac:dyDescent="0.4">
      <c r="B39" s="7"/>
      <c r="C39" s="3"/>
      <c r="D39" s="132"/>
      <c r="E39" s="100"/>
      <c r="F39" s="166"/>
      <c r="G39" s="155"/>
      <c r="H39" s="155"/>
      <c r="I39" s="155"/>
      <c r="J39" s="155"/>
      <c r="K39" s="156"/>
      <c r="L39" s="139"/>
      <c r="M39" s="102"/>
      <c r="N39" s="57"/>
      <c r="O39" s="9"/>
    </row>
    <row r="40" spans="2:15" ht="26.25" x14ac:dyDescent="0.4">
      <c r="B40" s="7"/>
      <c r="C40" s="3"/>
      <c r="D40" s="132"/>
      <c r="E40" s="100"/>
      <c r="F40" s="166"/>
      <c r="G40" s="155"/>
      <c r="H40" s="155"/>
      <c r="I40" s="155"/>
      <c r="J40" s="155"/>
      <c r="K40" s="156"/>
      <c r="L40" s="139"/>
      <c r="M40" s="102"/>
      <c r="N40" s="57"/>
      <c r="O40" s="9"/>
    </row>
    <row r="41" spans="2:15" ht="26.25" x14ac:dyDescent="0.4">
      <c r="B41" s="7"/>
      <c r="C41" s="3"/>
      <c r="D41" s="132"/>
      <c r="E41" s="100"/>
      <c r="F41" s="166"/>
      <c r="G41" s="155"/>
      <c r="H41" s="155"/>
      <c r="I41" s="155"/>
      <c r="J41" s="155"/>
      <c r="K41" s="156"/>
      <c r="L41" s="139"/>
      <c r="M41" s="102"/>
      <c r="N41" s="57"/>
      <c r="O41" s="9"/>
    </row>
    <row r="42" spans="2:15" ht="26.25" x14ac:dyDescent="0.4">
      <c r="B42" s="7"/>
      <c r="C42" s="3"/>
      <c r="D42" s="132"/>
      <c r="E42" s="100"/>
      <c r="F42" s="166"/>
      <c r="G42" s="155"/>
      <c r="H42" s="155"/>
      <c r="I42" s="155"/>
      <c r="J42" s="155"/>
      <c r="K42" s="156"/>
      <c r="L42" s="139"/>
      <c r="M42" s="102"/>
      <c r="N42" s="57"/>
      <c r="O42" s="9"/>
    </row>
    <row r="43" spans="2:15" ht="26.25" x14ac:dyDescent="0.4">
      <c r="B43" s="7"/>
      <c r="C43" s="3"/>
      <c r="D43" s="132"/>
      <c r="E43" s="100"/>
      <c r="F43" s="154"/>
      <c r="G43" s="155"/>
      <c r="H43" s="155"/>
      <c r="I43" s="155"/>
      <c r="J43" s="155"/>
      <c r="K43" s="156"/>
      <c r="L43" s="139"/>
      <c r="M43" s="102"/>
      <c r="N43" s="57"/>
      <c r="O43" s="9"/>
    </row>
    <row r="44" spans="2:15" ht="26.25" x14ac:dyDescent="0.4">
      <c r="B44" s="7"/>
      <c r="C44" s="3"/>
      <c r="D44" s="132"/>
      <c r="E44" s="100"/>
      <c r="F44" s="181"/>
      <c r="G44" s="182"/>
      <c r="H44" s="182"/>
      <c r="I44" s="182"/>
      <c r="J44" s="182"/>
      <c r="K44" s="183"/>
      <c r="L44" s="139"/>
      <c r="M44" s="102"/>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81"/>
      <c r="G46" s="182"/>
      <c r="H46" s="182"/>
      <c r="I46" s="182"/>
      <c r="J46" s="182"/>
      <c r="K46" s="183"/>
      <c r="L46" s="139"/>
      <c r="M46" s="102" t="str">
        <f>IF(E46&lt;&gt;"",E46*L46,"")</f>
        <v/>
      </c>
      <c r="N46" s="57"/>
      <c r="O46" s="9"/>
    </row>
    <row r="47" spans="2:15" ht="25.5" x14ac:dyDescent="0.35">
      <c r="B47" s="7"/>
      <c r="C47" s="3"/>
      <c r="D47" s="68"/>
      <c r="E47" s="54"/>
      <c r="F47" s="189"/>
      <c r="G47" s="190"/>
      <c r="H47" s="190"/>
      <c r="I47" s="190"/>
      <c r="J47" s="190"/>
      <c r="K47" s="191"/>
      <c r="L47" s="68"/>
      <c r="M47" s="102" t="str">
        <f t="shared" si="0"/>
        <v/>
      </c>
      <c r="N47" s="57"/>
      <c r="O47" s="9"/>
    </row>
    <row r="48" spans="2:15" ht="30" x14ac:dyDescent="0.4">
      <c r="B48" s="7"/>
      <c r="C48" s="3"/>
      <c r="D48" s="118"/>
      <c r="E48" s="83"/>
      <c r="F48" s="83"/>
      <c r="G48" s="83"/>
      <c r="H48" s="83"/>
      <c r="I48" s="83"/>
      <c r="J48" s="77"/>
      <c r="K48" s="112"/>
      <c r="L48" s="130" t="s">
        <v>24</v>
      </c>
      <c r="M48" s="116">
        <f>SUM(M33:M47)</f>
        <v>800</v>
      </c>
      <c r="N48" s="57"/>
      <c r="O48" s="9"/>
    </row>
    <row r="49" spans="1:15" ht="30" x14ac:dyDescent="0.4">
      <c r="B49" s="7"/>
      <c r="C49" s="3"/>
      <c r="D49" s="3"/>
      <c r="E49" s="84"/>
      <c r="F49" s="108" t="s">
        <v>64</v>
      </c>
      <c r="G49" s="83"/>
      <c r="H49" s="83"/>
      <c r="I49" s="83"/>
      <c r="J49" s="77"/>
      <c r="K49" s="112"/>
      <c r="L49" s="127" t="s">
        <v>45</v>
      </c>
      <c r="M49" s="131">
        <v>1</v>
      </c>
      <c r="N49" s="57"/>
      <c r="O49" s="9"/>
    </row>
    <row r="50" spans="1:15" ht="30" x14ac:dyDescent="0.4">
      <c r="B50" s="7"/>
      <c r="C50" s="3"/>
      <c r="D50" s="3"/>
      <c r="E50" s="84"/>
      <c r="F50" s="108" t="s">
        <v>61</v>
      </c>
      <c r="G50" s="83"/>
      <c r="H50" s="83"/>
      <c r="I50" s="83"/>
      <c r="J50" s="78"/>
      <c r="K50" s="113"/>
      <c r="L50" s="128" t="s">
        <v>59</v>
      </c>
      <c r="M50" s="119">
        <f>M48*0.19</f>
        <v>152</v>
      </c>
      <c r="N50" s="57"/>
      <c r="O50" s="9"/>
    </row>
    <row r="51" spans="1:15" ht="30" x14ac:dyDescent="0.4">
      <c r="B51" s="7"/>
      <c r="C51" s="3"/>
      <c r="D51" s="3"/>
      <c r="E51" s="86"/>
      <c r="F51" s="162" t="s">
        <v>71</v>
      </c>
      <c r="G51" s="149"/>
      <c r="H51" s="150"/>
      <c r="I51" s="147"/>
      <c r="J51" s="79"/>
      <c r="K51" s="112"/>
      <c r="L51" s="129" t="s">
        <v>26</v>
      </c>
      <c r="M51" s="116">
        <f>M48+M50+M49</f>
        <v>953</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4" t="s">
        <v>60</v>
      </c>
      <c r="M54" s="194"/>
      <c r="N54" s="57"/>
      <c r="O54" s="9"/>
    </row>
    <row r="55" spans="1:15" ht="18.75" x14ac:dyDescent="0.3">
      <c r="B55" s="7"/>
      <c r="C55" s="3"/>
      <c r="D55" s="140"/>
      <c r="E55" s="140"/>
      <c r="F55" s="140"/>
      <c r="G55" s="140"/>
      <c r="H55" s="140"/>
      <c r="I55" s="140"/>
      <c r="J55" s="140"/>
      <c r="K55" s="140"/>
      <c r="L55" s="194"/>
      <c r="M55" s="194"/>
      <c r="N55" s="57"/>
      <c r="O55" s="9"/>
    </row>
    <row r="56" spans="1:15" ht="30" x14ac:dyDescent="0.4">
      <c r="B56" s="7"/>
      <c r="C56" s="3"/>
      <c r="D56" s="3"/>
      <c r="E56" s="88"/>
      <c r="F56" s="187"/>
      <c r="G56" s="187"/>
      <c r="H56" s="187"/>
      <c r="I56" s="188"/>
      <c r="J56" s="81"/>
      <c r="K56" s="115"/>
      <c r="L56" s="123"/>
      <c r="M56" s="121"/>
      <c r="N56" s="57"/>
      <c r="O56" s="9"/>
    </row>
    <row r="57" spans="1:15" ht="27.75" x14ac:dyDescent="0.2">
      <c r="B57" s="7"/>
      <c r="C57" s="123"/>
      <c r="D57" s="167" t="s">
        <v>72</v>
      </c>
      <c r="E57" s="167"/>
      <c r="F57" s="167"/>
      <c r="G57" s="167"/>
      <c r="H57" s="167"/>
      <c r="I57" s="167"/>
      <c r="J57" s="77"/>
      <c r="K57" s="77"/>
      <c r="L57" s="121"/>
      <c r="M57" s="121"/>
      <c r="N57" s="57"/>
      <c r="O57" s="9"/>
    </row>
    <row r="58" spans="1:15" ht="27.75" x14ac:dyDescent="0.4">
      <c r="B58" s="7"/>
      <c r="C58" s="3"/>
      <c r="D58" s="164" t="s">
        <v>73</v>
      </c>
      <c r="E58" s="20"/>
      <c r="F58" s="192"/>
      <c r="G58" s="193"/>
      <c r="H58" s="193"/>
      <c r="I58" s="193"/>
      <c r="J58" s="77"/>
      <c r="K58" s="121"/>
      <c r="L58" s="121"/>
      <c r="M58" s="121"/>
      <c r="N58" s="57"/>
      <c r="O58" s="9"/>
    </row>
    <row r="59" spans="1:15" ht="27.75" x14ac:dyDescent="0.2">
      <c r="B59" s="7"/>
      <c r="C59" s="165" t="s">
        <v>25</v>
      </c>
      <c r="D59" s="163"/>
      <c r="E59" s="20"/>
      <c r="F59" s="126"/>
      <c r="G59" s="185"/>
      <c r="H59" s="186"/>
      <c r="I59" s="186"/>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84" t="s">
        <v>63</v>
      </c>
      <c r="D65" s="184"/>
      <c r="E65" s="184"/>
      <c r="F65" s="184"/>
      <c r="G65" s="184"/>
      <c r="H65" s="184"/>
      <c r="I65" s="184"/>
      <c r="J65" s="184"/>
      <c r="K65" s="184"/>
      <c r="L65" s="184"/>
      <c r="M65" s="184"/>
      <c r="N65" s="184"/>
      <c r="O65" s="145"/>
    </row>
    <row r="66" spans="1:15" x14ac:dyDescent="0.2">
      <c r="A66" s="3"/>
      <c r="B66" s="124"/>
      <c r="C66" s="184"/>
      <c r="D66" s="184"/>
      <c r="E66" s="184"/>
      <c r="F66" s="184"/>
      <c r="G66" s="184"/>
      <c r="H66" s="184"/>
      <c r="I66" s="184"/>
      <c r="J66" s="184"/>
      <c r="K66" s="184"/>
      <c r="L66" s="184"/>
      <c r="M66" s="184"/>
      <c r="N66" s="184"/>
      <c r="O66" s="144"/>
    </row>
    <row r="67" spans="1:15" x14ac:dyDescent="0.2">
      <c r="A67" s="3"/>
      <c r="B67" s="3"/>
      <c r="C67" s="184"/>
      <c r="D67" s="184"/>
      <c r="E67" s="184"/>
      <c r="F67" s="184"/>
      <c r="G67" s="184"/>
      <c r="H67" s="184"/>
      <c r="I67" s="184"/>
      <c r="J67" s="184"/>
      <c r="K67" s="184"/>
      <c r="L67" s="184"/>
      <c r="M67" s="184"/>
      <c r="N67" s="184"/>
      <c r="O67" s="144"/>
    </row>
    <row r="68" spans="1:15" ht="24.95" customHeight="1" x14ac:dyDescent="0.2">
      <c r="A68" s="123"/>
      <c r="B68" s="3"/>
      <c r="C68" s="184"/>
      <c r="D68" s="184"/>
      <c r="E68" s="184"/>
      <c r="F68" s="184"/>
      <c r="G68" s="184"/>
      <c r="H68" s="184"/>
      <c r="I68" s="184"/>
      <c r="J68" s="184"/>
      <c r="K68" s="184"/>
      <c r="L68" s="184"/>
      <c r="M68" s="184"/>
      <c r="N68" s="184"/>
      <c r="O68" s="144"/>
    </row>
    <row r="69" spans="1:15" ht="24.95" customHeight="1" x14ac:dyDescent="0.2">
      <c r="A69" s="124"/>
      <c r="B69" s="123"/>
      <c r="C69" s="184"/>
      <c r="D69" s="184"/>
      <c r="E69" s="184"/>
      <c r="F69" s="184"/>
      <c r="G69" s="184"/>
      <c r="H69" s="184"/>
      <c r="I69" s="184"/>
      <c r="J69" s="184"/>
      <c r="K69" s="184"/>
      <c r="L69" s="184"/>
      <c r="M69" s="184"/>
      <c r="N69" s="184"/>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L26:M26"/>
    <mergeCell ref="D18:H19"/>
    <mergeCell ref="K24:M24"/>
    <mergeCell ref="F31:K31"/>
    <mergeCell ref="F32:K32"/>
    <mergeCell ref="F44:K44"/>
    <mergeCell ref="F46:K46"/>
    <mergeCell ref="C65:N69"/>
    <mergeCell ref="G59:I59"/>
    <mergeCell ref="F56:I56"/>
    <mergeCell ref="F47:K47"/>
    <mergeCell ref="F58:I58"/>
    <mergeCell ref="L54:M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44943</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953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2023-01-17T14:15:38Z</cp:lastPrinted>
  <dcterms:created xsi:type="dcterms:W3CDTF">1995-05-29T15:50:39Z</dcterms:created>
  <dcterms:modified xsi:type="dcterms:W3CDTF">2023-01-17T15:25:19Z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953</vt:r8>
  </property>
</Properties>
</file>