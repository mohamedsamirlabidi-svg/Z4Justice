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5" i="3"/>
  <c r="M36" i="3"/>
  <c r="M43" i="3"/>
  <c r="M44" i="3" l="1"/>
  <c r="M46" i="3" s="1"/>
  <c r="M37" i="3"/>
  <c r="M41" i="3"/>
  <c r="M47" i="3" l="1"/>
  <c r="M40" i="3"/>
  <c r="M39" i="3" l="1"/>
  <c r="M38"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<sst xmlns="http://schemas.openxmlformats.org/spreadsheetml/2006/main" count="87" uniqueCount="79">
  <si>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</si>
  <si>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</si>
  <si>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</si>
  <si>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</si>
  <si>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</si>
  <si>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</si>
  <si>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</si>
  <si>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</si>
  <si>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</si>
  <si>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</si>
  <si>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</si>
  <si>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</si>
  <si>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</si>
  <si>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</si>
  <si>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</si>
  <si>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</si>
  <si>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</si>
  <si>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</si>
  <si>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</si>
  <si>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</si>
  <si>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</si>
  <si>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</si>
  <si>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</si>
  <si>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</si>
  <si>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</si>
  <si>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</si>
  <si>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</si>
  <si>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</si>
  <si>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</si>
  <si>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</si>
  <si>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</si>
  <si>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</si>
  <si>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</si>
  <si>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</si>
  <si>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</si>
  <si>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</si>
  <si>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</si>
  <si>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</si>
  <si>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</si>
  <si>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</si>
  <si>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</si>
  <si>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</si>
  <si>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</si>
  <si>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</si>
  <si>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</si>
  <si>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</si>
  <si>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</si>
  <si>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</si>
  <si>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</si>
  <si>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</si>
  <si>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</si>
  <si>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</si>
  <si>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</si>
  <si>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</si>
  <si>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</si>
  <si>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</si>
  <si>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</si>
  <si>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</si>
  <si>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</si>
  <si>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</si>
  <si>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</si>
  <si>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</si>
  <si>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</si>
  <si>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</si>
  <si>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</si>
  <si>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</si>
  <si>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</si>
  <si>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</si>
  <si>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</si>
  <si>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</si>
  <si>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</si>
  <si>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</si>
  <si>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</si>
  <si>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</si>
  <si>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</si>
  <si>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</si>
  <si>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</si>
  <si>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t xml:space="preserve">    COMMANDE N°:  FR-202384</t>
  </si>
  <si>
    <t>FACTURE  N°2023-045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</si>
</sst>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78</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2" t="s">
        <v>75</v>
      </c>
      <c r="F23" s="183"/>
      <c r="G23" s="183"/>
      <c r="H23" s="183"/>
      <c r="I23" s="183"/>
      <c r="J23" s="183"/>
      <c r="K23" s="122" t="s">
        <v>57</v>
      </c>
      <c r="L23" s="107">
        <v>45166</v>
      </c>
      <c r="M23" s="109"/>
      <c r="N23" s="55"/>
      <c r="O23" s="9"/>
    </row>
    <row r="24" spans="1:15" ht="27" x14ac:dyDescent="0.35">
      <c r="B24" s="7"/>
      <c r="C24" s="3"/>
      <c r="D24" s="125" t="s">
        <v>53</v>
      </c>
      <c r="E24" s="190" t="s">
        <v>67</v>
      </c>
      <c r="F24" s="190"/>
      <c r="G24" s="190"/>
      <c r="H24" s="191"/>
      <c r="I24" s="191"/>
      <c r="J24" s="191"/>
      <c r="K24" s="201" t="s">
        <v>77</v>
      </c>
      <c r="L24" s="201"/>
      <c r="M24" s="201"/>
      <c r="N24" s="56"/>
      <c r="O24" s="9"/>
    </row>
    <row r="25" spans="1:15" ht="27.75" x14ac:dyDescent="0.4">
      <c r="B25" s="7"/>
      <c r="C25" s="3"/>
      <c r="D25" s="125" t="s">
        <v>59</v>
      </c>
      <c r="E25" s="146">
        <v>2092</v>
      </c>
      <c r="F25" s="110" t="s">
        <v>51</v>
      </c>
      <c r="G25" s="184"/>
      <c r="H25" s="184"/>
      <c r="I25" s="117" t="s">
        <v>55</v>
      </c>
      <c r="J25" s="111" t="s">
        <v>56</v>
      </c>
      <c r="K25" s="122" t="s">
        <v>68</v>
      </c>
      <c r="L25" s="137"/>
      <c r="M25" s="138"/>
      <c r="N25" s="3"/>
      <c r="O25" s="9"/>
    </row>
    <row r="26" spans="1:15" ht="27.75" customHeight="1" x14ac:dyDescent="0.4">
      <c r="A26">
        <v>71</v>
      </c>
      <c r="B26" s="7"/>
      <c r="C26" s="3"/>
      <c r="D26" s="125" t="s">
        <v>54</v>
      </c>
      <c r="E26" s="188"/>
      <c r="F26" s="189"/>
      <c r="G26" s="189"/>
      <c r="H26" s="189"/>
      <c r="I26" s="189"/>
      <c r="J26" s="189"/>
      <c r="K26" s="122" t="s">
        <v>63</v>
      </c>
      <c r="L26" s="192" t="s">
        <v>76</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3</v>
      </c>
      <c r="F35" s="173" t="s">
        <v>69</v>
      </c>
      <c r="G35" s="174"/>
      <c r="H35" s="174"/>
      <c r="I35" s="174"/>
      <c r="J35" s="174"/>
      <c r="K35" s="175"/>
      <c r="L35" s="101">
        <v>200</v>
      </c>
      <c r="M35" s="102">
        <f t="shared" ref="M35:M43" si="0">IF(E35&lt;&gt;"",E35*L35,"")</f>
        <v>600</v>
      </c>
      <c r="N35" s="57"/>
      <c r="O35" s="9"/>
    </row>
    <row r="36" spans="2:15" ht="26.25" x14ac:dyDescent="0.4">
      <c r="B36" s="7"/>
      <c r="C36" s="3"/>
      <c r="D36" s="132"/>
      <c r="E36" s="100"/>
      <c r="F36" s="173" t="s">
        <v>71</v>
      </c>
      <c r="G36" s="174"/>
      <c r="H36" s="174"/>
      <c r="I36" s="174"/>
      <c r="J36" s="174"/>
      <c r="K36" s="175"/>
      <c r="L36" s="101"/>
      <c r="M36" s="102" t="str">
        <f t="shared" si="0"/>
        <v/>
      </c>
      <c r="N36" s="57"/>
      <c r="O36" s="9"/>
    </row>
    <row r="37" spans="2:15" ht="26.25" x14ac:dyDescent="0.4">
      <c r="B37" s="7"/>
      <c r="C37" s="3"/>
      <c r="D37" s="132"/>
      <c r="E37" s="100"/>
      <c r="F37" s="173"/>
      <c r="G37" s="174"/>
      <c r="H37" s="174"/>
      <c r="I37" s="174"/>
      <c r="J37" s="174"/>
      <c r="K37" s="175"/>
      <c r="L37" s="101"/>
      <c r="M37" s="102" t="str">
        <f t="shared" si="0"/>
        <v/>
      </c>
      <c r="N37" s="57"/>
      <c r="O37" s="9"/>
    </row>
    <row r="38" spans="2:15" ht="26.25" x14ac:dyDescent="0.4">
      <c r="B38" s="7"/>
      <c r="C38" s="3"/>
      <c r="D38" s="132"/>
      <c r="E38" s="100"/>
      <c r="F38" s="170"/>
      <c r="G38" s="171"/>
      <c r="H38" s="171"/>
      <c r="I38" s="171"/>
      <c r="J38" s="171"/>
      <c r="K38" s="172"/>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5"/>
      <c r="G43" s="196"/>
      <c r="H43" s="196"/>
      <c r="I43" s="196"/>
      <c r="J43" s="196"/>
      <c r="K43" s="197"/>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4" t="s">
        <v>72</v>
      </c>
      <c r="G47" s="152"/>
      <c r="H47" s="153"/>
      <c r="I47" s="147"/>
      <c r="J47" s="79"/>
      <c r="K47" s="112"/>
      <c r="L47" s="129" t="s">
        <v>26</v>
      </c>
      <c r="M47" s="116">
        <f>M44+M46+M45</f>
        <v>715</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9"/>
      <c r="G52" s="179"/>
      <c r="H52" s="179"/>
      <c r="I52" s="180"/>
      <c r="J52" s="81"/>
      <c r="K52" s="115"/>
      <c r="L52" s="123"/>
      <c r="M52" s="121"/>
      <c r="N52" s="57"/>
      <c r="O52" s="9"/>
    </row>
    <row r="53" spans="1:15" ht="27.75" x14ac:dyDescent="0.2">
      <c r="B53" s="7"/>
      <c r="C53" s="202" t="s">
        <v>73</v>
      </c>
      <c r="D53" s="202"/>
      <c r="E53" s="202"/>
      <c r="F53" s="202"/>
      <c r="G53" s="202"/>
      <c r="H53" s="202"/>
      <c r="I53" s="202"/>
      <c r="J53" s="77"/>
      <c r="K53" s="77"/>
      <c r="L53" s="121"/>
      <c r="M53" s="121"/>
      <c r="N53" s="57"/>
      <c r="O53" s="9"/>
    </row>
    <row r="54" spans="1:15" ht="27.75" x14ac:dyDescent="0.4">
      <c r="B54" s="7"/>
      <c r="C54" s="155" t="s">
        <v>74</v>
      </c>
      <c r="D54" s="3"/>
      <c r="E54" s="156"/>
      <c r="F54" s="198"/>
      <c r="G54" s="199"/>
      <c r="H54" s="199"/>
      <c r="I54" s="199"/>
      <c r="J54" s="77"/>
      <c r="K54" s="121"/>
      <c r="L54" s="121"/>
      <c r="M54" s="121"/>
      <c r="N54" s="57"/>
      <c r="O54" s="9"/>
    </row>
    <row r="55" spans="1:15" ht="18" x14ac:dyDescent="0.2">
      <c r="B55" s="7"/>
      <c r="C55" s="123"/>
      <c r="D55" s="3"/>
      <c r="E55" s="20"/>
      <c r="F55" s="126"/>
      <c r="G55" s="177"/>
      <c r="H55" s="178"/>
      <c r="I55" s="17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6" t="s">
        <v>64</v>
      </c>
      <c r="D61" s="176"/>
      <c r="E61" s="176"/>
      <c r="F61" s="176"/>
      <c r="G61" s="176"/>
      <c r="H61" s="176"/>
      <c r="I61" s="176"/>
      <c r="J61" s="176"/>
      <c r="K61" s="176"/>
      <c r="L61" s="176"/>
      <c r="M61" s="176"/>
      <c r="N61" s="176"/>
      <c r="O61" s="145"/>
    </row>
    <row r="62" spans="1:15" x14ac:dyDescent="0.2">
      <c r="A62" s="3"/>
      <c r="B62" s="3"/>
      <c r="C62" s="176"/>
      <c r="D62" s="176"/>
      <c r="E62" s="176"/>
      <c r="F62" s="176"/>
      <c r="G62" s="176"/>
      <c r="H62" s="176"/>
      <c r="I62" s="176"/>
      <c r="J62" s="176"/>
      <c r="K62" s="176"/>
      <c r="L62" s="176"/>
      <c r="M62" s="176"/>
      <c r="N62" s="176"/>
      <c r="O62" s="144"/>
    </row>
    <row r="63" spans="1:15" x14ac:dyDescent="0.2">
      <c r="A63" s="123"/>
      <c r="B63" s="123"/>
      <c r="C63" s="176"/>
      <c r="D63" s="176"/>
      <c r="E63" s="176"/>
      <c r="F63" s="176"/>
      <c r="G63" s="176"/>
      <c r="H63" s="176"/>
      <c r="I63" s="176"/>
      <c r="J63" s="176"/>
      <c r="K63" s="176"/>
      <c r="L63" s="176"/>
      <c r="M63" s="176"/>
      <c r="N63" s="176"/>
      <c r="O63" s="144"/>
    </row>
    <row r="64" spans="1:15" x14ac:dyDescent="0.2">
      <c r="A64" s="124"/>
      <c r="B64" s="124"/>
      <c r="C64" s="176"/>
      <c r="D64" s="176"/>
      <c r="E64" s="176"/>
      <c r="F64" s="176"/>
      <c r="G64" s="176"/>
      <c r="H64" s="176"/>
      <c r="I64" s="176"/>
      <c r="J64" s="176"/>
      <c r="K64" s="176"/>
      <c r="L64" s="176"/>
      <c r="M64" s="176"/>
      <c r="N64" s="176"/>
      <c r="O64" s="144"/>
    </row>
    <row r="65" spans="1:15" x14ac:dyDescent="0.2">
      <c r="A65" s="3"/>
      <c r="B65" s="3"/>
      <c r="C65" s="176"/>
      <c r="D65" s="176"/>
      <c r="E65" s="176"/>
      <c r="F65" s="176"/>
      <c r="G65" s="176"/>
      <c r="H65" s="176"/>
      <c r="I65" s="176"/>
      <c r="J65" s="176"/>
      <c r="K65" s="176"/>
      <c r="L65" s="176"/>
      <c r="M65" s="176"/>
      <c r="N65" s="17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45166</v>
      </c>
      <c r="D8" s="72" t="str">
        <f>Facture!$E$23</f>
        <v>NETWORK EXPERTISE TUNISIA</v>
      </c>
      <c r="E8" s="69" t="str">
        <f>Facture!$E$24</f>
        <v>AV MOSBAH JARBOU EL MANAR II</v>
      </c>
      <c r="F8" s="69">
        <f>Facture!$E$25</f>
        <v>2092</v>
      </c>
      <c r="G8" s="72">
        <f>Facture!$G$25</f>
        <v>0</v>
      </c>
      <c r="H8" s="72" t="str">
        <f>Facture!$J$25</f>
        <v>TN</v>
      </c>
      <c r="I8" s="69">
        <f>Facture!$E$26</f>
        <v>0</v>
      </c>
      <c r="J8" s="73">
        <f>Facture!$M$47</f>
        <v>715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2023-08-28T08:09:40Z</cp:lastPrinted>
  <dcterms:created xsi:type="dcterms:W3CDTF">1995-05-29T15:50:39Z</dcterms:created>
  <dcterms:modified xsi:type="dcterms:W3CDTF">2023-08-28T09:02:00Z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715</vt:r8>
  </property>
</Properties>
</file>