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5" i="3" s="1"/>
  <c r="K38" i="3"/>
  <c r="K41" i="3"/>
  <c r="K42" i="3"/>
  <c r="K44" i="3"/>
  <c r="K47" i="3" l="1"/>
  <c r="K48" i="3"/>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<sst xmlns="http://schemas.openxmlformats.org/spreadsheetml/2006/main" count="89" uniqueCount="81">
  <si>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</si>
  <si>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</si>
  <si>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</si>
  <si>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</si>
  <si>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</si>
  <si>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</si>
  <si>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</si>
  <si>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</si>
  <si>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</si>
  <si>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</si>
  <si>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</si>
  <si>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</si>
  <si>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</si>
  <si>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</si>
  <si>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</si>
  <si>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</si>
  <si>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</si>
  <si>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</si>
  <si>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</si>
  <si>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</si>
  <si>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</si>
  <si>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</si>
  <si>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</si>
  <si>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</si>
  <si>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</si>
  <si>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</si>
  <si>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</si>
  <si>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</si>
  <si>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</si>
  <si>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</si>
  <si>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</si>
  <si>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</si>
  <si>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</si>
  <si>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</si>
  <si>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</si>
  <si>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</si>
  <si>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</si>
  <si>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</si>
  <si>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</si>
  <si>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</si>
  <si>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</si>
  <si>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</si>
  <si>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</si>
  <si>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</si>
  <si>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</si>
  <si>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</si>
  <si>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</si>
  <si>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</si>
  <si>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</si>
  <si>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</si>
  <si>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</si>
  <si>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</si>
  <si>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</si>
  <si>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</si>
  <si>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</si>
  <si>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</si>
  <si>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</si>
  <si>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</si>
  <si>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</si>
  <si>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</si>
  <si>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</si>
  <si>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</si>
  <si>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</si>
  <si>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</si>
  <si>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</si>
  <si>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</si>
  <si>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</si>
  <si>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</si>
  <si>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</si>
  <si>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</si>
  <si>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</si>
  <si>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</si>
  <si>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</si>
  <si>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</si>
  <si>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</si>
  <si>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</si>
  <si>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</si>
  <si>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t>Facture   N°2023-013</t>
  </si>
  <si>
    <r>
      <t xml:space="preserve">     Date:   </t>
    </r>
    <r>
      <rPr>
        <b/>
        <sz val="22"/>
        <rFont val="Arial"/>
        <family val="2"/>
      </rPr>
      <t>13/03/2023</t>
    </r>
  </si>
  <si>
    <r>
      <t xml:space="preserve"> </t>
    </r>
    <r>
      <rPr>
        <b/>
        <sz val="18"/>
        <rFont val="Arial"/>
        <family val="2"/>
      </rPr>
      <t xml:space="preserve">   COMMANDE N°</t>
    </r>
    <r>
      <rPr>
        <b/>
        <sz val="20"/>
        <rFont val="Arial"/>
        <family val="2"/>
      </rPr>
      <t xml:space="preserve">: </t>
    </r>
    <r>
      <rPr>
        <b/>
        <sz val="18"/>
        <rFont val="Arial"/>
        <family val="2"/>
      </rPr>
      <t>10030/10029/10033/10045</t>
    </r>
  </si>
  <si>
    <t>ARRETE LA PRESENTE FACTURE LA SOMME DE : TROIS MILLE CINQ CENT SOIXANTE ET ONZE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</si>
</sst>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9" t="s">
        <v>77</v>
      </c>
      <c r="K15" s="179"/>
      <c r="L15" s="3"/>
      <c r="M15" s="9"/>
    </row>
    <row r="16" spans="1:13" x14ac:dyDescent="0.2">
      <c r="A16" s="3"/>
      <c r="B16" s="3"/>
      <c r="C16" s="3"/>
      <c r="D16" s="3"/>
      <c r="E16" s="3"/>
      <c r="F16" s="3"/>
      <c r="G16" s="3"/>
      <c r="H16" s="3"/>
      <c r="I16" s="102"/>
      <c r="J16" s="179"/>
      <c r="K16" s="179"/>
      <c r="L16" s="3"/>
      <c r="M16" s="9"/>
    </row>
    <row r="17" spans="1:13" ht="12.75" customHeight="1" x14ac:dyDescent="0.2">
      <c r="A17" s="3"/>
      <c r="B17" s="3"/>
      <c r="C17" s="3"/>
      <c r="D17" s="3"/>
      <c r="E17" s="3"/>
      <c r="F17" s="3"/>
      <c r="G17" s="3"/>
      <c r="H17" s="3"/>
      <c r="I17" s="102"/>
      <c r="J17" s="179"/>
      <c r="K17" s="179"/>
      <c r="L17" s="3"/>
      <c r="M17" s="9"/>
    </row>
    <row r="18" spans="1:13" ht="12.75" customHeight="1" x14ac:dyDescent="0.2">
      <c r="A18" s="3"/>
      <c r="B18" s="191"/>
      <c r="C18" s="191"/>
      <c r="D18" s="191"/>
      <c r="E18" s="191"/>
      <c r="F18" s="191"/>
      <c r="G18" s="3"/>
      <c r="H18" s="3"/>
      <c r="I18" s="102"/>
      <c r="J18" s="179"/>
      <c r="K18" s="179"/>
      <c r="L18" s="3"/>
      <c r="M18" s="9"/>
    </row>
    <row r="19" spans="1:13" ht="20.100000000000001" customHeight="1" thickBot="1" x14ac:dyDescent="0.25">
      <c r="A19" s="3"/>
      <c r="B19" s="192"/>
      <c r="C19" s="192"/>
      <c r="D19" s="192"/>
      <c r="E19" s="192"/>
      <c r="F19" s="192"/>
      <c r="G19" s="3"/>
      <c r="H19" s="3"/>
      <c r="I19" s="102"/>
      <c r="J19" s="179"/>
      <c r="K19" s="179"/>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0" t="s">
        <v>66</v>
      </c>
      <c r="D23" s="181"/>
      <c r="E23" s="181"/>
      <c r="F23" s="181"/>
      <c r="G23" s="181"/>
      <c r="H23" s="181"/>
      <c r="I23" s="119" t="s">
        <v>78</v>
      </c>
      <c r="J23" s="104"/>
      <c r="K23" s="106"/>
      <c r="L23" s="55"/>
      <c r="M23" s="9"/>
    </row>
    <row r="24" spans="1:13" ht="26.25" x14ac:dyDescent="0.4">
      <c r="A24" s="3"/>
      <c r="B24" s="122" t="s">
        <v>53</v>
      </c>
      <c r="C24" s="188" t="s">
        <v>67</v>
      </c>
      <c r="D24" s="188"/>
      <c r="E24" s="188"/>
      <c r="F24" s="189"/>
      <c r="G24" s="189"/>
      <c r="H24" s="189"/>
      <c r="I24" s="166" t="s">
        <v>79</v>
      </c>
      <c r="J24" s="166"/>
      <c r="K24" s="166"/>
      <c r="L24" s="56"/>
      <c r="M24" s="9"/>
    </row>
    <row r="25" spans="1:13" ht="27.75" x14ac:dyDescent="0.4">
      <c r="A25" s="3"/>
      <c r="B25" s="122" t="s">
        <v>57</v>
      </c>
      <c r="C25" s="139">
        <v>1053</v>
      </c>
      <c r="D25" s="107" t="s">
        <v>51</v>
      </c>
      <c r="E25" s="182"/>
      <c r="F25" s="182"/>
      <c r="G25" s="114" t="s">
        <v>55</v>
      </c>
      <c r="H25" s="108" t="s">
        <v>56</v>
      </c>
      <c r="I25" s="119" t="s">
        <v>70</v>
      </c>
      <c r="J25" s="130"/>
      <c r="K25" s="131"/>
      <c r="L25" s="3"/>
      <c r="M25" s="9"/>
    </row>
    <row r="26" spans="1:13" ht="27.75" customHeight="1" x14ac:dyDescent="0.4">
      <c r="A26" s="3"/>
      <c r="B26" s="122" t="s">
        <v>54</v>
      </c>
      <c r="C26" s="186">
        <v>58316886</v>
      </c>
      <c r="D26" s="187"/>
      <c r="E26" s="187"/>
      <c r="F26" s="187"/>
      <c r="G26" s="187"/>
      <c r="H26" s="187"/>
      <c r="I26" s="119" t="s">
        <v>60</v>
      </c>
      <c r="J26" s="190" t="s">
        <v>65</v>
      </c>
      <c r="K26" s="190"/>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64</v>
      </c>
      <c r="D30" s="183" t="s">
        <v>21</v>
      </c>
      <c r="E30" s="184"/>
      <c r="F30" s="184"/>
      <c r="G30" s="184"/>
      <c r="H30" s="184"/>
      <c r="I30" s="185"/>
      <c r="J30" s="95" t="s">
        <v>22</v>
      </c>
      <c r="K30" s="96" t="s">
        <v>23</v>
      </c>
      <c r="L30" s="57"/>
      <c r="M30" s="9"/>
    </row>
    <row r="31" spans="1:13" ht="18.75" x14ac:dyDescent="0.3">
      <c r="A31" s="3"/>
      <c r="B31" s="67"/>
      <c r="C31" s="53"/>
      <c r="D31" s="167"/>
      <c r="E31" s="168"/>
      <c r="F31" s="168"/>
      <c r="G31" s="168"/>
      <c r="H31" s="168"/>
      <c r="I31" s="169"/>
      <c r="J31" s="93"/>
      <c r="K31" s="94" t="str">
        <f>IF(C31&lt;&gt;"",C31*J31,"")</f>
        <v/>
      </c>
      <c r="L31" s="57"/>
      <c r="M31" s="9"/>
    </row>
    <row r="32" spans="1:13" ht="25.5" x14ac:dyDescent="0.35">
      <c r="A32" s="3"/>
      <c r="B32" s="148"/>
      <c r="C32" s="97"/>
      <c r="D32" s="173" t="s">
        <v>69</v>
      </c>
      <c r="E32" s="174"/>
      <c r="F32" s="174"/>
      <c r="G32" s="174"/>
      <c r="H32" s="174"/>
      <c r="I32" s="175"/>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98"/>
      <c r="E34" s="199"/>
      <c r="F34" s="199"/>
      <c r="G34" s="199"/>
      <c r="H34" s="199"/>
      <c r="I34" s="200"/>
      <c r="J34" s="98"/>
      <c r="K34" s="98"/>
      <c r="L34" s="57"/>
      <c r="M34" s="9"/>
    </row>
    <row r="35" spans="1:13" ht="25.5" x14ac:dyDescent="0.35">
      <c r="A35" s="3"/>
      <c r="B35" s="145"/>
      <c r="C35" s="97"/>
      <c r="D35" s="201"/>
      <c r="E35" s="202"/>
      <c r="F35" s="202"/>
      <c r="G35" s="202"/>
      <c r="H35" s="202"/>
      <c r="I35" s="203"/>
      <c r="J35" s="98"/>
      <c r="K35" s="98"/>
      <c r="L35" s="57"/>
      <c r="M35" s="9"/>
    </row>
    <row r="36" spans="1:13" ht="26.25" x14ac:dyDescent="0.4">
      <c r="A36" s="3"/>
      <c r="B36" s="129" t="s">
        <v>74</v>
      </c>
      <c r="C36" s="97">
        <v>4</v>
      </c>
      <c r="D36" s="153" t="s">
        <v>73</v>
      </c>
      <c r="E36" s="154"/>
      <c r="F36" s="154"/>
      <c r="G36" s="154"/>
      <c r="H36" s="154"/>
      <c r="I36" s="155"/>
      <c r="J36" s="98">
        <v>200</v>
      </c>
      <c r="K36" s="98">
        <f t="shared" ref="K36:K38" si="0">J36*C36</f>
        <v>800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t="s">
        <v>76</v>
      </c>
      <c r="C38" s="97">
        <v>11</v>
      </c>
      <c r="D38" s="198" t="s">
        <v>75</v>
      </c>
      <c r="E38" s="199"/>
      <c r="F38" s="199"/>
      <c r="G38" s="199"/>
      <c r="H38" s="199"/>
      <c r="I38" s="200"/>
      <c r="J38" s="98">
        <v>200</v>
      </c>
      <c r="K38" s="98">
        <f t="shared" si="0"/>
        <v>2200</v>
      </c>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70"/>
      <c r="E40" s="171"/>
      <c r="F40" s="171"/>
      <c r="G40" s="171"/>
      <c r="H40" s="171"/>
      <c r="I40" s="172"/>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70"/>
      <c r="E42" s="171"/>
      <c r="F42" s="171"/>
      <c r="G42" s="171"/>
      <c r="H42" s="171"/>
      <c r="I42" s="172"/>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3"/>
      <c r="E44" s="194"/>
      <c r="F44" s="194"/>
      <c r="G44" s="194"/>
      <c r="H44" s="194"/>
      <c r="I44" s="195"/>
      <c r="J44" s="68"/>
      <c r="K44" s="99" t="str">
        <f t="shared" si="1"/>
        <v/>
      </c>
      <c r="L44" s="57"/>
      <c r="M44" s="9"/>
    </row>
    <row r="45" spans="1:13" ht="30" x14ac:dyDescent="0.4">
      <c r="A45" s="3"/>
      <c r="B45" s="115"/>
      <c r="C45" s="83"/>
      <c r="D45" s="83"/>
      <c r="E45" s="83"/>
      <c r="F45" s="83"/>
      <c r="G45" s="83"/>
      <c r="H45" s="77"/>
      <c r="I45" s="109"/>
      <c r="J45" s="127" t="s">
        <v>24</v>
      </c>
      <c r="K45" s="113">
        <f>SUM(K31:K44)</f>
        <v>3000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6" t="s">
        <v>68</v>
      </c>
      <c r="E47" s="83"/>
      <c r="F47" s="83"/>
      <c r="G47" s="83"/>
      <c r="H47" s="78"/>
      <c r="I47" s="110"/>
      <c r="J47" s="125" t="s">
        <v>58</v>
      </c>
      <c r="K47" s="116">
        <f>K45*0.19</f>
        <v>570</v>
      </c>
      <c r="L47" s="57"/>
      <c r="M47" s="9"/>
    </row>
    <row r="48" spans="1:13" ht="30" x14ac:dyDescent="0.4">
      <c r="A48" s="3"/>
      <c r="B48" s="3"/>
      <c r="C48" s="86"/>
      <c r="D48" s="105" t="s">
        <v>63</v>
      </c>
      <c r="E48" s="137"/>
      <c r="F48" s="140"/>
      <c r="G48" s="140"/>
      <c r="H48" s="79"/>
      <c r="I48" s="109"/>
      <c r="J48" s="126" t="s">
        <v>26</v>
      </c>
      <c r="K48" s="113">
        <f>SUM(K45:K47)</f>
        <v>3571</v>
      </c>
      <c r="L48" s="57"/>
      <c r="M48" s="9"/>
    </row>
    <row r="49" spans="1:13" ht="30" x14ac:dyDescent="0.4">
      <c r="A49" s="3"/>
      <c r="B49" s="3"/>
      <c r="C49" s="86"/>
      <c r="D49" s="105"/>
      <c r="E49" s="89"/>
      <c r="F49" s="86"/>
      <c r="G49" s="83"/>
      <c r="H49" s="79"/>
      <c r="I49" s="109"/>
      <c r="J49" s="111"/>
      <c r="K49" s="135"/>
      <c r="L49" s="57"/>
      <c r="M49" s="9"/>
    </row>
    <row r="50" spans="1:13" ht="30" x14ac:dyDescent="0.4">
      <c r="A50" s="133" t="s">
        <v>80</v>
      </c>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5" t="s">
        <v>59</v>
      </c>
      <c r="K51" s="165"/>
      <c r="L51" s="57"/>
      <c r="M51" s="9"/>
    </row>
    <row r="52" spans="1:13" ht="18.75" x14ac:dyDescent="0.3">
      <c r="A52" s="3"/>
      <c r="B52" s="133"/>
      <c r="C52" s="133"/>
      <c r="D52" s="133"/>
      <c r="E52" s="133"/>
      <c r="F52" s="133"/>
      <c r="G52" s="133"/>
      <c r="H52" s="133"/>
      <c r="I52" s="133"/>
      <c r="J52" s="165"/>
      <c r="K52" s="165"/>
      <c r="L52" s="57"/>
      <c r="M52" s="9"/>
    </row>
    <row r="53" spans="1:13" ht="30" x14ac:dyDescent="0.4">
      <c r="A53" s="164" t="s">
        <v>71</v>
      </c>
      <c r="B53" s="164"/>
      <c r="C53" s="164"/>
      <c r="D53" s="164"/>
      <c r="E53" s="164"/>
      <c r="F53" s="164"/>
      <c r="G53" s="164"/>
      <c r="H53" s="81"/>
      <c r="I53" s="112"/>
      <c r="J53" s="120"/>
      <c r="K53" s="118"/>
      <c r="L53" s="57"/>
      <c r="M53" s="9"/>
    </row>
    <row r="54" spans="1:13" ht="27.75" x14ac:dyDescent="0.4">
      <c r="A54" s="151" t="s">
        <v>72</v>
      </c>
      <c r="B54" s="3"/>
      <c r="C54" s="88"/>
      <c r="D54" s="196"/>
      <c r="E54" s="197"/>
      <c r="F54" s="197"/>
      <c r="G54" s="197"/>
      <c r="H54" s="77"/>
      <c r="I54" s="77"/>
      <c r="J54" s="118"/>
      <c r="K54" s="118"/>
      <c r="L54" s="57"/>
      <c r="M54" s="9"/>
    </row>
    <row r="55" spans="1:13" ht="18" x14ac:dyDescent="0.2">
      <c r="A55" s="3"/>
      <c r="B55" s="3"/>
      <c r="C55" s="20"/>
      <c r="D55" s="204"/>
      <c r="E55" s="205"/>
      <c r="F55" s="205"/>
      <c r="G55" s="205"/>
      <c r="H55" s="77"/>
      <c r="I55" s="118"/>
      <c r="J55" s="118"/>
      <c r="K55" s="118"/>
      <c r="L55" s="57"/>
      <c r="M55" s="9"/>
    </row>
    <row r="56" spans="1:13" ht="18" x14ac:dyDescent="0.2">
      <c r="A56" s="120"/>
      <c r="B56" s="3"/>
      <c r="C56" s="20"/>
      <c r="D56" s="123"/>
      <c r="E56" s="177"/>
      <c r="F56" s="178"/>
      <c r="G56" s="178"/>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6" t="s">
        <v>61</v>
      </c>
      <c r="B62" s="176"/>
      <c r="C62" s="176"/>
      <c r="D62" s="176"/>
      <c r="E62" s="176"/>
      <c r="F62" s="176"/>
      <c r="G62" s="176"/>
      <c r="H62" s="176"/>
      <c r="I62" s="176"/>
      <c r="J62" s="176"/>
      <c r="K62" s="176"/>
      <c r="L62" s="176"/>
      <c r="M62" s="138"/>
    </row>
    <row r="63" spans="1:13" ht="12.75" customHeight="1" x14ac:dyDescent="0.2">
      <c r="A63" s="176"/>
      <c r="B63" s="176"/>
      <c r="C63" s="176"/>
      <c r="D63" s="176"/>
      <c r="E63" s="176"/>
      <c r="F63" s="176"/>
      <c r="G63" s="176"/>
      <c r="H63" s="176"/>
      <c r="I63" s="176"/>
      <c r="J63" s="176"/>
      <c r="K63" s="176"/>
      <c r="L63" s="176"/>
      <c r="M63" s="136"/>
    </row>
    <row r="64" spans="1:13" ht="12.75" customHeight="1" x14ac:dyDescent="0.2">
      <c r="A64" s="176"/>
      <c r="B64" s="176"/>
      <c r="C64" s="176"/>
      <c r="D64" s="176"/>
      <c r="E64" s="176"/>
      <c r="F64" s="176"/>
      <c r="G64" s="176"/>
      <c r="H64" s="176"/>
      <c r="I64" s="176"/>
      <c r="J64" s="176"/>
      <c r="K64" s="176"/>
      <c r="L64" s="176"/>
      <c r="M64" s="136"/>
    </row>
    <row r="65" spans="1:13" ht="12.75" customHeight="1" x14ac:dyDescent="0.2">
      <c r="A65" s="176"/>
      <c r="B65" s="176"/>
      <c r="C65" s="176"/>
      <c r="D65" s="176"/>
      <c r="E65" s="176"/>
      <c r="F65" s="176"/>
      <c r="G65" s="176"/>
      <c r="H65" s="176"/>
      <c r="I65" s="176"/>
      <c r="J65" s="176"/>
      <c r="K65" s="176"/>
      <c r="L65" s="176"/>
      <c r="M65" s="136"/>
    </row>
    <row r="66" spans="1:13" ht="12.75" customHeight="1" x14ac:dyDescent="0.2">
      <c r="A66" s="176"/>
      <c r="B66" s="176"/>
      <c r="C66" s="176"/>
      <c r="D66" s="176"/>
      <c r="E66" s="176"/>
      <c r="F66" s="176"/>
      <c r="G66" s="176"/>
      <c r="H66" s="176"/>
      <c r="I66" s="176"/>
      <c r="J66" s="176"/>
      <c r="K66" s="176"/>
      <c r="L66" s="176"/>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3571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2023-03-13T11:01:55Z</cp:lastPrinted>
  <dcterms:created xsi:type="dcterms:W3CDTF">1995-05-29T15:50:39Z</dcterms:created>
  <dcterms:modified xsi:type="dcterms:W3CDTF">2023-03-13T11:17:00Z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3571</vt:r8>
  </property>
</Properties>
</file>