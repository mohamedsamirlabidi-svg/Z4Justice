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<sst xmlns="http://schemas.openxmlformats.org/spreadsheetml/2006/main" count="85" uniqueCount="71">
  <si>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</si>
  <si>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</si>
  <si>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</si>
  <si>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</si>
  <si>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</si>
  <si>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</si>
  <si>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</si>
  <si>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</si>
  <si>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</si>
  <si>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</si>
  <si>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</si>
  <si>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</si>
  <si>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</si>
  <si>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</si>
  <si>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</si>
  <si>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</si>
  <si>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</si>
  <si>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</si>
  <si>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</si>
  <si>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</si>
  <si>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</si>
  <si>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</si>
  <si>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</si>
  <si>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</si>
  <si>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</si>
  <si>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</si>
  <si>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</si>
  <si>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</si>
  <si>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</si>
  <si>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</si>
  <si>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</si>
  <si>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</si>
  <si>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</si>
  <si>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</si>
  <si>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</si>
  <si>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</si>
  <si>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</si>
  <si>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</si>
  <si>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</si>
  <si>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</si>
  <si>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</si>
  <si>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</si>
  <si>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</si>
  <si>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</si>
  <si>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</si>
  <si>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</si>
  <si>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</si>
  <si>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</si>
  <si>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</si>
  <si>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</si>
  <si>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</si>
  <si>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</si>
  <si>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</si>
  <si>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</si>
  <si>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</si>
  <si>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</si>
  <si>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</si>
  <si>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LE THEME :</t>
  </si>
  <si>
    <t xml:space="preserve">FORMATION THEORIQUE ET PRATIQUE SUR  </t>
  </si>
  <si>
    <t xml:space="preserve">TRAVAIL EN HAUTEUR </t>
  </si>
  <si>
    <t>Réf Commande:00569</t>
  </si>
  <si>
    <t xml:space="preserve">Mme Sonia </t>
  </si>
  <si>
    <t>MF:753912V/A/M/000</t>
  </si>
  <si>
    <t>S.O.N.E.M</t>
  </si>
  <si>
    <t xml:space="preserve">ZI MGHIRA2 FOUCHANA BEN AROUS </t>
  </si>
  <si>
    <t xml:space="preserve">BEN AROUS </t>
  </si>
  <si>
    <t xml:space="preserve">  79 408 900         Fax: 79 408 800               </t>
  </si>
  <si>
    <t xml:space="preserve">Comptant </t>
  </si>
  <si>
    <t xml:space="preserve">ARRETE LA PRESENTE FACTURE A LA SOMME DE TROIS MILLE DEUX CENT TREIZE  DINARS ET 600 MILLIMES </t>
  </si>
  <si>
    <t>Facture N°2018037</t>
  </si>
  <si>
    <t>Date:19/12/2018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</si>
</sst>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0" fontId="18" fillId="3" borderId="0" xfId="0" applyFont="1" applyFill="1" applyBorder="1" applyAlignment="1">
      <alignment vertical="center"/>
    </xf>
    <xf numFmtId="0" fontId="2"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8" zoomScale="95" workbookViewId="0">
      <selection activeCell="K36" sqref="K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69</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0" t="s">
        <v>63</v>
      </c>
      <c r="F19" s="181"/>
      <c r="G19" s="181"/>
      <c r="H19" s="181"/>
      <c r="I19" s="181"/>
      <c r="J19" s="181"/>
      <c r="K19" s="109"/>
      <c r="L19" s="174" t="s">
        <v>70</v>
      </c>
      <c r="M19" s="175"/>
      <c r="N19" s="58"/>
      <c r="O19" s="9"/>
    </row>
    <row r="20" spans="2:15" ht="15" x14ac:dyDescent="0.2">
      <c r="B20" s="7"/>
      <c r="C20" s="3"/>
      <c r="D20" s="92" t="s">
        <v>5</v>
      </c>
      <c r="E20" s="204" t="s">
        <v>64</v>
      </c>
      <c r="F20" s="204"/>
      <c r="G20" s="204"/>
      <c r="H20" s="204"/>
      <c r="I20" s="204"/>
      <c r="J20" s="204"/>
      <c r="K20" s="204"/>
      <c r="L20" s="184" t="s">
        <v>60</v>
      </c>
      <c r="M20" s="185"/>
      <c r="N20" s="59"/>
      <c r="O20" s="9"/>
    </row>
    <row r="21" spans="2:15" x14ac:dyDescent="0.2">
      <c r="B21" s="7"/>
      <c r="C21" s="3"/>
      <c r="D21" s="92" t="s">
        <v>7</v>
      </c>
      <c r="E21" s="100">
        <v>2082</v>
      </c>
      <c r="F21" s="101" t="s">
        <v>8</v>
      </c>
      <c r="G21" s="178" t="s">
        <v>65</v>
      </c>
      <c r="H21" s="179"/>
      <c r="I21" s="102" t="s">
        <v>9</v>
      </c>
      <c r="J21" s="99" t="s">
        <v>51</v>
      </c>
      <c r="K21" s="92"/>
      <c r="L21" s="134" t="s">
        <v>55</v>
      </c>
      <c r="M21" s="134" t="s">
        <v>61</v>
      </c>
      <c r="N21" s="134"/>
      <c r="O21" s="9"/>
    </row>
    <row r="22" spans="2:15" x14ac:dyDescent="0.2">
      <c r="B22" s="7"/>
      <c r="C22" s="3"/>
      <c r="D22" s="92" t="s">
        <v>20</v>
      </c>
      <c r="E22" s="182" t="s">
        <v>66</v>
      </c>
      <c r="F22" s="183"/>
      <c r="G22" s="183"/>
      <c r="H22" s="183"/>
      <c r="I22" s="183"/>
      <c r="J22" s="183"/>
      <c r="K22" s="92"/>
      <c r="L22" s="176" t="s">
        <v>62</v>
      </c>
      <c r="M22" s="17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6" t="s">
        <v>22</v>
      </c>
      <c r="G24" s="187"/>
      <c r="H24" s="187"/>
      <c r="I24" s="187"/>
      <c r="J24" s="187"/>
      <c r="K24" s="188"/>
      <c r="L24" s="53" t="s">
        <v>23</v>
      </c>
      <c r="M24" s="54" t="s">
        <v>24</v>
      </c>
      <c r="N24" s="60"/>
      <c r="O24" s="9"/>
    </row>
    <row r="25" spans="2:15" x14ac:dyDescent="0.2">
      <c r="B25" s="7"/>
      <c r="C25" s="3"/>
      <c r="D25" s="70"/>
      <c r="E25" s="55"/>
      <c r="F25" s="189"/>
      <c r="G25" s="190"/>
      <c r="H25" s="190"/>
      <c r="I25" s="190"/>
      <c r="J25" s="190"/>
      <c r="K25" s="191"/>
      <c r="L25" s="79"/>
      <c r="M25" s="111" t="str">
        <f t="shared" ref="M25:M32" si="0">IF(E25&lt;&gt;"",E25*L25,"")</f>
        <v/>
      </c>
      <c r="N25" s="60"/>
      <c r="O25" s="9"/>
    </row>
    <row r="26" spans="2:15" ht="15" x14ac:dyDescent="0.2">
      <c r="B26" s="7"/>
      <c r="C26" s="3"/>
      <c r="D26" s="149" t="s">
        <v>56</v>
      </c>
      <c r="E26" s="82">
        <v>10</v>
      </c>
      <c r="F26" s="192" t="s">
        <v>58</v>
      </c>
      <c r="G26" s="193"/>
      <c r="H26" s="193"/>
      <c r="I26" s="193"/>
      <c r="J26" s="193"/>
      <c r="K26" s="194"/>
      <c r="L26" s="83">
        <v>270</v>
      </c>
      <c r="M26" s="112">
        <f t="shared" si="0"/>
        <v>2700</v>
      </c>
      <c r="N26" s="60"/>
      <c r="O26" s="9"/>
    </row>
    <row r="27" spans="2:15" ht="15" x14ac:dyDescent="0.2">
      <c r="B27" s="7"/>
      <c r="C27" s="3"/>
      <c r="D27" s="70"/>
      <c r="E27" s="82"/>
      <c r="F27" s="192" t="s">
        <v>57</v>
      </c>
      <c r="G27" s="193"/>
      <c r="H27" s="193"/>
      <c r="I27" s="193"/>
      <c r="J27" s="193"/>
      <c r="K27" s="194"/>
      <c r="L27" s="83"/>
      <c r="M27" s="112" t="str">
        <f t="shared" si="0"/>
        <v/>
      </c>
      <c r="N27" s="60"/>
      <c r="O27" s="9"/>
    </row>
    <row r="28" spans="2:15" ht="25.5" x14ac:dyDescent="0.35">
      <c r="B28" s="7"/>
      <c r="C28" s="3"/>
      <c r="D28" s="110"/>
      <c r="E28" s="82"/>
      <c r="F28" s="192" t="s">
        <v>59</v>
      </c>
      <c r="G28" s="202"/>
      <c r="H28" s="202"/>
      <c r="I28" s="202"/>
      <c r="J28" s="202"/>
      <c r="K28" s="203"/>
      <c r="L28" s="83"/>
      <c r="M28" s="112" t="str">
        <f t="shared" si="0"/>
        <v/>
      </c>
      <c r="N28" s="60"/>
      <c r="O28" s="9"/>
    </row>
    <row r="29" spans="2:15" ht="15.75" x14ac:dyDescent="0.25">
      <c r="B29" s="7"/>
      <c r="C29" s="3"/>
      <c r="D29" s="70"/>
      <c r="E29" s="82"/>
      <c r="F29" s="150"/>
      <c r="G29" s="151"/>
      <c r="H29" s="151"/>
      <c r="I29" s="151"/>
      <c r="J29" s="151"/>
      <c r="K29" s="152"/>
      <c r="L29" s="153"/>
      <c r="M29" s="112" t="str">
        <f t="shared" si="0"/>
        <v/>
      </c>
      <c r="N29" s="60"/>
      <c r="O29" s="9"/>
    </row>
    <row r="30" spans="2:15" ht="15" x14ac:dyDescent="0.2">
      <c r="B30" s="7"/>
      <c r="C30" s="3"/>
      <c r="D30" s="70"/>
      <c r="E30" s="56"/>
      <c r="F30" s="199"/>
      <c r="G30" s="200"/>
      <c r="H30" s="200"/>
      <c r="I30" s="200"/>
      <c r="J30" s="200"/>
      <c r="K30" s="201"/>
      <c r="L30" s="83"/>
      <c r="M30" s="112" t="str">
        <f t="shared" si="0"/>
        <v/>
      </c>
      <c r="N30" s="60"/>
      <c r="O30" s="9"/>
    </row>
    <row r="31" spans="2:15" ht="15.75" x14ac:dyDescent="0.25">
      <c r="B31" s="7"/>
      <c r="C31" s="3"/>
      <c r="D31" s="70"/>
      <c r="E31" s="56"/>
      <c r="F31" s="168"/>
      <c r="G31" s="169"/>
      <c r="H31" s="169"/>
      <c r="I31" s="169"/>
      <c r="J31" s="169"/>
      <c r="K31" s="170"/>
      <c r="L31" s="83"/>
      <c r="M31" s="112" t="str">
        <f t="shared" si="0"/>
        <v/>
      </c>
      <c r="N31" s="60"/>
      <c r="O31" s="9"/>
    </row>
    <row r="32" spans="2:15" ht="15.75" x14ac:dyDescent="0.25">
      <c r="B32" s="7"/>
      <c r="C32" s="3"/>
      <c r="D32" s="70"/>
      <c r="E32" s="56"/>
      <c r="F32" s="171"/>
      <c r="G32" s="172"/>
      <c r="H32" s="172"/>
      <c r="I32" s="172"/>
      <c r="J32" s="172"/>
      <c r="K32" s="173"/>
      <c r="L32" s="83"/>
      <c r="M32" s="112" t="str">
        <f t="shared" si="0"/>
        <v/>
      </c>
      <c r="N32" s="60"/>
      <c r="O32" s="9"/>
    </row>
    <row r="33" spans="2:15" ht="15.75" x14ac:dyDescent="0.25">
      <c r="B33" s="7"/>
      <c r="C33" s="3"/>
      <c r="D33" s="70"/>
      <c r="E33" s="56"/>
      <c r="F33" s="171"/>
      <c r="G33" s="172"/>
      <c r="H33" s="172"/>
      <c r="I33" s="172"/>
      <c r="J33" s="172"/>
      <c r="K33" s="173"/>
      <c r="L33" s="83"/>
      <c r="M33" s="112"/>
      <c r="N33" s="60"/>
      <c r="O33" s="9"/>
    </row>
    <row r="34" spans="2:15" ht="15.75" x14ac:dyDescent="0.25">
      <c r="B34" s="7"/>
      <c r="C34" s="3"/>
      <c r="D34" s="70"/>
      <c r="E34" s="56"/>
      <c r="F34" s="171"/>
      <c r="G34" s="172"/>
      <c r="H34" s="172"/>
      <c r="I34" s="172"/>
      <c r="J34" s="172"/>
      <c r="K34" s="173"/>
      <c r="L34" s="83"/>
      <c r="M34" s="112"/>
      <c r="N34" s="60"/>
      <c r="O34" s="9"/>
    </row>
    <row r="35" spans="2:15" ht="15.75" x14ac:dyDescent="0.25">
      <c r="B35" s="7"/>
      <c r="C35" s="3"/>
      <c r="D35" s="70"/>
      <c r="E35" s="56"/>
      <c r="F35" s="168"/>
      <c r="G35" s="169"/>
      <c r="H35" s="169"/>
      <c r="I35" s="169"/>
      <c r="J35" s="169"/>
      <c r="K35" s="170"/>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68"/>
      <c r="G37" s="169"/>
      <c r="H37" s="169"/>
      <c r="I37" s="169"/>
      <c r="J37" s="169"/>
      <c r="K37" s="170"/>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71"/>
      <c r="G41" s="172"/>
      <c r="H41" s="172"/>
      <c r="I41" s="172"/>
      <c r="J41" s="172"/>
      <c r="K41" s="173"/>
      <c r="L41" s="83"/>
      <c r="M41" s="112"/>
      <c r="N41" s="60"/>
      <c r="O41" s="9"/>
    </row>
    <row r="42" spans="2:15" ht="15.75" x14ac:dyDescent="0.25">
      <c r="B42" s="7"/>
      <c r="C42" s="3"/>
      <c r="D42" s="70"/>
      <c r="E42" s="56"/>
      <c r="F42" s="171"/>
      <c r="G42" s="172"/>
      <c r="H42" s="172"/>
      <c r="I42" s="172"/>
      <c r="J42" s="172"/>
      <c r="K42" s="173"/>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2700</v>
      </c>
      <c r="N45" s="60"/>
      <c r="O45" s="9"/>
    </row>
    <row r="46" spans="2:15" ht="15" x14ac:dyDescent="0.2">
      <c r="B46" s="7"/>
      <c r="C46" s="3"/>
      <c r="D46" s="3"/>
      <c r="E46" s="92"/>
      <c r="F46" s="145"/>
      <c r="G46" s="145"/>
      <c r="H46" s="145"/>
      <c r="I46" s="145"/>
      <c r="J46" s="145"/>
      <c r="K46" s="145"/>
      <c r="L46" s="124">
        <v>0.19</v>
      </c>
      <c r="M46" s="125">
        <f>M45*0.19</f>
        <v>513</v>
      </c>
      <c r="N46" s="60"/>
      <c r="O46" s="9"/>
    </row>
    <row r="47" spans="2:15" ht="15" x14ac:dyDescent="0.2">
      <c r="B47" s="7"/>
      <c r="C47" s="3"/>
      <c r="D47" s="3"/>
      <c r="E47" s="94"/>
      <c r="F47" s="205" t="s">
        <v>67</v>
      </c>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3213.6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63" t="s">
        <v>68</v>
      </c>
      <c r="E50" s="164"/>
      <c r="F50" s="164"/>
      <c r="G50" s="164"/>
      <c r="H50" s="164"/>
      <c r="I50" s="164"/>
      <c r="J50" s="164"/>
      <c r="K50" s="16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5"/>
      <c r="G52" s="196"/>
      <c r="H52" s="196"/>
      <c r="I52" s="196"/>
      <c r="J52" s="84"/>
      <c r="K52" s="84"/>
      <c r="L52" s="84"/>
      <c r="M52" s="122"/>
      <c r="N52" s="60"/>
      <c r="O52" s="9"/>
    </row>
    <row r="53" spans="1:15" ht="15" x14ac:dyDescent="0.2">
      <c r="B53" s="7"/>
      <c r="C53" s="3"/>
      <c r="D53" s="3"/>
      <c r="E53" s="20"/>
      <c r="F53" s="161"/>
      <c r="G53" s="162"/>
      <c r="H53" s="162"/>
      <c r="I53" s="162"/>
      <c r="J53" s="84"/>
      <c r="K53" s="84"/>
      <c r="L53" s="84"/>
      <c r="M53" s="84"/>
      <c r="N53" s="60"/>
      <c r="O53" s="9"/>
    </row>
    <row r="54" spans="1:15" ht="15" customHeight="1" x14ac:dyDescent="0.2">
      <c r="B54" s="7"/>
      <c r="C54" s="3"/>
      <c r="D54" s="3"/>
      <c r="E54" s="20"/>
      <c r="F54" s="85"/>
      <c r="G54" s="197"/>
      <c r="H54" s="198"/>
      <c r="I54" s="198"/>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5"/>
      <c r="B63" s="166"/>
      <c r="C63" s="166"/>
      <c r="D63" s="166"/>
      <c r="E63" s="166"/>
      <c r="F63" s="165"/>
      <c r="G63" s="166"/>
      <c r="H63" s="166"/>
      <c r="I63" s="166"/>
      <c r="J63" s="166"/>
      <c r="K63" s="166"/>
      <c r="L63" s="166"/>
      <c r="M63" s="165"/>
      <c r="N63" s="60"/>
      <c r="O63" s="9"/>
    </row>
    <row r="64" spans="1:15" x14ac:dyDescent="0.2">
      <c r="A64" s="167"/>
      <c r="B64" s="167"/>
      <c r="C64" s="167"/>
      <c r="D64" s="167"/>
      <c r="E64" s="167"/>
      <c r="F64" s="167"/>
      <c r="G64" s="167"/>
      <c r="H64" s="167"/>
      <c r="I64" s="167"/>
      <c r="J64" s="167"/>
      <c r="K64" s="167"/>
      <c r="L64" s="167"/>
      <c r="M64" s="167"/>
      <c r="N64" s="60"/>
      <c r="O64" s="9"/>
    </row>
    <row r="65" spans="1:15" x14ac:dyDescent="0.2">
      <c r="A65" s="167"/>
      <c r="B65" s="167"/>
      <c r="C65" s="167"/>
      <c r="D65" s="167"/>
      <c r="E65" s="167"/>
      <c r="F65" s="167"/>
      <c r="G65" s="167"/>
      <c r="H65" s="167"/>
      <c r="I65" s="167"/>
      <c r="J65" s="167"/>
      <c r="K65" s="167"/>
      <c r="L65" s="167"/>
      <c r="M65" s="167"/>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E20:K20"/>
    <mergeCell ref="F30:K30"/>
    <mergeCell ref="F28:K28"/>
    <mergeCell ref="F27:K27"/>
    <mergeCell ref="F33:K33"/>
    <mergeCell ref="F32:K32"/>
    <mergeCell ref="F31:K31"/>
    <mergeCell ref="M63:M65"/>
    <mergeCell ref="L19:M19"/>
    <mergeCell ref="L22:M22"/>
    <mergeCell ref="G21:H21"/>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Date:19/12/2018</v>
      </c>
      <c r="D8" s="76" t="str">
        <f>Facture!$E$19</f>
        <v>S.O.N.E.M</v>
      </c>
      <c r="E8" s="73" t="str">
        <f>Facture!$E$20</f>
        <v xml:space="preserve">ZI MGHIRA2 FOUCHANA BEN AROUS </v>
      </c>
      <c r="F8" s="73">
        <f>Facture!$E$21</f>
        <v>2082</v>
      </c>
      <c r="G8" s="76" t="str">
        <f>Facture!$G$21</f>
        <v xml:space="preserve">BEN AROUS </v>
      </c>
      <c r="H8" s="76" t="str">
        <f>Facture!$J$21</f>
        <v>TN</v>
      </c>
      <c r="I8" s="73" t="str">
        <f>Facture!$E$22</f>
        <v xml:space="preserve">  79 408 900         Fax: 79 408 800               </v>
      </c>
      <c r="J8" s="77">
        <f>Facture!$M$48</f>
        <v>3213.6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2018-12-18T09:00:18Z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S.O.N.E.M</vt:lpwstr>
  </property>
  <property fmtid="{D5CDD505-2E9C-101B-9397-08002B2CF9AE}" pid="11" name="Montant de la facture" linkTarget="TOT">
    <vt:r8>3213.6</vt:r8>
  </property>
</Properties>
</file>