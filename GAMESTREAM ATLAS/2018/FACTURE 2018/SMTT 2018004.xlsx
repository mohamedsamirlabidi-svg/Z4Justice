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<sst xmlns="http://schemas.openxmlformats.org/spreadsheetml/2006/main" count="88" uniqueCount="73">
  <si>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</si>
  <si>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</si>
  <si>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</si>
  <si>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</si>
  <si>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</si>
  <si>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</si>
  <si>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</si>
  <si>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</si>
  <si>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</si>
  <si>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</si>
  <si>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</si>
  <si>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</si>
  <si>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</si>
  <si>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</si>
  <si>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</si>
  <si>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</si>
  <si>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</si>
  <si>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</si>
  <si>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</si>
  <si>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</si>
  <si>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</si>
  <si>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</si>
  <si>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</si>
  <si>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</si>
  <si>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</si>
  <si>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</si>
  <si>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</si>
  <si>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</si>
  <si>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</si>
  <si>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</si>
  <si>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</si>
  <si>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</si>
  <si>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</si>
  <si>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</si>
  <si>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</si>
  <si>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</si>
  <si>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</si>
  <si>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</si>
  <si>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</si>
  <si>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</si>
  <si>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</si>
  <si>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</si>
  <si>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</si>
  <si>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</si>
  <si>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</si>
  <si>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</si>
  <si>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</si>
  <si>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</si>
  <si>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</si>
  <si>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</si>
  <si>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</si>
  <si>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</si>
  <si>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</si>
  <si>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</si>
  <si>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</si>
  <si>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</si>
  <si>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</si>
  <si>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</si>
  <si>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</si>
  <si>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</si>
  <si>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Sahloul 1</t>
  </si>
  <si>
    <t>Date:24/01/2018</t>
  </si>
  <si>
    <t xml:space="preserve">Responsable:Service achat </t>
  </si>
  <si>
    <t>HABILITATION ELECTRIQUE H0</t>
  </si>
  <si>
    <t>HABILITATION ELECTRIQUE B2 B2V</t>
  </si>
  <si>
    <t>FACTURE N°2018004</t>
  </si>
  <si>
    <t>SMTT</t>
  </si>
  <si>
    <t>39 AV DU JAPON IMMEUBLE SAFSAF A2-2</t>
  </si>
  <si>
    <t xml:space="preserve">MONPLAISIR </t>
  </si>
  <si>
    <t>71 906 788         FAX   71 906 849</t>
  </si>
  <si>
    <t>Réf Commande: 2/18</t>
  </si>
  <si>
    <t>MF:1004295G/A/M/000</t>
  </si>
  <si>
    <t xml:space="preserve">ARRETE LA PRESENTE  FACTURE A LA SOMME DE DEUX MILLE QUATRE VINGT TROIS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</si>
</sst>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24" fillId="6" borderId="45" xfId="0" applyFont="1" applyFill="1" applyBorder="1" applyAlignment="1">
      <alignment vertical="top"/>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8" fillId="0" borderId="0" xfId="0" applyFont="1" applyFill="1" applyAlignment="1">
      <alignment vertical="center" readingOrder="1"/>
    </xf>
    <xf numFmtId="0" fontId="0" fillId="0" borderId="0" xfId="0" applyFill="1" applyBorder="1"/>
    <xf numFmtId="0" fontId="39" fillId="0" borderId="0" xfId="0" applyFont="1" applyFill="1" applyAlignment="1">
      <alignment vertical="center" readingOrder="1"/>
    </xf>
    <xf numFmtId="0" fontId="40" fillId="2" borderId="0" xfId="0" applyFo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7" xfId="0" applyFont="1" applyBorder="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47</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4"/>
  <sheetViews>
    <sheetView showGridLines="0" showRowColHeaders="0" tabSelected="1" topLeftCell="A16" zoomScale="95" workbookViewId="0">
      <selection activeCell="L31" sqref="L3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9" t="s">
        <v>49</v>
      </c>
      <c r="E11" s="140"/>
      <c r="F11" s="140"/>
      <c r="G11" s="140"/>
      <c r="H11" s="3"/>
      <c r="I11" s="3"/>
      <c r="J11" s="3"/>
      <c r="K11" s="8"/>
      <c r="L11" s="81"/>
      <c r="M11" s="81" t="s">
        <v>54</v>
      </c>
      <c r="N11" s="19"/>
      <c r="O11" s="9"/>
    </row>
    <row r="12" spans="2:15" ht="15" x14ac:dyDescent="0.2">
      <c r="B12" s="7"/>
      <c r="C12" s="3"/>
      <c r="D12" s="139" t="s">
        <v>56</v>
      </c>
      <c r="E12" s="140"/>
      <c r="F12" s="140"/>
      <c r="G12" s="140"/>
      <c r="H12" s="3"/>
      <c r="I12" s="3"/>
      <c r="J12" s="3"/>
      <c r="K12" s="3"/>
      <c r="L12" s="3"/>
      <c r="M12" s="3"/>
      <c r="N12" s="3"/>
      <c r="O12" s="9"/>
    </row>
    <row r="13" spans="2:15" ht="15" x14ac:dyDescent="0.2">
      <c r="B13" s="7"/>
      <c r="C13" s="3"/>
      <c r="D13" s="141" t="s">
        <v>57</v>
      </c>
      <c r="E13" s="140"/>
      <c r="F13" s="140"/>
      <c r="G13" s="140"/>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65</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60" t="s">
        <v>66</v>
      </c>
      <c r="F19" s="161"/>
      <c r="G19" s="161"/>
      <c r="H19" s="161"/>
      <c r="I19" s="161"/>
      <c r="J19" s="161"/>
      <c r="K19" s="113"/>
      <c r="L19" s="152" t="s">
        <v>61</v>
      </c>
      <c r="M19" s="153"/>
      <c r="N19" s="58"/>
      <c r="O19" s="9"/>
    </row>
    <row r="20" spans="2:15" x14ac:dyDescent="0.2">
      <c r="B20" s="7"/>
      <c r="C20" s="3"/>
      <c r="D20" s="92" t="s">
        <v>5</v>
      </c>
      <c r="E20" s="158" t="s">
        <v>67</v>
      </c>
      <c r="F20" s="159"/>
      <c r="G20" s="159"/>
      <c r="H20" s="159"/>
      <c r="I20" s="159"/>
      <c r="J20" s="159"/>
      <c r="K20" s="92"/>
      <c r="L20" s="164" t="s">
        <v>70</v>
      </c>
      <c r="M20" s="165"/>
      <c r="N20" s="59"/>
      <c r="O20" s="9"/>
    </row>
    <row r="21" spans="2:15" x14ac:dyDescent="0.2">
      <c r="B21" s="7"/>
      <c r="C21" s="3"/>
      <c r="D21" s="92" t="s">
        <v>7</v>
      </c>
      <c r="E21" s="101">
        <v>1073</v>
      </c>
      <c r="F21" s="102" t="s">
        <v>8</v>
      </c>
      <c r="G21" s="156" t="s">
        <v>68</v>
      </c>
      <c r="H21" s="157"/>
      <c r="I21" s="103" t="s">
        <v>9</v>
      </c>
      <c r="J21" s="100" t="s">
        <v>52</v>
      </c>
      <c r="K21" s="92"/>
      <c r="L21" s="138" t="s">
        <v>62</v>
      </c>
      <c r="M21" s="138"/>
      <c r="N21" s="138"/>
      <c r="O21" s="9"/>
    </row>
    <row r="22" spans="2:15" x14ac:dyDescent="0.2">
      <c r="B22" s="7"/>
      <c r="C22" s="3"/>
      <c r="D22" s="92" t="s">
        <v>20</v>
      </c>
      <c r="E22" s="162" t="s">
        <v>69</v>
      </c>
      <c r="F22" s="163"/>
      <c r="G22" s="163"/>
      <c r="H22" s="163"/>
      <c r="I22" s="163"/>
      <c r="J22" s="163"/>
      <c r="K22" s="92"/>
      <c r="L22" s="154" t="s">
        <v>71</v>
      </c>
      <c r="M22" s="155"/>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66" t="s">
        <v>22</v>
      </c>
      <c r="G24" s="167"/>
      <c r="H24" s="167"/>
      <c r="I24" s="167"/>
      <c r="J24" s="167"/>
      <c r="K24" s="168"/>
      <c r="L24" s="53" t="s">
        <v>23</v>
      </c>
      <c r="M24" s="54" t="s">
        <v>24</v>
      </c>
      <c r="N24" s="60"/>
      <c r="O24" s="9"/>
    </row>
    <row r="25" spans="2:15" x14ac:dyDescent="0.2">
      <c r="B25" s="7"/>
      <c r="C25" s="3"/>
      <c r="D25" s="70"/>
      <c r="E25" s="55"/>
      <c r="F25" s="169"/>
      <c r="G25" s="170"/>
      <c r="H25" s="170"/>
      <c r="I25" s="170"/>
      <c r="J25" s="170"/>
      <c r="K25" s="171"/>
      <c r="L25" s="79"/>
      <c r="M25" s="115" t="str">
        <f t="shared" ref="M25:M32" si="0">IF(E25&lt;&gt;"",E25*L25,"")</f>
        <v/>
      </c>
      <c r="N25" s="60"/>
      <c r="O25" s="9"/>
    </row>
    <row r="26" spans="2:15" ht="15" x14ac:dyDescent="0.2">
      <c r="B26" s="7"/>
      <c r="C26" s="3"/>
      <c r="D26" s="70"/>
      <c r="E26" s="82"/>
      <c r="F26" s="169" t="s">
        <v>58</v>
      </c>
      <c r="G26" s="172"/>
      <c r="H26" s="172"/>
      <c r="I26" s="172"/>
      <c r="J26" s="172"/>
      <c r="K26" s="173"/>
      <c r="L26" s="83"/>
      <c r="M26" s="116" t="str">
        <f t="shared" si="0"/>
        <v/>
      </c>
      <c r="N26" s="60"/>
      <c r="O26" s="9"/>
    </row>
    <row r="27" spans="2:15" ht="15" x14ac:dyDescent="0.2">
      <c r="B27" s="7"/>
      <c r="C27" s="3"/>
      <c r="D27" s="70"/>
      <c r="E27" s="82"/>
      <c r="F27" s="169" t="s">
        <v>59</v>
      </c>
      <c r="G27" s="172"/>
      <c r="H27" s="172"/>
      <c r="I27" s="172"/>
      <c r="J27" s="172"/>
      <c r="K27" s="173"/>
      <c r="L27" s="83"/>
      <c r="M27" s="116" t="str">
        <f t="shared" si="0"/>
        <v/>
      </c>
      <c r="N27" s="60"/>
      <c r="O27" s="9"/>
    </row>
    <row r="28" spans="2:15" ht="25.5" x14ac:dyDescent="0.35">
      <c r="B28" s="7"/>
      <c r="C28" s="3"/>
      <c r="D28" s="114"/>
      <c r="E28" s="82">
        <v>5</v>
      </c>
      <c r="F28" s="169" t="s">
        <v>63</v>
      </c>
      <c r="G28" s="172"/>
      <c r="H28" s="172"/>
      <c r="I28" s="172"/>
      <c r="J28" s="172"/>
      <c r="K28" s="173"/>
      <c r="L28" s="83">
        <v>150</v>
      </c>
      <c r="M28" s="116">
        <f t="shared" si="0"/>
        <v>750</v>
      </c>
      <c r="N28" s="60"/>
      <c r="O28" s="9"/>
    </row>
    <row r="29" spans="2:15" ht="15" x14ac:dyDescent="0.2">
      <c r="B29" s="7"/>
      <c r="C29" s="3"/>
      <c r="D29" s="70"/>
      <c r="E29" s="82">
        <v>5</v>
      </c>
      <c r="F29" s="169" t="s">
        <v>64</v>
      </c>
      <c r="G29" s="170"/>
      <c r="H29" s="170"/>
      <c r="I29" s="170"/>
      <c r="J29" s="170"/>
      <c r="K29" s="171"/>
      <c r="L29" s="83">
        <v>200</v>
      </c>
      <c r="M29" s="116">
        <f t="shared" si="0"/>
        <v>1000</v>
      </c>
      <c r="N29" s="60"/>
      <c r="O29" s="9"/>
    </row>
    <row r="30" spans="2:15" ht="15" x14ac:dyDescent="0.2">
      <c r="B30" s="7"/>
      <c r="C30" s="3"/>
      <c r="D30" s="70"/>
      <c r="E30" s="56"/>
      <c r="F30" s="179"/>
      <c r="G30" s="180"/>
      <c r="H30" s="180"/>
      <c r="I30" s="180"/>
      <c r="J30" s="180"/>
      <c r="K30" s="181"/>
      <c r="L30" s="83"/>
      <c r="M30" s="116" t="str">
        <f t="shared" si="0"/>
        <v/>
      </c>
      <c r="N30" s="60"/>
      <c r="O30" s="9"/>
    </row>
    <row r="31" spans="2:15" ht="15" x14ac:dyDescent="0.2">
      <c r="B31" s="7"/>
      <c r="C31" s="3"/>
      <c r="D31" s="70"/>
      <c r="E31" s="56"/>
      <c r="F31" s="179"/>
      <c r="G31" s="180"/>
      <c r="H31" s="180"/>
      <c r="I31" s="180"/>
      <c r="J31" s="180"/>
      <c r="K31" s="181"/>
      <c r="L31" s="83"/>
      <c r="M31" s="116" t="str">
        <f t="shared" si="0"/>
        <v/>
      </c>
      <c r="N31" s="60"/>
      <c r="O31" s="9"/>
    </row>
    <row r="32" spans="2:15" ht="15" x14ac:dyDescent="0.2">
      <c r="B32" s="7"/>
      <c r="C32" s="3"/>
      <c r="D32" s="70"/>
      <c r="E32" s="56"/>
      <c r="F32" s="188"/>
      <c r="G32" s="189"/>
      <c r="H32" s="189"/>
      <c r="I32" s="189"/>
      <c r="J32" s="189"/>
      <c r="K32" s="190"/>
      <c r="L32" s="83"/>
      <c r="M32" s="116" t="str">
        <f t="shared" si="0"/>
        <v/>
      </c>
      <c r="N32" s="60"/>
      <c r="O32" s="9"/>
    </row>
    <row r="33" spans="2:23" ht="15" x14ac:dyDescent="0.2">
      <c r="B33" s="7"/>
      <c r="C33" s="3"/>
      <c r="D33" s="70"/>
      <c r="E33" s="56"/>
      <c r="F33" s="179"/>
      <c r="G33" s="180"/>
      <c r="H33" s="180"/>
      <c r="I33" s="180"/>
      <c r="J33" s="180"/>
      <c r="K33" s="181"/>
      <c r="L33" s="83"/>
      <c r="M33" s="116"/>
      <c r="N33" s="60"/>
      <c r="O33" s="9"/>
    </row>
    <row r="34" spans="2:23" ht="15" x14ac:dyDescent="0.2">
      <c r="B34" s="7"/>
      <c r="C34" s="3"/>
      <c r="D34" s="70"/>
      <c r="E34" s="56"/>
      <c r="F34" s="194"/>
      <c r="G34" s="195"/>
      <c r="H34" s="195"/>
      <c r="I34" s="195"/>
      <c r="J34" s="195"/>
      <c r="K34" s="196"/>
      <c r="L34" s="83"/>
      <c r="M34" s="116"/>
      <c r="N34" s="60"/>
      <c r="O34" s="9"/>
    </row>
    <row r="35" spans="2:23" ht="15" x14ac:dyDescent="0.2">
      <c r="B35" s="7"/>
      <c r="C35" s="3"/>
      <c r="D35" s="70"/>
      <c r="E35" s="56"/>
      <c r="F35" s="176"/>
      <c r="G35" s="177"/>
      <c r="H35" s="177"/>
      <c r="I35" s="177"/>
      <c r="J35" s="177"/>
      <c r="K35" s="178"/>
      <c r="L35" s="83"/>
      <c r="M35" s="116"/>
      <c r="N35" s="60"/>
      <c r="O35" s="9"/>
    </row>
    <row r="36" spans="2:23" ht="15" x14ac:dyDescent="0.2">
      <c r="B36" s="7"/>
      <c r="C36" s="3"/>
      <c r="D36" s="70"/>
      <c r="E36" s="56"/>
      <c r="F36" s="176"/>
      <c r="G36" s="177"/>
      <c r="H36" s="177"/>
      <c r="I36" s="177"/>
      <c r="J36" s="177"/>
      <c r="K36" s="178"/>
      <c r="L36" s="83"/>
      <c r="M36" s="116"/>
      <c r="N36" s="60"/>
      <c r="O36" s="9"/>
    </row>
    <row r="37" spans="2:23" ht="15.75" x14ac:dyDescent="0.25">
      <c r="B37" s="7"/>
      <c r="C37" s="3"/>
      <c r="D37" s="70"/>
      <c r="E37" s="56"/>
      <c r="F37" s="108"/>
      <c r="G37" s="106"/>
      <c r="H37" s="106"/>
      <c r="I37" s="106"/>
      <c r="J37" s="106"/>
      <c r="K37" s="107"/>
      <c r="L37" s="83"/>
      <c r="M37" s="116"/>
      <c r="N37" s="60"/>
      <c r="O37" s="9"/>
    </row>
    <row r="38" spans="2:23" ht="15" x14ac:dyDescent="0.2">
      <c r="B38" s="7"/>
      <c r="C38" s="3"/>
      <c r="D38" s="70"/>
      <c r="E38" s="56"/>
      <c r="F38" s="185"/>
      <c r="G38" s="186"/>
      <c r="H38" s="186"/>
      <c r="I38" s="186"/>
      <c r="J38" s="186"/>
      <c r="K38" s="187"/>
      <c r="L38" s="83"/>
      <c r="M38" s="116"/>
      <c r="N38" s="60"/>
      <c r="O38" s="9"/>
    </row>
    <row r="39" spans="2:23" ht="15" x14ac:dyDescent="0.2">
      <c r="B39" s="7"/>
      <c r="C39" s="3"/>
      <c r="D39" s="70"/>
      <c r="E39" s="56"/>
      <c r="F39" s="185"/>
      <c r="G39" s="186"/>
      <c r="H39" s="186"/>
      <c r="I39" s="186"/>
      <c r="J39" s="186"/>
      <c r="K39" s="187"/>
      <c r="L39" s="83"/>
      <c r="M39" s="116"/>
      <c r="N39" s="60"/>
      <c r="O39" s="9"/>
      <c r="W39" s="142" t="s">
        <v>60</v>
      </c>
    </row>
    <row r="40" spans="2:23" ht="15" x14ac:dyDescent="0.2">
      <c r="B40" s="7"/>
      <c r="C40" s="3"/>
      <c r="D40" s="71"/>
      <c r="E40" s="57"/>
      <c r="F40" s="182"/>
      <c r="G40" s="183"/>
      <c r="H40" s="183"/>
      <c r="I40" s="183"/>
      <c r="J40" s="183"/>
      <c r="K40" s="184"/>
      <c r="L40" s="83"/>
      <c r="M40" s="116" t="str">
        <f>IF(E40&lt;&gt;"",E40*L40,"")</f>
        <v/>
      </c>
      <c r="N40" s="60"/>
      <c r="O40" s="9"/>
    </row>
    <row r="41" spans="2:23" ht="15.75" x14ac:dyDescent="0.25">
      <c r="B41" s="7"/>
      <c r="C41" s="3"/>
      <c r="D41" s="3"/>
      <c r="E41" s="92"/>
      <c r="F41" s="92"/>
      <c r="G41" s="92"/>
      <c r="H41" s="92"/>
      <c r="I41" s="92"/>
      <c r="J41" s="84"/>
      <c r="K41" s="84"/>
      <c r="L41" s="127" t="s">
        <v>25</v>
      </c>
      <c r="M41" s="117">
        <f>SUM(M26:M31)</f>
        <v>1750</v>
      </c>
      <c r="N41" s="60"/>
      <c r="O41" s="9"/>
    </row>
    <row r="42" spans="2:23" ht="15" x14ac:dyDescent="0.2">
      <c r="B42" s="7"/>
      <c r="C42" s="3"/>
      <c r="D42" s="3"/>
      <c r="E42" s="92"/>
      <c r="F42" s="92"/>
      <c r="G42" s="92"/>
      <c r="H42" s="92"/>
      <c r="I42" s="92"/>
      <c r="J42" s="84"/>
      <c r="K42" s="84"/>
      <c r="L42" s="128">
        <v>0.19</v>
      </c>
      <c r="M42" s="129">
        <f>M41*0.19</f>
        <v>332.5</v>
      </c>
      <c r="N42" s="60"/>
      <c r="O42" s="9"/>
    </row>
    <row r="43" spans="2:23" ht="15" x14ac:dyDescent="0.2">
      <c r="B43" s="7"/>
      <c r="C43" s="3"/>
      <c r="D43" s="3"/>
      <c r="E43" s="94"/>
      <c r="F43" s="95" t="s">
        <v>26</v>
      </c>
      <c r="G43" s="92"/>
      <c r="H43" s="92"/>
      <c r="I43" s="92"/>
      <c r="J43" s="86"/>
      <c r="K43" s="86"/>
      <c r="L43" s="131" t="s">
        <v>48</v>
      </c>
      <c r="M43" s="129">
        <v>0.6</v>
      </c>
      <c r="N43" s="60"/>
      <c r="O43" s="9"/>
    </row>
    <row r="44" spans="2:23" ht="15.75" x14ac:dyDescent="0.25">
      <c r="B44" s="7"/>
      <c r="C44" s="3"/>
      <c r="D44" s="3"/>
      <c r="E44" s="96"/>
      <c r="F44" s="137" t="s">
        <v>27</v>
      </c>
      <c r="G44" s="99"/>
      <c r="H44" s="96"/>
      <c r="I44" s="92"/>
      <c r="J44" s="87"/>
      <c r="K44" s="84"/>
      <c r="L44" s="130" t="s">
        <v>29</v>
      </c>
      <c r="M44" s="117">
        <f>+M41+M42+M43</f>
        <v>2083.1</v>
      </c>
      <c r="N44" s="60"/>
      <c r="O44" s="9"/>
    </row>
    <row r="45" spans="2:23" ht="15.75" x14ac:dyDescent="0.25">
      <c r="B45" s="7"/>
      <c r="C45" s="3"/>
      <c r="D45" s="3"/>
      <c r="E45" s="93"/>
      <c r="F45" s="93"/>
      <c r="G45" s="92"/>
      <c r="H45" s="93"/>
      <c r="I45" s="92"/>
      <c r="J45" s="88" t="s">
        <v>28</v>
      </c>
      <c r="K45" s="84"/>
      <c r="L45" s="89"/>
      <c r="M45" s="89"/>
      <c r="N45" s="60"/>
      <c r="O45" s="9"/>
    </row>
    <row r="46" spans="2:23" ht="17.100000000000001" customHeight="1" x14ac:dyDescent="0.25">
      <c r="B46" s="7"/>
      <c r="C46" s="134"/>
      <c r="D46" s="199" t="s">
        <v>72</v>
      </c>
      <c r="E46" s="200"/>
      <c r="F46" s="200"/>
      <c r="G46" s="200"/>
      <c r="H46" s="200"/>
      <c r="I46" s="200"/>
      <c r="J46" s="200"/>
      <c r="K46" s="200"/>
      <c r="L46" s="89"/>
      <c r="M46" s="125"/>
      <c r="N46" s="60"/>
      <c r="O46" s="9"/>
    </row>
    <row r="47" spans="2:23" ht="17.100000000000001" customHeight="1" x14ac:dyDescent="0.25">
      <c r="B47" s="7"/>
      <c r="C47" s="134"/>
      <c r="D47" s="135"/>
      <c r="E47" s="134"/>
      <c r="F47" s="134"/>
      <c r="G47" s="136"/>
      <c r="H47" s="136"/>
      <c r="I47" s="136"/>
      <c r="J47" s="134"/>
      <c r="K47" s="134"/>
      <c r="L47" s="89"/>
      <c r="M47" s="125"/>
      <c r="N47" s="60"/>
      <c r="O47" s="9"/>
    </row>
    <row r="48" spans="2:23" ht="17.100000000000001" customHeight="1" x14ac:dyDescent="0.2">
      <c r="B48" s="7"/>
      <c r="C48" s="3"/>
      <c r="D48" s="3"/>
      <c r="E48" s="98"/>
      <c r="F48" s="174"/>
      <c r="G48" s="175"/>
      <c r="H48" s="175"/>
      <c r="I48" s="175"/>
      <c r="J48" s="84"/>
      <c r="K48" s="84"/>
      <c r="L48" s="84"/>
      <c r="M48" s="126"/>
      <c r="N48" s="60"/>
      <c r="O48" s="9"/>
    </row>
    <row r="49" spans="1:15" ht="15" x14ac:dyDescent="0.2">
      <c r="B49" s="7"/>
      <c r="C49" s="3"/>
      <c r="D49" s="3"/>
      <c r="E49" s="20"/>
      <c r="F49" s="197"/>
      <c r="G49" s="198"/>
      <c r="H49" s="198"/>
      <c r="I49" s="198"/>
      <c r="J49" s="84"/>
      <c r="K49" s="84"/>
      <c r="L49" s="84"/>
      <c r="M49" s="84"/>
      <c r="N49" s="60"/>
      <c r="O49" s="9"/>
    </row>
    <row r="50" spans="1:15" ht="15" customHeight="1" x14ac:dyDescent="0.2">
      <c r="B50" s="7"/>
      <c r="C50" s="3"/>
      <c r="D50" s="3"/>
      <c r="E50" s="20"/>
      <c r="F50" s="85"/>
      <c r="G50" s="191"/>
      <c r="H50" s="192"/>
      <c r="I50" s="192"/>
      <c r="J50" s="84"/>
      <c r="K50" s="132" t="s">
        <v>55</v>
      </c>
      <c r="L50" s="118"/>
      <c r="M50" s="119"/>
      <c r="N50" s="60"/>
      <c r="O50" s="9"/>
    </row>
    <row r="51" spans="1:15" ht="15" x14ac:dyDescent="0.2">
      <c r="B51" s="7"/>
      <c r="C51" s="3"/>
      <c r="D51" s="3"/>
      <c r="E51" s="3"/>
      <c r="F51" s="84"/>
      <c r="G51" s="84"/>
      <c r="H51" s="84"/>
      <c r="I51" s="84"/>
      <c r="J51" s="84"/>
      <c r="K51" s="133"/>
      <c r="L51" s="120"/>
      <c r="M51" s="121"/>
      <c r="N51" s="60"/>
      <c r="O51" s="9"/>
    </row>
    <row r="52" spans="1:15" ht="15" x14ac:dyDescent="0.2">
      <c r="B52" s="7"/>
      <c r="C52" s="3"/>
      <c r="D52" s="105"/>
      <c r="E52" s="112"/>
      <c r="F52" s="84"/>
      <c r="G52" s="84"/>
      <c r="H52" s="84"/>
      <c r="I52" s="84"/>
      <c r="J52" s="86"/>
      <c r="K52" s="122"/>
      <c r="L52" s="123"/>
      <c r="M52" s="124"/>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50"/>
      <c r="B59" s="193"/>
      <c r="C59" s="193"/>
      <c r="D59" s="193"/>
      <c r="E59" s="193"/>
      <c r="F59" s="150"/>
      <c r="G59" s="193"/>
      <c r="H59" s="193"/>
      <c r="I59" s="193"/>
      <c r="J59" s="193"/>
      <c r="K59" s="193"/>
      <c r="L59" s="193"/>
      <c r="M59" s="150"/>
      <c r="N59" s="60"/>
      <c r="O59" s="9"/>
    </row>
    <row r="60" spans="1:15" x14ac:dyDescent="0.2">
      <c r="A60" s="151"/>
      <c r="B60" s="151"/>
      <c r="C60" s="151"/>
      <c r="D60" s="151"/>
      <c r="E60" s="151"/>
      <c r="F60" s="151"/>
      <c r="G60" s="151"/>
      <c r="H60" s="151"/>
      <c r="I60" s="151"/>
      <c r="J60" s="151"/>
      <c r="K60" s="151"/>
      <c r="L60" s="151"/>
      <c r="M60" s="151"/>
      <c r="N60" s="60"/>
      <c r="O60" s="9"/>
    </row>
    <row r="61" spans="1:15" x14ac:dyDescent="0.2">
      <c r="A61" s="151"/>
      <c r="B61" s="151"/>
      <c r="C61" s="151"/>
      <c r="D61" s="151"/>
      <c r="E61" s="151"/>
      <c r="F61" s="151"/>
      <c r="G61" s="151"/>
      <c r="H61" s="151"/>
      <c r="I61" s="151"/>
      <c r="J61" s="151"/>
      <c r="K61" s="151"/>
      <c r="L61" s="151"/>
      <c r="M61" s="151"/>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0:I50"/>
    <mergeCell ref="F59:L61"/>
    <mergeCell ref="F34:K34"/>
    <mergeCell ref="F31:K31"/>
    <mergeCell ref="F49:I49"/>
    <mergeCell ref="D46:K46"/>
    <mergeCell ref="A59:E61"/>
    <mergeCell ref="F27:K27"/>
    <mergeCell ref="F40:K40"/>
    <mergeCell ref="F38:K38"/>
    <mergeCell ref="F39:K39"/>
    <mergeCell ref="F33:K33"/>
    <mergeCell ref="F36:K36"/>
    <mergeCell ref="F32:K32"/>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Date:24/01/2018</v>
      </c>
      <c r="D8" s="76" t="str">
        <f>Facture!$E$19</f>
        <v>SMTT</v>
      </c>
      <c r="E8" s="73" t="str">
        <f>Facture!$E$20</f>
        <v>39 AV DU JAPON IMMEUBLE SAFSAF A2-2</v>
      </c>
      <c r="F8" s="73">
        <f>Facture!$E$21</f>
        <v>1073</v>
      </c>
      <c r="G8" s="76" t="str">
        <f>Facture!$G$21</f>
        <v xml:space="preserve">MONPLAISIR </v>
      </c>
      <c r="H8" s="76" t="str">
        <f>Facture!$J$21</f>
        <v>TN</v>
      </c>
      <c r="I8" s="73" t="str">
        <f>Facture!$E$22</f>
        <v>71 906 788         FAX   71 906 849</v>
      </c>
      <c r="J8" s="77">
        <f>Facture!$M$44</f>
        <v>2083.1</v>
      </c>
      <c r="K8" s="73" t="str">
        <f>Facture!$L$21</f>
        <v xml:space="preserve">Responsable:Service achat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2018-01-24T11:46:00Z</cp:lastPrinted>
  <dcterms:created xsi:type="dcterms:W3CDTF">1995-05-29T15:50:39Z</dcterms:created>
  <dcterms:modified xsi:type="dcterms:W3CDTF">2018-01-24T15:14:56Z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2083.1</vt:r8>
  </property>
</Properties>
</file>