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Facture!$L$59</definedName>
    <definedName name="_Tax2">Facture!#REF!</definedName>
    <definedName name="_Tax3">Facture!#REF!</definedName>
    <definedName name="_tax4">Facture!#REF!</definedName>
    <definedName name="_xlnm.Auto_Open21">'AutoOpen Stub Data'!$A$1</definedName>
    <definedName name="boxes">Facture!$E$59:$E$60</definedName>
    <definedName name="CC">'Personnaliser votre facture'!$G$22:$G$25</definedName>
    <definedName name="CCT">Facture!$H$61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Facture!$E$36</definedName>
    <definedName name="data3">Facture!$M$25</definedName>
    <definedName name="data30">Facture!$F$36</definedName>
    <definedName name="data31">Facture!$L$36</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Facture!$E$56</definedName>
    <definedName name="data6">Facture!$F$24</definedName>
    <definedName name="data60">Facture!$F$56</definedName>
    <definedName name="data61">Facture!$L$56</definedName>
    <definedName name="data62">Facture!$E$59</definedName>
    <definedName name="data63">Facture!$E$60</definedName>
    <definedName name="data64">Facture!$E$61</definedName>
    <definedName name="data65">Facture!$H$60</definedName>
    <definedName name="data66">Facture!$F$63</definedName>
    <definedName name="data67">Facture!$F$65</definedName>
    <definedName name="data68">Facture!$G$66</definedName>
    <definedName name="data69">Facture!$K$66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Facture!$F$36:$K$36</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Facture!$F$56:$K$56</definedName>
    <definedName name="qzqzqz26">Facture!$F$63:$I$63</definedName>
    <definedName name="qzqzqz27">Facture!$F$64:$I$64</definedName>
    <definedName name="qzqzqz28">Facture!$F$65:$I$65</definedName>
    <definedName name="qzqzqz29">Facture!$K$65:$M$66</definedName>
    <definedName name="qzqzqz3">Facture!$E$24:$J$24</definedName>
    <definedName name="qzqzqz30">Facture!$G$66:$I$66</definedName>
    <definedName name="qzqzqz31">Facture!$G$66:$H$66</definedName>
    <definedName name="qzqzqz32">Facture!$K$64:$M$66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1" i="3" l="1"/>
  <c r="M32" i="3"/>
  <c r="M57" i="3" s="1"/>
  <c r="M33" i="3"/>
  <c r="M36" i="3"/>
  <c r="M37" i="3"/>
  <c r="M38" i="3"/>
  <c r="M41" i="3"/>
  <c r="M42" i="3"/>
  <c r="M43" i="3"/>
  <c r="M44" i="3"/>
  <c r="M45" i="3"/>
  <c r="M47" i="3"/>
  <c r="M48" i="3"/>
  <c r="M49" i="3"/>
  <c r="M56" i="3"/>
  <c r="F33" i="2" l="1"/>
  <c r="K8" i="8"/>
  <c r="I8" i="8"/>
  <c r="H8" i="8"/>
  <c r="G8" i="8"/>
  <c r="F8" i="8"/>
  <c r="E8" i="8"/>
  <c r="D8" i="8"/>
  <c r="C8" i="8"/>
  <c r="B8" i="8"/>
  <c r="M59" i="3" l="1"/>
  <c r="M6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<sst xmlns="http://schemas.openxmlformats.org/spreadsheetml/2006/main" count="98" uniqueCount="90">
  <si>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</si>
  <si>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</si>
  <si>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</si>
  <si>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</si>
  <si>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</si>
  <si>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</si>
  <si>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</si>
  <si>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</si>
  <si>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</si>
  <si>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</si>
  <si>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</si>
  <si>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</si>
  <si>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</si>
  <si>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</si>
  <si>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</si>
  <si>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</si>
  <si>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</si>
  <si>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</si>
  <si>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</si>
  <si>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</si>
  <si>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</si>
  <si>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</si>
  <si>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</si>
  <si>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</si>
  <si>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</si>
  <si>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</si>
  <si>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</si>
  <si>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</si>
  <si>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</si>
  <si>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</si>
  <si>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</si>
  <si>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</si>
  <si>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</si>
  <si>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</si>
  <si>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</si>
  <si>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</si>
  <si>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</si>
  <si>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</si>
  <si>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</si>
  <si>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</si>
  <si>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</si>
  <si>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</si>
  <si>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</si>
  <si>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</si>
  <si>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</si>
  <si>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</si>
  <si>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</si>
  <si>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</si>
  <si>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</si>
  <si>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</si>
  <si>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</si>
  <si>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</si>
  <si>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</si>
  <si>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</si>
  <si>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</si>
  <si>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</si>
  <si>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</si>
  <si>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</si>
  <si>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</si>
  <si>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</si>
  <si>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</si>
  <si>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</si>
  <si>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</si>
  <si>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</si>
  <si>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</si>
  <si>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</si>
  <si>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</si>
  <si>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</si>
  <si>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</si>
  <si>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</si>
  <si>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</si>
  <si>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</si>
  <si>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</si>
  <si>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 xml:space="preserve">  2- MISE A DISPOSITION DE MATERIEL </t>
  </si>
  <si>
    <t xml:space="preserve"> DE DEMONSTRATION  PRATIQUE POUR </t>
  </si>
  <si>
    <t xml:space="preserve">     Ref Commande:</t>
  </si>
  <si>
    <t>T.V.A 19%</t>
  </si>
  <si>
    <t>RDC:B159472001 / MF:778013 ZMA 000</t>
  </si>
  <si>
    <t>DEVIS N°9222/2018</t>
  </si>
  <si>
    <t>VALABLE 3ANS</t>
  </si>
  <si>
    <t xml:space="preserve">DUREE DE FORMATION : 1JOURS </t>
  </si>
  <si>
    <t>NOMBRE MINIMUM 4 PERSONNES</t>
  </si>
  <si>
    <t xml:space="preserve">SAIDA </t>
  </si>
  <si>
    <t xml:space="preserve">MEGRINE EL RIADH </t>
  </si>
  <si>
    <t xml:space="preserve">MEGRINE </t>
  </si>
  <si>
    <t xml:space="preserve">               Fax : </t>
  </si>
  <si>
    <t xml:space="preserve">     Mf </t>
  </si>
  <si>
    <t xml:space="preserve">MOUHAMED ALI OUERFELLI </t>
  </si>
  <si>
    <t>FH</t>
  </si>
  <si>
    <t xml:space="preserve">ARRETE LA PRESENTE DEVIS A LA SOMME DE DEUX CENT TRENTE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</si>
</sst>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sz val="12"/>
      <name val="Times New Roman"/>
      <family val="1"/>
    </font>
    <font>
      <b/>
      <sz val="28"/>
      <color rgb="FFC00000"/>
      <name val="Arial"/>
      <family val="2"/>
    </font>
    <font>
      <b/>
      <i/>
      <u/>
      <sz val="2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7"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5" fillId="3" borderId="0" xfId="0" applyFont="1" applyFill="1" applyBorder="1" applyAlignment="1">
      <alignment horizontal="center"/>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31" fillId="6" borderId="0" xfId="0" applyFont="1" applyFill="1" applyAlignment="1">
      <alignment horizontal="center" vertical="center"/>
    </xf>
    <xf numFmtId="49" fontId="46"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3" fillId="3" borderId="30"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58</xdr:row>
          <xdr:rowOff>9525</xdr:rowOff>
        </xdr:from>
        <xdr:to>
          <xdr:col>4</xdr:col>
          <xdr:colOff>571500</xdr:colOff>
          <xdr:row>58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59</xdr:row>
          <xdr:rowOff>0</xdr:rowOff>
        </xdr:from>
        <xdr:to>
          <xdr:col>4</xdr:col>
          <xdr:colOff>552450</xdr:colOff>
          <xdr:row>59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190500</xdr:colOff>
      <xdr:row>60</xdr:row>
      <xdr:rowOff>152400</xdr:rowOff>
    </xdr:from>
    <xdr:to>
      <xdr:col>12</xdr:col>
      <xdr:colOff>952500</xdr:colOff>
      <xdr:row>67</xdr:row>
      <xdr:rowOff>113665</xdr:rowOff>
    </xdr:to>
    <xdr:pic>
      <xdr:nvPicPr>
        <xdr:cNvPr id="11" name="Picture 32"/>
        <xdr:cNvPicPr/>
      </xdr:nvPicPr>
      <xdr:blipFill>
        <a:blip xmlns:r="http://schemas.openxmlformats.org/officeDocument/2006/relationships" r:embed="rId2" cstate="print"/>
        <a:srcRect/>
        <a:stretch>
          <a:fillRect/>
        </a:stretch>
      </xdr:blipFill>
      <xdr:spPr bwMode="auto">
        <a:xfrm>
          <a:off x="8343900" y="16402050"/>
          <a:ext cx="2914650" cy="19996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47</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A25" zoomScale="50" zoomScaleNormal="50" workbookViewId="0">
      <selection activeCell="M37" sqref="M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89" t="s">
        <v>78</v>
      </c>
      <c r="M15" s="189"/>
      <c r="N15" s="3"/>
      <c r="O15" s="9"/>
    </row>
    <row r="16" spans="2:15" x14ac:dyDescent="0.2">
      <c r="B16" s="7"/>
      <c r="C16" s="3"/>
      <c r="D16" s="3"/>
      <c r="E16" s="3"/>
      <c r="F16" s="3"/>
      <c r="G16" s="3"/>
      <c r="H16" s="3"/>
      <c r="I16" s="3"/>
      <c r="J16" s="3"/>
      <c r="K16" s="112"/>
      <c r="L16" s="189"/>
      <c r="M16" s="189"/>
      <c r="N16" s="3"/>
      <c r="O16" s="9"/>
    </row>
    <row r="17" spans="1:15" ht="12.75" customHeight="1" x14ac:dyDescent="0.2">
      <c r="B17" s="7"/>
      <c r="C17" s="3"/>
      <c r="D17" s="3"/>
      <c r="E17" s="3"/>
      <c r="F17" s="3"/>
      <c r="G17" s="3"/>
      <c r="H17" s="3"/>
      <c r="I17" s="3"/>
      <c r="J17" s="3"/>
      <c r="K17" s="112"/>
      <c r="L17" s="189"/>
      <c r="M17" s="189"/>
      <c r="N17" s="3"/>
      <c r="O17" s="9"/>
    </row>
    <row r="18" spans="1:15" ht="12.75" customHeight="1" x14ac:dyDescent="0.2">
      <c r="B18" s="7"/>
      <c r="C18" s="3"/>
      <c r="D18" s="202" t="s">
        <v>77</v>
      </c>
      <c r="E18" s="202"/>
      <c r="F18" s="202"/>
      <c r="G18" s="202"/>
      <c r="H18" s="202"/>
      <c r="I18" s="3"/>
      <c r="J18" s="3"/>
      <c r="K18" s="112"/>
      <c r="L18" s="189"/>
      <c r="M18" s="189"/>
      <c r="N18" s="3"/>
      <c r="O18" s="9"/>
    </row>
    <row r="19" spans="1:15" ht="20.100000000000001" customHeight="1" thickBot="1" x14ac:dyDescent="0.25">
      <c r="B19" s="7"/>
      <c r="C19" s="3"/>
      <c r="D19" s="203"/>
      <c r="E19" s="203"/>
      <c r="F19" s="203"/>
      <c r="G19" s="203"/>
      <c r="H19" s="203"/>
      <c r="I19" s="3"/>
      <c r="J19" s="3"/>
      <c r="K19" s="112"/>
      <c r="L19" s="189"/>
      <c r="M19" s="18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4" t="s">
        <v>58</v>
      </c>
      <c r="E23" s="190" t="s">
        <v>82</v>
      </c>
      <c r="F23" s="191"/>
      <c r="G23" s="191"/>
      <c r="H23" s="191"/>
      <c r="I23" s="191"/>
      <c r="J23" s="191"/>
      <c r="K23" s="138" t="s">
        <v>64</v>
      </c>
      <c r="L23" s="114">
        <v>43390</v>
      </c>
      <c r="M23" s="116"/>
      <c r="N23" s="55"/>
      <c r="O23" s="9"/>
    </row>
    <row r="24" spans="1:15" ht="27" x14ac:dyDescent="0.35">
      <c r="B24" s="7"/>
      <c r="C24" s="3"/>
      <c r="D24" s="144" t="s">
        <v>59</v>
      </c>
      <c r="E24" s="200" t="s">
        <v>83</v>
      </c>
      <c r="F24" s="200"/>
      <c r="G24" s="200"/>
      <c r="H24" s="201"/>
      <c r="I24" s="201"/>
      <c r="J24" s="201"/>
      <c r="K24" s="138" t="s">
        <v>75</v>
      </c>
      <c r="L24" s="117"/>
      <c r="M24" s="117"/>
      <c r="N24" s="56"/>
      <c r="O24" s="9"/>
    </row>
    <row r="25" spans="1:15" ht="27.75" x14ac:dyDescent="0.4">
      <c r="B25" s="7"/>
      <c r="C25" s="3"/>
      <c r="D25" s="144" t="s">
        <v>72</v>
      </c>
      <c r="E25" s="118"/>
      <c r="F25" s="119" t="s">
        <v>56</v>
      </c>
      <c r="G25" s="192" t="s">
        <v>84</v>
      </c>
      <c r="H25" s="192"/>
      <c r="I25" s="126" t="s">
        <v>61</v>
      </c>
      <c r="J25" s="120" t="s">
        <v>63</v>
      </c>
      <c r="K25" s="138" t="s">
        <v>65</v>
      </c>
      <c r="L25" s="196" t="s">
        <v>87</v>
      </c>
      <c r="M25" s="197"/>
      <c r="N25" s="3"/>
      <c r="O25" s="9"/>
    </row>
    <row r="26" spans="1:15" ht="27.75" customHeight="1" x14ac:dyDescent="0.4">
      <c r="A26">
        <v>71</v>
      </c>
      <c r="B26" s="7"/>
      <c r="C26" s="3"/>
      <c r="D26" s="144" t="s">
        <v>60</v>
      </c>
      <c r="E26" s="198" t="s">
        <v>85</v>
      </c>
      <c r="F26" s="199"/>
      <c r="G26" s="199"/>
      <c r="H26" s="199"/>
      <c r="I26" s="199"/>
      <c r="J26" s="199"/>
      <c r="K26" s="138" t="s">
        <v>86</v>
      </c>
      <c r="L26" s="196"/>
      <c r="M26" s="19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93" t="s">
        <v>22</v>
      </c>
      <c r="G30" s="194"/>
      <c r="H30" s="194"/>
      <c r="I30" s="194"/>
      <c r="J30" s="194"/>
      <c r="K30" s="195"/>
      <c r="L30" s="96" t="s">
        <v>23</v>
      </c>
      <c r="M30" s="97" t="s">
        <v>24</v>
      </c>
      <c r="N30" s="57"/>
      <c r="O30" s="9"/>
    </row>
    <row r="31" spans="1:15" ht="18.75" x14ac:dyDescent="0.3">
      <c r="B31" s="7"/>
      <c r="C31" s="3"/>
      <c r="D31" s="67"/>
      <c r="E31" s="53"/>
      <c r="F31" s="169"/>
      <c r="G31" s="170"/>
      <c r="H31" s="170"/>
      <c r="I31" s="170"/>
      <c r="J31" s="170"/>
      <c r="K31" s="171"/>
      <c r="L31" s="93"/>
      <c r="M31" s="94" t="str">
        <f>IF(E31&lt;&gt;"",E31*L31,"")</f>
        <v/>
      </c>
      <c r="N31" s="57"/>
      <c r="O31" s="9"/>
    </row>
    <row r="32" spans="1:15" ht="26.25" x14ac:dyDescent="0.4">
      <c r="B32" s="7"/>
      <c r="C32" s="3"/>
      <c r="D32" s="153" t="s">
        <v>88</v>
      </c>
      <c r="E32" s="99">
        <v>1</v>
      </c>
      <c r="F32" s="172" t="s">
        <v>71</v>
      </c>
      <c r="G32" s="173"/>
      <c r="H32" s="173"/>
      <c r="I32" s="173"/>
      <c r="J32" s="173"/>
      <c r="K32" s="174"/>
      <c r="L32" s="103">
        <v>200</v>
      </c>
      <c r="M32" s="101">
        <f>IF(E32&lt;&gt;"",E32*L32,"")</f>
        <v>200</v>
      </c>
      <c r="N32" s="57"/>
      <c r="O32" s="9"/>
    </row>
    <row r="33" spans="2:15" ht="25.5" x14ac:dyDescent="0.35">
      <c r="B33" s="7"/>
      <c r="C33" s="3"/>
      <c r="D33" s="67"/>
      <c r="E33" s="102"/>
      <c r="F33" s="175"/>
      <c r="G33" s="176"/>
      <c r="H33" s="176"/>
      <c r="I33" s="176"/>
      <c r="J33" s="176"/>
      <c r="K33" s="177"/>
      <c r="L33" s="103"/>
      <c r="M33" s="104" t="str">
        <f>IF(E33&lt;&gt;"",E33*L33,"")</f>
        <v/>
      </c>
      <c r="N33" s="57"/>
      <c r="O33" s="9"/>
    </row>
    <row r="34" spans="2:15" ht="25.5" x14ac:dyDescent="0.35">
      <c r="B34" s="7"/>
      <c r="C34" s="3"/>
      <c r="D34" s="67"/>
      <c r="E34" s="102"/>
      <c r="F34" s="127"/>
      <c r="G34" s="128"/>
      <c r="H34" s="128"/>
      <c r="I34" s="128"/>
      <c r="J34" s="128"/>
      <c r="K34" s="129"/>
      <c r="L34" s="103"/>
      <c r="M34" s="104"/>
      <c r="N34" s="57"/>
      <c r="O34" s="9"/>
    </row>
    <row r="35" spans="2:15" ht="26.25" x14ac:dyDescent="0.4">
      <c r="B35" s="7"/>
      <c r="C35" s="3"/>
      <c r="D35" s="67"/>
      <c r="E35" s="102"/>
      <c r="F35" s="165"/>
      <c r="G35" s="166"/>
      <c r="H35" s="166"/>
      <c r="I35" s="166"/>
      <c r="J35" s="166"/>
      <c r="K35" s="167"/>
      <c r="L35" s="103"/>
      <c r="M35" s="104"/>
      <c r="N35" s="57"/>
      <c r="O35" s="9"/>
    </row>
    <row r="36" spans="2:15" ht="26.25" x14ac:dyDescent="0.4">
      <c r="B36" s="7"/>
      <c r="C36" s="3"/>
      <c r="D36" s="67"/>
      <c r="E36" s="102"/>
      <c r="F36" s="204"/>
      <c r="G36" s="205"/>
      <c r="H36" s="205"/>
      <c r="I36" s="205"/>
      <c r="J36" s="205"/>
      <c r="K36" s="206"/>
      <c r="L36" s="103"/>
      <c r="M36" s="104" t="str">
        <f>IF(E36&lt;&gt;"",E36*L36,"")</f>
        <v/>
      </c>
      <c r="N36" s="57"/>
      <c r="O36" s="9"/>
    </row>
    <row r="37" spans="2:15" ht="26.25" x14ac:dyDescent="0.4">
      <c r="B37" s="7"/>
      <c r="C37" s="3"/>
      <c r="D37" s="67"/>
      <c r="E37" s="102"/>
      <c r="F37" s="142"/>
      <c r="G37" s="105"/>
      <c r="H37" s="105"/>
      <c r="I37" s="105"/>
      <c r="J37" s="105"/>
      <c r="K37" s="106"/>
      <c r="L37" s="103"/>
      <c r="M37" s="104" t="str">
        <f>IF(E37&lt;&gt;"",E37*L37,"")</f>
        <v/>
      </c>
      <c r="N37" s="57"/>
      <c r="O37" s="9"/>
    </row>
    <row r="38" spans="2:15" ht="27.75" x14ac:dyDescent="0.4">
      <c r="B38" s="7"/>
      <c r="C38" s="3"/>
      <c r="D38" s="67"/>
      <c r="E38" s="102"/>
      <c r="F38" s="157" t="s">
        <v>81</v>
      </c>
      <c r="G38" s="143"/>
      <c r="H38" s="143"/>
      <c r="I38" s="136"/>
      <c r="J38" s="136"/>
      <c r="K38" s="137"/>
      <c r="L38" s="103"/>
      <c r="M38" s="104" t="str">
        <f>IF(E38&lt;&gt;"",E38*L38,"")</f>
        <v/>
      </c>
      <c r="N38" s="57"/>
      <c r="O38" s="9"/>
    </row>
    <row r="39" spans="2:15" ht="26.25" x14ac:dyDescent="0.4">
      <c r="B39" s="7"/>
      <c r="C39" s="3"/>
      <c r="D39" s="67"/>
      <c r="E39" s="102"/>
      <c r="F39" s="142"/>
      <c r="G39" s="143"/>
      <c r="H39" s="143"/>
      <c r="I39" s="136"/>
      <c r="J39" s="136"/>
      <c r="K39" s="137"/>
      <c r="L39" s="103"/>
      <c r="M39" s="104"/>
      <c r="N39" s="57"/>
      <c r="O39" s="9"/>
    </row>
    <row r="40" spans="2:15" ht="26.25" x14ac:dyDescent="0.4">
      <c r="B40" s="7"/>
      <c r="C40" s="3"/>
      <c r="D40" s="67"/>
      <c r="E40" s="102"/>
      <c r="F40" s="142"/>
      <c r="G40" s="143"/>
      <c r="H40" s="143"/>
      <c r="I40" s="136"/>
      <c r="J40" s="136"/>
      <c r="K40" s="137"/>
      <c r="L40" s="103"/>
      <c r="M40" s="104"/>
      <c r="N40" s="57"/>
      <c r="O40" s="9"/>
    </row>
    <row r="41" spans="2:15" ht="26.25" x14ac:dyDescent="0.4">
      <c r="B41" s="7"/>
      <c r="C41" s="3"/>
      <c r="D41" s="67"/>
      <c r="E41" s="102"/>
      <c r="F41" s="172" t="s">
        <v>54</v>
      </c>
      <c r="G41" s="173"/>
      <c r="H41" s="173"/>
      <c r="I41" s="173"/>
      <c r="J41" s="173"/>
      <c r="K41" s="174"/>
      <c r="L41" s="103"/>
      <c r="M41" s="104" t="str">
        <f>IF(E41&lt;&gt;"",E41*L41,"")</f>
        <v/>
      </c>
      <c r="N41" s="57"/>
      <c r="O41" s="9"/>
    </row>
    <row r="42" spans="2:15" ht="26.25" x14ac:dyDescent="0.4">
      <c r="B42" s="7"/>
      <c r="C42" s="3"/>
      <c r="D42" s="67"/>
      <c r="E42" s="102"/>
      <c r="F42" s="165" t="s">
        <v>55</v>
      </c>
      <c r="G42" s="166"/>
      <c r="H42" s="166"/>
      <c r="I42" s="166"/>
      <c r="J42" s="166"/>
      <c r="K42" s="167"/>
      <c r="L42" s="103"/>
      <c r="M42" s="104" t="str">
        <f>IF(E42&lt;&gt;"",E42*L42,"")</f>
        <v/>
      </c>
      <c r="N42" s="57"/>
      <c r="O42" s="9"/>
    </row>
    <row r="43" spans="2:15" ht="26.25" x14ac:dyDescent="0.4">
      <c r="B43" s="7"/>
      <c r="C43" s="3"/>
      <c r="D43" s="67"/>
      <c r="E43" s="102"/>
      <c r="F43" s="165" t="s">
        <v>73</v>
      </c>
      <c r="G43" s="166"/>
      <c r="H43" s="166"/>
      <c r="I43" s="166"/>
      <c r="J43" s="166"/>
      <c r="K43" s="167"/>
      <c r="L43" s="103"/>
      <c r="M43" s="104" t="str">
        <f>IF(E43&lt;&gt;"",E43*L43,"")</f>
        <v/>
      </c>
      <c r="N43" s="57"/>
      <c r="O43" s="9"/>
    </row>
    <row r="44" spans="2:15" ht="26.25" x14ac:dyDescent="0.4">
      <c r="B44" s="7"/>
      <c r="C44" s="3"/>
      <c r="D44" s="67"/>
      <c r="E44" s="102"/>
      <c r="F44" s="165" t="s">
        <v>68</v>
      </c>
      <c r="G44" s="166"/>
      <c r="H44" s="166"/>
      <c r="I44" s="166"/>
      <c r="J44" s="166"/>
      <c r="K44" s="167"/>
      <c r="L44" s="103"/>
      <c r="M44" s="104" t="str">
        <f>IF(E44&lt;&gt;"",E44*L44,"")</f>
        <v/>
      </c>
      <c r="N44" s="57"/>
      <c r="O44" s="9"/>
    </row>
    <row r="45" spans="2:15" ht="26.25" x14ac:dyDescent="0.4">
      <c r="B45" s="7"/>
      <c r="C45" s="3"/>
      <c r="D45" s="67"/>
      <c r="E45" s="102"/>
      <c r="F45" s="172" t="s">
        <v>74</v>
      </c>
      <c r="G45" s="173"/>
      <c r="H45" s="173"/>
      <c r="I45" s="173"/>
      <c r="J45" s="173"/>
      <c r="K45" s="174"/>
      <c r="L45" s="103"/>
      <c r="M45" s="104" t="str">
        <f>IF(E45&lt;&gt;"",E45*L45,"")</f>
        <v/>
      </c>
      <c r="N45" s="57"/>
      <c r="O45" s="9"/>
    </row>
    <row r="46" spans="2:15" ht="26.25" x14ac:dyDescent="0.4">
      <c r="B46" s="7"/>
      <c r="C46" s="3"/>
      <c r="D46" s="67"/>
      <c r="E46" s="102"/>
      <c r="F46" s="100" t="s">
        <v>62</v>
      </c>
      <c r="G46" s="107"/>
      <c r="H46" s="107"/>
      <c r="I46" s="107"/>
      <c r="J46" s="107"/>
      <c r="K46" s="108"/>
      <c r="L46" s="103"/>
      <c r="M46" s="104"/>
      <c r="N46" s="57"/>
      <c r="O46" s="9"/>
    </row>
    <row r="47" spans="2:15" ht="26.25" x14ac:dyDescent="0.4">
      <c r="B47" s="7"/>
      <c r="C47" s="3"/>
      <c r="D47" s="67"/>
      <c r="E47" s="102"/>
      <c r="F47" s="172" t="s">
        <v>66</v>
      </c>
      <c r="G47" s="173"/>
      <c r="H47" s="173"/>
      <c r="I47" s="173"/>
      <c r="J47" s="173"/>
      <c r="K47" s="174"/>
      <c r="L47" s="103"/>
      <c r="M47" s="104" t="str">
        <f>IF(E47&lt;&gt;"",E47*L47,"")</f>
        <v/>
      </c>
      <c r="N47" s="57"/>
      <c r="O47" s="9"/>
    </row>
    <row r="48" spans="2:15" ht="26.25" x14ac:dyDescent="0.4">
      <c r="B48" s="7"/>
      <c r="C48" s="3"/>
      <c r="D48" s="67"/>
      <c r="E48" s="102"/>
      <c r="F48" s="100" t="s">
        <v>67</v>
      </c>
      <c r="G48" s="109"/>
      <c r="H48" s="109"/>
      <c r="I48" s="109"/>
      <c r="J48" s="109"/>
      <c r="K48" s="110"/>
      <c r="L48" s="103"/>
      <c r="M48" s="104" t="str">
        <f>IF(E48&lt;&gt;"",E48*L48,"")</f>
        <v/>
      </c>
      <c r="N48" s="57"/>
      <c r="O48" s="9"/>
    </row>
    <row r="49" spans="2:15" ht="26.25" x14ac:dyDescent="0.4">
      <c r="B49" s="7"/>
      <c r="C49" s="3"/>
      <c r="D49" s="67"/>
      <c r="E49" s="102"/>
      <c r="F49" s="133"/>
      <c r="G49" s="105"/>
      <c r="H49" s="105"/>
      <c r="I49" s="105"/>
      <c r="J49" s="105"/>
      <c r="K49" s="106"/>
      <c r="L49" s="103"/>
      <c r="M49" s="104" t="str">
        <f>IF(E49&lt;&gt;"",E49*L49,"")</f>
        <v/>
      </c>
      <c r="N49" s="57"/>
      <c r="O49" s="9"/>
    </row>
    <row r="50" spans="2:15" ht="26.25" x14ac:dyDescent="0.4">
      <c r="B50" s="7"/>
      <c r="C50" s="3"/>
      <c r="D50" s="67"/>
      <c r="E50" s="102"/>
      <c r="F50" s="111" t="s">
        <v>57</v>
      </c>
      <c r="G50" s="109"/>
      <c r="H50" s="109"/>
      <c r="I50" s="109"/>
      <c r="J50" s="109"/>
      <c r="K50" s="110"/>
      <c r="L50" s="103"/>
      <c r="M50" s="104"/>
      <c r="N50" s="57"/>
      <c r="O50" s="9"/>
    </row>
    <row r="51" spans="2:15" ht="26.25" x14ac:dyDescent="0.4">
      <c r="B51" s="7"/>
      <c r="C51" s="3"/>
      <c r="D51" s="67"/>
      <c r="E51" s="102"/>
      <c r="F51" s="165" t="s">
        <v>69</v>
      </c>
      <c r="G51" s="166"/>
      <c r="H51" s="166"/>
      <c r="I51" s="166"/>
      <c r="J51" s="166"/>
      <c r="K51" s="167"/>
      <c r="L51" s="103"/>
      <c r="M51" s="104"/>
      <c r="N51" s="57"/>
      <c r="O51" s="9"/>
    </row>
    <row r="52" spans="2:15" ht="26.25" x14ac:dyDescent="0.4">
      <c r="B52" s="7"/>
      <c r="C52" s="3"/>
      <c r="D52" s="67"/>
      <c r="E52" s="102"/>
      <c r="F52" s="165" t="s">
        <v>70</v>
      </c>
      <c r="G52" s="166"/>
      <c r="H52" s="166"/>
      <c r="I52" s="166"/>
      <c r="J52" s="166"/>
      <c r="K52" s="167"/>
      <c r="L52" s="103"/>
      <c r="M52" s="104"/>
      <c r="N52" s="57"/>
      <c r="O52" s="9"/>
    </row>
    <row r="53" spans="2:15" ht="26.25" x14ac:dyDescent="0.4">
      <c r="B53" s="7"/>
      <c r="C53" s="3"/>
      <c r="D53" s="67"/>
      <c r="E53" s="102"/>
      <c r="F53" s="132" t="s">
        <v>79</v>
      </c>
      <c r="G53" s="132"/>
      <c r="H53" s="154"/>
      <c r="I53" s="154"/>
      <c r="J53" s="154"/>
      <c r="K53" s="155"/>
      <c r="L53" s="103"/>
      <c r="M53" s="104"/>
      <c r="N53" s="57"/>
      <c r="O53" s="9"/>
    </row>
    <row r="54" spans="2:15" ht="26.25" x14ac:dyDescent="0.4">
      <c r="B54" s="7"/>
      <c r="C54" s="3"/>
      <c r="D54" s="67"/>
      <c r="E54" s="102"/>
      <c r="F54" s="132" t="s">
        <v>80</v>
      </c>
      <c r="G54" s="105"/>
      <c r="H54" s="105"/>
      <c r="I54" s="105"/>
      <c r="J54" s="105"/>
      <c r="K54" s="106"/>
      <c r="L54" s="103"/>
      <c r="M54" s="104"/>
      <c r="N54" s="57"/>
      <c r="O54" s="9"/>
    </row>
    <row r="55" spans="2:15" ht="26.25" x14ac:dyDescent="0.4">
      <c r="B55" s="7"/>
      <c r="C55" s="3"/>
      <c r="D55" s="67"/>
      <c r="E55" s="102"/>
      <c r="F55" s="139"/>
      <c r="G55" s="154"/>
      <c r="H55" s="154"/>
      <c r="I55" s="154"/>
      <c r="J55" s="154"/>
      <c r="K55" s="155"/>
      <c r="L55" s="156"/>
      <c r="M55" s="104"/>
      <c r="N55" s="57"/>
      <c r="O55" s="9"/>
    </row>
    <row r="56" spans="2:15" ht="20.25" x14ac:dyDescent="0.3">
      <c r="B56" s="7"/>
      <c r="C56" s="3"/>
      <c r="D56" s="68"/>
      <c r="E56" s="54"/>
      <c r="F56" s="186"/>
      <c r="G56" s="187"/>
      <c r="H56" s="187"/>
      <c r="I56" s="187"/>
      <c r="J56" s="187"/>
      <c r="K56" s="188"/>
      <c r="L56" s="68"/>
      <c r="M56" s="152" t="str">
        <f>IF(E56&lt;&gt;"",E56*L56,"")</f>
        <v/>
      </c>
      <c r="N56" s="57"/>
      <c r="O56" s="9"/>
    </row>
    <row r="57" spans="2:15" ht="30" x14ac:dyDescent="0.4">
      <c r="B57" s="7"/>
      <c r="C57" s="3"/>
      <c r="D57" s="130"/>
      <c r="E57" s="83"/>
      <c r="F57" s="83"/>
      <c r="G57" s="83"/>
      <c r="H57" s="83"/>
      <c r="I57" s="83"/>
      <c r="J57" s="77"/>
      <c r="K57" s="121"/>
      <c r="L57" s="150" t="s">
        <v>25</v>
      </c>
      <c r="M57" s="125">
        <f>+M32</f>
        <v>200</v>
      </c>
      <c r="N57" s="57"/>
      <c r="O57" s="9"/>
    </row>
    <row r="58" spans="2:15" ht="30" x14ac:dyDescent="0.4">
      <c r="B58" s="7"/>
      <c r="C58" s="3"/>
      <c r="D58" s="3"/>
      <c r="E58" s="83"/>
      <c r="F58" s="83"/>
      <c r="G58" s="83"/>
      <c r="H58" s="83"/>
      <c r="I58" s="83"/>
      <c r="J58" s="77"/>
      <c r="K58" s="121"/>
      <c r="L58" s="147" t="s">
        <v>48</v>
      </c>
      <c r="M58" s="151">
        <v>0.6</v>
      </c>
      <c r="N58" s="57"/>
      <c r="O58" s="9"/>
    </row>
    <row r="59" spans="2:15" ht="30" x14ac:dyDescent="0.4">
      <c r="B59" s="7"/>
      <c r="C59" s="3"/>
      <c r="D59" s="3"/>
      <c r="E59" s="84"/>
      <c r="F59" s="115" t="s">
        <v>26</v>
      </c>
      <c r="G59" s="83"/>
      <c r="H59" s="83"/>
      <c r="I59" s="83"/>
      <c r="J59" s="78"/>
      <c r="K59" s="122"/>
      <c r="L59" s="148" t="s">
        <v>76</v>
      </c>
      <c r="M59" s="131">
        <f>M57*0.19</f>
        <v>38</v>
      </c>
      <c r="N59" s="57"/>
      <c r="O59" s="9"/>
    </row>
    <row r="60" spans="2:15" ht="30" x14ac:dyDescent="0.4">
      <c r="B60" s="7"/>
      <c r="C60" s="3"/>
      <c r="D60" s="3"/>
      <c r="E60" s="86"/>
      <c r="F60" s="115" t="s">
        <v>27</v>
      </c>
      <c r="G60" s="89"/>
      <c r="H60" s="86"/>
      <c r="I60" s="83"/>
      <c r="J60" s="79"/>
      <c r="K60" s="121"/>
      <c r="L60" s="149" t="s">
        <v>29</v>
      </c>
      <c r="M60" s="125">
        <f>M57+M59+M58</f>
        <v>238.6</v>
      </c>
      <c r="N60" s="57"/>
      <c r="O60" s="9"/>
    </row>
    <row r="61" spans="2:15" ht="30" x14ac:dyDescent="0.4">
      <c r="B61" s="7"/>
      <c r="C61" s="3"/>
      <c r="D61" s="3"/>
      <c r="E61" s="86">
        <v>2</v>
      </c>
      <c r="F61" s="85"/>
      <c r="G61" s="83"/>
      <c r="H61" s="87"/>
      <c r="I61" s="83"/>
      <c r="J61" s="80" t="s">
        <v>28</v>
      </c>
      <c r="K61" s="121"/>
      <c r="L61" s="123"/>
      <c r="M61" s="145"/>
      <c r="N61" s="57"/>
      <c r="O61" s="9"/>
    </row>
    <row r="62" spans="2:15" ht="15.75" x14ac:dyDescent="0.25">
      <c r="B62" s="7"/>
      <c r="C62" s="168" t="s">
        <v>89</v>
      </c>
      <c r="D62" s="168"/>
      <c r="E62" s="168"/>
      <c r="F62" s="168"/>
      <c r="G62" s="168"/>
      <c r="H62" s="168"/>
      <c r="I62" s="168"/>
      <c r="J62" s="168"/>
      <c r="K62" s="168"/>
      <c r="L62" s="95"/>
      <c r="M62" s="98"/>
      <c r="N62" s="57"/>
      <c r="O62" s="9"/>
    </row>
    <row r="63" spans="2:15" ht="30" x14ac:dyDescent="0.4">
      <c r="B63" s="7"/>
      <c r="C63" s="3"/>
      <c r="D63" s="3"/>
      <c r="E63" s="88"/>
      <c r="F63" s="184"/>
      <c r="G63" s="184"/>
      <c r="H63" s="184"/>
      <c r="I63" s="185"/>
      <c r="J63" s="81"/>
      <c r="K63" s="124"/>
      <c r="L63" s="135"/>
      <c r="M63" s="135"/>
      <c r="N63" s="57"/>
      <c r="O63" s="9"/>
    </row>
    <row r="64" spans="2:15" ht="18" x14ac:dyDescent="0.2">
      <c r="B64" s="7"/>
      <c r="C64" s="3"/>
      <c r="D64" s="3"/>
      <c r="E64" s="88"/>
      <c r="F64" s="178"/>
      <c r="G64" s="179"/>
      <c r="H64" s="179"/>
      <c r="I64" s="179"/>
      <c r="J64" s="77"/>
      <c r="K64" s="77"/>
      <c r="L64" s="135"/>
      <c r="M64" s="135"/>
      <c r="N64" s="57"/>
      <c r="O64" s="9"/>
    </row>
    <row r="65" spans="1:15" ht="24.95" customHeight="1" x14ac:dyDescent="0.2">
      <c r="B65" s="7"/>
      <c r="C65" s="3"/>
      <c r="D65" s="3"/>
      <c r="E65" s="20"/>
      <c r="F65" s="180"/>
      <c r="G65" s="181"/>
      <c r="H65" s="181"/>
      <c r="I65" s="181"/>
      <c r="J65" s="77"/>
      <c r="K65" s="135"/>
      <c r="L65" s="135"/>
      <c r="M65" s="135"/>
      <c r="N65" s="57"/>
      <c r="O65" s="9"/>
    </row>
    <row r="66" spans="1:15" ht="24.95" customHeight="1" x14ac:dyDescent="0.2">
      <c r="B66" s="7"/>
      <c r="C66" s="3"/>
      <c r="D66" s="3"/>
      <c r="E66" s="20"/>
      <c r="F66" s="146"/>
      <c r="G66" s="182"/>
      <c r="H66" s="183"/>
      <c r="I66" s="183"/>
      <c r="J66" s="77"/>
      <c r="K66" s="135"/>
      <c r="L66" s="82"/>
      <c r="M66" s="82"/>
      <c r="N66" s="57"/>
      <c r="O66" s="9"/>
    </row>
    <row r="67" spans="1:15" ht="15" x14ac:dyDescent="0.2">
      <c r="B67" s="7"/>
      <c r="C67" s="3"/>
      <c r="D67" s="3"/>
      <c r="E67" s="3"/>
      <c r="F67" s="134"/>
      <c r="G67" s="134"/>
      <c r="H67" s="134"/>
      <c r="I67" s="134"/>
      <c r="J67" s="134"/>
      <c r="K67" s="134"/>
      <c r="L67" s="134"/>
      <c r="M67" s="77"/>
      <c r="N67" s="57"/>
      <c r="O67" s="9"/>
    </row>
    <row r="68" spans="1:15" ht="13.5" thickBot="1" x14ac:dyDescent="0.25">
      <c r="B68" s="7"/>
      <c r="C68" s="3"/>
      <c r="D68" s="3"/>
      <c r="E68" s="3"/>
      <c r="F68" s="3"/>
      <c r="G68" s="3"/>
      <c r="H68" s="3"/>
      <c r="I68" s="3"/>
      <c r="J68" s="3"/>
      <c r="K68" s="3"/>
      <c r="L68" s="3"/>
      <c r="M68" s="3"/>
      <c r="N68" s="57"/>
      <c r="O68" s="9"/>
    </row>
    <row r="69" spans="1:15" ht="13.5" thickTop="1" x14ac:dyDescent="0.2">
      <c r="B69" s="7"/>
      <c r="C69" s="58"/>
      <c r="D69" s="58"/>
      <c r="E69" s="58"/>
      <c r="F69" s="58"/>
      <c r="G69" s="58"/>
      <c r="H69" s="58"/>
      <c r="I69" s="58"/>
      <c r="J69" s="58"/>
      <c r="K69" s="58"/>
      <c r="L69" s="58"/>
      <c r="M69" s="58"/>
      <c r="N69" s="57"/>
      <c r="O69" s="9"/>
    </row>
    <row r="70" spans="1:15" x14ac:dyDescent="0.2">
      <c r="B70" s="7"/>
      <c r="C70" s="3"/>
      <c r="D70" s="3"/>
      <c r="E70" s="3"/>
      <c r="F70" s="3"/>
      <c r="G70" s="3"/>
      <c r="H70" s="3"/>
      <c r="I70" s="3"/>
      <c r="J70" s="3"/>
      <c r="K70" s="3"/>
      <c r="L70" s="3"/>
      <c r="M70" s="3"/>
      <c r="N70" s="57"/>
      <c r="O70" s="9"/>
    </row>
    <row r="71" spans="1:15" ht="3" customHeight="1" x14ac:dyDescent="0.2">
      <c r="B71" s="7"/>
      <c r="C71" s="3"/>
      <c r="D71" s="3"/>
      <c r="E71" s="3"/>
      <c r="F71" s="3"/>
      <c r="G71" s="3"/>
      <c r="H71" s="3"/>
      <c r="I71" s="3"/>
      <c r="J71" s="3"/>
      <c r="K71" s="3"/>
      <c r="L71" s="3"/>
      <c r="M71" s="3"/>
      <c r="N71" s="57"/>
      <c r="O71" s="9"/>
    </row>
    <row r="72" spans="1:15" x14ac:dyDescent="0.2">
      <c r="A72" s="139"/>
      <c r="B72" s="140"/>
      <c r="C72" s="112"/>
      <c r="D72" s="112"/>
      <c r="E72" s="112"/>
      <c r="F72" s="112"/>
      <c r="G72" s="112"/>
      <c r="H72" s="112"/>
      <c r="I72" s="112"/>
      <c r="J72" s="112"/>
      <c r="K72" s="112"/>
      <c r="L72" s="112"/>
      <c r="M72" s="112"/>
      <c r="N72" s="57"/>
      <c r="O72" s="9"/>
    </row>
    <row r="73" spans="1:15" x14ac:dyDescent="0.2">
      <c r="A73" s="139"/>
      <c r="B73" s="140"/>
      <c r="C73" s="112"/>
      <c r="D73" s="112"/>
      <c r="E73" s="112"/>
      <c r="F73" s="141"/>
      <c r="G73" s="141"/>
      <c r="H73" s="141"/>
      <c r="I73" s="141"/>
      <c r="J73" s="141"/>
      <c r="K73" s="141"/>
      <c r="L73" s="141"/>
      <c r="M73" s="141"/>
      <c r="N73" s="57"/>
      <c r="O73" s="9"/>
    </row>
    <row r="74" spans="1:15" x14ac:dyDescent="0.2">
      <c r="A74" s="139"/>
      <c r="B74" s="140"/>
      <c r="C74" s="112"/>
      <c r="D74" s="112"/>
      <c r="E74" s="112"/>
      <c r="F74" s="141"/>
      <c r="G74" s="141"/>
      <c r="H74" s="141"/>
      <c r="I74" s="141"/>
      <c r="J74" s="141"/>
      <c r="K74" s="141"/>
      <c r="L74" s="141"/>
      <c r="M74" s="141"/>
      <c r="N74" s="57"/>
      <c r="O74" s="9"/>
    </row>
    <row r="75" spans="1:15" ht="0.95" customHeight="1" thickBot="1" x14ac:dyDescent="0.25">
      <c r="B75" s="10"/>
      <c r="C75" s="11"/>
      <c r="D75" s="11"/>
      <c r="E75" s="11"/>
      <c r="F75" s="11"/>
      <c r="G75" s="11"/>
      <c r="H75" s="11"/>
      <c r="I75" s="11"/>
      <c r="J75" s="11"/>
      <c r="K75" s="11"/>
      <c r="L75" s="3"/>
      <c r="M75" s="3"/>
      <c r="N75" s="11"/>
      <c r="O75" s="12"/>
    </row>
    <row r="76" spans="1:15" ht="6" customHeight="1" thickTop="1" x14ac:dyDescent="0.2">
      <c r="L76" s="3"/>
      <c r="M76"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L15:M19"/>
    <mergeCell ref="E23:J23"/>
    <mergeCell ref="G25:H25"/>
    <mergeCell ref="F30:K30"/>
    <mergeCell ref="L25:M25"/>
    <mergeCell ref="E26:J26"/>
    <mergeCell ref="E24:J24"/>
    <mergeCell ref="L26:M26"/>
    <mergeCell ref="D18:H19"/>
    <mergeCell ref="F64:I64"/>
    <mergeCell ref="F65:I65"/>
    <mergeCell ref="G66:I66"/>
    <mergeCell ref="F52:K52"/>
    <mergeCell ref="F63:I63"/>
    <mergeCell ref="F56:K56"/>
    <mergeCell ref="F51:K51"/>
    <mergeCell ref="C62:K62"/>
    <mergeCell ref="F35:K35"/>
    <mergeCell ref="F31:K31"/>
    <mergeCell ref="F32:K32"/>
    <mergeCell ref="F33:K33"/>
    <mergeCell ref="F44:K44"/>
    <mergeCell ref="F42:K42"/>
    <mergeCell ref="F43:K43"/>
    <mergeCell ref="F41:K41"/>
    <mergeCell ref="F45:K45"/>
    <mergeCell ref="F47:K47"/>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K66 L62:M62"/>
    <dataValidation type="textLength" errorStyle="warning" allowBlank="1" showErrorMessage="1" errorTitle="Total" error="Les cellules ombrées contiennent des formules et sont calculées automatiquement par Excel. N'y tapez aucune information." promptTitle="Total" sqref="M60:M61">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2:K74 L70:L72"/>
    <dataValidation type="textLength" errorStyle="warning" allowBlank="1" showErrorMessage="1" errorTitle="T.V.A." error="Les cellules ombrées contiennent des formules et sont calculées automatiquement par Excel. N'y tapez aucune information." promptTitle="T.V.A." sqref="L5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9">
      <formula1>0</formula1>
      <formula2>0</formula2>
    </dataValidation>
    <dataValidation type="whole" errorStyle="warning" allowBlank="1" showErrorMessage="1" errorTitle="Quantité" error="Tapez un nombre dans cette cellule." promptTitle="Quantité" sqref="E31:E56">
      <formula1>0</formula1>
      <formula2>1000000000</formula2>
    </dataValidation>
    <dataValidation type="decimal" allowBlank="1" showErrorMessage="1" errorTitle="Prix unitaire" error="Tapez un nombre dans cette cellule." promptTitle="Prix unitaire" sqref="L31:L5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58</xdr:row>
                    <xdr:rowOff>9525</xdr:rowOff>
                  </from>
                  <to>
                    <xdr:col>4</xdr:col>
                    <xdr:colOff>571500</xdr:colOff>
                    <xdr:row>58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59</xdr:row>
                    <xdr:rowOff>0</xdr:rowOff>
                  </from>
                  <to>
                    <xdr:col>4</xdr:col>
                    <xdr:colOff>552450</xdr:colOff>
                    <xdr:row>59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43390</v>
      </c>
      <c r="D8" s="72" t="str">
        <f>Facture!$E$23</f>
        <v xml:space="preserve">SAIDA </v>
      </c>
      <c r="E8" s="69" t="str">
        <f>Facture!$E$24</f>
        <v xml:space="preserve">MEGRINE EL RIADH </v>
      </c>
      <c r="F8" s="69">
        <f>Facture!$E$25</f>
        <v>0</v>
      </c>
      <c r="G8" s="72" t="str">
        <f>Facture!$G$25</f>
        <v xml:space="preserve">MEGRINE </v>
      </c>
      <c r="H8" s="72" t="str">
        <f>Facture!$J$25</f>
        <v>TN</v>
      </c>
      <c r="I8" s="69" t="str">
        <f>Facture!$E$26</f>
        <v xml:space="preserve">               Fax : </v>
      </c>
      <c r="J8" s="73">
        <f>Facture!$M$60</f>
        <v>238.6</v>
      </c>
      <c r="K8" s="69" t="str">
        <f>Facture!$L$25</f>
        <v xml:space="preserve">MOUHAMED ALI OUERFELLI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96</vt:i4>
      </vt:variant>
    </vt:vector>
  </HeadingPairs>
  <TitlesOfParts>
    <vt:vector size="10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2009-04-16T07:02:15Z</cp:lastPrinted>
  <dcterms:created xsi:type="dcterms:W3CDTF">1995-05-29T15:50:39Z</dcterms:created>
  <dcterms:modified xsi:type="dcterms:W3CDTF">2018-10-17T07:59:45Z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SAIDA </vt:lpwstr>
  </property>
  <property fmtid="{D5CDD505-2E9C-101B-9397-08002B2CF9AE}" pid="11" name="Montant de la facture" linkTarget="TOT">
    <vt:r8>238.6</vt:r8>
  </property>
</Properties>
</file>