
<file path=[Content_Types].xml><?xml version="1.0" encoding="utf-8"?>
<Types xmlns="http://schemas.openxmlformats.org/package/2006/content-types">
  <Default Extension="bin" ContentType="application/vnd.openxmlformats-officedocument.spreadsheetml.printerSettings"/>
  <Default Extension="png" ContentType="image/png"/>
  <Default Extension="emf" ContentType="image/x-emf"/>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dialogsheets/sheet1.xml" ContentType="application/vnd.openxmlformats-officedocument.spreadsheetml.dialogsheet+xml"/>
  <Override PartName="/xl/dialogsheets/sheet2.xml" ContentType="application/vnd.openxmlformats-officedocument.spreadsheetml.dialog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ctrlProps/ctrlProp4.xml" ContentType="application/vnd.ms-excel.controlproperties+xml"/>
  <Override PartName="/xl/comments1.xml" ContentType="application/vnd.openxmlformats-officedocument.spreadsheetml.comments+xml"/>
  <Override PartName="/xl/drawings/drawing2.xml" ContentType="application/vnd.openxmlformats-officedocument.drawing+xml"/>
  <Override PartName="/xl/ctrlProps/ctrlProp5.xml" ContentType="application/vnd.ms-excel.controlproperties+xml"/>
  <Override PartName="/xl/ctrlProps/ctrlProp6.xml" ContentType="application/vnd.ms-excel.controlproperties+xml"/>
  <Override PartName="/xl/comments2.xml" ContentType="application/vnd.openxmlformats-officedocument.spreadsheetml.comments+xml"/>
  <Override PartName="/xl/calcChain.xml" ContentType="application/vnd.openxmlformats-officedocument.spreadsheetml.calcChain+xml"/>
  <Override PartName="/xl/attachedToolbars.bin" ContentType="application/vnd.ms-excel.attachedToolbars"/>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4" rupBuild="14420"/>
  <workbookPr codeName="ThisWorkbook"/>
  <mc:AlternateContent xmlns:mc="http://schemas.openxmlformats.org/markup-compatibility/2006">
    <mc:Choice Requires="x15">
      <x15ac:absPath xmlns:x15ac="http://schemas.microsoft.com/office/spreadsheetml/2010/11/ac" url="C:\Users\User\Desktop\GAMESTREAM ATLAS\DEVIS 2018\"/>
    </mc:Choice>
  </mc:AlternateContent>
  <bookViews>
    <workbookView xWindow="0" yWindow="0" windowWidth="19200" windowHeight="12795" tabRatio="758" firstSheet="2" activeTab="2"/>
  </bookViews>
  <sheets>
    <sheet name="AutoOpen Stub Data" sheetId="1" state="veryHidden" r:id="rId1"/>
    <sheet name="Personnaliser votre facture" sheetId="2" state="hidden" r:id="rId2"/>
    <sheet name="Facture" sheetId="3" r:id="rId3"/>
    <sheet name="Patientez un instant..." sheetId="20" state="hidden" r:id="rId4"/>
    <sheet name="TemplateInformation" sheetId="8" state="hidden" r:id="rId5"/>
    <sheet name="Macros" sheetId="4" state="veryHidden" r:id="rId6"/>
    <sheet name="ATW" sheetId="5" state="veryHidden" r:id="rId7"/>
    <sheet name="Verrouiller" sheetId="6" state="veryHidden" r:id="rId8"/>
  </sheets>
  <externalReferences>
    <externalReference r:id="rId9"/>
    <externalReference r:id="rId10"/>
    <externalReference r:id="rId11"/>
  </externalReferences>
  <definedNames>
    <definedName name="__IntlFixup" hidden="1">TRUE</definedName>
    <definedName name="__IntlFixupTable" hidden="1">#REF!</definedName>
    <definedName name="_SHR1">'Personnaliser votre facture'!$D$30</definedName>
    <definedName name="_SHR2">'Personnaliser votre facture'!$G$30</definedName>
    <definedName name="_Tax1">Facture!$L$54</definedName>
    <definedName name="_Tax2">Facture!#REF!</definedName>
    <definedName name="_Tax3">Facture!#REF!</definedName>
    <definedName name="_tax4">Facture!#REF!</definedName>
    <definedName name="_xlnm.Auto_Open21">'AutoOpen Stub Data'!$A$1</definedName>
    <definedName name="boxes">Facture!$E$54:$E$55</definedName>
    <definedName name="CC">'Personnaliser votre facture'!$G$22:$G$25</definedName>
    <definedName name="CCT">Facture!$H$56</definedName>
    <definedName name="CDB">'Personnaliser votre facture'!$E$50</definedName>
    <definedName name="Country">33</definedName>
    <definedName name="CS">'Personnaliser votre facture'!$E$51</definedName>
    <definedName name="data1">Facture!$L$23</definedName>
    <definedName name="data10">Facture!$F$26</definedName>
    <definedName name="data11">Facture!#REF!</definedName>
    <definedName name="data12">Facture!#REF!</definedName>
    <definedName name="data13">Facture!#REF!</definedName>
    <definedName name="data14">Facture!#REF!</definedName>
    <definedName name="data15">Facture!#REF!</definedName>
    <definedName name="data16">Facture!#REF!</definedName>
    <definedName name="data17">Facture!#REF!</definedName>
    <definedName name="data18">Facture!#REF!</definedName>
    <definedName name="data19">Facture!#REF!</definedName>
    <definedName name="data2">Facture!$M$24</definedName>
    <definedName name="data20">Facture!#REF!</definedName>
    <definedName name="data21">Facture!#REF!</definedName>
    <definedName name="data22">Facture!#REF!</definedName>
    <definedName name="data23">Facture!#REF!</definedName>
    <definedName name="data24">Facture!#REF!</definedName>
    <definedName name="data25">Facture!#REF!</definedName>
    <definedName name="data26">Facture!#REF!</definedName>
    <definedName name="data27">Facture!#REF!</definedName>
    <definedName name="data28">Facture!#REF!</definedName>
    <definedName name="data29">Facture!#REF!</definedName>
    <definedName name="data3">Facture!$M$25</definedName>
    <definedName name="data30">Facture!#REF!</definedName>
    <definedName name="data31">Facture!#REF!</definedName>
    <definedName name="data32">Facture!#REF!</definedName>
    <definedName name="data33">Facture!#REF!</definedName>
    <definedName name="data34">Facture!#REF!</definedName>
    <definedName name="data35">Facture!#REF!</definedName>
    <definedName name="data36">Facture!#REF!</definedName>
    <definedName name="data37">Facture!#REF!</definedName>
    <definedName name="data38">Facture!#REF!</definedName>
    <definedName name="data39">Facture!#REF!</definedName>
    <definedName name="data4">Facture!$M$26</definedName>
    <definedName name="data40">Facture!#REF!</definedName>
    <definedName name="data41">Facture!#REF!</definedName>
    <definedName name="data42">Facture!#REF!</definedName>
    <definedName name="data43">Facture!#REF!</definedName>
    <definedName name="data44">Facture!#REF!</definedName>
    <definedName name="data45">Facture!#REF!</definedName>
    <definedName name="data46">Facture!#REF!</definedName>
    <definedName name="data47">Facture!$E$37</definedName>
    <definedName name="data48">Facture!$F$37</definedName>
    <definedName name="data49">Facture!$L$37</definedName>
    <definedName name="data5">Facture!$E$23</definedName>
    <definedName name="data50">Facture!#REF!</definedName>
    <definedName name="data51">Facture!#REF!</definedName>
    <definedName name="data52">Facture!#REF!</definedName>
    <definedName name="data53">Facture!$E$41</definedName>
    <definedName name="data54">Facture!$F$41</definedName>
    <definedName name="data55">Facture!$L$41</definedName>
    <definedName name="data56">Facture!$E$43</definedName>
    <definedName name="data57">Facture!$F$43</definedName>
    <definedName name="data58">Facture!$L$43</definedName>
    <definedName name="data59">Facture!$E$51</definedName>
    <definedName name="data6">Facture!$F$24</definedName>
    <definedName name="data60">Facture!$F$51</definedName>
    <definedName name="data61">Facture!$L$51</definedName>
    <definedName name="data62">Facture!$E$54</definedName>
    <definedName name="data63">Facture!$E$55</definedName>
    <definedName name="data64">Facture!$E$56</definedName>
    <definedName name="data65">Facture!$H$55</definedName>
    <definedName name="data66">Facture!$F$58</definedName>
    <definedName name="data67">Facture!$F$60</definedName>
    <definedName name="data68">Facture!$G$61</definedName>
    <definedName name="data69">Facture!$K$61</definedName>
    <definedName name="data7">Facture!$H$25</definedName>
    <definedName name="data70">Facture!#REF!</definedName>
    <definedName name="data8">Facture!$J$25</definedName>
    <definedName name="dflt1">'Personnaliser votre facture'!$E$22</definedName>
    <definedName name="dflt2">'Personnaliser votre facture'!$E$23</definedName>
    <definedName name="dflt3">'Personnaliser votre facture'!$E$24</definedName>
    <definedName name="dflt4">'Personnaliser votre facture'!$E$26</definedName>
    <definedName name="dflt5">'Personnaliser votre facture'!$E$27</definedName>
    <definedName name="dflt6">'Personnaliser votre facture'!$D$28</definedName>
    <definedName name="dflt7">'Personnaliser votre facture'!$G$27</definedName>
    <definedName name="display_area_1">'Personnaliser votre facture'!$C$3:$I$44</definedName>
    <definedName name="display_area_2">Facture!$C$3:$N$69</definedName>
    <definedName name="GoAssetChart">[1]!GoAssetChart</definedName>
    <definedName name="GoBack">[1]!GoBack</definedName>
    <definedName name="GoBalanceSheet">[1]!GoBalanceSheet</definedName>
    <definedName name="GoCashFlow">[1]!GoCashFlow</definedName>
    <definedName name="GoData">[1]!GoData</definedName>
    <definedName name="GoIncomeChart">[1]!GoIncomeChart</definedName>
    <definedName name="LOC">'Personnaliser votre facture'!$E$47</definedName>
    <definedName name="LTR">'Personnaliser votre facture'!$F$38</definedName>
    <definedName name="NO">Facture!$M$11</definedName>
    <definedName name="NS">'Personnaliser votre facture'!$E$49</definedName>
    <definedName name="qzqzqz1">Facture!$E$23:$J$23</definedName>
    <definedName name="qzqzqz10">Facture!#REF!</definedName>
    <definedName name="qzqzqz11">Facture!#REF!</definedName>
    <definedName name="qzqzqz12">Facture!#REF!</definedName>
    <definedName name="qzqzqz13">Facture!#REF!</definedName>
    <definedName name="qzqzqz14">Facture!#REF!</definedName>
    <definedName name="qzqzqz15">Facture!#REF!</definedName>
    <definedName name="qzqzqz16">Facture!#REF!</definedName>
    <definedName name="qzqzqz17">Facture!#REF!</definedName>
    <definedName name="qzqzqz18">Facture!#REF!</definedName>
    <definedName name="qzqzqz19">Facture!#REF!</definedName>
    <definedName name="qzqzqz2">Facture!$L$23:$M$23</definedName>
    <definedName name="qzqzqz20">Facture!#REF!</definedName>
    <definedName name="qzqzqz21">Facture!$F$37:$K$37</definedName>
    <definedName name="qzqzqz22">Facture!#REF!</definedName>
    <definedName name="qzqzqz23">Facture!$F$41:$K$41</definedName>
    <definedName name="qzqzqz24">Facture!$F$43:$K$43</definedName>
    <definedName name="qzqzqz25">Facture!$F$51:$K$51</definedName>
    <definedName name="qzqzqz26">Facture!$F$58:$I$58</definedName>
    <definedName name="qzqzqz27">Facture!$F$59:$I$59</definedName>
    <definedName name="qzqzqz28">Facture!$F$60:$I$60</definedName>
    <definedName name="qzqzqz29">Facture!$K$60:$M$61</definedName>
    <definedName name="qzqzqz3">Facture!$E$24:$J$24</definedName>
    <definedName name="qzqzqz30">Facture!$G$61:$I$61</definedName>
    <definedName name="qzqzqz31">Facture!$G$61:$H$61</definedName>
    <definedName name="qzqzqz32">Facture!$K$59:$M$61</definedName>
    <definedName name="qzqzqz4">Facture!$G$25:$H$25</definedName>
    <definedName name="qzqzqz5">Facture!$L$25:$M$25</definedName>
    <definedName name="qzqzqz6">Facture!$E$26:$J$26</definedName>
    <definedName name="qzqzqz7">Facture!$L$26:$M$26</definedName>
    <definedName name="qzqzqz8">Facture!$F$30:$K$30</definedName>
    <definedName name="qzqzqz9">Facture!#REF!</definedName>
    <definedName name="SS">'Personnaliser votre facture'!$E$48</definedName>
    <definedName name="TOT">Facture!$M$55</definedName>
    <definedName name="vital1">'Personnaliser votre facture'!$E$12</definedName>
    <definedName name="vital2">'Personnaliser votre facture'!$E$13</definedName>
    <definedName name="vital4">'Personnaliser votre facture'!$E$15</definedName>
    <definedName name="vital5">'Personnaliser votre facture'!$E$16</definedName>
    <definedName name="vital6">'Personnaliser votre facture'!$E$14</definedName>
    <definedName name="vital8">'Personnaliser votre facture'!$G$12</definedName>
    <definedName name="vital9">'Personnaliser votre facture'!$G$13</definedName>
    <definedName name="_xlnm.Print_Area" localSheetId="2">Facture!$C$3:$N$69</definedName>
  </definedNames>
  <calcPr calcId="152511"/>
</workbook>
</file>

<file path=xl/calcChain.xml><?xml version="1.0" encoding="utf-8"?>
<calcChain xmlns="http://schemas.openxmlformats.org/spreadsheetml/2006/main">
  <c r="M34" i="3" l="1"/>
  <c r="M37" i="3"/>
  <c r="M38" i="3"/>
  <c r="M39" i="3"/>
  <c r="M40" i="3"/>
  <c r="M41" i="3"/>
  <c r="M42" i="3"/>
  <c r="M43" i="3"/>
  <c r="M44" i="3"/>
  <c r="M45" i="3"/>
  <c r="M46" i="3"/>
  <c r="M47" i="3"/>
  <c r="M48" i="3"/>
  <c r="M49" i="3"/>
  <c r="M50" i="3"/>
  <c r="M51" i="3" l="1"/>
  <c r="M52" i="3" l="1"/>
  <c r="M54" i="3" s="1"/>
  <c r="F33" i="2"/>
  <c r="K8" i="8"/>
  <c r="I8" i="8"/>
  <c r="H8" i="8"/>
  <c r="G8" i="8"/>
  <c r="F8" i="8"/>
  <c r="E8" i="8"/>
  <c r="D8" i="8"/>
  <c r="C8" i="8"/>
  <c r="B8" i="8"/>
  <c r="M55" i="3" l="1"/>
  <c r="J8" i="8" s="1"/>
</calcChain>
</file>

<file path=xl/comments1.xml><?xml version="1.0" encoding="utf-8"?>
<comments xmlns="http://schemas.openxmlformats.org/spreadsheetml/2006/main">
  <authors>
    <author>Un utilisateur satisfait de Microsoft Office</author>
  </authors>
  <commentList>
    <comment ref="D4" authorId="0" shapeId="0">
      <text>
        <r>
          <rPr>
            <sz val="8"/>
            <color indexed="81"/>
            <rFont val="Tahoma"/>
            <family val="2"/>
          </rPr>
          <t>PERSONNALISER VOTRE FACTURE
Utilisez cette feuille pour entrer toutes les informations sur la société pouvant être utilisées par d'autres feuilles dans ce modèle. Ce modèle mettra en forme ces informations pour vous et les placera dans la feuille Facture. Vous pouvez verrouiller cette feuille quand vous avez terminé et enregistrez le modèle pour de prochaines utilisations.</t>
        </r>
      </text>
    </comment>
    <comment ref="E7" authorId="0" shapeId="0">
      <text>
        <r>
          <rPr>
            <sz val="8"/>
            <color indexed="81"/>
            <rFont val="Tahoma"/>
            <family val="2"/>
          </rPr>
          <t>VERROUILLER/DÉVERROUILLER LA FEUILLE
Cliquez sur ce bouton pour éviter toute modification accidentelle. Le bouton Déverrouiller une feuille apparaît. Pour saisir de nouvelles informations, cliquez à nouveau sur celui-ci. Quand vous verrouillez cette feuille, vous pouvez simplement verrouiller la feuille ou enregistrer votre propre version du modèle avec vos informations personnelles.</t>
        </r>
      </text>
    </comment>
    <comment ref="G8" authorId="0" shapeId="0">
      <text>
        <r>
          <rPr>
            <sz val="8"/>
            <color indexed="81"/>
            <rFont val="Tahoma"/>
            <family val="2"/>
          </rPr>
          <t>INFO-BULLES
La fonctionnalité Info-bulles est d'une grande utilité dans Microsoft Excel. D'une part, les Info-bulles de barre d'outils vous renseignent sur les barres d'outils et d'autre part, les Info-bulles de cellule vous donnent des précisions concernant les cellules de votre feuille.Vous pouvez même créer vos propres Info-bulles en utilisant le bouton Nouveau commentaire de la barre d'outils Facture.</t>
        </r>
      </text>
    </comment>
    <comment ref="D10" authorId="0" shapeId="0">
      <text>
        <r>
          <rPr>
            <sz val="8"/>
            <color indexed="81"/>
            <rFont val="Tahoma"/>
            <family val="2"/>
          </rPr>
          <t>INFORMATIONS SUR LA SOCIÉTÉ
Les informations saisies dans ces cellules mettront à jour les champs d'adresse du modèle de facture. Il n'est pas nécessaire de remplir toutes les cellules. Les cellules laissées vides n'apparaîtront pas dans le champ.</t>
        </r>
      </text>
    </comment>
    <comment ref="D19" authorId="0" shapeId="0">
      <text>
        <r>
          <rPr>
            <sz val="8"/>
            <color indexed="81"/>
            <rFont val="Tahoma"/>
            <family val="2"/>
          </rPr>
          <t xml:space="preserve">INFORMATIONS PAR DÉFAUT SUR LA FACTURE
Les informations tapées dans ces cellules mettront à jour automatiquement le modèle de facture. Vous pouvez modifier l'information de ces cellules en tapant directement sur les anciennes informations. </t>
        </r>
      </text>
    </comment>
    <comment ref="E30" authorId="0" shapeId="0">
      <text>
        <r>
          <rPr>
            <sz val="8"/>
            <color indexed="81"/>
            <rFont val="Tahoma"/>
            <family val="2"/>
          </rPr>
          <t>Le numérotage sert normalement à votre ordinateur seulement. Si vous voulez générer des factures successives à partir de plusieurs ordinateurs sur un réseau, activez la case à cocher et spécifiez l'emplacement du serveur dans la zone Emplacement du compteur. Pour plus d'informations à propos du numérotage automatique, cliquez sur Aide du modèle de la barre d'outils Facture.</t>
        </r>
      </text>
    </comment>
    <comment ref="D36" authorId="0" shapeId="0">
      <text>
        <r>
          <rPr>
            <sz val="8"/>
            <color indexed="81"/>
            <rFont val="Tahoma"/>
            <family val="2"/>
          </rPr>
          <t xml:space="preserve">INFORMATIONS DE MISE EN FORME
Utilisez cette zone pour personnaliser votre facture. Cliquez sur Sélectionner un logo pour choisir un graphique pour votre logo. Cliquez sur Modifier la police pour modifier la police dans le champ d'adresse. Les modifications du champ seront automatiquement mises à jour dans toutes les feuilles appropriées. </t>
        </r>
      </text>
    </comment>
  </commentList>
</comments>
</file>

<file path=xl/comments2.xml><?xml version="1.0" encoding="utf-8"?>
<comments xmlns="http://schemas.openxmlformats.org/spreadsheetml/2006/main">
  <authors>
    <author>Un utilisateur satisfait de Microsoft Office</author>
  </authors>
  <commentList>
    <comment ref="C3" authorId="0" shapeId="0">
      <text>
        <r>
          <rPr>
            <sz val="8"/>
            <color indexed="81"/>
            <rFont val="Tahoma"/>
            <family val="2"/>
          </rPr>
          <t>Si vous n'avez pas inséré de logo dans votre modèle de facture personnalisé, cette zone n'apparaîtra pas sur vos documents imprimés.</t>
        </r>
      </text>
    </comment>
  </commentList>
</comments>
</file>

<file path=xl/sharedStrings.xml><?xml version="1.0" encoding="utf-8"?>
<sst xmlns="http://schemas.openxmlformats.org/spreadsheetml/2006/main" count="98" uniqueCount="90">
  <si>
    <t>PERSONNALISER VOTRE FACTURE</t>
  </si>
  <si>
    <t>ICI pour un conseil utile</t>
  </si>
  <si>
    <t>Tapez les informations sur la société...</t>
  </si>
  <si>
    <t>Nom</t>
  </si>
  <si>
    <t>Numéro de téléphone</t>
  </si>
  <si>
    <t>Adresse</t>
  </si>
  <si>
    <t>Numéro de télécopie</t>
  </si>
  <si>
    <t>Code postal</t>
  </si>
  <si>
    <t>Ville</t>
  </si>
  <si>
    <t>Pays</t>
  </si>
  <si>
    <t>Cartes de crédit acceptées</t>
  </si>
  <si>
    <t>Partage de la numérotation du</t>
  </si>
  <si>
    <t>Emplacement</t>
  </si>
  <si>
    <t>modèle de facture sur le réseau</t>
  </si>
  <si>
    <t>du compteur</t>
  </si>
  <si>
    <t xml:space="preserve">Base de données de l'Assistant Modèle  </t>
  </si>
  <si>
    <t>Informations sur la mise en forme</t>
  </si>
  <si>
    <t>Facture</t>
  </si>
  <si>
    <t>Date</t>
  </si>
  <si>
    <t>Responsable</t>
  </si>
  <si>
    <t>Téléphone</t>
  </si>
  <si>
    <t>Quantité</t>
  </si>
  <si>
    <t>Description</t>
  </si>
  <si>
    <t>P.U.</t>
  </si>
  <si>
    <t>Montant</t>
  </si>
  <si>
    <t>Total H.T.</t>
  </si>
  <si>
    <t>Comptant</t>
  </si>
  <si>
    <t>Chèque</t>
  </si>
  <si>
    <t xml:space="preserve"> </t>
  </si>
  <si>
    <t>Total T.T.C.</t>
  </si>
  <si>
    <t>AutoTemplateWizardDONTMESSWITHIT</t>
  </si>
  <si>
    <t>Excel 5.0</t>
  </si>
  <si>
    <t>Reserved</t>
  </si>
  <si>
    <t>Facture N°</t>
  </si>
  <si>
    <t>TOTAL</t>
  </si>
  <si>
    <t>Taux de TVA à appliquer</t>
  </si>
  <si>
    <t>Référence</t>
  </si>
  <si>
    <t>Database Type:</t>
  </si>
  <si>
    <t>Database Location:</t>
  </si>
  <si>
    <t>Number of Tables:</t>
  </si>
  <si>
    <t>Table Name:</t>
  </si>
  <si>
    <t>Number of Fields:</t>
  </si>
  <si>
    <t>Field Name:</t>
  </si>
  <si>
    <t>Refers To:</t>
  </si>
  <si>
    <t>France</t>
  </si>
  <si>
    <t>C:\PROGRAM FILES\MICROSOFT OFFICE\OFFICE\MACROLIB\factbd.xls</t>
  </si>
  <si>
    <t>Placez votre point</t>
  </si>
  <si>
    <t>Spécifiez les informations par défaut…</t>
  </si>
  <si>
    <t>TIMBRE FISCAL</t>
  </si>
  <si>
    <t>4 RUE DU CAIRE 1001 TUNIS</t>
  </si>
  <si>
    <t>TEL:  71 258108</t>
  </si>
  <si>
    <t>FAX : 71 259346</t>
  </si>
  <si>
    <t xml:space="preserve">GAMESTREAM ATLAS  ORGANISME DE FORMATION N° D'AGREMENT : 01 069 11 </t>
  </si>
  <si>
    <t/>
  </si>
  <si>
    <t>COMPRENANT :</t>
  </si>
  <si>
    <t xml:space="preserve">  1- PRESTATION DE L'ANIMATEUR </t>
  </si>
  <si>
    <t>Ville:</t>
  </si>
  <si>
    <t>N.B:</t>
  </si>
  <si>
    <t>Nom:</t>
  </si>
  <si>
    <t>Adresse:</t>
  </si>
  <si>
    <t xml:space="preserve">Téléphone: </t>
  </si>
  <si>
    <t>PAYS</t>
  </si>
  <si>
    <t>LES STAGIAIRES .</t>
  </si>
  <si>
    <t>TN</t>
  </si>
  <si>
    <t xml:space="preserve">     Date:</t>
  </si>
  <si>
    <t xml:space="preserve">     Responsable:</t>
  </si>
  <si>
    <t xml:space="preserve">  3- REMISE D'UNE DOCUMENTATION</t>
  </si>
  <si>
    <t>RICHE POUR  LES PARTICIPANTS .</t>
  </si>
  <si>
    <t>PEDAGOGIQUE ET DE MATERIELS</t>
  </si>
  <si>
    <t xml:space="preserve">CE STAGE EST SANCTIONNE PAR UN VISA </t>
  </si>
  <si>
    <t>D'APTITUDE INTERNATIONNALE .</t>
  </si>
  <si>
    <t xml:space="preserve">Code postal: </t>
  </si>
  <si>
    <t xml:space="preserve">  2- MISE A DISPOSITION DE MATERIEL </t>
  </si>
  <si>
    <t xml:space="preserve"> DE DEMONSTRATION  PRATIQUE POUR </t>
  </si>
  <si>
    <t xml:space="preserve">     Ref Commande:</t>
  </si>
  <si>
    <t>T.V.A 19%</t>
  </si>
  <si>
    <t>RDC:B159472001 / MF:778013 ZMA 000</t>
  </si>
  <si>
    <t>DEVIS N°270402/2018</t>
  </si>
  <si>
    <t>FTH002</t>
  </si>
  <si>
    <t xml:space="preserve">HABILITATION TRAVAIL EN HAUTEUR </t>
  </si>
  <si>
    <t xml:space="preserve">150 DT PAR PERSONNE </t>
  </si>
  <si>
    <t>VALABLE 3ANS</t>
  </si>
  <si>
    <t>SIM SYSTÈME</t>
  </si>
  <si>
    <t>KELIBIA</t>
  </si>
  <si>
    <t>KM2 ROUTE DE TUNIS KELIBIA</t>
  </si>
  <si>
    <t>72 295 501 FAX :72 296 495</t>
  </si>
  <si>
    <t xml:space="preserve">     MF:</t>
  </si>
  <si>
    <t>023410P/A/M/000</t>
  </si>
  <si>
    <t xml:space="preserve">Mr MAHER </t>
  </si>
  <si>
    <t xml:space="preserve">ARRETE LA PRESENTE DEVIS A LA SOMME DE: DEUX MILLE SIX CENT SOIXANTE DIX HUIT DINARS ET 100 MILLIMES </t>
  </si>
</sst>
</file>

<file path=xl/styles.xml><?xml version="1.0" encoding="utf-8"?>
<styleSheet xmlns="http://schemas.openxmlformats.org/spreadsheetml/2006/main" xmlns:mc="http://schemas.openxmlformats.org/markup-compatibility/2006" xmlns:x14ac="http://schemas.microsoft.com/office/spreadsheetml/2009/9/ac" mc:Ignorable="x14ac">
  <numFmts count="8">
    <numFmt numFmtId="8" formatCode="#,##0.00\ &quot;€&quot;;[Red]\-#,##0.00\ &quot;€&quot;"/>
    <numFmt numFmtId="164" formatCode="#,##0.00\ &quot;F&quot;;[Red]\-#,##0.00\ &quot;F&quot;"/>
    <numFmt numFmtId="165" formatCode="_(&quot;$&quot;* #,##0_);_(&quot;$&quot;* \(#,##0\);_(&quot;$&quot;* &quot;-&quot;_);_(@_)"/>
    <numFmt numFmtId="166" formatCode="_(&quot;$&quot;* #,##0.00_);_(&quot;$&quot;* \(#,##0.00\);_(&quot;$&quot;* &quot;-&quot;??_);_(@_)"/>
    <numFmt numFmtId="167" formatCode=";;;"/>
    <numFmt numFmtId="168" formatCode="#&quot; &quot;##0.000\ &quot;DT&quot;;[Red]\-#&quot; &quot;##0.000\ &quot;DT&quot;"/>
    <numFmt numFmtId="169" formatCode="#&quot; &quot;##0.000\ &quot;DT&quot;;[Red]\-#&quot; &quot;##0.\200\ &quot;DT&quot;"/>
    <numFmt numFmtId="170" formatCode="0.000_ ;[Red]\-0.000\ "/>
  </numFmts>
  <fonts count="46" x14ac:knownFonts="1">
    <font>
      <sz val="10"/>
      <name val="Arial"/>
    </font>
    <font>
      <b/>
      <sz val="10"/>
      <name val="Arial"/>
      <family val="2"/>
    </font>
    <font>
      <sz val="10"/>
      <name val="Arial"/>
      <family val="2"/>
    </font>
    <font>
      <b/>
      <i/>
      <sz val="14"/>
      <name val="Arial"/>
      <family val="2"/>
    </font>
    <font>
      <sz val="10"/>
      <name val="Arial"/>
      <family val="2"/>
    </font>
    <font>
      <i/>
      <sz val="10"/>
      <name val="Arial"/>
      <family val="2"/>
    </font>
    <font>
      <b/>
      <sz val="10"/>
      <color indexed="10"/>
      <name val="System"/>
      <family val="2"/>
    </font>
    <font>
      <b/>
      <sz val="10"/>
      <name val="Arial"/>
      <family val="2"/>
    </font>
    <font>
      <sz val="11"/>
      <name val="Arial"/>
      <family val="2"/>
    </font>
    <font>
      <sz val="11"/>
      <color indexed="12"/>
      <name val="Arial"/>
      <family val="2"/>
    </font>
    <font>
      <sz val="10"/>
      <color indexed="10"/>
      <name val="Arial"/>
      <family val="2"/>
    </font>
    <font>
      <sz val="8"/>
      <name val="Arial"/>
      <family val="2"/>
    </font>
    <font>
      <sz val="11"/>
      <color indexed="8"/>
      <name val="Arial"/>
      <family val="2"/>
    </font>
    <font>
      <b/>
      <i/>
      <sz val="18"/>
      <name val="Arial"/>
      <family val="2"/>
    </font>
    <font>
      <sz val="8"/>
      <name val="Tahoma"/>
      <family val="2"/>
    </font>
    <font>
      <sz val="8"/>
      <color indexed="81"/>
      <name val="Tahoma"/>
      <family val="2"/>
    </font>
    <font>
      <b/>
      <u/>
      <sz val="16"/>
      <name val="Arial"/>
      <family val="2"/>
    </font>
    <font>
      <sz val="12"/>
      <name val="Arial"/>
      <family val="2"/>
    </font>
    <font>
      <b/>
      <sz val="12"/>
      <name val="Arial"/>
      <family val="2"/>
    </font>
    <font>
      <i/>
      <sz val="12"/>
      <name val="Arial"/>
      <family val="2"/>
    </font>
    <font>
      <i/>
      <sz val="10"/>
      <color indexed="63"/>
      <name val="Times New Roman CE"/>
      <family val="1"/>
      <charset val="238"/>
    </font>
    <font>
      <b/>
      <sz val="14"/>
      <name val="Arial"/>
      <family val="2"/>
    </font>
    <font>
      <b/>
      <i/>
      <sz val="9"/>
      <name val="Lucida Sans"/>
      <family val="2"/>
    </font>
    <font>
      <sz val="14"/>
      <name val="Arial"/>
      <family val="2"/>
    </font>
    <font>
      <sz val="16"/>
      <name val="Arial"/>
      <family val="2"/>
    </font>
    <font>
      <b/>
      <sz val="18"/>
      <name val="Arial"/>
      <family val="2"/>
    </font>
    <font>
      <sz val="18"/>
      <name val="Arial"/>
      <family val="2"/>
    </font>
    <font>
      <b/>
      <sz val="20"/>
      <name val="Arial"/>
      <family val="2"/>
    </font>
    <font>
      <sz val="20"/>
      <name val="Arial"/>
      <family val="2"/>
    </font>
    <font>
      <b/>
      <sz val="24"/>
      <name val="Arial"/>
      <family val="2"/>
    </font>
    <font>
      <b/>
      <sz val="26"/>
      <name val="Arial"/>
      <family val="2"/>
    </font>
    <font>
      <sz val="20"/>
      <name val="Times New Roman"/>
      <family val="1"/>
    </font>
    <font>
      <u/>
      <sz val="20"/>
      <name val="Times New Roman"/>
      <family val="1"/>
    </font>
    <font>
      <sz val="24"/>
      <name val="Arial"/>
      <family val="2"/>
    </font>
    <font>
      <sz val="22"/>
      <name val="Arial"/>
      <family val="2"/>
    </font>
    <font>
      <b/>
      <sz val="22"/>
      <name val="Arial"/>
      <family val="2"/>
    </font>
    <font>
      <b/>
      <sz val="24"/>
      <color indexed="8"/>
      <name val="Arial"/>
      <family val="2"/>
    </font>
    <font>
      <sz val="24"/>
      <color indexed="8"/>
      <name val="Arial"/>
      <family val="2"/>
    </font>
    <font>
      <sz val="18"/>
      <name val="Times New Roman"/>
      <family val="1"/>
    </font>
    <font>
      <sz val="10"/>
      <color rgb="FF000000"/>
      <name val="Arial"/>
      <family val="2"/>
    </font>
    <font>
      <b/>
      <i/>
      <u/>
      <sz val="20"/>
      <color rgb="FFFF0000"/>
      <name val="Times New Roman"/>
      <family val="1"/>
    </font>
    <font>
      <b/>
      <i/>
      <u/>
      <sz val="20"/>
      <color rgb="FF0070C0"/>
      <name val="Times New Roman"/>
      <family val="1"/>
    </font>
    <font>
      <b/>
      <sz val="20"/>
      <name val="Times New Roman"/>
      <family val="1"/>
    </font>
    <font>
      <sz val="12"/>
      <name val="Times New Roman"/>
      <family val="1"/>
    </font>
    <font>
      <b/>
      <sz val="22"/>
      <color rgb="FFC00000"/>
      <name val="Arial"/>
      <family val="2"/>
    </font>
    <font>
      <b/>
      <sz val="22"/>
      <color rgb="FFFF0000"/>
      <name val="Arial"/>
      <family val="2"/>
    </font>
  </fonts>
  <fills count="7">
    <fill>
      <patternFill patternType="none"/>
    </fill>
    <fill>
      <patternFill patternType="gray125"/>
    </fill>
    <fill>
      <patternFill patternType="solid">
        <fgColor indexed="58"/>
        <bgColor indexed="64"/>
      </patternFill>
    </fill>
    <fill>
      <patternFill patternType="solid">
        <fgColor indexed="9"/>
        <bgColor indexed="64"/>
      </patternFill>
    </fill>
    <fill>
      <patternFill patternType="solid">
        <fgColor indexed="22"/>
        <bgColor indexed="64"/>
      </patternFill>
    </fill>
    <fill>
      <patternFill patternType="solid">
        <fgColor indexed="41"/>
        <bgColor indexed="64"/>
      </patternFill>
    </fill>
    <fill>
      <patternFill patternType="solid">
        <fgColor theme="0"/>
        <bgColor indexed="64"/>
      </patternFill>
    </fill>
  </fills>
  <borders count="49">
    <border>
      <left/>
      <right/>
      <top/>
      <bottom/>
      <diagonal/>
    </border>
    <border>
      <left/>
      <right style="thick">
        <color indexed="22"/>
      </right>
      <top style="thick">
        <color indexed="48"/>
      </top>
      <bottom style="thin">
        <color indexed="32"/>
      </bottom>
      <diagonal/>
    </border>
    <border>
      <left style="thick">
        <color indexed="22"/>
      </left>
      <right/>
      <top style="thick">
        <color indexed="48"/>
      </top>
      <bottom style="thin">
        <color indexed="32"/>
      </bottom>
      <diagonal/>
    </border>
    <border>
      <left style="thick">
        <color indexed="22"/>
      </left>
      <right/>
      <top style="thick">
        <color indexed="22"/>
      </top>
      <bottom/>
      <diagonal/>
    </border>
    <border>
      <left/>
      <right/>
      <top style="thick">
        <color indexed="22"/>
      </top>
      <bottom/>
      <diagonal/>
    </border>
    <border>
      <left/>
      <right style="thick">
        <color indexed="22"/>
      </right>
      <top style="thick">
        <color indexed="22"/>
      </top>
      <bottom/>
      <diagonal/>
    </border>
    <border>
      <left style="thick">
        <color indexed="22"/>
      </left>
      <right/>
      <top/>
      <bottom/>
      <diagonal/>
    </border>
    <border>
      <left/>
      <right style="thick">
        <color indexed="22"/>
      </right>
      <top/>
      <bottom/>
      <diagonal/>
    </border>
    <border>
      <left style="thick">
        <color indexed="22"/>
      </left>
      <right/>
      <top/>
      <bottom style="thick">
        <color indexed="22"/>
      </bottom>
      <diagonal/>
    </border>
    <border>
      <left/>
      <right/>
      <top/>
      <bottom style="thick">
        <color indexed="22"/>
      </bottom>
      <diagonal/>
    </border>
    <border>
      <left/>
      <right style="thick">
        <color indexed="22"/>
      </right>
      <top/>
      <bottom style="thick">
        <color indexed="22"/>
      </bottom>
      <diagonal/>
    </border>
    <border>
      <left/>
      <right style="medium">
        <color indexed="32"/>
      </right>
      <top style="medium">
        <color indexed="32"/>
      </top>
      <bottom style="thin">
        <color indexed="32"/>
      </bottom>
      <diagonal/>
    </border>
    <border>
      <left/>
      <right style="medium">
        <color indexed="32"/>
      </right>
      <top/>
      <bottom style="thin">
        <color indexed="32"/>
      </bottom>
      <diagonal/>
    </border>
    <border>
      <left/>
      <right style="medium">
        <color indexed="32"/>
      </right>
      <top/>
      <bottom style="medium">
        <color indexed="32"/>
      </bottom>
      <diagonal/>
    </border>
    <border>
      <left style="medium">
        <color indexed="32"/>
      </left>
      <right style="medium">
        <color indexed="32"/>
      </right>
      <top style="medium">
        <color indexed="32"/>
      </top>
      <bottom style="thin">
        <color indexed="32"/>
      </bottom>
      <diagonal/>
    </border>
    <border>
      <left style="medium">
        <color indexed="32"/>
      </left>
      <right style="medium">
        <color indexed="32"/>
      </right>
      <top/>
      <bottom style="medium">
        <color indexed="32"/>
      </bottom>
      <diagonal/>
    </border>
    <border>
      <left style="medium">
        <color indexed="32"/>
      </left>
      <right/>
      <top style="medium">
        <color indexed="32"/>
      </top>
      <bottom/>
      <diagonal/>
    </border>
    <border>
      <left/>
      <right/>
      <top style="medium">
        <color indexed="32"/>
      </top>
      <bottom/>
      <diagonal/>
    </border>
    <border>
      <left/>
      <right style="medium">
        <color indexed="32"/>
      </right>
      <top style="medium">
        <color indexed="32"/>
      </top>
      <bottom/>
      <diagonal/>
    </border>
    <border>
      <left/>
      <right style="medium">
        <color indexed="32"/>
      </right>
      <top/>
      <bottom/>
      <diagonal/>
    </border>
    <border>
      <left style="medium">
        <color indexed="32"/>
      </left>
      <right/>
      <top/>
      <bottom style="medium">
        <color indexed="32"/>
      </bottom>
      <diagonal/>
    </border>
    <border>
      <left/>
      <right/>
      <top/>
      <bottom style="medium">
        <color indexed="32"/>
      </bottom>
      <diagonal/>
    </border>
    <border>
      <left style="medium">
        <color indexed="32"/>
      </left>
      <right style="medium">
        <color indexed="32"/>
      </right>
      <top/>
      <bottom/>
      <diagonal/>
    </border>
    <border>
      <left style="medium">
        <color indexed="32"/>
      </left>
      <right/>
      <top/>
      <bottom/>
      <diagonal/>
    </border>
    <border>
      <left style="medium">
        <color indexed="32"/>
      </left>
      <right style="medium">
        <color indexed="32"/>
      </right>
      <top/>
      <bottom style="thin">
        <color indexed="32"/>
      </bottom>
      <diagonal/>
    </border>
    <border>
      <left style="hair">
        <color indexed="64"/>
      </left>
      <right style="hair">
        <color indexed="64"/>
      </right>
      <top/>
      <bottom style="hair">
        <color indexed="64"/>
      </bottom>
      <diagonal/>
    </border>
    <border>
      <left/>
      <right/>
      <top style="thick">
        <color indexed="48"/>
      </top>
      <bottom style="thin">
        <color indexed="32"/>
      </bottom>
      <diagonal/>
    </border>
    <border>
      <left style="medium">
        <color indexed="32"/>
      </left>
      <right style="medium">
        <color indexed="32"/>
      </right>
      <top style="medium">
        <color indexed="32"/>
      </top>
      <bottom style="medium">
        <color indexed="32"/>
      </bottom>
      <diagonal/>
    </border>
    <border>
      <left style="medium">
        <color indexed="32"/>
      </left>
      <right style="medium">
        <color indexed="32"/>
      </right>
      <top style="thin">
        <color indexed="32"/>
      </top>
      <bottom style="medium">
        <color indexed="32"/>
      </bottom>
      <diagonal/>
    </border>
    <border>
      <left style="hair">
        <color indexed="64"/>
      </left>
      <right/>
      <top/>
      <bottom/>
      <diagonal/>
    </border>
    <border>
      <left style="hair">
        <color indexed="64"/>
      </left>
      <right/>
      <top/>
      <bottom style="hair">
        <color indexed="64"/>
      </bottom>
      <diagonal/>
    </border>
    <border>
      <left/>
      <right style="hair">
        <color indexed="64"/>
      </right>
      <top/>
      <bottom/>
      <diagonal/>
    </border>
    <border>
      <left/>
      <right style="hair">
        <color indexed="64"/>
      </right>
      <top/>
      <bottom style="hair">
        <color indexed="64"/>
      </bottom>
      <diagonal/>
    </border>
    <border>
      <left/>
      <right/>
      <top/>
      <bottom style="thin">
        <color indexed="32"/>
      </bottom>
      <diagonal/>
    </border>
    <border>
      <left style="hair">
        <color indexed="64"/>
      </left>
      <right style="hair">
        <color indexed="64"/>
      </right>
      <top/>
      <bottom/>
      <diagonal/>
    </border>
    <border>
      <left style="hair">
        <color indexed="64"/>
      </left>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right/>
      <top style="hair">
        <color indexed="64"/>
      </top>
      <bottom style="hair">
        <color indexed="64"/>
      </bottom>
      <diagonal/>
    </border>
    <border>
      <left/>
      <right/>
      <top/>
      <bottom style="hair">
        <color indexed="64"/>
      </bottom>
      <diagonal/>
    </border>
    <border>
      <left/>
      <right/>
      <top style="hair">
        <color indexed="22"/>
      </top>
      <bottom style="hair">
        <color indexed="22"/>
      </bottom>
      <diagonal/>
    </border>
    <border>
      <left/>
      <right/>
      <top/>
      <bottom style="hair">
        <color indexed="22"/>
      </bottom>
      <diagonal/>
    </border>
    <border>
      <left/>
      <right/>
      <top/>
      <bottom style="thick">
        <color indexed="48"/>
      </bottom>
      <diagonal/>
    </border>
    <border>
      <left style="medium">
        <color indexed="32"/>
      </left>
      <right/>
      <top style="medium">
        <color indexed="32"/>
      </top>
      <bottom style="medium">
        <color indexed="32"/>
      </bottom>
      <diagonal/>
    </border>
    <border>
      <left/>
      <right style="medium">
        <color indexed="32"/>
      </right>
      <top style="medium">
        <color indexed="32"/>
      </top>
      <bottom style="medium">
        <color indexed="32"/>
      </bottom>
      <diagonal/>
    </border>
    <border>
      <left/>
      <right style="hair">
        <color indexed="64"/>
      </right>
      <top style="hair">
        <color indexed="64"/>
      </top>
      <bottom style="hair">
        <color indexed="64"/>
      </bottom>
      <diagonal/>
    </border>
    <border>
      <left/>
      <right/>
      <top style="hair">
        <color indexed="22"/>
      </top>
      <bottom/>
      <diagonal/>
    </border>
    <border>
      <left/>
      <right/>
      <top style="hair">
        <color auto="1"/>
      </top>
      <bottom style="hair">
        <color auto="1"/>
      </bottom>
      <diagonal/>
    </border>
    <border>
      <left/>
      <right/>
      <top style="hair">
        <color auto="1"/>
      </top>
      <bottom/>
      <diagonal/>
    </border>
    <border>
      <left/>
      <right/>
      <top/>
      <bottom style="hair">
        <color auto="1"/>
      </bottom>
      <diagonal/>
    </border>
  </borders>
  <cellStyleXfs count="5">
    <xf numFmtId="0" fontId="0" fillId="2" borderId="0"/>
    <xf numFmtId="9" fontId="2" fillId="0" borderId="0" applyFont="0" applyFill="0" applyBorder="0" applyAlignment="0" applyProtection="0"/>
    <xf numFmtId="0" fontId="2" fillId="2" borderId="0"/>
    <xf numFmtId="165" fontId="2" fillId="0" borderId="0" applyFont="0" applyFill="0" applyBorder="0" applyAlignment="0" applyProtection="0"/>
    <xf numFmtId="166" fontId="2" fillId="0" borderId="0" applyFont="0" applyFill="0" applyBorder="0" applyAlignment="0" applyProtection="0"/>
  </cellStyleXfs>
  <cellXfs count="202">
    <xf numFmtId="0" fontId="0" fillId="2" borderId="0" xfId="0"/>
    <xf numFmtId="0" fontId="0" fillId="3" borderId="1" xfId="0" applyFill="1" applyBorder="1"/>
    <xf numFmtId="0" fontId="0" fillId="3" borderId="2" xfId="0" applyFill="1" applyBorder="1"/>
    <xf numFmtId="0" fontId="0" fillId="3" borderId="0"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1" fillId="3" borderId="0" xfId="0" applyFont="1" applyFill="1" applyBorder="1"/>
    <xf numFmtId="0" fontId="0" fillId="3" borderId="7" xfId="0" applyFill="1" applyBorder="1"/>
    <xf numFmtId="0" fontId="0" fillId="3" borderId="8" xfId="0" applyFill="1" applyBorder="1"/>
    <xf numFmtId="0" fontId="0" fillId="3" borderId="9" xfId="0" applyFill="1" applyBorder="1"/>
    <xf numFmtId="0" fontId="0" fillId="3" borderId="10" xfId="0" applyFill="1" applyBorder="1"/>
    <xf numFmtId="49" fontId="0" fillId="3" borderId="11" xfId="0" applyNumberFormat="1" applyFill="1" applyBorder="1" applyAlignment="1">
      <alignment horizontal="left"/>
    </xf>
    <xf numFmtId="49" fontId="0" fillId="3" borderId="12" xfId="0" applyNumberFormat="1" applyFill="1" applyBorder="1" applyAlignment="1">
      <alignment horizontal="left"/>
    </xf>
    <xf numFmtId="49" fontId="0" fillId="3" borderId="12" xfId="0" applyNumberFormat="1" applyFill="1" applyBorder="1"/>
    <xf numFmtId="49" fontId="0" fillId="3" borderId="13" xfId="0" applyNumberFormat="1" applyFill="1" applyBorder="1"/>
    <xf numFmtId="49" fontId="0" fillId="3" borderId="14" xfId="0" applyNumberFormat="1" applyFill="1" applyBorder="1"/>
    <xf numFmtId="49" fontId="0" fillId="3" borderId="15" xfId="0" applyNumberFormat="1" applyFill="1" applyBorder="1"/>
    <xf numFmtId="1" fontId="6" fillId="3" borderId="0" xfId="0" applyNumberFormat="1" applyFont="1" applyFill="1" applyBorder="1"/>
    <xf numFmtId="0" fontId="0" fillId="3" borderId="0" xfId="0" quotePrefix="1" applyFill="1" applyBorder="1" applyAlignment="1">
      <alignment horizontal="right"/>
    </xf>
    <xf numFmtId="0" fontId="3" fillId="3" borderId="0" xfId="0" applyFont="1" applyFill="1" applyBorder="1"/>
    <xf numFmtId="0" fontId="10" fillId="3" borderId="0" xfId="0" applyFont="1" applyFill="1" applyBorder="1"/>
    <xf numFmtId="0" fontId="9" fillId="3" borderId="7" xfId="0" applyFont="1" applyFill="1" applyBorder="1" applyAlignment="1"/>
    <xf numFmtId="0" fontId="8" fillId="4" borderId="16" xfId="0" applyFont="1" applyFill="1" applyBorder="1"/>
    <xf numFmtId="0" fontId="0" fillId="4" borderId="17" xfId="0" applyFill="1" applyBorder="1"/>
    <xf numFmtId="0" fontId="0" fillId="4" borderId="18" xfId="0" applyFill="1" applyBorder="1"/>
    <xf numFmtId="0" fontId="0" fillId="4" borderId="19" xfId="0" applyFill="1" applyBorder="1"/>
    <xf numFmtId="0" fontId="0" fillId="4" borderId="0" xfId="0" applyFill="1" applyBorder="1" applyAlignment="1">
      <alignment horizontal="right"/>
    </xf>
    <xf numFmtId="0" fontId="0" fillId="4" borderId="0" xfId="0" applyFill="1" applyBorder="1"/>
    <xf numFmtId="0" fontId="0" fillId="4" borderId="20" xfId="0" applyFill="1" applyBorder="1"/>
    <xf numFmtId="0" fontId="0" fillId="4" borderId="21" xfId="0" applyFill="1" applyBorder="1"/>
    <xf numFmtId="0" fontId="0" fillId="4" borderId="13" xfId="0" applyFill="1" applyBorder="1"/>
    <xf numFmtId="0" fontId="0" fillId="4" borderId="16" xfId="0" applyFont="1" applyFill="1" applyBorder="1"/>
    <xf numFmtId="0" fontId="0" fillId="4" borderId="22" xfId="0" applyFill="1" applyBorder="1" applyAlignment="1">
      <alignment horizontal="right"/>
    </xf>
    <xf numFmtId="0" fontId="0" fillId="4" borderId="0" xfId="0" quotePrefix="1" applyFill="1" applyBorder="1" applyAlignment="1">
      <alignment horizontal="right"/>
    </xf>
    <xf numFmtId="0" fontId="0" fillId="4" borderId="23" xfId="0" applyFill="1" applyBorder="1" applyAlignment="1">
      <alignment horizontal="right"/>
    </xf>
    <xf numFmtId="49" fontId="0" fillId="3" borderId="24" xfId="0" applyNumberFormat="1" applyFill="1" applyBorder="1"/>
    <xf numFmtId="49" fontId="0" fillId="3" borderId="14" xfId="0" applyNumberFormat="1" applyFill="1" applyBorder="1" applyAlignment="1">
      <alignment horizontal="left"/>
    </xf>
    <xf numFmtId="49" fontId="0" fillId="3" borderId="24" xfId="0" applyNumberFormat="1" applyFill="1" applyBorder="1" applyAlignment="1">
      <alignment horizontal="left"/>
    </xf>
    <xf numFmtId="49" fontId="0" fillId="3" borderId="15" xfId="0" applyNumberFormat="1" applyFill="1" applyBorder="1" applyAlignment="1">
      <alignment horizontal="left"/>
    </xf>
    <xf numFmtId="0" fontId="0" fillId="4" borderId="0" xfId="0" applyFill="1"/>
    <xf numFmtId="0" fontId="0" fillId="4" borderId="23" xfId="0" applyFill="1" applyBorder="1"/>
    <xf numFmtId="0" fontId="0" fillId="4" borderId="0" xfId="0" quotePrefix="1" applyFill="1" applyBorder="1" applyAlignment="1">
      <alignment horizontal="center"/>
    </xf>
    <xf numFmtId="0" fontId="0" fillId="3" borderId="0" xfId="0" applyFill="1"/>
    <xf numFmtId="167" fontId="0" fillId="4" borderId="23" xfId="0" applyNumberFormat="1" applyFill="1" applyBorder="1"/>
    <xf numFmtId="0" fontId="9" fillId="4" borderId="23" xfId="0" applyFont="1" applyFill="1" applyBorder="1" applyAlignment="1"/>
    <xf numFmtId="0" fontId="9" fillId="4" borderId="0" xfId="0" applyFont="1" applyFill="1" applyBorder="1" applyAlignment="1"/>
    <xf numFmtId="0" fontId="9" fillId="4" borderId="19" xfId="0" applyFont="1" applyFill="1" applyBorder="1" applyAlignment="1"/>
    <xf numFmtId="0" fontId="12" fillId="4" borderId="0" xfId="0" applyFont="1" applyFill="1" applyBorder="1" applyAlignment="1"/>
    <xf numFmtId="0" fontId="9" fillId="4" borderId="20" xfId="0" applyFont="1" applyFill="1" applyBorder="1" applyAlignment="1"/>
    <xf numFmtId="0" fontId="9" fillId="4" borderId="21" xfId="0" applyFont="1" applyFill="1" applyBorder="1" applyAlignment="1"/>
    <xf numFmtId="0" fontId="9" fillId="4" borderId="13" xfId="0" applyFont="1" applyFill="1" applyBorder="1" applyAlignment="1"/>
    <xf numFmtId="0" fontId="0" fillId="3" borderId="25" xfId="0" applyFill="1" applyBorder="1" applyAlignment="1">
      <alignment horizontal="center"/>
    </xf>
    <xf numFmtId="14" fontId="0" fillId="3" borderId="0" xfId="0" quotePrefix="1" applyNumberFormat="1" applyFill="1" applyBorder="1" applyAlignment="1">
      <alignment horizontal="left"/>
    </xf>
    <xf numFmtId="49" fontId="0" fillId="3" borderId="0" xfId="0" applyNumberFormat="1" applyFill="1" applyBorder="1"/>
    <xf numFmtId="0" fontId="0" fillId="3" borderId="0" xfId="0" applyNumberFormat="1" applyFont="1" applyFill="1" applyBorder="1" applyAlignment="1"/>
    <xf numFmtId="0" fontId="0" fillId="3" borderId="26" xfId="0" applyFill="1" applyBorder="1"/>
    <xf numFmtId="0" fontId="3" fillId="3" borderId="26" xfId="0" applyFont="1" applyFill="1" applyBorder="1"/>
    <xf numFmtId="0" fontId="9" fillId="3" borderId="0" xfId="0" applyFont="1" applyFill="1" applyBorder="1" applyAlignment="1"/>
    <xf numFmtId="0" fontId="0" fillId="3" borderId="27" xfId="0" applyNumberFormat="1" applyFill="1" applyBorder="1" applyAlignment="1">
      <alignment horizontal="left"/>
    </xf>
    <xf numFmtId="10" fontId="0" fillId="3" borderId="28" xfId="0" applyNumberFormat="1" applyFill="1" applyBorder="1" applyAlignment="1">
      <alignment horizontal="left"/>
    </xf>
    <xf numFmtId="167" fontId="0" fillId="2" borderId="0" xfId="0" applyNumberFormat="1" applyProtection="1">
      <protection locked="0"/>
    </xf>
    <xf numFmtId="0" fontId="11" fillId="3" borderId="0" xfId="0" applyFont="1" applyFill="1" applyBorder="1" applyAlignment="1">
      <alignment horizontal="center"/>
    </xf>
    <xf numFmtId="0" fontId="0" fillId="4" borderId="19" xfId="0" applyFill="1" applyBorder="1" applyAlignment="1">
      <alignment horizontal="right"/>
    </xf>
    <xf numFmtId="10" fontId="0" fillId="3" borderId="22" xfId="0" applyNumberFormat="1" applyFill="1" applyBorder="1" applyAlignment="1">
      <alignment horizontal="left"/>
    </xf>
    <xf numFmtId="0" fontId="0" fillId="3" borderId="29" xfId="0" applyFill="1" applyBorder="1"/>
    <xf numFmtId="0" fontId="0" fillId="3" borderId="30" xfId="0" applyFill="1" applyBorder="1"/>
    <xf numFmtId="0" fontId="4" fillId="0" borderId="0" xfId="0" applyFont="1" applyFill="1"/>
    <xf numFmtId="1" fontId="4" fillId="0" borderId="0" xfId="0" applyNumberFormat="1" applyFont="1" applyFill="1"/>
    <xf numFmtId="14" fontId="4" fillId="0" borderId="0" xfId="0" applyNumberFormat="1" applyFont="1" applyFill="1"/>
    <xf numFmtId="49" fontId="4" fillId="0" borderId="0" xfId="0" applyNumberFormat="1" applyFont="1" applyFill="1"/>
    <xf numFmtId="164" fontId="4" fillId="0" borderId="0" xfId="0" applyNumberFormat="1" applyFont="1" applyFill="1"/>
    <xf numFmtId="10" fontId="0" fillId="3" borderId="14" xfId="1" applyNumberFormat="1" applyFont="1" applyFill="1" applyBorder="1" applyAlignment="1">
      <alignment horizontal="left"/>
    </xf>
    <xf numFmtId="169" fontId="0" fillId="3" borderId="27" xfId="0" applyNumberFormat="1" applyFill="1" applyBorder="1" applyAlignment="1">
      <alignment horizontal="left"/>
    </xf>
    <xf numFmtId="0" fontId="16" fillId="3" borderId="0" xfId="0" applyFont="1" applyFill="1" applyBorder="1" applyAlignment="1">
      <alignment horizontal="right"/>
    </xf>
    <xf numFmtId="0" fontId="17" fillId="3" borderId="0" xfId="0" applyFont="1" applyFill="1" applyBorder="1"/>
    <xf numFmtId="0" fontId="17" fillId="3" borderId="0" xfId="0" applyFont="1" applyFill="1"/>
    <xf numFmtId="9" fontId="18" fillId="3" borderId="0" xfId="0" applyNumberFormat="1" applyFont="1" applyFill="1" applyBorder="1"/>
    <xf numFmtId="0" fontId="17" fillId="3" borderId="0" xfId="0" quotePrefix="1" applyFont="1" applyFill="1" applyBorder="1"/>
    <xf numFmtId="0" fontId="17" fillId="3" borderId="0" xfId="0" applyFont="1" applyFill="1" applyBorder="1" applyAlignment="1"/>
    <xf numFmtId="0" fontId="17" fillId="3" borderId="0" xfId="0" applyFont="1" applyFill="1" applyBorder="1" applyAlignment="1">
      <alignment vertical="top"/>
    </xf>
    <xf numFmtId="0" fontId="4" fillId="3" borderId="0" xfId="0" applyFont="1" applyFill="1" applyBorder="1"/>
    <xf numFmtId="167" fontId="4" fillId="3" borderId="0" xfId="0" quotePrefix="1" applyNumberFormat="1" applyFont="1" applyFill="1" applyBorder="1"/>
    <xf numFmtId="0" fontId="4" fillId="3" borderId="0" xfId="0" applyFont="1" applyFill="1" applyBorder="1" applyAlignment="1">
      <alignment horizontal="left"/>
    </xf>
    <xf numFmtId="167" fontId="4" fillId="3" borderId="0" xfId="0" applyNumberFormat="1" applyFont="1" applyFill="1" applyBorder="1"/>
    <xf numFmtId="0" fontId="4" fillId="3" borderId="0" xfId="0" applyNumberFormat="1" applyFont="1" applyFill="1" applyBorder="1"/>
    <xf numFmtId="0" fontId="4" fillId="3" borderId="0" xfId="0" quotePrefix="1" applyFont="1" applyFill="1" applyBorder="1" applyAlignment="1">
      <alignment horizontal="right"/>
    </xf>
    <xf numFmtId="0" fontId="4" fillId="3" borderId="0" xfId="0" applyFont="1" applyFill="1" applyBorder="1" applyAlignment="1">
      <alignment vertical="top"/>
    </xf>
    <xf numFmtId="0" fontId="20" fillId="4" borderId="0" xfId="0" applyFont="1" applyFill="1" applyBorder="1" applyAlignment="1"/>
    <xf numFmtId="0" fontId="0" fillId="3" borderId="33" xfId="0" applyFill="1" applyBorder="1"/>
    <xf numFmtId="0" fontId="3" fillId="3" borderId="33" xfId="0" applyFont="1" applyFill="1" applyBorder="1"/>
    <xf numFmtId="0" fontId="17" fillId="0" borderId="0" xfId="0" applyFont="1" applyFill="1" applyBorder="1"/>
    <xf numFmtId="0" fontId="21" fillId="3" borderId="35" xfId="0" applyFont="1" applyFill="1" applyBorder="1" applyAlignment="1">
      <alignment horizontal="center"/>
    </xf>
    <xf numFmtId="0" fontId="21" fillId="3" borderId="36" xfId="0" applyFont="1" applyFill="1" applyBorder="1" applyAlignment="1">
      <alignment horizontal="center"/>
    </xf>
    <xf numFmtId="168" fontId="17" fillId="0" borderId="0" xfId="0" applyNumberFormat="1" applyFont="1" applyFill="1" applyBorder="1"/>
    <xf numFmtId="49" fontId="31" fillId="3" borderId="29" xfId="0" applyNumberFormat="1" applyFont="1" applyFill="1" applyBorder="1" applyAlignment="1"/>
    <xf numFmtId="0" fontId="28" fillId="3" borderId="34" xfId="0" applyFont="1" applyFill="1" applyBorder="1" applyAlignment="1">
      <alignment horizontal="center"/>
    </xf>
    <xf numFmtId="168" fontId="28" fillId="0" borderId="34" xfId="0" applyNumberFormat="1" applyFont="1" applyFill="1" applyBorder="1" applyAlignment="1"/>
    <xf numFmtId="168" fontId="28" fillId="0" borderId="34" xfId="0" applyNumberFormat="1" applyFont="1" applyFill="1" applyBorder="1"/>
    <xf numFmtId="49" fontId="31" fillId="3" borderId="0" xfId="0" applyNumberFormat="1" applyFont="1" applyFill="1" applyBorder="1" applyAlignment="1">
      <alignment horizontal="left"/>
    </xf>
    <xf numFmtId="49" fontId="31" fillId="3" borderId="31" xfId="0" applyNumberFormat="1" applyFont="1" applyFill="1" applyBorder="1" applyAlignment="1">
      <alignment horizontal="left"/>
    </xf>
    <xf numFmtId="49" fontId="31" fillId="3" borderId="0" xfId="0" applyNumberFormat="1" applyFont="1" applyFill="1" applyBorder="1" applyAlignment="1"/>
    <xf numFmtId="49" fontId="31" fillId="3" borderId="31" xfId="0" applyNumberFormat="1" applyFont="1" applyFill="1" applyBorder="1" applyAlignment="1"/>
    <xf numFmtId="49" fontId="31" fillId="3" borderId="0" xfId="0" quotePrefix="1" applyNumberFormat="1" applyFont="1" applyFill="1" applyBorder="1" applyAlignment="1"/>
    <xf numFmtId="49" fontId="31" fillId="3" borderId="31" xfId="0" quotePrefix="1" applyNumberFormat="1" applyFont="1" applyFill="1" applyBorder="1" applyAlignment="1"/>
    <xf numFmtId="49" fontId="32" fillId="3" borderId="29" xfId="0" applyNumberFormat="1" applyFont="1" applyFill="1" applyBorder="1" applyAlignment="1"/>
    <xf numFmtId="0" fontId="0" fillId="6" borderId="0" xfId="0" applyFill="1" applyBorder="1"/>
    <xf numFmtId="0" fontId="27" fillId="6" borderId="0" xfId="0" applyFont="1" applyFill="1" applyAlignment="1">
      <alignment horizontal="center" vertical="center"/>
    </xf>
    <xf numFmtId="0" fontId="24" fillId="3" borderId="0" xfId="0" applyFont="1" applyFill="1" applyBorder="1" applyAlignment="1">
      <alignment horizontal="left"/>
    </xf>
    <xf numFmtId="0" fontId="34" fillId="3" borderId="39" xfId="0" applyFont="1" applyFill="1" applyBorder="1"/>
    <xf numFmtId="0" fontId="35" fillId="3" borderId="0" xfId="0" applyFont="1" applyFill="1" applyBorder="1" applyAlignment="1">
      <alignment horizontal="right"/>
    </xf>
    <xf numFmtId="49" fontId="34" fillId="3" borderId="40" xfId="0" applyNumberFormat="1" applyFont="1" applyFill="1" applyBorder="1" applyAlignment="1">
      <alignment horizontal="left"/>
    </xf>
    <xf numFmtId="0" fontId="33" fillId="3" borderId="0" xfId="0" applyFont="1" applyFill="1" applyBorder="1"/>
    <xf numFmtId="0" fontId="33" fillId="3" borderId="0" xfId="0" applyFont="1" applyFill="1"/>
    <xf numFmtId="0" fontId="29" fillId="0" borderId="0" xfId="0" applyFont="1" applyFill="1" applyBorder="1" applyAlignment="1">
      <alignment horizontal="right"/>
    </xf>
    <xf numFmtId="0" fontId="33" fillId="3" borderId="0" xfId="0" applyFont="1" applyFill="1" applyBorder="1" applyAlignment="1"/>
    <xf numFmtId="168" fontId="36" fillId="0" borderId="36" xfId="0" applyNumberFormat="1" applyFont="1" applyFill="1" applyBorder="1" applyAlignment="1">
      <alignment shrinkToFit="1"/>
    </xf>
    <xf numFmtId="49" fontId="35" fillId="3" borderId="0" xfId="0" applyNumberFormat="1" applyFont="1" applyFill="1" applyBorder="1" applyAlignment="1">
      <alignment horizontal="left"/>
    </xf>
    <xf numFmtId="49" fontId="38" fillId="0" borderId="29" xfId="0" applyNumberFormat="1" applyFont="1" applyFill="1" applyBorder="1" applyAlignment="1"/>
    <xf numFmtId="0" fontId="38" fillId="0" borderId="0" xfId="0" applyFont="1" applyFill="1" applyAlignment="1"/>
    <xf numFmtId="0" fontId="38" fillId="0" borderId="31" xfId="0" applyFont="1" applyFill="1" applyBorder="1" applyAlignment="1"/>
    <xf numFmtId="0" fontId="7" fillId="3" borderId="0" xfId="0" applyFont="1" applyFill="1" applyBorder="1"/>
    <xf numFmtId="170" fontId="37" fillId="0" borderId="36" xfId="0" applyNumberFormat="1" applyFont="1" applyFill="1" applyBorder="1" applyAlignment="1">
      <alignment shrinkToFit="1"/>
    </xf>
    <xf numFmtId="49" fontId="40" fillId="3" borderId="29" xfId="0" applyNumberFormat="1" applyFont="1" applyFill="1" applyBorder="1" applyAlignment="1">
      <alignment horizontal="left"/>
    </xf>
    <xf numFmtId="49" fontId="41" fillId="3" borderId="29" xfId="0" applyNumberFormat="1" applyFont="1" applyFill="1" applyBorder="1" applyAlignment="1">
      <alignment horizontal="left"/>
    </xf>
    <xf numFmtId="0" fontId="19" fillId="3" borderId="0" xfId="0" applyFont="1" applyFill="1" applyBorder="1" applyAlignment="1">
      <alignment horizontal="center" vertical="center" wrapText="1"/>
    </xf>
    <xf numFmtId="0" fontId="21" fillId="6" borderId="0" xfId="0" applyFont="1" applyFill="1" applyBorder="1" applyAlignment="1">
      <alignment horizontal="center" vertical="center" wrapText="1"/>
    </xf>
    <xf numFmtId="0" fontId="25" fillId="6" borderId="0" xfId="0" applyFont="1" applyFill="1" applyBorder="1" applyAlignment="1">
      <alignment horizontal="left"/>
    </xf>
    <xf numFmtId="0" fontId="0" fillId="6" borderId="0" xfId="0" applyFill="1"/>
    <xf numFmtId="0" fontId="0" fillId="6" borderId="6" xfId="0" applyFill="1" applyBorder="1"/>
    <xf numFmtId="0" fontId="5" fillId="6" borderId="0" xfId="0" applyFont="1" applyFill="1" applyAlignment="1">
      <alignment horizontal="center" vertical="center"/>
    </xf>
    <xf numFmtId="49" fontId="42" fillId="3" borderId="29" xfId="0" applyNumberFormat="1" applyFont="1" applyFill="1" applyBorder="1" applyAlignment="1">
      <alignment horizontal="left"/>
    </xf>
    <xf numFmtId="49" fontId="42" fillId="3" borderId="0" xfId="0" applyNumberFormat="1" applyFont="1" applyFill="1" applyBorder="1" applyAlignment="1">
      <alignment horizontal="left"/>
    </xf>
    <xf numFmtId="0" fontId="25" fillId="3" borderId="0" xfId="0" applyFont="1" applyFill="1" applyBorder="1"/>
    <xf numFmtId="168" fontId="37" fillId="0" borderId="0" xfId="0" applyNumberFormat="1" applyFont="1" applyFill="1" applyBorder="1" applyAlignment="1">
      <alignment shrinkToFit="1"/>
    </xf>
    <xf numFmtId="0" fontId="17" fillId="3" borderId="0" xfId="0" quotePrefix="1" applyFont="1" applyFill="1" applyBorder="1" applyAlignment="1">
      <alignment horizontal="right"/>
    </xf>
    <xf numFmtId="0" fontId="34" fillId="0" borderId="36" xfId="0" applyFont="1" applyFill="1" applyBorder="1" applyAlignment="1">
      <alignment horizontal="right"/>
    </xf>
    <xf numFmtId="10" fontId="33" fillId="0" borderId="36" xfId="0" quotePrefix="1" applyNumberFormat="1" applyFont="1" applyFill="1" applyBorder="1" applyAlignment="1">
      <alignment horizontal="center"/>
    </xf>
    <xf numFmtId="0" fontId="29" fillId="0" borderId="36" xfId="0" applyFont="1" applyFill="1" applyBorder="1" applyAlignment="1">
      <alignment horizontal="right"/>
    </xf>
    <xf numFmtId="0" fontId="33" fillId="0" borderId="35" xfId="0" quotePrefix="1" applyFont="1" applyFill="1" applyBorder="1" applyAlignment="1">
      <alignment horizontal="right"/>
    </xf>
    <xf numFmtId="168" fontId="37" fillId="0" borderId="25" xfId="0" applyNumberFormat="1" applyFont="1" applyFill="1" applyBorder="1" applyAlignment="1">
      <alignment shrinkToFit="1"/>
    </xf>
    <xf numFmtId="0" fontId="0" fillId="3" borderId="25" xfId="0" applyFill="1" applyBorder="1"/>
    <xf numFmtId="0" fontId="23" fillId="3" borderId="29" xfId="0" applyFont="1" applyFill="1" applyBorder="1" applyAlignment="1">
      <alignment horizontal="center"/>
    </xf>
    <xf numFmtId="49" fontId="31" fillId="3" borderId="0" xfId="0" applyNumberFormat="1" applyFont="1" applyFill="1" applyBorder="1" applyAlignment="1">
      <alignment horizontal="left"/>
    </xf>
    <xf numFmtId="49" fontId="31" fillId="3" borderId="31" xfId="0" applyNumberFormat="1" applyFont="1" applyFill="1" applyBorder="1" applyAlignment="1">
      <alignment horizontal="left"/>
    </xf>
    <xf numFmtId="168" fontId="28" fillId="0" borderId="29" xfId="0" applyNumberFormat="1" applyFont="1" applyFill="1" applyBorder="1" applyAlignment="1"/>
    <xf numFmtId="49" fontId="38" fillId="3" borderId="29" xfId="0" applyNumberFormat="1" applyFont="1" applyFill="1" applyBorder="1" applyAlignment="1"/>
    <xf numFmtId="49" fontId="38" fillId="3" borderId="0" xfId="0" applyNumberFormat="1" applyFont="1" applyFill="1" applyBorder="1" applyAlignment="1"/>
    <xf numFmtId="49" fontId="38" fillId="3" borderId="31" xfId="0" applyNumberFormat="1" applyFont="1" applyFill="1" applyBorder="1" applyAlignment="1"/>
    <xf numFmtId="49" fontId="42" fillId="3" borderId="31" xfId="0" applyNumberFormat="1" applyFont="1" applyFill="1" applyBorder="1" applyAlignment="1">
      <alignment horizontal="left"/>
    </xf>
    <xf numFmtId="49" fontId="40" fillId="3" borderId="0" xfId="0" applyNumberFormat="1" applyFont="1" applyFill="1" applyBorder="1" applyAlignment="1">
      <alignment horizontal="left"/>
    </xf>
    <xf numFmtId="0" fontId="34" fillId="6" borderId="46" xfId="0" applyFont="1" applyFill="1" applyBorder="1" applyAlignment="1">
      <alignment horizontal="left"/>
    </xf>
    <xf numFmtId="0" fontId="4" fillId="3" borderId="47" xfId="0" applyFont="1" applyFill="1" applyBorder="1"/>
    <xf numFmtId="0" fontId="4" fillId="3" borderId="48" xfId="0" applyFont="1" applyFill="1" applyBorder="1"/>
    <xf numFmtId="14" fontId="34" fillId="6" borderId="47" xfId="0" applyNumberFormat="1" applyFont="1" applyFill="1" applyBorder="1" applyAlignment="1"/>
    <xf numFmtId="0" fontId="34" fillId="6" borderId="47" xfId="0" applyFont="1" applyFill="1" applyBorder="1" applyAlignment="1"/>
    <xf numFmtId="0" fontId="25" fillId="6" borderId="46" xfId="0" applyFont="1" applyFill="1" applyBorder="1" applyAlignment="1">
      <alignment horizontal="left"/>
    </xf>
    <xf numFmtId="0" fontId="13" fillId="3" borderId="41" xfId="0" applyFont="1" applyFill="1" applyBorder="1" applyAlignment="1"/>
    <xf numFmtId="0" fontId="0" fillId="2" borderId="41" xfId="0" applyBorder="1" applyAlignment="1"/>
    <xf numFmtId="0" fontId="7" fillId="3" borderId="21" xfId="0" applyFont="1" applyFill="1" applyBorder="1" applyAlignment="1"/>
    <xf numFmtId="0" fontId="0" fillId="2" borderId="21" xfId="0" applyBorder="1" applyAlignment="1"/>
    <xf numFmtId="0" fontId="7" fillId="3" borderId="21" xfId="0" quotePrefix="1" applyFont="1" applyFill="1" applyBorder="1" applyAlignment="1"/>
    <xf numFmtId="0" fontId="0" fillId="5" borderId="42" xfId="0" applyNumberFormat="1" applyFill="1" applyBorder="1" applyAlignment="1"/>
    <xf numFmtId="0" fontId="0" fillId="2" borderId="43" xfId="0" applyBorder="1" applyAlignment="1"/>
    <xf numFmtId="49" fontId="31" fillId="3" borderId="29" xfId="0" applyNumberFormat="1" applyFont="1" applyFill="1" applyBorder="1" applyAlignment="1">
      <alignment horizontal="left"/>
    </xf>
    <xf numFmtId="49" fontId="31" fillId="3" borderId="0" xfId="0" applyNumberFormat="1" applyFont="1" applyFill="1" applyBorder="1" applyAlignment="1">
      <alignment horizontal="left"/>
    </xf>
    <xf numFmtId="49" fontId="31" fillId="3" borderId="31" xfId="0" applyNumberFormat="1" applyFont="1" applyFill="1" applyBorder="1" applyAlignment="1">
      <alignment horizontal="left"/>
    </xf>
    <xf numFmtId="49" fontId="24" fillId="3" borderId="30" xfId="0" applyNumberFormat="1" applyFont="1" applyFill="1" applyBorder="1" applyAlignment="1">
      <alignment horizontal="center"/>
    </xf>
    <xf numFmtId="49" fontId="24" fillId="3" borderId="38" xfId="0" applyNumberFormat="1" applyFont="1" applyFill="1" applyBorder="1" applyAlignment="1">
      <alignment horizontal="center"/>
    </xf>
    <xf numFmtId="49" fontId="24" fillId="3" borderId="32" xfId="0" applyNumberFormat="1" applyFont="1" applyFill="1" applyBorder="1" applyAlignment="1">
      <alignment horizontal="center"/>
    </xf>
    <xf numFmtId="0" fontId="43" fillId="3" borderId="0" xfId="0" applyFont="1" applyFill="1" applyBorder="1" applyAlignment="1">
      <alignment horizontal="center"/>
    </xf>
    <xf numFmtId="49" fontId="42" fillId="3" borderId="29" xfId="0" applyNumberFormat="1" applyFont="1" applyFill="1" applyBorder="1" applyAlignment="1">
      <alignment horizontal="left"/>
    </xf>
    <xf numFmtId="49" fontId="42" fillId="3" borderId="0" xfId="0" applyNumberFormat="1" applyFont="1" applyFill="1" applyBorder="1" applyAlignment="1">
      <alignment horizontal="left"/>
    </xf>
    <xf numFmtId="49" fontId="42" fillId="3" borderId="31" xfId="0" applyNumberFormat="1" applyFont="1" applyFill="1" applyBorder="1" applyAlignment="1">
      <alignment horizontal="left"/>
    </xf>
    <xf numFmtId="0" fontId="4" fillId="3" borderId="0" xfId="0" applyFont="1" applyFill="1" applyBorder="1" applyAlignment="1"/>
    <xf numFmtId="0" fontId="4" fillId="2" borderId="0" xfId="0" applyFont="1" applyBorder="1" applyAlignment="1"/>
    <xf numFmtId="49" fontId="31" fillId="3" borderId="29" xfId="0" applyNumberFormat="1" applyFont="1" applyFill="1" applyBorder="1" applyAlignment="1"/>
    <xf numFmtId="49" fontId="31" fillId="3" borderId="0" xfId="0" applyNumberFormat="1" applyFont="1" applyFill="1" applyBorder="1" applyAlignment="1"/>
    <xf numFmtId="49" fontId="31" fillId="3" borderId="31" xfId="0" applyNumberFormat="1" applyFont="1" applyFill="1" applyBorder="1" applyAlignment="1"/>
    <xf numFmtId="49" fontId="17" fillId="3" borderId="0" xfId="0" applyNumberFormat="1" applyFont="1" applyFill="1" applyBorder="1" applyAlignment="1"/>
    <xf numFmtId="0" fontId="17" fillId="2" borderId="0" xfId="0" applyFont="1" applyBorder="1" applyAlignment="1"/>
    <xf numFmtId="14" fontId="17" fillId="3" borderId="0" xfId="0" applyNumberFormat="1" applyFont="1" applyFill="1" applyBorder="1" applyAlignment="1"/>
    <xf numFmtId="14" fontId="17" fillId="2" borderId="0" xfId="0" applyNumberFormat="1" applyFont="1" applyBorder="1" applyAlignment="1"/>
    <xf numFmtId="0" fontId="22" fillId="3" borderId="0" xfId="0" applyFont="1" applyFill="1" applyBorder="1" applyAlignment="1"/>
    <xf numFmtId="0" fontId="22" fillId="2" borderId="0" xfId="0" applyFont="1" applyBorder="1" applyAlignment="1"/>
    <xf numFmtId="0" fontId="30" fillId="6" borderId="0" xfId="0" applyFont="1" applyFill="1" applyAlignment="1">
      <alignment horizontal="center" vertical="center"/>
    </xf>
    <xf numFmtId="49" fontId="44" fillId="3" borderId="40" xfId="0" applyNumberFormat="1" applyFont="1" applyFill="1" applyBorder="1" applyAlignment="1"/>
    <xf numFmtId="49" fontId="45" fillId="3" borderId="40" xfId="0" applyNumberFormat="1" applyFont="1" applyFill="1" applyBorder="1" applyAlignment="1"/>
    <xf numFmtId="49" fontId="34" fillId="3" borderId="39" xfId="0" applyNumberFormat="1" applyFont="1" applyFill="1" applyBorder="1" applyAlignment="1">
      <alignment horizontal="left"/>
    </xf>
    <xf numFmtId="0" fontId="21" fillId="3" borderId="35" xfId="0" applyFont="1" applyFill="1" applyBorder="1" applyAlignment="1"/>
    <xf numFmtId="0" fontId="21" fillId="3" borderId="37" xfId="0" applyFont="1" applyFill="1" applyBorder="1" applyAlignment="1"/>
    <xf numFmtId="0" fontId="21" fillId="3" borderId="44" xfId="0" applyFont="1" applyFill="1" applyBorder="1" applyAlignment="1"/>
    <xf numFmtId="0" fontId="38" fillId="6" borderId="48" xfId="0" applyFont="1" applyFill="1" applyBorder="1" applyAlignment="1">
      <alignment horizontal="center" vertical="center"/>
    </xf>
    <xf numFmtId="0" fontId="0" fillId="2" borderId="48" xfId="0" applyBorder="1" applyAlignment="1">
      <alignment horizontal="center"/>
    </xf>
    <xf numFmtId="3" fontId="26" fillId="3" borderId="40" xfId="0" applyNumberFormat="1" applyFont="1" applyFill="1" applyBorder="1" applyAlignment="1">
      <alignment horizontal="left" wrapText="1"/>
    </xf>
    <xf numFmtId="0" fontId="35" fillId="2" borderId="40" xfId="0" applyFont="1" applyBorder="1" applyAlignment="1">
      <alignment horizontal="left"/>
    </xf>
    <xf numFmtId="0" fontId="34" fillId="3" borderId="45" xfId="0" applyFont="1" applyFill="1" applyBorder="1" applyAlignment="1">
      <alignment horizontal="left"/>
    </xf>
    <xf numFmtId="0" fontId="0" fillId="2" borderId="45" xfId="0" applyBorder="1" applyAlignment="1">
      <alignment horizontal="left"/>
    </xf>
    <xf numFmtId="0" fontId="26" fillId="6" borderId="46" xfId="0" applyFont="1" applyFill="1" applyBorder="1" applyAlignment="1">
      <alignment horizontal="center"/>
    </xf>
    <xf numFmtId="0" fontId="26" fillId="3" borderId="0" xfId="0" applyFont="1" applyFill="1" applyBorder="1" applyAlignment="1">
      <alignment horizontal="center"/>
    </xf>
    <xf numFmtId="0" fontId="26" fillId="3" borderId="41" xfId="0" applyFont="1" applyFill="1" applyBorder="1" applyAlignment="1">
      <alignment horizontal="center"/>
    </xf>
  </cellXfs>
  <cellStyles count="5">
    <cellStyle name="Normal" xfId="0" builtinId="0"/>
    <cellStyle name="Pourcentage" xfId="1" builtinId="5"/>
    <cellStyle name="Standard_Anpassen der Amortisation" xfId="2"/>
    <cellStyle name="Währung [0]_Budget" xfId="3"/>
    <cellStyle name="Währung_Budget" xfId="4"/>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8080FF"/>
      <rgbColor rgb="00802060"/>
      <rgbColor rgb="00FFFFC0"/>
      <rgbColor rgb="00A0E0E0"/>
      <rgbColor rgb="00600080"/>
      <rgbColor rgb="00FF8080"/>
      <rgbColor rgb="000080C0"/>
      <rgbColor rgb="00C0C0FF"/>
      <rgbColor rgb="00000080"/>
      <rgbColor rgb="00FF00FF"/>
      <rgbColor rgb="00FFFF00"/>
      <rgbColor rgb="0000FFFF"/>
      <rgbColor rgb="00800080"/>
      <rgbColor rgb="00800000"/>
      <rgbColor rgb="00008080"/>
      <rgbColor rgb="000000FF"/>
      <rgbColor rgb="0000CCFF"/>
      <rgbColor rgb="0069FFFF"/>
      <rgbColor rgb="00CCFFCC"/>
      <rgbColor rgb="00FFFF99"/>
      <rgbColor rgb="00A6CAF0"/>
      <rgbColor rgb="00CC9CCC"/>
      <rgbColor rgb="00CC99FF"/>
      <rgbColor rgb="00E3E3E3"/>
      <rgbColor rgb="003366FF"/>
      <rgbColor rgb="0033CCCC"/>
      <rgbColor rgb="00339933"/>
      <rgbColor rgb="00999933"/>
      <rgbColor rgb="00996633"/>
      <rgbColor rgb="00996666"/>
      <rgbColor rgb="00666699"/>
      <rgbColor rgb="00969696"/>
      <rgbColor rgb="003333CC"/>
      <rgbColor rgb="00336666"/>
      <rgbColor rgb="00003300"/>
      <rgbColor rgb="00333300"/>
      <rgbColor rgb="00663300"/>
      <rgbColor rgb="00993366"/>
      <rgbColor rgb="00333399"/>
      <rgbColor rgb="00424242"/>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dialogsheet" Target="dialogsheets/sheet2.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dialogsheet" Target="dialogsheets/sheet1.xml"/><Relationship Id="rId12" Type="http://schemas.openxmlformats.org/officeDocument/2006/relationships/theme" Target="theme/theme1.xml"/><Relationship Id="rId2" Type="http://schemas.openxmlformats.org/officeDocument/2006/relationships/worksheet" Target="worksheets/sheet2.xml"/><Relationship Id="rId16" Type="http://schemas.microsoft.com/office/2006/relationships/attachedToolbars" Target="attachedToolbars.bin"/><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externalLink" Target="externalLinks/externalLink3.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externalLink" Target="externalLinks/externalLink1.xml"/><Relationship Id="rId14" Type="http://schemas.openxmlformats.org/officeDocument/2006/relationships/sharedStrings" Target="sharedStrings.xml"/></Relationships>
</file>

<file path=xl/ctrlProps/ctrlProp1.xml><?xml version="1.0" encoding="utf-8"?>
<formControlPr xmlns="http://schemas.microsoft.com/office/spreadsheetml/2009/9/main" objectType="Button"/>
</file>

<file path=xl/ctrlProps/ctrlProp2.xml><?xml version="1.0" encoding="utf-8"?>
<formControlPr xmlns="http://schemas.microsoft.com/office/spreadsheetml/2009/9/main" objectType="Button" lockText="1"/>
</file>

<file path=xl/ctrlProps/ctrlProp3.xml><?xml version="1.0" encoding="utf-8"?>
<formControlPr xmlns="http://schemas.microsoft.com/office/spreadsheetml/2009/9/main" objectType="Button" lockText="1"/>
</file>

<file path=xl/ctrlProps/ctrlProp4.xml><?xml version="1.0" encoding="utf-8"?>
<formControlPr xmlns="http://schemas.microsoft.com/office/spreadsheetml/2009/9/main" objectType="CheckBox" fmlaLink="_SHR1" lockText="1"/>
</file>

<file path=xl/ctrlProps/ctrlProp5.xml><?xml version="1.0" encoding="utf-8"?>
<formControlPr xmlns="http://schemas.microsoft.com/office/spreadsheetml/2009/9/main" objectType="Radio" firstButton="1" lockText="1"/>
</file>

<file path=xl/ctrlProps/ctrlProp6.xml><?xml version="1.0" encoding="utf-8"?>
<formControlPr xmlns="http://schemas.microsoft.com/office/spreadsheetml/2009/9/main" objectType="Radio" checked="Checked" lockText="1"/>
</file>

<file path=xl/dialogsheets/_rels/sheet1.xml.rels><?xml version="1.0" encoding="UTF-8" standalone="yes"?>
<Relationships xmlns="http://schemas.openxmlformats.org/package/2006/relationships"><Relationship Id="rId2" Type="http://schemas.openxmlformats.org/officeDocument/2006/relationships/vmlDrawing" Target="../drawings/vmlDrawing3.vml"/><Relationship Id="rId1" Type="http://schemas.openxmlformats.org/officeDocument/2006/relationships/printerSettings" Target="../printerSettings/printerSettings3.bin"/></Relationships>
</file>

<file path=xl/dialogsheets/_rels/sheet2.xml.rels><?xml version="1.0" encoding="UTF-8" standalone="yes"?>
<Relationships xmlns="http://schemas.openxmlformats.org/package/2006/relationships"><Relationship Id="rId2" Type="http://schemas.openxmlformats.org/officeDocument/2006/relationships/vmlDrawing" Target="../drawings/vmlDrawing4.vml"/><Relationship Id="rId1" Type="http://schemas.openxmlformats.org/officeDocument/2006/relationships/printerSettings" Target="../printerSettings/printerSettings4.bin"/></Relationships>
</file>

<file path=xl/dialogsheets/sheet1.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00" verticalDpi="300" r:id="rId1"/>
  <headerFooter alignWithMargins="0">
    <oddHeader>&amp;A</oddHeader>
    <oddFooter>Page &amp;P</oddFooter>
  </headerFooter>
  <legacyDrawing r:id="rId2"/>
</dialogsheet>
</file>

<file path=xl/dialogsheets/sheet2.xml><?xml version="1.0" encoding="utf-8"?>
<dialog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Views>
    <sheetView showGridLines="0" showRowColHeaders="0" showZeros="0" showOutlineSymbols="0" workbookViewId="0"/>
  </sheetViews>
  <sheetFormatPr baseColWidth="10" defaultColWidth="1" defaultRowHeight="5.25" customHeight="1" x14ac:dyDescent="0.2"/>
  <sheetProtection sheet="1"/>
  <printOptions gridLinesSet="0"/>
  <pageMargins left="0.78740157499999996" right="0.78740157499999996" top="0.984251969" bottom="0.984251969" header="0.5" footer="0.5"/>
  <pageSetup orientation="portrait" horizontalDpi="360" verticalDpi="360" r:id="rId1"/>
  <headerFooter alignWithMargins="0">
    <oddHeader>&amp;A</oddHeader>
    <oddFooter>Page &amp;P</oddFooter>
  </headerFooter>
  <legacyDrawing r:id="rId2"/>
</dialogsheet>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3.vml.rels><?xml version="1.0" encoding="UTF-8" standalone="yes"?>
<Relationships xmlns="http://schemas.openxmlformats.org/package/2006/relationships"><Relationship Id="rId1" Type="http://schemas.openxmlformats.org/officeDocument/2006/relationships/image" Target="../media/image2.emf"/></Relationships>
</file>

<file path=xl/drawings/_rels/vmlDrawing4.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xdr:from>
      <xdr:col>4</xdr:col>
      <xdr:colOff>952500</xdr:colOff>
      <xdr:row>37</xdr:row>
      <xdr:rowOff>0</xdr:rowOff>
    </xdr:from>
    <xdr:to>
      <xdr:col>6</xdr:col>
      <xdr:colOff>1304925</xdr:colOff>
      <xdr:row>42</xdr:row>
      <xdr:rowOff>19050</xdr:rowOff>
    </xdr:to>
    <xdr:sp macro="[0]!Nada" textlink="">
      <xdr:nvSpPr>
        <xdr:cNvPr id="1026" name="LT"/>
        <xdr:cNvSpPr txBox="1">
          <a:spLocks noChangeArrowheads="1"/>
        </xdr:cNvSpPr>
      </xdr:nvSpPr>
      <xdr:spPr bwMode="auto">
        <a:xfrm>
          <a:off x="2562225" y="5486400"/>
          <a:ext cx="3848100" cy="990600"/>
        </a:xfrm>
        <a:prstGeom prst="rect">
          <a:avLst/>
        </a:prstGeom>
        <a:solidFill>
          <a:srgbClr val="FFFFFF"/>
        </a:solidFill>
        <a:ln w="1">
          <a:solidFill>
            <a:srgbClr val="000000"/>
          </a:solidFill>
          <a:miter lim="800000"/>
          <a:headEnd/>
          <a:tailEnd/>
        </a:ln>
      </xdr:spPr>
      <xdr:txBody>
        <a:bodyPr vertOverflow="clip" wrap="square" lIns="45720" tIns="41148" rIns="0" bIns="0" anchor="t" upright="1"/>
        <a:lstStyle/>
        <a:p>
          <a:pPr algn="l" rtl="0">
            <a:defRPr sz="1000"/>
          </a:pPr>
          <a:r>
            <a:rPr lang="fr-FR" sz="2000" b="0" i="1" strike="noStrike">
              <a:solidFill>
                <a:srgbClr val="424242"/>
              </a:solidFill>
              <a:latin typeface="Times New Roman CE"/>
            </a:rPr>
            <a:t>GAMESTREAM ATLAS  ORGANISME DE FORMATION N° D'AGREMENT : 01 069 11 </a:t>
          </a:r>
          <a:endParaRPr lang="fr-FR" sz="1000" b="0" i="1" strike="noStrike">
            <a:solidFill>
              <a:srgbClr val="424242"/>
            </a:solidFill>
            <a:latin typeface="Times New Roman CE"/>
          </a:endParaRPr>
        </a:p>
        <a:p>
          <a:pPr algn="l" rtl="0">
            <a:defRPr sz="1000"/>
          </a:pPr>
          <a:r>
            <a:rPr lang="fr-FR" sz="1000" b="0" i="1" strike="noStrike">
              <a:solidFill>
                <a:srgbClr val="424242"/>
              </a:solidFill>
              <a:latin typeface="Times New Roman CE"/>
            </a:rPr>
            <a:t>4 RUE DU CAIRE 1001 TUNIS</a:t>
          </a:r>
        </a:p>
        <a:p>
          <a:pPr algn="l" rtl="0">
            <a:defRPr sz="1000"/>
          </a:pPr>
          <a:r>
            <a:rPr lang="fr-FR" sz="1000" b="0" i="1" strike="noStrike">
              <a:solidFill>
                <a:srgbClr val="424242"/>
              </a:solidFill>
              <a:latin typeface="Times New Roman CE"/>
            </a:rPr>
            <a:t>TEL:  71 258108 FAX : 71 259346</a:t>
          </a:r>
        </a:p>
        <a:p>
          <a:pPr algn="l" rtl="0">
            <a:defRPr sz="1000"/>
          </a:pPr>
          <a:endParaRPr lang="fr-FR" sz="1000" b="0" i="1" strike="noStrike">
            <a:solidFill>
              <a:srgbClr val="424242"/>
            </a:solidFill>
            <a:latin typeface="Times New Roman CE"/>
          </a:endParaRPr>
        </a:p>
      </xdr:txBody>
    </xdr:sp>
    <xdr:clientData/>
  </xdr:twoCellAnchor>
  <xdr:twoCellAnchor>
    <xdr:from>
      <xdr:col>3</xdr:col>
      <xdr:colOff>752475</xdr:colOff>
      <xdr:row>37</xdr:row>
      <xdr:rowOff>28575</xdr:rowOff>
    </xdr:from>
    <xdr:to>
      <xdr:col>4</xdr:col>
      <xdr:colOff>352425</xdr:colOff>
      <xdr:row>41</xdr:row>
      <xdr:rowOff>152400</xdr:rowOff>
    </xdr:to>
    <xdr:sp macro="[0]!Nada" textlink="">
      <xdr:nvSpPr>
        <xdr:cNvPr id="1032" name="LG"/>
        <xdr:cNvSpPr txBox="1">
          <a:spLocks noChangeArrowheads="1"/>
        </xdr:cNvSpPr>
      </xdr:nvSpPr>
      <xdr:spPr bwMode="auto">
        <a:xfrm>
          <a:off x="1114425" y="5514975"/>
          <a:ext cx="847725" cy="847725"/>
        </a:xfrm>
        <a:prstGeom prst="rect">
          <a:avLst/>
        </a:prstGeom>
        <a:solidFill>
          <a:srgbClr val="C0C0C0"/>
        </a:solidFill>
        <a:ln w="9525">
          <a:solidFill>
            <a:srgbClr val="000000"/>
          </a:solidFill>
          <a:miter lim="800000"/>
          <a:headEnd/>
          <a:tailEnd/>
        </a:ln>
        <a:effectLst>
          <a:outerShdw dist="35921" dir="2700000" algn="ctr" rotWithShape="0">
            <a:srgbClr val="000000"/>
          </a:outerShdw>
        </a:effectLst>
      </xdr:spPr>
      <xdr:txBody>
        <a:bodyPr vertOverflow="clip" wrap="square" lIns="27432" tIns="22860" rIns="27432" bIns="22860" anchor="ctr" upright="1"/>
        <a:lstStyle/>
        <a:p>
          <a:pPr algn="ctr" rtl="0">
            <a:defRPr sz="1000"/>
          </a:pPr>
          <a:r>
            <a:rPr lang="fr-FR" sz="1000" b="0" i="1" strike="noStrike">
              <a:solidFill>
                <a:srgbClr val="000000"/>
              </a:solidFill>
              <a:latin typeface="Arial"/>
              <a:cs typeface="Arial"/>
            </a:rPr>
            <a:t>Insérer un logo</a:t>
          </a:r>
        </a:p>
      </xdr:txBody>
    </xdr:sp>
    <xdr:clientData fPrintsWithSheet="0"/>
  </xdr:twoCellAnchor>
  <mc:AlternateContent xmlns:mc="http://schemas.openxmlformats.org/markup-compatibility/2006">
    <mc:Choice xmlns:a14="http://schemas.microsoft.com/office/drawing/2010/main" Requires="a14">
      <xdr:twoCellAnchor>
        <xdr:from>
          <xdr:col>3</xdr:col>
          <xdr:colOff>771525</xdr:colOff>
          <xdr:row>7</xdr:row>
          <xdr:rowOff>9525</xdr:rowOff>
        </xdr:from>
        <xdr:to>
          <xdr:col>4</xdr:col>
          <xdr:colOff>1933575</xdr:colOff>
          <xdr:row>8</xdr:row>
          <xdr:rowOff>76200</xdr:rowOff>
        </xdr:to>
        <xdr:sp macro="" textlink="">
          <xdr:nvSpPr>
            <xdr:cNvPr id="1025" name="Lock" hidden="1">
              <a:extLst>
                <a:ext uri="{63B3BB69-23CF-44E3-9099-C40C66FF867C}">
                  <a14:compatExt spid="_x0000_s1025"/>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Déverrouiller cette feuille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3</xdr:col>
          <xdr:colOff>266700</xdr:colOff>
          <xdr:row>42</xdr:row>
          <xdr:rowOff>161925</xdr:rowOff>
        </xdr:from>
        <xdr:to>
          <xdr:col>4</xdr:col>
          <xdr:colOff>771525</xdr:colOff>
          <xdr:row>43</xdr:row>
          <xdr:rowOff>219075</xdr:rowOff>
        </xdr:to>
        <xdr:sp macro="" textlink="">
          <xdr:nvSpPr>
            <xdr:cNvPr id="1027" name="LGBUT" hidden="1">
              <a:extLst>
                <a:ext uri="{63B3BB69-23CF-44E3-9099-C40C66FF867C}">
                  <a14:compatExt spid="_x0000_s1027"/>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Sélectionner un logo</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xdr:from>
          <xdr:col>4</xdr:col>
          <xdr:colOff>1933575</xdr:colOff>
          <xdr:row>42</xdr:row>
          <xdr:rowOff>161925</xdr:rowOff>
        </xdr:from>
        <xdr:to>
          <xdr:col>6</xdr:col>
          <xdr:colOff>390525</xdr:colOff>
          <xdr:row>43</xdr:row>
          <xdr:rowOff>219075</xdr:rowOff>
        </xdr:to>
        <xdr:sp macro="" textlink="">
          <xdr:nvSpPr>
            <xdr:cNvPr id="1028" name="LTBUT" hidden="1">
              <a:extLst>
                <a:ext uri="{63B3BB69-23CF-44E3-9099-C40C66FF867C}">
                  <a14:compatExt spid="_x0000_s1028"/>
                </a:ext>
              </a:extLst>
            </xdr:cNvPr>
            <xdr:cNvSpPr/>
          </xdr:nvSpPr>
          <xdr:spPr bwMode="auto">
            <a:xfrm>
              <a:off x="0" y="0"/>
              <a:ext cx="0" cy="0"/>
            </a:xfrm>
            <a:prstGeom prst="rect">
              <a:avLst/>
            </a:prstGeom>
            <a:noFill/>
            <a:ln>
              <a:noFill/>
            </a:ln>
            <a:extLst>
              <a:ext uri="{91240B29-F687-4F45-9708-019B960494DF}">
                <a14:hiddenLine w="9525">
                  <a:noFill/>
                  <a:miter lim="800000"/>
                  <a:headEnd/>
                  <a:tailEnd/>
                </a14:hiddenLine>
              </a:ext>
            </a:extLst>
          </xdr:spPr>
          <xdr:txBody>
            <a:bodyPr vertOverflow="clip" wrap="square" lIns="27432" tIns="22860" rIns="27432" bIns="22860" anchor="ctr" upright="1"/>
            <a:lstStyle/>
            <a:p>
              <a:pPr algn="ctr" rtl="0">
                <a:defRPr sz="1000"/>
              </a:pPr>
              <a:r>
                <a:rPr lang="fr-FR" sz="1000" b="0" i="0" u="none" strike="noStrike" baseline="0">
                  <a:solidFill>
                    <a:srgbClr val="000000"/>
                  </a:solidFill>
                  <a:latin typeface="Arial"/>
                  <a:cs typeface="Arial"/>
                </a:rPr>
                <a:t>Modifier la police</a:t>
              </a:r>
            </a:p>
          </xdr:txBody>
        </xdr:sp>
        <xdr:clientData fPrintsWithSheet="0"/>
      </xdr:twoCellAnchor>
    </mc:Choice>
    <mc:Fallback/>
  </mc:AlternateContent>
  <mc:AlternateContent xmlns:mc="http://schemas.openxmlformats.org/markup-compatibility/2006">
    <mc:Choice xmlns:a14="http://schemas.microsoft.com/office/drawing/2010/main" Requires="a14">
      <xdr:twoCellAnchor editAs="oneCell">
        <xdr:from>
          <xdr:col>3</xdr:col>
          <xdr:colOff>828675</xdr:colOff>
          <xdr:row>28</xdr:row>
          <xdr:rowOff>142875</xdr:rowOff>
        </xdr:from>
        <xdr:to>
          <xdr:col>3</xdr:col>
          <xdr:colOff>1123950</xdr:colOff>
          <xdr:row>30</xdr:row>
          <xdr:rowOff>9525</xdr:rowOff>
        </xdr:to>
        <xdr:sp macro="" textlink="">
          <xdr:nvSpPr>
            <xdr:cNvPr id="1031" name="SHR" hidden="1">
              <a:extLst>
                <a:ext uri="{63B3BB69-23CF-44E3-9099-C40C66FF867C}">
                  <a14:compatExt spid="_x0000_s1031"/>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wsDr>
</file>

<file path=xl/drawings/drawing2.xml><?xml version="1.0" encoding="utf-8"?>
<xdr:wsDr xmlns:xdr="http://schemas.openxmlformats.org/drawingml/2006/spreadsheetDrawing" xmlns:a="http://schemas.openxmlformats.org/drawingml/2006/main">
  <xdr:twoCellAnchor>
    <xdr:from>
      <xdr:col>2</xdr:col>
      <xdr:colOff>85725</xdr:colOff>
      <xdr:row>21</xdr:row>
      <xdr:rowOff>133351</xdr:rowOff>
    </xdr:from>
    <xdr:to>
      <xdr:col>10</xdr:col>
      <xdr:colOff>0</xdr:colOff>
      <xdr:row>28</xdr:row>
      <xdr:rowOff>38101</xdr:rowOff>
    </xdr:to>
    <xdr:sp macro="" textlink="">
      <xdr:nvSpPr>
        <xdr:cNvPr id="2258" name="INVB1"/>
        <xdr:cNvSpPr>
          <a:spLocks noChangeArrowheads="1"/>
        </xdr:cNvSpPr>
      </xdr:nvSpPr>
      <xdr:spPr bwMode="auto">
        <a:xfrm>
          <a:off x="219075" y="3695701"/>
          <a:ext cx="6753225" cy="1847850"/>
        </a:xfrm>
        <a:prstGeom prst="roundRect">
          <a:avLst>
            <a:gd name="adj" fmla="val 16667"/>
          </a:avLst>
        </a:prstGeom>
        <a:noFill/>
        <a:ln w="9525">
          <a:solidFill>
            <a:srgbClr val="000080"/>
          </a:solidFill>
          <a:round/>
          <a:headEnd/>
          <a:tailEnd/>
        </a:ln>
      </xdr:spPr>
    </xdr:sp>
    <xdr:clientData/>
  </xdr:twoCellAnchor>
  <xdr:twoCellAnchor>
    <xdr:from>
      <xdr:col>10</xdr:col>
      <xdr:colOff>266700</xdr:colOff>
      <xdr:row>21</xdr:row>
      <xdr:rowOff>152400</xdr:rowOff>
    </xdr:from>
    <xdr:to>
      <xdr:col>13</xdr:col>
      <xdr:colOff>95250</xdr:colOff>
      <xdr:row>28</xdr:row>
      <xdr:rowOff>19050</xdr:rowOff>
    </xdr:to>
    <xdr:sp macro="" textlink="">
      <xdr:nvSpPr>
        <xdr:cNvPr id="2259" name="INVB2"/>
        <xdr:cNvSpPr>
          <a:spLocks noChangeArrowheads="1"/>
        </xdr:cNvSpPr>
      </xdr:nvSpPr>
      <xdr:spPr bwMode="auto">
        <a:xfrm>
          <a:off x="7239000" y="3714750"/>
          <a:ext cx="4914900" cy="1809750"/>
        </a:xfrm>
        <a:prstGeom prst="roundRect">
          <a:avLst>
            <a:gd name="adj" fmla="val 16667"/>
          </a:avLst>
        </a:prstGeom>
        <a:noFill/>
        <a:ln w="9525">
          <a:solidFill>
            <a:srgbClr val="000080"/>
          </a:solidFill>
          <a:round/>
          <a:headEnd/>
          <a:tailEnd/>
        </a:ln>
      </xdr:spPr>
    </xdr:sp>
    <xdr:clientData/>
  </xdr:twoCellAnchor>
  <xdr:twoCellAnchor>
    <xdr:from>
      <xdr:col>2</xdr:col>
      <xdr:colOff>113435</xdr:colOff>
      <xdr:row>10</xdr:row>
      <xdr:rowOff>240722</xdr:rowOff>
    </xdr:from>
    <xdr:to>
      <xdr:col>5</xdr:col>
      <xdr:colOff>548121</xdr:colOff>
      <xdr:row>16</xdr:row>
      <xdr:rowOff>103909</xdr:rowOff>
    </xdr:to>
    <xdr:sp macro="[3]!Nada" textlink="">
      <xdr:nvSpPr>
        <xdr:cNvPr id="2112" name="LT"/>
        <xdr:cNvSpPr txBox="1">
          <a:spLocks noChangeArrowheads="1"/>
        </xdr:cNvSpPr>
      </xdr:nvSpPr>
      <xdr:spPr bwMode="auto">
        <a:xfrm>
          <a:off x="234662" y="1574222"/>
          <a:ext cx="3153641" cy="1127414"/>
        </a:xfrm>
        <a:prstGeom prst="rect">
          <a:avLst/>
        </a:prstGeom>
        <a:solidFill>
          <a:srgbClr val="FFFFFF"/>
        </a:solidFill>
        <a:ln w="1">
          <a:noFill/>
          <a:miter lim="800000"/>
          <a:headEnd/>
          <a:tailEnd/>
        </a:ln>
      </xdr:spPr>
      <xdr:txBody>
        <a:bodyPr vertOverflow="clip" wrap="square" lIns="27432" tIns="22860" rIns="27432" bIns="0" anchor="t" upright="1"/>
        <a:lstStyle/>
        <a:p>
          <a:pPr algn="ctr" rtl="0">
            <a:defRPr sz="1000"/>
          </a:pPr>
          <a:r>
            <a:rPr lang="fr-FR" sz="1800" b="0" i="0" strike="noStrike">
              <a:solidFill>
                <a:srgbClr val="000000"/>
              </a:solidFill>
              <a:latin typeface="Arial"/>
              <a:cs typeface="Arial"/>
            </a:rPr>
            <a:t>4,RUE DU CAIRE 1001</a:t>
          </a:r>
          <a:r>
            <a:rPr lang="fr-FR" sz="1800" b="0" i="0" strike="noStrike" baseline="0">
              <a:solidFill>
                <a:srgbClr val="000000"/>
              </a:solidFill>
              <a:latin typeface="Arial"/>
              <a:cs typeface="Arial"/>
            </a:rPr>
            <a:t> TUNIS</a:t>
          </a:r>
          <a:r>
            <a:rPr lang="fr-FR" sz="1800" b="0" i="0" strike="noStrike">
              <a:solidFill>
                <a:srgbClr val="000000"/>
              </a:solidFill>
              <a:latin typeface="Arial"/>
              <a:cs typeface="Arial"/>
            </a:rPr>
            <a:t>- Tunisie     </a:t>
          </a:r>
        </a:p>
        <a:p>
          <a:pPr algn="ctr" rtl="0">
            <a:defRPr sz="1000"/>
          </a:pPr>
          <a:r>
            <a:rPr lang="fr-FR" sz="1800" b="0" i="0" strike="noStrike">
              <a:solidFill>
                <a:srgbClr val="000000"/>
              </a:solidFill>
              <a:latin typeface="Arial"/>
              <a:cs typeface="Arial"/>
            </a:rPr>
            <a:t>Tél : (216).71 258 108</a:t>
          </a:r>
        </a:p>
        <a:p>
          <a:pPr algn="ctr" rtl="0">
            <a:defRPr sz="1000"/>
          </a:pPr>
          <a:r>
            <a:rPr lang="fr-FR" sz="1800" b="0" i="0" strike="noStrike">
              <a:solidFill>
                <a:srgbClr val="000000"/>
              </a:solidFill>
              <a:latin typeface="Arial"/>
              <a:cs typeface="Arial"/>
            </a:rPr>
            <a:t>Fax : (216).71 259 346</a:t>
          </a:r>
        </a:p>
        <a:p>
          <a:pPr algn="ctr" rtl="0">
            <a:defRPr sz="1000"/>
          </a:pPr>
          <a:endParaRPr lang="fr-FR" sz="800" b="0" i="0" strike="noStrike">
            <a:solidFill>
              <a:srgbClr val="000000"/>
            </a:solidFill>
            <a:latin typeface="Arial"/>
            <a:cs typeface="Arial"/>
          </a:endParaRPr>
        </a:p>
      </xdr:txBody>
    </xdr:sp>
    <xdr:clientData/>
  </xdr:twoCellAnchor>
  <xdr:twoCellAnchor>
    <xdr:from>
      <xdr:col>11</xdr:col>
      <xdr:colOff>0</xdr:colOff>
      <xdr:row>13</xdr:row>
      <xdr:rowOff>333375</xdr:rowOff>
    </xdr:from>
    <xdr:to>
      <xdr:col>13</xdr:col>
      <xdr:colOff>66675</xdr:colOff>
      <xdr:row>20</xdr:row>
      <xdr:rowOff>9525</xdr:rowOff>
    </xdr:to>
    <xdr:sp macro="" textlink="">
      <xdr:nvSpPr>
        <xdr:cNvPr id="2261" name="INVB2"/>
        <xdr:cNvSpPr>
          <a:spLocks noChangeArrowheads="1"/>
        </xdr:cNvSpPr>
      </xdr:nvSpPr>
      <xdr:spPr bwMode="auto">
        <a:xfrm>
          <a:off x="8915400" y="2295525"/>
          <a:ext cx="3981450" cy="990600"/>
        </a:xfrm>
        <a:prstGeom prst="roundRect">
          <a:avLst>
            <a:gd name="adj" fmla="val 16667"/>
          </a:avLst>
        </a:prstGeom>
        <a:noFill/>
        <a:ln w="9525">
          <a:solidFill>
            <a:srgbClr val="000080"/>
          </a:solidFill>
          <a:round/>
          <a:headEnd/>
          <a:tailEnd/>
        </a:ln>
      </xdr:spPr>
    </xdr:sp>
    <xdr:clientData/>
  </xdr:twoCellAnchor>
  <mc:AlternateContent xmlns:mc="http://schemas.openxmlformats.org/markup-compatibility/2006">
    <mc:Choice xmlns:a14="http://schemas.microsoft.com/office/drawing/2010/main" Requires="a14">
      <xdr:twoCellAnchor editAs="oneCell">
        <xdr:from>
          <xdr:col>4</xdr:col>
          <xdr:colOff>266700</xdr:colOff>
          <xdr:row>53</xdr:row>
          <xdr:rowOff>9525</xdr:rowOff>
        </xdr:from>
        <xdr:to>
          <xdr:col>4</xdr:col>
          <xdr:colOff>571500</xdr:colOff>
          <xdr:row>53</xdr:row>
          <xdr:rowOff>228600</xdr:rowOff>
        </xdr:to>
        <xdr:sp macro="" textlink="">
          <xdr:nvSpPr>
            <xdr:cNvPr id="2108" name="pd2" hidden="1">
              <a:extLst>
                <a:ext uri="{63B3BB69-23CF-44E3-9099-C40C66FF867C}">
                  <a14:compatExt spid="_x0000_s2108"/>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4</xdr:col>
          <xdr:colOff>238125</xdr:colOff>
          <xdr:row>54</xdr:row>
          <xdr:rowOff>0</xdr:rowOff>
        </xdr:from>
        <xdr:to>
          <xdr:col>4</xdr:col>
          <xdr:colOff>552450</xdr:colOff>
          <xdr:row>54</xdr:row>
          <xdr:rowOff>228600</xdr:rowOff>
        </xdr:to>
        <xdr:sp macro="" textlink="">
          <xdr:nvSpPr>
            <xdr:cNvPr id="2109" name="Option Button 61" hidden="1">
              <a:extLst>
                <a:ext uri="{63B3BB69-23CF-44E3-9099-C40C66FF867C}">
                  <a14:compatExt spid="_x0000_s2109"/>
                </a:ext>
              </a:extLst>
            </xdr:cNvPr>
            <xdr:cNvSpPr/>
          </xdr:nvSpPr>
          <xdr:spPr bwMode="auto">
            <a:xfrm>
              <a:off x="0" y="0"/>
              <a:ext cx="0" cy="0"/>
            </a:xfrm>
            <a:prstGeom prst="rect">
              <a:avLst/>
            </a:prstGeom>
            <a:noFill/>
            <a:ln>
              <a:noFill/>
            </a:ln>
            <a:extLst>
              <a:ext uri="{909E8E84-426E-40DD-AFC4-6F175D3DCCD1}">
                <a14:hiddenFill>
                  <a:solidFill>
                    <a:srgbClr val="000000" mc:Ignorable="a14" a14:legacySpreadsheetColorIndex="64"/>
                  </a:solidFill>
                </a14:hiddenFill>
              </a:ext>
              <a:ext uri="{91240B29-F687-4F45-9708-019B960494DF}">
                <a14:hiddenLine w="1">
                  <a:solidFill>
                    <a:srgbClr val="000000" mc:Ignorable="a14" a14:legacySpreadsheetColorIndex="64"/>
                  </a:solidFill>
                  <a:miter lim="800000"/>
                  <a:headEnd/>
                  <a:tailEnd/>
                </a14:hiddenLine>
              </a:ext>
            </a:extLst>
          </xdr:spPr>
        </xdr:sp>
        <xdr:clientData/>
      </xdr:twoCellAnchor>
    </mc:Choice>
    <mc:Fallback/>
  </mc:AlternateContent>
  <xdr:twoCellAnchor editAs="oneCell">
    <xdr:from>
      <xdr:col>3</xdr:col>
      <xdr:colOff>56356</xdr:colOff>
      <xdr:row>2</xdr:row>
      <xdr:rowOff>119064</xdr:rowOff>
    </xdr:from>
    <xdr:to>
      <xdr:col>9</xdr:col>
      <xdr:colOff>187325</xdr:colOff>
      <xdr:row>10</xdr:row>
      <xdr:rowOff>198439</xdr:rowOff>
    </xdr:to>
    <xdr:pic>
      <xdr:nvPicPr>
        <xdr:cNvPr id="9" name="Image 8"/>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93700" y="198439"/>
          <a:ext cx="5647531" cy="1349375"/>
        </a:xfrm>
        <a:prstGeom prst="roundRect">
          <a:avLst>
            <a:gd name="adj" fmla="val 8594"/>
          </a:avLst>
        </a:prstGeom>
        <a:solidFill>
          <a:srgbClr val="FFFFFF">
            <a:shade val="85000"/>
          </a:srgbClr>
        </a:solidFill>
        <a:ln>
          <a:noFill/>
        </a:ln>
        <a:effectLst>
          <a:reflection blurRad="6350" stA="52000" endA="300" endPos="35000" dir="5400000" sy="-100000" algn="bl" rotWithShape="0"/>
        </a:effectLst>
      </xdr:spPr>
    </xdr:pic>
    <xdr:clientData/>
  </xdr:twoCellAnchor>
</xdr:wsDr>
</file>

<file path=xl/externalLinks/_rels/externalLink1.xml.rels><?xml version="1.0" encoding="UTF-8" standalone="yes"?>
<Relationships xmlns="http://schemas.openxmlformats.org/package/2006/relationships"><Relationship Id="rId1" Type="http://schemas.microsoft.com/office/2006/relationships/xlExternalLinkPath/xlPathMissing" Target="Invoice.xlt"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clients/Clients-system/Express%20Ascenseur/2008/DEVIS%202008/Devis%20N&#176;%2009%20SCADA%2006%2005%2008.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Documents%20and%20Settings/Administrateur/Bureau/SYSTEM+STREAM%202009/GSYSTEM%202009/DEVIS%202009/DEVIS%202009/DEVIWS%20N&#176;28%20CPC%2023%2003%2009.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Invoice"/>
    </sheetNames>
    <definedNames>
      <definedName name="GoAssetChart"/>
      <definedName name="GoBack"/>
      <definedName name="GoBalanceSheet"/>
      <definedName name="GoCashFlow"/>
      <definedName name="GoData"/>
      <definedName name="GoIncomeChart"/>
    </definedNames>
    <sheetDataSet>
      <sheetData sheetId="0"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s N° 09 SCADA 06 05 08"/>
    </sheetNames>
    <definedNames>
      <definedName name="INV_Payments"/>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AutoOpen Stub Data"/>
      <sheetName val="Personnaliser votre facture"/>
      <sheetName val="Facture"/>
      <sheetName val="Patientez un instant..."/>
      <sheetName val="TemplateInformation"/>
      <sheetName val="Macros"/>
      <sheetName val="ATW"/>
      <sheetName val="Verrouiller"/>
      <sheetName val="DEVIWS N°28 CPC 23 03 09"/>
    </sheetNames>
    <definedNames>
      <definedName name="Nada"/>
    </definedNames>
    <sheetDataSet>
      <sheetData sheetId="0"/>
      <sheetData sheetId="1"/>
      <sheetData sheetId="2"/>
      <sheetData sheetId="3"/>
      <sheetData sheetId="4"/>
      <sheetData sheetId="5" refreshError="1"/>
      <sheetData sheetId="6"/>
      <sheetData sheetId="7"/>
      <sheetData sheetId="8" refreshError="1"/>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8" Type="http://schemas.openxmlformats.org/officeDocument/2006/relationships/comments" Target="../comments1.xml"/><Relationship Id="rId3" Type="http://schemas.openxmlformats.org/officeDocument/2006/relationships/vmlDrawing" Target="../drawings/vmlDrawing1.vml"/><Relationship Id="rId7" Type="http://schemas.openxmlformats.org/officeDocument/2006/relationships/ctrlProp" Target="../ctrlProps/ctrlProp4.xml"/><Relationship Id="rId2" Type="http://schemas.openxmlformats.org/officeDocument/2006/relationships/drawing" Target="../drawings/drawing1.xml"/><Relationship Id="rId1" Type="http://schemas.openxmlformats.org/officeDocument/2006/relationships/printerSettings" Target="../printerSettings/printerSettings1.bin"/><Relationship Id="rId6" Type="http://schemas.openxmlformats.org/officeDocument/2006/relationships/ctrlProp" Target="../ctrlProps/ctrlProp3.xml"/><Relationship Id="rId5" Type="http://schemas.openxmlformats.org/officeDocument/2006/relationships/ctrlProp" Target="../ctrlProps/ctrlProp2.xml"/><Relationship Id="rId4" Type="http://schemas.openxmlformats.org/officeDocument/2006/relationships/ctrlProp" Target="../ctrlProps/ctrlProp1.xml"/></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2.bin"/><Relationship Id="rId6" Type="http://schemas.openxmlformats.org/officeDocument/2006/relationships/comments" Target="../comments2.xml"/><Relationship Id="rId5" Type="http://schemas.openxmlformats.org/officeDocument/2006/relationships/ctrlProp" Target="../ctrlProps/ctrlProp6.xml"/><Relationship Id="rId4" Type="http://schemas.openxmlformats.org/officeDocument/2006/relationships/ctrlProp" Target="../ctrlProps/ctrlProp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zoomScale="95" workbookViewId="0"/>
  </sheetViews>
  <sheetFormatPr baseColWidth="10" defaultRowHeight="12.75" x14ac:dyDescent="0.2"/>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3">
    <pageSetUpPr fitToPage="1"/>
  </sheetPr>
  <dimension ref="B1:J52"/>
  <sheetViews>
    <sheetView showGridLines="0" showRowColHeaders="0" zoomScale="95" workbookViewId="0">
      <selection activeCell="E13" sqref="E13"/>
    </sheetView>
  </sheetViews>
  <sheetFormatPr baseColWidth="10" defaultColWidth="9.140625" defaultRowHeight="12.75" x14ac:dyDescent="0.2"/>
  <cols>
    <col min="1" max="1" width="1.28515625" customWidth="1"/>
    <col min="2" max="2" width="0.42578125" customWidth="1"/>
    <col min="3" max="3" width="3.7109375" customWidth="1"/>
    <col min="4" max="4" width="18.7109375" customWidth="1"/>
    <col min="5" max="5" width="30.7109375" customWidth="1"/>
    <col min="6" max="6" width="21.7109375" customWidth="1"/>
    <col min="7" max="7" width="28.7109375" customWidth="1"/>
    <col min="8" max="9" width="3.7109375" customWidth="1"/>
    <col min="10" max="10" width="0.42578125" customWidth="1"/>
  </cols>
  <sheetData>
    <row r="1" spans="2:10" ht="6" customHeight="1" thickBot="1" x14ac:dyDescent="0.25"/>
    <row r="2" spans="2:10" ht="0.95" customHeight="1" thickTop="1" x14ac:dyDescent="0.2">
      <c r="B2" s="4"/>
      <c r="C2" s="5"/>
      <c r="D2" s="5"/>
      <c r="E2" s="5"/>
      <c r="F2" s="5"/>
      <c r="G2" s="5"/>
      <c r="H2" s="5"/>
      <c r="I2" s="5"/>
      <c r="J2" s="6"/>
    </row>
    <row r="3" spans="2:10" x14ac:dyDescent="0.2">
      <c r="B3" s="7"/>
      <c r="C3" s="3"/>
      <c r="D3" s="3"/>
      <c r="E3" s="3"/>
      <c r="F3" s="3"/>
      <c r="G3" s="3"/>
      <c r="H3" s="3"/>
      <c r="I3" s="3"/>
      <c r="J3" s="9"/>
    </row>
    <row r="4" spans="2:10" ht="24" thickBot="1" x14ac:dyDescent="0.4">
      <c r="B4" s="7"/>
      <c r="C4" s="3"/>
      <c r="D4" s="158" t="s">
        <v>0</v>
      </c>
      <c r="E4" s="159"/>
      <c r="F4" s="159"/>
      <c r="G4" s="3"/>
      <c r="H4" s="3"/>
      <c r="I4" s="3"/>
      <c r="J4" s="9"/>
    </row>
    <row r="5" spans="2:10" ht="3" customHeight="1" thickTop="1" x14ac:dyDescent="0.2">
      <c r="B5" s="2"/>
      <c r="C5" s="57"/>
      <c r="D5" s="57"/>
      <c r="E5" s="57"/>
      <c r="F5" s="57"/>
      <c r="G5" s="57"/>
      <c r="H5" s="57"/>
      <c r="I5" s="57"/>
      <c r="J5" s="1"/>
    </row>
    <row r="6" spans="2:10" ht="12.75" customHeight="1" x14ac:dyDescent="0.3">
      <c r="B6" s="7"/>
      <c r="C6" s="3"/>
      <c r="D6" s="21"/>
      <c r="E6" s="3"/>
      <c r="F6" s="3"/>
      <c r="G6" s="3"/>
      <c r="H6" s="3"/>
      <c r="I6" s="3"/>
      <c r="J6" s="9"/>
    </row>
    <row r="7" spans="2:10" x14ac:dyDescent="0.2">
      <c r="B7" s="7"/>
      <c r="C7" s="3"/>
      <c r="D7" s="3"/>
      <c r="E7" s="3"/>
      <c r="F7" s="3"/>
      <c r="G7" s="63" t="s">
        <v>46</v>
      </c>
      <c r="H7" s="3"/>
      <c r="I7" s="3"/>
      <c r="J7" s="9"/>
    </row>
    <row r="8" spans="2:10" x14ac:dyDescent="0.2">
      <c r="B8" s="7"/>
      <c r="C8" s="3"/>
      <c r="D8" s="3"/>
      <c r="E8" s="3"/>
      <c r="F8" s="3"/>
      <c r="G8" s="63" t="s">
        <v>1</v>
      </c>
      <c r="H8" s="3"/>
      <c r="I8" s="3"/>
      <c r="J8" s="9"/>
    </row>
    <row r="9" spans="2:10" x14ac:dyDescent="0.2">
      <c r="B9" s="7"/>
      <c r="C9" s="3"/>
      <c r="D9" s="22"/>
      <c r="E9" s="3"/>
      <c r="F9" s="3"/>
      <c r="G9" s="44"/>
      <c r="H9" s="3"/>
      <c r="I9" s="3"/>
      <c r="J9" s="9"/>
    </row>
    <row r="10" spans="2:10" ht="13.5" thickBot="1" x14ac:dyDescent="0.25">
      <c r="B10" s="7"/>
      <c r="C10" s="3"/>
      <c r="D10" s="160" t="s">
        <v>2</v>
      </c>
      <c r="E10" s="161"/>
      <c r="F10" s="3"/>
      <c r="G10" s="3"/>
      <c r="H10" s="3"/>
      <c r="I10" s="3"/>
      <c r="J10" s="9"/>
    </row>
    <row r="11" spans="2:10" ht="5.25" customHeight="1" thickBot="1" x14ac:dyDescent="0.25">
      <c r="B11" s="7"/>
      <c r="C11" s="3"/>
      <c r="D11" s="24"/>
      <c r="E11" s="25"/>
      <c r="F11" s="25"/>
      <c r="G11" s="25"/>
      <c r="H11" s="26"/>
      <c r="I11" s="3"/>
      <c r="J11" s="9"/>
    </row>
    <row r="12" spans="2:10" x14ac:dyDescent="0.2">
      <c r="B12" s="7"/>
      <c r="C12" s="3"/>
      <c r="D12" s="34" t="s">
        <v>3</v>
      </c>
      <c r="E12" s="13" t="s">
        <v>52</v>
      </c>
      <c r="F12" s="64" t="s">
        <v>4</v>
      </c>
      <c r="G12" s="17"/>
      <c r="H12" s="27"/>
      <c r="I12" s="3"/>
      <c r="J12" s="9"/>
    </row>
    <row r="13" spans="2:10" ht="13.5" thickBot="1" x14ac:dyDescent="0.25">
      <c r="B13" s="7"/>
      <c r="C13" s="3"/>
      <c r="D13" s="34" t="s">
        <v>5</v>
      </c>
      <c r="E13" s="14" t="s">
        <v>49</v>
      </c>
      <c r="F13" s="64" t="s">
        <v>6</v>
      </c>
      <c r="G13" s="18"/>
      <c r="H13" s="27"/>
      <c r="I13" s="3"/>
      <c r="J13" s="9"/>
    </row>
    <row r="14" spans="2:10" x14ac:dyDescent="0.2">
      <c r="B14" s="7"/>
      <c r="C14" s="3"/>
      <c r="D14" s="34" t="s">
        <v>7</v>
      </c>
      <c r="E14" s="15" t="s">
        <v>50</v>
      </c>
      <c r="F14" s="28"/>
      <c r="G14" s="29"/>
      <c r="H14" s="27"/>
      <c r="I14" s="3"/>
      <c r="J14" s="9"/>
    </row>
    <row r="15" spans="2:10" x14ac:dyDescent="0.2">
      <c r="B15" s="7"/>
      <c r="C15" s="3"/>
      <c r="D15" s="34" t="s">
        <v>8</v>
      </c>
      <c r="E15" s="14" t="s">
        <v>51</v>
      </c>
      <c r="F15" s="41"/>
      <c r="G15" s="29"/>
      <c r="H15" s="27"/>
      <c r="I15" s="3"/>
      <c r="J15" s="9"/>
    </row>
    <row r="16" spans="2:10" ht="13.5" thickBot="1" x14ac:dyDescent="0.25">
      <c r="B16" s="7"/>
      <c r="C16" s="3"/>
      <c r="D16" s="34" t="s">
        <v>9</v>
      </c>
      <c r="E16" s="16"/>
      <c r="F16" s="41"/>
      <c r="G16" s="29"/>
      <c r="H16" s="27"/>
      <c r="I16" s="3"/>
      <c r="J16" s="9"/>
    </row>
    <row r="17" spans="2:10" ht="6" customHeight="1" thickBot="1" x14ac:dyDescent="0.25">
      <c r="B17" s="7"/>
      <c r="C17" s="3"/>
      <c r="D17" s="30"/>
      <c r="E17" s="31"/>
      <c r="F17" s="31"/>
      <c r="G17" s="31"/>
      <c r="H17" s="32"/>
      <c r="I17" s="3"/>
      <c r="J17" s="9"/>
    </row>
    <row r="18" spans="2:10" ht="6" customHeight="1" x14ac:dyDescent="0.2">
      <c r="B18" s="7"/>
      <c r="C18" s="3"/>
      <c r="D18" s="3"/>
      <c r="E18" s="3"/>
      <c r="F18" s="3"/>
      <c r="G18" s="3"/>
      <c r="H18" s="3"/>
      <c r="I18" s="3"/>
      <c r="J18" s="9"/>
    </row>
    <row r="19" spans="2:10" ht="13.5" thickBot="1" x14ac:dyDescent="0.25">
      <c r="B19" s="7"/>
      <c r="C19" s="3"/>
      <c r="D19" s="162" t="s">
        <v>47</v>
      </c>
      <c r="E19" s="161"/>
      <c r="F19" s="3"/>
      <c r="G19" s="3"/>
      <c r="H19" s="3"/>
      <c r="I19" s="3"/>
      <c r="J19" s="9"/>
    </row>
    <row r="20" spans="2:10" ht="5.25" customHeight="1" x14ac:dyDescent="0.2">
      <c r="B20" s="7"/>
      <c r="C20" s="3"/>
      <c r="D20" s="33"/>
      <c r="E20" s="25"/>
      <c r="F20" s="25"/>
      <c r="G20" s="25"/>
      <c r="H20" s="26"/>
      <c r="I20" s="3"/>
      <c r="J20" s="9"/>
    </row>
    <row r="21" spans="2:10" ht="13.5" thickBot="1" x14ac:dyDescent="0.25">
      <c r="B21" s="7"/>
      <c r="C21" s="3"/>
      <c r="D21" s="42"/>
      <c r="E21" s="41" t="s">
        <v>35</v>
      </c>
      <c r="F21" s="35"/>
      <c r="G21" s="43" t="s">
        <v>10</v>
      </c>
      <c r="H21" s="27"/>
      <c r="I21" s="3"/>
      <c r="J21" s="9"/>
    </row>
    <row r="22" spans="2:10" x14ac:dyDescent="0.2">
      <c r="B22" s="7"/>
      <c r="C22" s="3"/>
      <c r="D22" s="34">
        <v>1</v>
      </c>
      <c r="E22" s="73">
        <v>0.1</v>
      </c>
      <c r="F22" s="35"/>
      <c r="G22" s="38"/>
      <c r="H22" s="27"/>
      <c r="I22" s="3"/>
      <c r="J22" s="9"/>
    </row>
    <row r="23" spans="2:10" x14ac:dyDescent="0.2">
      <c r="B23" s="7"/>
      <c r="C23" s="3"/>
      <c r="D23" s="36">
        <v>2</v>
      </c>
      <c r="E23" s="65">
        <v>0.18</v>
      </c>
      <c r="F23" s="35"/>
      <c r="G23" s="39"/>
      <c r="H23" s="27"/>
      <c r="I23" s="3"/>
      <c r="J23" s="9"/>
    </row>
    <row r="24" spans="2:10" ht="13.5" thickBot="1" x14ac:dyDescent="0.25">
      <c r="B24" s="7"/>
      <c r="C24" s="3"/>
      <c r="D24" s="36">
        <v>3</v>
      </c>
      <c r="E24" s="61">
        <v>0.28999999999999998</v>
      </c>
      <c r="F24" s="35"/>
      <c r="G24" s="37"/>
      <c r="H24" s="27"/>
      <c r="I24" s="3"/>
      <c r="J24" s="9"/>
    </row>
    <row r="25" spans="2:10" ht="13.5" thickBot="1" x14ac:dyDescent="0.25">
      <c r="B25" s="7"/>
      <c r="C25" s="3"/>
      <c r="D25" s="42"/>
      <c r="E25" s="41"/>
      <c r="F25" s="35"/>
      <c r="G25" s="40"/>
      <c r="H25" s="27"/>
      <c r="I25" s="3"/>
      <c r="J25" s="9"/>
    </row>
    <row r="26" spans="2:10" ht="13.5" thickBot="1" x14ac:dyDescent="0.25">
      <c r="B26" s="7"/>
      <c r="C26" s="3"/>
      <c r="D26" s="36"/>
      <c r="E26" s="41"/>
      <c r="F26" s="35"/>
      <c r="G26" s="35"/>
      <c r="H26" s="27"/>
      <c r="I26" s="3"/>
      <c r="J26" s="9"/>
    </row>
    <row r="27" spans="2:10" ht="13.5" thickBot="1" x14ac:dyDescent="0.25">
      <c r="B27" s="7"/>
      <c r="C27" s="3"/>
      <c r="D27" s="36"/>
      <c r="E27" s="29"/>
      <c r="F27" s="28" t="s">
        <v>48</v>
      </c>
      <c r="G27" s="74">
        <v>0.2</v>
      </c>
      <c r="H27" s="27"/>
      <c r="I27" s="3"/>
      <c r="J27" s="9"/>
    </row>
    <row r="28" spans="2:10" x14ac:dyDescent="0.2">
      <c r="B28" s="7"/>
      <c r="C28" s="3"/>
      <c r="D28" s="45"/>
      <c r="E28" s="41"/>
      <c r="F28" s="35"/>
      <c r="G28" s="35"/>
      <c r="H28" s="27"/>
      <c r="I28" s="3"/>
      <c r="J28" s="9"/>
    </row>
    <row r="29" spans="2:10" ht="13.5" thickBot="1" x14ac:dyDescent="0.25">
      <c r="B29" s="7"/>
      <c r="C29" s="3"/>
      <c r="D29" s="45"/>
      <c r="E29" s="41"/>
      <c r="F29" s="35"/>
      <c r="G29" s="35"/>
      <c r="H29" s="27"/>
      <c r="I29" s="3"/>
      <c r="J29" s="9"/>
    </row>
    <row r="30" spans="2:10" ht="13.5" thickBot="1" x14ac:dyDescent="0.25">
      <c r="B30" s="7"/>
      <c r="C30" s="3"/>
      <c r="D30" s="45" t="b">
        <v>0</v>
      </c>
      <c r="E30" s="41" t="s">
        <v>11</v>
      </c>
      <c r="F30" s="28" t="s">
        <v>12</v>
      </c>
      <c r="G30" s="60"/>
      <c r="H30" s="27"/>
      <c r="I30" s="3"/>
      <c r="J30" s="9"/>
    </row>
    <row r="31" spans="2:10" x14ac:dyDescent="0.2">
      <c r="B31" s="7"/>
      <c r="C31" s="3"/>
      <c r="D31" s="45"/>
      <c r="E31" s="41" t="s">
        <v>13</v>
      </c>
      <c r="F31" s="28" t="s">
        <v>14</v>
      </c>
      <c r="G31" s="41"/>
      <c r="H31" s="27"/>
      <c r="I31" s="3"/>
      <c r="J31" s="9"/>
    </row>
    <row r="32" spans="2:10" ht="13.5" thickBot="1" x14ac:dyDescent="0.25">
      <c r="B32" s="7"/>
      <c r="C32" s="3"/>
      <c r="D32" s="45"/>
      <c r="E32" s="41"/>
      <c r="F32" s="28"/>
      <c r="G32" s="41"/>
      <c r="H32" s="27"/>
      <c r="I32" s="3"/>
      <c r="J32" s="9"/>
    </row>
    <row r="33" spans="2:10" ht="13.5" thickBot="1" x14ac:dyDescent="0.25">
      <c r="B33" s="7"/>
      <c r="C33" s="3"/>
      <c r="D33" s="45"/>
      <c r="E33" s="28" t="s">
        <v>15</v>
      </c>
      <c r="F33" s="163" t="str">
        <f>LOWER(TemplateInformation!B3)</f>
        <v>c:\program files\microsoft office\office\macrolib\factbd.xls</v>
      </c>
      <c r="G33" s="164"/>
      <c r="H33" s="27"/>
      <c r="I33" s="3"/>
      <c r="J33" s="9"/>
    </row>
    <row r="34" spans="2:10" ht="13.5" thickBot="1" x14ac:dyDescent="0.25">
      <c r="B34" s="7"/>
      <c r="C34" s="3"/>
      <c r="D34" s="30"/>
      <c r="E34" s="31"/>
      <c r="F34" s="31"/>
      <c r="G34" s="31"/>
      <c r="H34" s="32"/>
      <c r="I34" s="3"/>
      <c r="J34" s="9"/>
    </row>
    <row r="35" spans="2:10" ht="6" customHeight="1" x14ac:dyDescent="0.2">
      <c r="B35" s="7"/>
      <c r="C35" s="3"/>
      <c r="D35" s="3"/>
      <c r="E35" s="3"/>
      <c r="F35" s="3"/>
      <c r="G35" s="3"/>
      <c r="H35" s="3"/>
      <c r="I35" s="3"/>
      <c r="J35" s="9"/>
    </row>
    <row r="36" spans="2:10" ht="13.5" thickBot="1" x14ac:dyDescent="0.25">
      <c r="B36" s="7"/>
      <c r="C36" s="3"/>
      <c r="D36" s="160" t="s">
        <v>16</v>
      </c>
      <c r="E36" s="161"/>
      <c r="F36" s="3"/>
      <c r="G36" s="3"/>
      <c r="H36" s="3"/>
      <c r="I36" s="3"/>
      <c r="J36" s="9"/>
    </row>
    <row r="37" spans="2:10" ht="14.25" x14ac:dyDescent="0.2">
      <c r="B37" s="7"/>
      <c r="C37" s="3"/>
      <c r="D37" s="24"/>
      <c r="E37" s="25"/>
      <c r="F37" s="25"/>
      <c r="G37" s="25"/>
      <c r="H37" s="26"/>
      <c r="I37" s="3"/>
      <c r="J37" s="9"/>
    </row>
    <row r="38" spans="2:10" ht="14.25" x14ac:dyDescent="0.2">
      <c r="B38" s="7"/>
      <c r="C38" s="3"/>
      <c r="D38" s="46"/>
      <c r="E38" s="47"/>
      <c r="F38" s="89"/>
      <c r="G38" s="47"/>
      <c r="H38" s="48"/>
      <c r="I38" s="59"/>
      <c r="J38" s="23"/>
    </row>
    <row r="39" spans="2:10" ht="14.25" x14ac:dyDescent="0.2">
      <c r="B39" s="7"/>
      <c r="C39" s="3"/>
      <c r="D39" s="46"/>
      <c r="E39" s="47"/>
      <c r="F39" s="49"/>
      <c r="G39" s="47"/>
      <c r="H39" s="48"/>
      <c r="I39" s="59"/>
      <c r="J39" s="23"/>
    </row>
    <row r="40" spans="2:10" ht="14.25" x14ac:dyDescent="0.2">
      <c r="B40" s="7"/>
      <c r="C40" s="3"/>
      <c r="D40" s="46"/>
      <c r="E40" s="47"/>
      <c r="F40" s="47"/>
      <c r="G40" s="47"/>
      <c r="H40" s="48"/>
      <c r="I40" s="59"/>
      <c r="J40" s="23"/>
    </row>
    <row r="41" spans="2:10" ht="14.25" x14ac:dyDescent="0.2">
      <c r="B41" s="7"/>
      <c r="C41" s="3"/>
      <c r="D41" s="46"/>
      <c r="E41" s="47"/>
      <c r="F41" s="47"/>
      <c r="G41" s="47"/>
      <c r="H41" s="48"/>
      <c r="I41" s="59"/>
      <c r="J41" s="23"/>
    </row>
    <row r="42" spans="2:10" ht="20.100000000000001" customHeight="1" x14ac:dyDescent="0.2">
      <c r="B42" s="7"/>
      <c r="C42" s="3"/>
      <c r="D42" s="46"/>
      <c r="E42" s="47"/>
      <c r="F42" s="47"/>
      <c r="G42" s="47"/>
      <c r="H42" s="48"/>
      <c r="I42" s="59"/>
      <c r="J42" s="23"/>
    </row>
    <row r="43" spans="2:10" ht="14.25" x14ac:dyDescent="0.2">
      <c r="B43" s="7"/>
      <c r="C43" s="3"/>
      <c r="D43" s="46"/>
      <c r="E43" s="47"/>
      <c r="F43" s="47"/>
      <c r="G43" s="47"/>
      <c r="H43" s="48"/>
      <c r="I43" s="59"/>
      <c r="J43" s="23"/>
    </row>
    <row r="44" spans="2:10" ht="26.25" customHeight="1" thickBot="1" x14ac:dyDescent="0.25">
      <c r="B44" s="7"/>
      <c r="C44" s="3"/>
      <c r="D44" s="50"/>
      <c r="E44" s="51"/>
      <c r="F44" s="51"/>
      <c r="G44" s="51"/>
      <c r="H44" s="52"/>
      <c r="I44" s="59"/>
      <c r="J44" s="23"/>
    </row>
    <row r="45" spans="2:10" x14ac:dyDescent="0.2">
      <c r="B45" s="7"/>
      <c r="C45" s="3"/>
      <c r="D45" s="3"/>
      <c r="E45" s="3"/>
      <c r="F45" s="3"/>
      <c r="G45" s="3"/>
      <c r="H45" s="3"/>
      <c r="I45" s="3"/>
      <c r="J45" s="9"/>
    </row>
    <row r="46" spans="2:10" ht="0.95" customHeight="1" thickBot="1" x14ac:dyDescent="0.25">
      <c r="B46" s="10"/>
      <c r="C46" s="11"/>
      <c r="D46" s="11"/>
      <c r="E46" s="11"/>
      <c r="F46" s="11"/>
      <c r="G46" s="11"/>
      <c r="H46" s="11"/>
      <c r="I46" s="11"/>
      <c r="J46" s="12"/>
    </row>
    <row r="47" spans="2:10" ht="13.5" thickTop="1" x14ac:dyDescent="0.2">
      <c r="E47">
        <v>33</v>
      </c>
    </row>
    <row r="48" spans="2:10" x14ac:dyDescent="0.2">
      <c r="E48" s="62">
        <v>0</v>
      </c>
    </row>
    <row r="49" spans="5:5" x14ac:dyDescent="0.2">
      <c r="E49" s="62" t="b">
        <v>0</v>
      </c>
    </row>
    <row r="50" spans="5:5" x14ac:dyDescent="0.2">
      <c r="E50" s="62" t="b">
        <v>0</v>
      </c>
    </row>
    <row r="51" spans="5:5" x14ac:dyDescent="0.2">
      <c r="E51" s="62" t="s">
        <v>17</v>
      </c>
    </row>
    <row r="52" spans="5:5" x14ac:dyDescent="0.2">
      <c r="E52" s="62" t="s">
        <v>17</v>
      </c>
    </row>
  </sheetData>
  <sheetProtection sheet="1" objects="1"/>
  <mergeCells count="5">
    <mergeCell ref="D4:F4"/>
    <mergeCell ref="D10:E10"/>
    <mergeCell ref="D19:E19"/>
    <mergeCell ref="D36:E36"/>
    <mergeCell ref="F33:G33"/>
  </mergeCells>
  <phoneticPr fontId="0" type="noConversion"/>
  <dataValidations xWindow="221" yWindow="354" count="5">
    <dataValidation type="textLength" errorStyle="warning" allowBlank="1" showInputMessage="1" showErrorMessage="1" errorTitle="Base de données" error="Vous ne pouvez pas changer l'emplacement de la base de données à partir de cette cellule. Pour utiliser une autre base de données, créez-la à l'aide de l'assistant modèle." promptTitle="Base de données" prompt="Chaque facture que vous créez à l'aide de ce modèle peut être enregistrée automatiquement dans une base de données. Cette base de données est crée par l'assistant modèle de Microsoft Excel." sqref="F33:G33">
      <formula1>0</formula1>
      <formula2>0</formula2>
    </dataValidation>
    <dataValidation type="textLength" allowBlank="1" showInputMessage="1" showErrorMessage="1" errorTitle="Cartes de crédit" error="Les noms de cartes de crédit ne doivent pas avoir plus de 16 caractères." promptTitle="Cartes de crédit" prompt="Insérez ici le nom des cartes de crédit que votre société accepte. Remarque: le nom des cartes de crédit est limité à 16 caractères. Si le nom est trop long, abrégez-le." sqref="G22">
      <formula1>0</formula1>
      <formula2>16</formula2>
    </dataValidation>
    <dataValidation type="decimal" allowBlank="1" showInputMessage="1" showErrorMessage="1" errorTitle="Frais de chargement" error="La cellule Frais de livraison doit contenir un montant ou 0 (zéro)." promptTitle="Frais de chargement" prompt="Tapez le montant des frais de livraison et de manutention." sqref="G27">
      <formula1>0</formula1>
      <formula2>4000</formula2>
    </dataValidation>
    <dataValidation type="textLength" errorStyle="warning" allowBlank="1" showInputMessage="1" showErrorMessage="1" errorTitle="Emplacement du compteur" error="Tapez le nom d'un chemin dans cette cellule." promptTitle="Emplacement du compteur" prompt="Le fichier du compteur de factures doit se trouver sur un serveur accessible à tous. Remarque: ne spécifier que le chemin." sqref="G30">
      <formula1>0</formula1>
      <formula2>400</formula2>
    </dataValidation>
    <dataValidation type="decimal" allowBlank="1" showInputMessage="1" showErrorMessage="1" errorTitle="Taux" error="Tapez un nombre dans cette cellule." promptTitle="Taux" prompt="Tapez le taux à appliquer" sqref="E22:E24">
      <formula1>0</formula1>
      <formula2>500</formula2>
    </dataValidation>
  </dataValidations>
  <printOptions horizontalCentered="1"/>
  <pageMargins left="0.5" right="0.5" top="0.5" bottom="0.5" header="0.5" footer="0.5"/>
  <pageSetup scale="86"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1025" r:id="rId4" name="Lock">
              <controlPr defaultSize="0" print="0" autoFill="0" autoLine="0" autoPict="0" macro="[0]!LockSheet">
                <anchor moveWithCells="1" sizeWithCells="1">
                  <from>
                    <xdr:col>3</xdr:col>
                    <xdr:colOff>771525</xdr:colOff>
                    <xdr:row>7</xdr:row>
                    <xdr:rowOff>9525</xdr:rowOff>
                  </from>
                  <to>
                    <xdr:col>4</xdr:col>
                    <xdr:colOff>1933575</xdr:colOff>
                    <xdr:row>8</xdr:row>
                    <xdr:rowOff>76200</xdr:rowOff>
                  </to>
                </anchor>
              </controlPr>
            </control>
          </mc:Choice>
        </mc:AlternateContent>
        <mc:AlternateContent xmlns:mc="http://schemas.openxmlformats.org/markup-compatibility/2006">
          <mc:Choice Requires="x14">
            <control shapeId="1027" r:id="rId5" name="LGBUT">
              <controlPr defaultSize="0" print="0" autoFill="0" autoLine="0" autoPict="0" macro="[0]!InsertLogo">
                <anchor moveWithCells="1" sizeWithCells="1">
                  <from>
                    <xdr:col>3</xdr:col>
                    <xdr:colOff>266700</xdr:colOff>
                    <xdr:row>42</xdr:row>
                    <xdr:rowOff>161925</xdr:rowOff>
                  </from>
                  <to>
                    <xdr:col>4</xdr:col>
                    <xdr:colOff>771525</xdr:colOff>
                    <xdr:row>43</xdr:row>
                    <xdr:rowOff>219075</xdr:rowOff>
                  </to>
                </anchor>
              </controlPr>
            </control>
          </mc:Choice>
        </mc:AlternateContent>
        <mc:AlternateContent xmlns:mc="http://schemas.openxmlformats.org/markup-compatibility/2006">
          <mc:Choice Requires="x14">
            <control shapeId="1028" r:id="rId6" name="LTBUT">
              <controlPr defaultSize="0" print="0" autoFill="0" autoLine="0" autoPict="0" macro="[0]!ChangeFont">
                <anchor moveWithCells="1" sizeWithCells="1">
                  <from>
                    <xdr:col>4</xdr:col>
                    <xdr:colOff>1933575</xdr:colOff>
                    <xdr:row>42</xdr:row>
                    <xdr:rowOff>161925</xdr:rowOff>
                  </from>
                  <to>
                    <xdr:col>6</xdr:col>
                    <xdr:colOff>390525</xdr:colOff>
                    <xdr:row>43</xdr:row>
                    <xdr:rowOff>219075</xdr:rowOff>
                  </to>
                </anchor>
              </controlPr>
            </control>
          </mc:Choice>
        </mc:AlternateContent>
        <mc:AlternateContent xmlns:mc="http://schemas.openxmlformats.org/markup-compatibility/2006">
          <mc:Choice Requires="x14">
            <control shapeId="1031" r:id="rId7" name="SHR">
              <controlPr defaultSize="0" autoFill="0" autoLine="0" autoPict="0">
                <anchor moveWithCells="1">
                  <from>
                    <xdr:col>3</xdr:col>
                    <xdr:colOff>828675</xdr:colOff>
                    <xdr:row>28</xdr:row>
                    <xdr:rowOff>142875</xdr:rowOff>
                  </from>
                  <to>
                    <xdr:col>3</xdr:col>
                    <xdr:colOff>1123950</xdr:colOff>
                    <xdr:row>30</xdr:row>
                    <xdr:rowOff>9525</xdr:rowOff>
                  </to>
                </anchor>
              </controlPr>
            </control>
          </mc:Choice>
        </mc:AlternateContent>
      </controls>
    </mc:Choice>
  </mc:AlternateConten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Feuil1">
    <pageSetUpPr fitToPage="1"/>
  </sheetPr>
  <dimension ref="A1:O71"/>
  <sheetViews>
    <sheetView showGridLines="0" showRowColHeaders="0" tabSelected="1" zoomScale="50" zoomScaleNormal="50" workbookViewId="0">
      <selection activeCell="L61" sqref="L61"/>
    </sheetView>
  </sheetViews>
  <sheetFormatPr baseColWidth="10" defaultColWidth="9.140625" defaultRowHeight="12.75" x14ac:dyDescent="0.2"/>
  <cols>
    <col min="1" max="1" width="1.28515625" customWidth="1"/>
    <col min="2" max="2" width="0.42578125" customWidth="1"/>
    <col min="3" max="3" width="3.7109375" customWidth="1"/>
    <col min="4" max="4" width="24.7109375" customWidth="1"/>
    <col min="5" max="5" width="12.42578125" customWidth="1"/>
    <col min="6" max="6" width="11.140625" customWidth="1"/>
    <col min="7" max="7" width="9.140625" customWidth="1"/>
    <col min="8" max="8" width="13.7109375" customWidth="1"/>
    <col min="9" max="9" width="11.7109375" customWidth="1"/>
    <col min="10" max="10" width="15.7109375" customWidth="1"/>
    <col min="11" max="11" width="17.7109375" customWidth="1"/>
    <col min="12" max="12" width="32.28515625" customWidth="1"/>
    <col min="13" max="13" width="26.28515625" customWidth="1"/>
    <col min="14" max="14" width="3.7109375" customWidth="1"/>
    <col min="15" max="15" width="0.42578125" customWidth="1"/>
    <col min="16" max="16" width="1.7109375" customWidth="1"/>
  </cols>
  <sheetData>
    <row r="1" spans="2:15" ht="6" customHeight="1" thickBot="1" x14ac:dyDescent="0.25"/>
    <row r="2" spans="2:15" ht="0.95" customHeight="1" thickTop="1" x14ac:dyDescent="0.2">
      <c r="B2" s="4"/>
      <c r="C2" s="5"/>
      <c r="D2" s="5"/>
      <c r="E2" s="5"/>
      <c r="F2" s="5"/>
      <c r="G2" s="5"/>
      <c r="H2" s="5"/>
      <c r="I2" s="5"/>
      <c r="J2" s="5"/>
      <c r="K2" s="5"/>
      <c r="L2" s="5"/>
      <c r="M2" s="5"/>
      <c r="N2" s="5"/>
      <c r="O2" s="6"/>
    </row>
    <row r="3" spans="2:15" x14ac:dyDescent="0.2">
      <c r="B3" s="7"/>
      <c r="C3" s="3"/>
      <c r="D3" s="3"/>
      <c r="E3" s="3"/>
      <c r="F3" s="3"/>
      <c r="G3" s="3"/>
      <c r="H3" s="3"/>
      <c r="I3" s="3"/>
      <c r="J3" s="3"/>
      <c r="K3" s="3"/>
      <c r="L3" s="3"/>
      <c r="M3" s="3"/>
      <c r="N3" s="3"/>
      <c r="O3" s="9"/>
    </row>
    <row r="4" spans="2:15" x14ac:dyDescent="0.2">
      <c r="B4" s="7"/>
      <c r="C4" s="3"/>
      <c r="D4" s="3"/>
      <c r="E4" s="3"/>
      <c r="F4" s="3"/>
      <c r="G4" s="3"/>
      <c r="H4" s="3"/>
      <c r="I4" s="3"/>
      <c r="J4" s="3"/>
      <c r="K4" s="3"/>
      <c r="L4" s="3"/>
      <c r="M4" s="3"/>
      <c r="N4" s="3"/>
      <c r="O4" s="9"/>
    </row>
    <row r="5" spans="2:15" x14ac:dyDescent="0.2">
      <c r="B5" s="7"/>
      <c r="C5" s="3"/>
      <c r="D5" s="3"/>
      <c r="E5" s="3"/>
      <c r="F5" s="3"/>
      <c r="G5" s="3"/>
      <c r="H5" s="3"/>
      <c r="I5" s="3"/>
      <c r="J5" s="3"/>
      <c r="K5" s="3"/>
      <c r="L5" s="3"/>
      <c r="M5" s="3"/>
      <c r="N5" s="3"/>
      <c r="O5" s="9"/>
    </row>
    <row r="6" spans="2:15" x14ac:dyDescent="0.2">
      <c r="B6" s="7"/>
      <c r="C6" s="3"/>
      <c r="D6" s="3"/>
      <c r="E6" s="3"/>
      <c r="F6" s="3"/>
      <c r="G6" s="3"/>
      <c r="H6" s="3"/>
      <c r="I6" s="3"/>
      <c r="J6" s="3"/>
      <c r="K6" s="3"/>
      <c r="L6" s="3"/>
      <c r="M6" s="3"/>
      <c r="N6" s="3"/>
      <c r="O6" s="9"/>
    </row>
    <row r="7" spans="2:15" x14ac:dyDescent="0.2">
      <c r="B7" s="7"/>
      <c r="C7" s="3"/>
      <c r="D7" s="3"/>
      <c r="E7" s="3"/>
      <c r="F7" s="3"/>
      <c r="G7" s="3"/>
      <c r="H7" s="3"/>
      <c r="I7" s="3"/>
      <c r="J7" s="3"/>
      <c r="K7" s="3"/>
      <c r="L7" s="3"/>
      <c r="M7" s="3"/>
      <c r="N7" s="3"/>
      <c r="O7" s="9"/>
    </row>
    <row r="8" spans="2:15" x14ac:dyDescent="0.2">
      <c r="B8" s="7"/>
      <c r="C8" s="3"/>
      <c r="D8" s="3"/>
      <c r="E8" s="3"/>
      <c r="F8" s="3"/>
      <c r="G8" s="3"/>
      <c r="H8" s="3"/>
      <c r="I8" s="3"/>
      <c r="J8" s="3"/>
      <c r="K8" s="3"/>
      <c r="L8" s="3"/>
      <c r="M8" s="3"/>
      <c r="N8" s="3"/>
      <c r="O8" s="9"/>
    </row>
    <row r="9" spans="2:15" x14ac:dyDescent="0.2">
      <c r="B9" s="7"/>
      <c r="C9" s="3"/>
      <c r="D9" s="3"/>
      <c r="E9" s="3"/>
      <c r="F9" s="3"/>
      <c r="G9" s="3"/>
      <c r="H9" s="3"/>
      <c r="I9" s="3"/>
      <c r="J9" s="3"/>
      <c r="K9" s="3"/>
      <c r="L9" s="3"/>
      <c r="M9" s="3"/>
      <c r="N9" s="3"/>
      <c r="O9" s="9"/>
    </row>
    <row r="10" spans="2:15" x14ac:dyDescent="0.2">
      <c r="B10" s="7"/>
      <c r="C10" s="3"/>
      <c r="D10" s="3"/>
      <c r="E10" s="3"/>
      <c r="F10" s="3"/>
      <c r="G10" s="3"/>
      <c r="H10" s="3"/>
      <c r="I10" s="3"/>
      <c r="J10" s="3"/>
      <c r="K10" s="3"/>
      <c r="L10" s="3"/>
      <c r="M10" s="3"/>
      <c r="N10" s="3"/>
      <c r="O10" s="9"/>
    </row>
    <row r="11" spans="2:15" ht="20.25" x14ac:dyDescent="0.3">
      <c r="B11" s="7"/>
      <c r="C11" s="3"/>
      <c r="D11" s="3"/>
      <c r="E11" s="3"/>
      <c r="F11" s="3"/>
      <c r="G11" s="3"/>
      <c r="H11" s="3"/>
      <c r="I11" s="3"/>
      <c r="J11" s="3"/>
      <c r="K11" s="8"/>
      <c r="L11" s="75"/>
      <c r="M11" s="75" t="s">
        <v>53</v>
      </c>
      <c r="N11" s="19"/>
      <c r="O11" s="9"/>
    </row>
    <row r="12" spans="2:15" x14ac:dyDescent="0.2">
      <c r="B12" s="7"/>
      <c r="C12" s="3"/>
      <c r="D12" s="3"/>
      <c r="E12" s="3"/>
      <c r="F12" s="3"/>
      <c r="G12" s="3"/>
      <c r="H12" s="3"/>
      <c r="I12" s="3"/>
      <c r="J12" s="3"/>
      <c r="K12" s="3"/>
      <c r="L12" s="3"/>
      <c r="M12" s="3"/>
      <c r="N12" s="3"/>
      <c r="O12" s="9"/>
    </row>
    <row r="13" spans="2:15" x14ac:dyDescent="0.2">
      <c r="B13" s="7"/>
      <c r="C13" s="3"/>
      <c r="D13" s="3"/>
      <c r="E13" s="3"/>
      <c r="F13" s="3"/>
      <c r="G13" s="3"/>
      <c r="H13" s="3"/>
      <c r="I13" s="3"/>
      <c r="J13" s="3"/>
      <c r="K13" s="3"/>
      <c r="L13" s="3"/>
      <c r="M13" s="3"/>
      <c r="N13" s="3"/>
      <c r="O13" s="9"/>
    </row>
    <row r="14" spans="2:15" ht="26.25" x14ac:dyDescent="0.2">
      <c r="B14" s="7"/>
      <c r="C14" s="3"/>
      <c r="D14" s="3"/>
      <c r="E14" s="3"/>
      <c r="F14" s="3"/>
      <c r="G14" s="3"/>
      <c r="H14" s="3"/>
      <c r="I14" s="3"/>
      <c r="J14" s="3"/>
      <c r="K14" s="107"/>
      <c r="L14" s="108"/>
      <c r="M14" s="108"/>
      <c r="N14" s="3"/>
      <c r="O14" s="9"/>
    </row>
    <row r="15" spans="2:15" x14ac:dyDescent="0.2">
      <c r="B15" s="7"/>
      <c r="C15" s="3"/>
      <c r="D15" s="3"/>
      <c r="E15" s="3"/>
      <c r="F15" s="3"/>
      <c r="G15" s="3"/>
      <c r="H15" s="3"/>
      <c r="I15" s="3"/>
      <c r="J15" s="3"/>
      <c r="K15" s="107"/>
      <c r="L15" s="186" t="s">
        <v>77</v>
      </c>
      <c r="M15" s="186"/>
      <c r="N15" s="3"/>
      <c r="O15" s="9"/>
    </row>
    <row r="16" spans="2:15" x14ac:dyDescent="0.2">
      <c r="B16" s="7"/>
      <c r="C16" s="3"/>
      <c r="D16" s="3"/>
      <c r="E16" s="3"/>
      <c r="F16" s="3"/>
      <c r="G16" s="3"/>
      <c r="H16" s="3"/>
      <c r="I16" s="3"/>
      <c r="J16" s="3"/>
      <c r="K16" s="107"/>
      <c r="L16" s="186"/>
      <c r="M16" s="186"/>
      <c r="N16" s="3"/>
      <c r="O16" s="9"/>
    </row>
    <row r="17" spans="1:15" ht="12.75" customHeight="1" x14ac:dyDescent="0.2">
      <c r="B17" s="7"/>
      <c r="C17" s="3"/>
      <c r="D17" s="3"/>
      <c r="E17" s="3"/>
      <c r="F17" s="3"/>
      <c r="G17" s="3"/>
      <c r="H17" s="3"/>
      <c r="I17" s="3"/>
      <c r="J17" s="3"/>
      <c r="K17" s="107"/>
      <c r="L17" s="186"/>
      <c r="M17" s="186"/>
      <c r="N17" s="3"/>
      <c r="O17" s="9"/>
    </row>
    <row r="18" spans="1:15" ht="12.75" customHeight="1" x14ac:dyDescent="0.2">
      <c r="B18" s="7"/>
      <c r="C18" s="3"/>
      <c r="D18" s="200" t="s">
        <v>76</v>
      </c>
      <c r="E18" s="200"/>
      <c r="F18" s="200"/>
      <c r="G18" s="200"/>
      <c r="H18" s="200"/>
      <c r="I18" s="3"/>
      <c r="J18" s="3"/>
      <c r="K18" s="107"/>
      <c r="L18" s="186"/>
      <c r="M18" s="186"/>
      <c r="N18" s="3"/>
      <c r="O18" s="9"/>
    </row>
    <row r="19" spans="1:15" ht="20.100000000000001" customHeight="1" thickBot="1" x14ac:dyDescent="0.25">
      <c r="B19" s="7"/>
      <c r="C19" s="3"/>
      <c r="D19" s="201"/>
      <c r="E19" s="201"/>
      <c r="F19" s="201"/>
      <c r="G19" s="201"/>
      <c r="H19" s="201"/>
      <c r="I19" s="3"/>
      <c r="J19" s="3"/>
      <c r="K19" s="107"/>
      <c r="L19" s="186"/>
      <c r="M19" s="186"/>
      <c r="N19" s="3"/>
      <c r="O19" s="9"/>
    </row>
    <row r="20" spans="1:15" ht="3" customHeight="1" thickTop="1" x14ac:dyDescent="0.3">
      <c r="B20" s="7"/>
      <c r="C20" s="3"/>
      <c r="D20" s="57"/>
      <c r="E20" s="57"/>
      <c r="F20" s="57"/>
      <c r="G20" s="57"/>
      <c r="H20" s="57"/>
      <c r="I20" s="57"/>
      <c r="J20" s="58"/>
      <c r="K20" s="58"/>
      <c r="L20" s="90"/>
      <c r="M20" s="91"/>
      <c r="N20" s="21"/>
      <c r="O20" s="9"/>
    </row>
    <row r="21" spans="1:15" ht="14.1" customHeight="1" x14ac:dyDescent="0.2">
      <c r="B21" s="7"/>
      <c r="C21" s="3"/>
      <c r="D21" s="3"/>
      <c r="E21" s="3"/>
      <c r="F21" s="3"/>
      <c r="G21" s="3"/>
      <c r="H21" s="3"/>
      <c r="I21" s="3"/>
      <c r="J21" s="3"/>
      <c r="K21" s="3"/>
      <c r="L21" s="3"/>
      <c r="M21" s="3"/>
      <c r="N21" s="3"/>
      <c r="O21" s="9"/>
    </row>
    <row r="22" spans="1:15" x14ac:dyDescent="0.2">
      <c r="B22" s="7"/>
      <c r="C22" s="3"/>
      <c r="D22" s="3"/>
      <c r="E22" s="3"/>
      <c r="F22" s="3"/>
      <c r="G22" s="3"/>
      <c r="H22" s="3"/>
      <c r="I22" s="3"/>
      <c r="J22" s="3"/>
      <c r="K22" s="3"/>
      <c r="L22" s="3"/>
      <c r="M22" s="3"/>
      <c r="N22" s="3"/>
      <c r="O22" s="9"/>
    </row>
    <row r="23" spans="1:15" ht="27.75" x14ac:dyDescent="0.4">
      <c r="B23" s="7"/>
      <c r="C23" s="3"/>
      <c r="D23" s="134" t="s">
        <v>58</v>
      </c>
      <c r="E23" s="187" t="s">
        <v>82</v>
      </c>
      <c r="F23" s="188"/>
      <c r="G23" s="188"/>
      <c r="H23" s="188"/>
      <c r="I23" s="188"/>
      <c r="J23" s="188"/>
      <c r="K23" s="128" t="s">
        <v>64</v>
      </c>
      <c r="L23" s="155">
        <v>43314</v>
      </c>
      <c r="M23" s="156"/>
      <c r="N23" s="54"/>
      <c r="O23" s="9"/>
    </row>
    <row r="24" spans="1:15" ht="27" x14ac:dyDescent="0.35">
      <c r="B24" s="7"/>
      <c r="C24" s="3"/>
      <c r="D24" s="134" t="s">
        <v>59</v>
      </c>
      <c r="E24" s="197" t="s">
        <v>84</v>
      </c>
      <c r="F24" s="197"/>
      <c r="G24" s="197"/>
      <c r="H24" s="198"/>
      <c r="I24" s="198"/>
      <c r="J24" s="198"/>
      <c r="K24" s="157" t="s">
        <v>74</v>
      </c>
      <c r="L24" s="152"/>
      <c r="M24" s="152"/>
      <c r="N24" s="55"/>
      <c r="O24" s="9"/>
    </row>
    <row r="25" spans="1:15" ht="27.75" x14ac:dyDescent="0.4">
      <c r="B25" s="7"/>
      <c r="C25" s="3"/>
      <c r="D25" s="134" t="s">
        <v>71</v>
      </c>
      <c r="E25" s="110">
        <v>8090</v>
      </c>
      <c r="F25" s="111" t="s">
        <v>56</v>
      </c>
      <c r="G25" s="189" t="s">
        <v>83</v>
      </c>
      <c r="H25" s="189"/>
      <c r="I25" s="118" t="s">
        <v>61</v>
      </c>
      <c r="J25" s="112" t="s">
        <v>63</v>
      </c>
      <c r="K25" s="128" t="s">
        <v>65</v>
      </c>
      <c r="L25" s="193" t="s">
        <v>88</v>
      </c>
      <c r="M25" s="194"/>
      <c r="N25" s="3"/>
      <c r="O25" s="9"/>
    </row>
    <row r="26" spans="1:15" ht="27.75" customHeight="1" x14ac:dyDescent="0.4">
      <c r="A26">
        <v>71</v>
      </c>
      <c r="B26" s="7"/>
      <c r="C26" s="3"/>
      <c r="D26" s="134" t="s">
        <v>60</v>
      </c>
      <c r="E26" s="195" t="s">
        <v>85</v>
      </c>
      <c r="F26" s="196"/>
      <c r="G26" s="196"/>
      <c r="H26" s="196"/>
      <c r="I26" s="196"/>
      <c r="J26" s="196"/>
      <c r="K26" s="128" t="s">
        <v>86</v>
      </c>
      <c r="L26" s="199" t="s">
        <v>87</v>
      </c>
      <c r="M26" s="199"/>
      <c r="N26" s="3"/>
      <c r="O26" s="9"/>
    </row>
    <row r="27" spans="1:15" x14ac:dyDescent="0.2">
      <c r="B27" s="7"/>
      <c r="C27" s="3"/>
      <c r="D27" s="82"/>
      <c r="E27" s="82"/>
      <c r="F27" s="82"/>
      <c r="G27" s="82"/>
      <c r="H27" s="82"/>
      <c r="I27" s="82"/>
      <c r="J27" s="82"/>
      <c r="K27" s="82"/>
      <c r="L27" s="153"/>
      <c r="M27" s="153"/>
      <c r="N27" s="3"/>
      <c r="O27" s="9"/>
    </row>
    <row r="28" spans="1:15" x14ac:dyDescent="0.2">
      <c r="B28" s="7"/>
      <c r="C28" s="3"/>
      <c r="D28" s="82"/>
      <c r="E28" s="82"/>
      <c r="F28" s="82"/>
      <c r="G28" s="82"/>
      <c r="H28" s="82"/>
      <c r="I28" s="82"/>
      <c r="J28" s="82"/>
      <c r="K28" s="82"/>
      <c r="L28" s="154"/>
      <c r="M28" s="154"/>
      <c r="N28" s="3"/>
      <c r="O28" s="9"/>
    </row>
    <row r="29" spans="1:15" x14ac:dyDescent="0.2">
      <c r="B29" s="7"/>
      <c r="C29" s="3"/>
      <c r="D29" s="82"/>
      <c r="E29" s="82"/>
      <c r="F29" s="82"/>
      <c r="G29" s="82"/>
      <c r="H29" s="82"/>
      <c r="I29" s="82"/>
      <c r="J29" s="82"/>
      <c r="K29" s="82"/>
      <c r="L29" s="82"/>
      <c r="M29" s="82"/>
      <c r="N29" s="3"/>
      <c r="O29" s="9"/>
    </row>
    <row r="30" spans="1:15" ht="18" x14ac:dyDescent="0.25">
      <c r="B30" s="7"/>
      <c r="C30" s="3"/>
      <c r="D30" s="93" t="s">
        <v>36</v>
      </c>
      <c r="E30" s="93" t="s">
        <v>21</v>
      </c>
      <c r="F30" s="190" t="s">
        <v>22</v>
      </c>
      <c r="G30" s="191"/>
      <c r="H30" s="191"/>
      <c r="I30" s="191"/>
      <c r="J30" s="191"/>
      <c r="K30" s="192"/>
      <c r="L30" s="93" t="s">
        <v>23</v>
      </c>
      <c r="M30" s="94" t="s">
        <v>24</v>
      </c>
      <c r="N30" s="56"/>
      <c r="O30" s="9"/>
    </row>
    <row r="31" spans="1:15" ht="25.5" x14ac:dyDescent="0.35">
      <c r="B31" s="7"/>
      <c r="C31" s="3"/>
      <c r="D31" s="143"/>
      <c r="E31" s="97"/>
      <c r="F31" s="172"/>
      <c r="G31" s="173"/>
      <c r="H31" s="173"/>
      <c r="I31" s="173"/>
      <c r="J31" s="173"/>
      <c r="K31" s="174"/>
      <c r="L31" s="98"/>
      <c r="M31" s="99"/>
      <c r="N31" s="56"/>
      <c r="O31" s="9"/>
    </row>
    <row r="32" spans="1:15" ht="25.5" x14ac:dyDescent="0.35">
      <c r="B32" s="7"/>
      <c r="C32" s="3"/>
      <c r="D32" s="143"/>
      <c r="E32" s="97"/>
      <c r="F32" s="132"/>
      <c r="G32" s="133"/>
      <c r="H32" s="133"/>
      <c r="I32" s="133"/>
      <c r="J32" s="133"/>
      <c r="K32" s="150"/>
      <c r="L32" s="98"/>
      <c r="M32" s="99"/>
      <c r="N32" s="56"/>
      <c r="O32" s="9"/>
    </row>
    <row r="33" spans="2:15" ht="25.5" x14ac:dyDescent="0.35">
      <c r="B33" s="7"/>
      <c r="C33" s="3"/>
      <c r="D33" s="143"/>
      <c r="E33" s="97"/>
      <c r="F33" s="147"/>
      <c r="G33" s="148"/>
      <c r="H33" s="148"/>
      <c r="I33" s="148"/>
      <c r="J33" s="148"/>
      <c r="K33" s="149"/>
      <c r="L33" s="98"/>
      <c r="M33" s="99"/>
      <c r="N33" s="56"/>
      <c r="O33" s="9"/>
    </row>
    <row r="34" spans="2:15" ht="25.5" x14ac:dyDescent="0.35">
      <c r="B34" s="7"/>
      <c r="C34" s="3"/>
      <c r="D34" s="143" t="s">
        <v>78</v>
      </c>
      <c r="E34" s="97">
        <v>15</v>
      </c>
      <c r="F34" s="119" t="s">
        <v>79</v>
      </c>
      <c r="G34" s="120"/>
      <c r="H34" s="120"/>
      <c r="I34" s="120"/>
      <c r="J34" s="120"/>
      <c r="K34" s="121"/>
      <c r="L34" s="98">
        <v>150</v>
      </c>
      <c r="M34" s="99">
        <f t="shared" ref="M34:M50" si="0">IF(E34&lt;&gt;"",E34*L34,"")</f>
        <v>2250</v>
      </c>
      <c r="N34" s="56"/>
      <c r="O34" s="9"/>
    </row>
    <row r="35" spans="2:15" ht="25.5" x14ac:dyDescent="0.35">
      <c r="B35" s="7"/>
      <c r="C35" s="3"/>
      <c r="D35" s="143"/>
      <c r="E35" s="97"/>
      <c r="F35" s="151" t="s">
        <v>80</v>
      </c>
      <c r="G35" s="151"/>
      <c r="H35" s="151"/>
      <c r="I35" s="151"/>
      <c r="J35" s="151"/>
      <c r="K35" s="121"/>
      <c r="L35" s="98"/>
      <c r="M35" s="99"/>
      <c r="N35" s="56"/>
      <c r="O35" s="9"/>
    </row>
    <row r="36" spans="2:15" ht="25.5" x14ac:dyDescent="0.35">
      <c r="B36" s="7"/>
      <c r="C36" s="3"/>
      <c r="D36" s="143"/>
      <c r="E36" s="97"/>
      <c r="F36" s="119"/>
      <c r="G36" s="120"/>
      <c r="H36" s="120"/>
      <c r="I36" s="120"/>
      <c r="J36" s="120"/>
      <c r="K36" s="121"/>
      <c r="L36" s="98"/>
      <c r="M36" s="99"/>
      <c r="N36" s="56"/>
      <c r="O36" s="9"/>
    </row>
    <row r="37" spans="2:15" ht="26.25" x14ac:dyDescent="0.4">
      <c r="B37" s="7"/>
      <c r="C37" s="3"/>
      <c r="D37" s="66"/>
      <c r="E37" s="97"/>
      <c r="F37" s="177" t="s">
        <v>54</v>
      </c>
      <c r="G37" s="178"/>
      <c r="H37" s="178"/>
      <c r="I37" s="178"/>
      <c r="J37" s="178"/>
      <c r="K37" s="179"/>
      <c r="L37" s="98"/>
      <c r="M37" s="99" t="str">
        <f t="shared" si="0"/>
        <v/>
      </c>
      <c r="N37" s="56"/>
      <c r="O37" s="9"/>
    </row>
    <row r="38" spans="2:15" ht="26.25" x14ac:dyDescent="0.4">
      <c r="B38" s="7"/>
      <c r="C38" s="3"/>
      <c r="D38" s="66"/>
      <c r="E38" s="97"/>
      <c r="F38" s="165" t="s">
        <v>55</v>
      </c>
      <c r="G38" s="166"/>
      <c r="H38" s="166"/>
      <c r="I38" s="166"/>
      <c r="J38" s="166"/>
      <c r="K38" s="167"/>
      <c r="L38" s="98"/>
      <c r="M38" s="99" t="str">
        <f t="shared" si="0"/>
        <v/>
      </c>
      <c r="N38" s="56"/>
      <c r="O38" s="9"/>
    </row>
    <row r="39" spans="2:15" ht="26.25" x14ac:dyDescent="0.4">
      <c r="B39" s="7"/>
      <c r="C39" s="3"/>
      <c r="D39" s="66"/>
      <c r="E39" s="97"/>
      <c r="F39" s="165" t="s">
        <v>72</v>
      </c>
      <c r="G39" s="166"/>
      <c r="H39" s="166"/>
      <c r="I39" s="166"/>
      <c r="J39" s="166"/>
      <c r="K39" s="167"/>
      <c r="L39" s="98"/>
      <c r="M39" s="99" t="str">
        <f t="shared" si="0"/>
        <v/>
      </c>
      <c r="N39" s="56"/>
      <c r="O39" s="9"/>
    </row>
    <row r="40" spans="2:15" ht="26.25" x14ac:dyDescent="0.4">
      <c r="B40" s="7"/>
      <c r="C40" s="3"/>
      <c r="D40" s="66"/>
      <c r="E40" s="97"/>
      <c r="F40" s="165" t="s">
        <v>68</v>
      </c>
      <c r="G40" s="166"/>
      <c r="H40" s="166"/>
      <c r="I40" s="166"/>
      <c r="J40" s="166"/>
      <c r="K40" s="167"/>
      <c r="L40" s="98"/>
      <c r="M40" s="99" t="str">
        <f t="shared" si="0"/>
        <v/>
      </c>
      <c r="N40" s="56"/>
      <c r="O40" s="9"/>
    </row>
    <row r="41" spans="2:15" ht="26.25" x14ac:dyDescent="0.4">
      <c r="B41" s="7"/>
      <c r="C41" s="3"/>
      <c r="D41" s="66"/>
      <c r="E41" s="97"/>
      <c r="F41" s="177" t="s">
        <v>73</v>
      </c>
      <c r="G41" s="178"/>
      <c r="H41" s="178"/>
      <c r="I41" s="178"/>
      <c r="J41" s="178"/>
      <c r="K41" s="179"/>
      <c r="L41" s="98"/>
      <c r="M41" s="99" t="str">
        <f t="shared" si="0"/>
        <v/>
      </c>
      <c r="N41" s="56"/>
      <c r="O41" s="9"/>
    </row>
    <row r="42" spans="2:15" ht="26.25" x14ac:dyDescent="0.4">
      <c r="B42" s="7"/>
      <c r="C42" s="3"/>
      <c r="D42" s="66"/>
      <c r="E42" s="97"/>
      <c r="F42" s="96" t="s">
        <v>62</v>
      </c>
      <c r="G42" s="102"/>
      <c r="H42" s="102"/>
      <c r="I42" s="102"/>
      <c r="J42" s="102"/>
      <c r="K42" s="103"/>
      <c r="L42" s="98"/>
      <c r="M42" s="99" t="str">
        <f t="shared" si="0"/>
        <v/>
      </c>
      <c r="N42" s="56"/>
      <c r="O42" s="9"/>
    </row>
    <row r="43" spans="2:15" ht="26.25" x14ac:dyDescent="0.4">
      <c r="B43" s="7"/>
      <c r="C43" s="3"/>
      <c r="D43" s="66"/>
      <c r="E43" s="97"/>
      <c r="F43" s="177" t="s">
        <v>66</v>
      </c>
      <c r="G43" s="178"/>
      <c r="H43" s="178"/>
      <c r="I43" s="178"/>
      <c r="J43" s="178"/>
      <c r="K43" s="179"/>
      <c r="L43" s="98"/>
      <c r="M43" s="99" t="str">
        <f t="shared" si="0"/>
        <v/>
      </c>
      <c r="N43" s="56"/>
      <c r="O43" s="9"/>
    </row>
    <row r="44" spans="2:15" ht="26.25" x14ac:dyDescent="0.4">
      <c r="B44" s="7"/>
      <c r="C44" s="3"/>
      <c r="D44" s="66"/>
      <c r="E44" s="97"/>
      <c r="F44" s="96" t="s">
        <v>67</v>
      </c>
      <c r="G44" s="104"/>
      <c r="H44" s="104"/>
      <c r="I44" s="104"/>
      <c r="J44" s="104"/>
      <c r="K44" s="105"/>
      <c r="L44" s="98"/>
      <c r="M44" s="99" t="str">
        <f t="shared" si="0"/>
        <v/>
      </c>
      <c r="N44" s="56"/>
      <c r="O44" s="9"/>
    </row>
    <row r="45" spans="2:15" ht="26.25" x14ac:dyDescent="0.4">
      <c r="B45" s="7"/>
      <c r="C45" s="3"/>
      <c r="D45" s="66"/>
      <c r="E45" s="97"/>
      <c r="F45" s="125"/>
      <c r="G45" s="100"/>
      <c r="H45" s="100"/>
      <c r="I45" s="100"/>
      <c r="J45" s="100"/>
      <c r="K45" s="101"/>
      <c r="L45" s="98"/>
      <c r="M45" s="99" t="str">
        <f t="shared" si="0"/>
        <v/>
      </c>
      <c r="N45" s="56"/>
      <c r="O45" s="9"/>
    </row>
    <row r="46" spans="2:15" ht="26.25" x14ac:dyDescent="0.4">
      <c r="B46" s="7"/>
      <c r="C46" s="3"/>
      <c r="D46" s="66"/>
      <c r="E46" s="97"/>
      <c r="F46" s="106" t="s">
        <v>57</v>
      </c>
      <c r="G46" s="104"/>
      <c r="H46" s="104"/>
      <c r="I46" s="104"/>
      <c r="J46" s="104"/>
      <c r="K46" s="105"/>
      <c r="L46" s="98"/>
      <c r="M46" s="99" t="str">
        <f t="shared" si="0"/>
        <v/>
      </c>
      <c r="N46" s="56"/>
      <c r="O46" s="9"/>
    </row>
    <row r="47" spans="2:15" ht="26.25" x14ac:dyDescent="0.4">
      <c r="B47" s="7"/>
      <c r="C47" s="3"/>
      <c r="D47" s="66"/>
      <c r="E47" s="97"/>
      <c r="F47" s="165" t="s">
        <v>69</v>
      </c>
      <c r="G47" s="166"/>
      <c r="H47" s="166"/>
      <c r="I47" s="166"/>
      <c r="J47" s="166"/>
      <c r="K47" s="167"/>
      <c r="L47" s="98"/>
      <c r="M47" s="99" t="str">
        <f t="shared" si="0"/>
        <v/>
      </c>
      <c r="N47" s="56"/>
      <c r="O47" s="9"/>
    </row>
    <row r="48" spans="2:15" ht="26.25" x14ac:dyDescent="0.4">
      <c r="B48" s="7"/>
      <c r="C48" s="3"/>
      <c r="D48" s="66"/>
      <c r="E48" s="97"/>
      <c r="F48" s="165" t="s">
        <v>70</v>
      </c>
      <c r="G48" s="166"/>
      <c r="H48" s="166"/>
      <c r="I48" s="166"/>
      <c r="J48" s="166"/>
      <c r="K48" s="167"/>
      <c r="L48" s="98"/>
      <c r="M48" s="99" t="str">
        <f t="shared" si="0"/>
        <v/>
      </c>
      <c r="N48" s="56"/>
      <c r="O48" s="9"/>
    </row>
    <row r="49" spans="2:15" ht="26.25" x14ac:dyDescent="0.4">
      <c r="B49" s="7"/>
      <c r="C49" s="3"/>
      <c r="D49" s="66"/>
      <c r="E49" s="97"/>
      <c r="F49" s="124" t="s">
        <v>81</v>
      </c>
      <c r="G49" s="100"/>
      <c r="H49" s="100"/>
      <c r="I49" s="100"/>
      <c r="J49" s="100"/>
      <c r="K49" s="101"/>
      <c r="L49" s="98"/>
      <c r="M49" s="99" t="str">
        <f t="shared" si="0"/>
        <v/>
      </c>
      <c r="N49" s="56"/>
      <c r="O49" s="9"/>
    </row>
    <row r="50" spans="2:15" ht="26.25" x14ac:dyDescent="0.4">
      <c r="B50" s="7"/>
      <c r="C50" s="3"/>
      <c r="D50" s="66"/>
      <c r="E50" s="97"/>
      <c r="F50" s="124"/>
      <c r="G50" s="144"/>
      <c r="H50" s="144"/>
      <c r="I50" s="144"/>
      <c r="J50" s="144"/>
      <c r="K50" s="145"/>
      <c r="L50" s="146"/>
      <c r="M50" s="99" t="str">
        <f t="shared" si="0"/>
        <v/>
      </c>
      <c r="N50" s="56"/>
      <c r="O50" s="9"/>
    </row>
    <row r="51" spans="2:15" ht="20.25" x14ac:dyDescent="0.3">
      <c r="B51" s="7"/>
      <c r="C51" s="3"/>
      <c r="D51" s="67"/>
      <c r="E51" s="53"/>
      <c r="F51" s="168"/>
      <c r="G51" s="169"/>
      <c r="H51" s="169"/>
      <c r="I51" s="169"/>
      <c r="J51" s="169"/>
      <c r="K51" s="170"/>
      <c r="L51" s="67"/>
      <c r="M51" s="142" t="str">
        <f>IF(E51&lt;&gt;"",E51*L51,"")</f>
        <v/>
      </c>
      <c r="N51" s="56"/>
      <c r="O51" s="9"/>
    </row>
    <row r="52" spans="2:15" ht="30" x14ac:dyDescent="0.4">
      <c r="B52" s="7"/>
      <c r="C52" s="3"/>
      <c r="D52" s="122"/>
      <c r="E52" s="82"/>
      <c r="F52" s="82"/>
      <c r="G52" s="82"/>
      <c r="H52" s="82"/>
      <c r="I52" s="82"/>
      <c r="J52" s="76"/>
      <c r="K52" s="113"/>
      <c r="L52" s="140" t="s">
        <v>25</v>
      </c>
      <c r="M52" s="117">
        <f>SUM(M31:M51)</f>
        <v>2250</v>
      </c>
      <c r="N52" s="56"/>
      <c r="O52" s="9"/>
    </row>
    <row r="53" spans="2:15" ht="30" x14ac:dyDescent="0.4">
      <c r="B53" s="7"/>
      <c r="C53" s="3"/>
      <c r="D53" s="3"/>
      <c r="E53" s="82"/>
      <c r="F53" s="82"/>
      <c r="G53" s="82"/>
      <c r="H53" s="82"/>
      <c r="I53" s="82"/>
      <c r="J53" s="76"/>
      <c r="K53" s="113"/>
      <c r="L53" s="137" t="s">
        <v>48</v>
      </c>
      <c r="M53" s="141">
        <v>0.6</v>
      </c>
      <c r="N53" s="56"/>
      <c r="O53" s="9"/>
    </row>
    <row r="54" spans="2:15" ht="30" x14ac:dyDescent="0.4">
      <c r="B54" s="7"/>
      <c r="C54" s="3"/>
      <c r="D54" s="3"/>
      <c r="E54" s="83"/>
      <c r="F54" s="109" t="s">
        <v>26</v>
      </c>
      <c r="G54" s="82"/>
      <c r="H54" s="82"/>
      <c r="I54" s="82"/>
      <c r="J54" s="77"/>
      <c r="K54" s="114"/>
      <c r="L54" s="138" t="s">
        <v>75</v>
      </c>
      <c r="M54" s="123">
        <f>M52*0.19</f>
        <v>427.5</v>
      </c>
      <c r="N54" s="56"/>
      <c r="O54" s="9"/>
    </row>
    <row r="55" spans="2:15" ht="30" x14ac:dyDescent="0.4">
      <c r="B55" s="7"/>
      <c r="C55" s="3"/>
      <c r="D55" s="3"/>
      <c r="E55" s="85"/>
      <c r="F55" s="109" t="s">
        <v>27</v>
      </c>
      <c r="G55" s="88"/>
      <c r="H55" s="85"/>
      <c r="I55" s="82"/>
      <c r="J55" s="78"/>
      <c r="K55" s="113"/>
      <c r="L55" s="139" t="s">
        <v>29</v>
      </c>
      <c r="M55" s="117">
        <f>M52+M54+M53</f>
        <v>2678.1</v>
      </c>
      <c r="N55" s="56"/>
      <c r="O55" s="9"/>
    </row>
    <row r="56" spans="2:15" ht="30" x14ac:dyDescent="0.4">
      <c r="B56" s="7"/>
      <c r="C56" s="3"/>
      <c r="D56" s="3"/>
      <c r="E56" s="85">
        <v>2</v>
      </c>
      <c r="F56" s="84"/>
      <c r="G56" s="82"/>
      <c r="H56" s="86"/>
      <c r="I56" s="82"/>
      <c r="J56" s="79" t="s">
        <v>28</v>
      </c>
      <c r="K56" s="113"/>
      <c r="L56" s="115"/>
      <c r="M56" s="135"/>
      <c r="N56" s="56"/>
      <c r="O56" s="9"/>
    </row>
    <row r="57" spans="2:15" ht="15.75" x14ac:dyDescent="0.25">
      <c r="B57" s="7"/>
      <c r="C57" s="171" t="s">
        <v>89</v>
      </c>
      <c r="D57" s="171"/>
      <c r="E57" s="171"/>
      <c r="F57" s="171"/>
      <c r="G57" s="171"/>
      <c r="H57" s="171"/>
      <c r="I57" s="171"/>
      <c r="J57" s="171"/>
      <c r="K57" s="171"/>
      <c r="L57" s="92"/>
      <c r="M57" s="95"/>
      <c r="N57" s="56"/>
      <c r="O57" s="9"/>
    </row>
    <row r="58" spans="2:15" ht="30" x14ac:dyDescent="0.4">
      <c r="B58" s="7"/>
      <c r="C58" s="3"/>
      <c r="D58" s="3"/>
      <c r="E58" s="87"/>
      <c r="F58" s="184"/>
      <c r="G58" s="184"/>
      <c r="H58" s="184"/>
      <c r="I58" s="185"/>
      <c r="J58" s="80"/>
      <c r="K58" s="116"/>
      <c r="L58" s="127"/>
      <c r="M58" s="127"/>
      <c r="N58" s="56"/>
      <c r="O58" s="9"/>
    </row>
    <row r="59" spans="2:15" ht="18" x14ac:dyDescent="0.2">
      <c r="B59" s="7"/>
      <c r="C59" s="3"/>
      <c r="D59" s="3"/>
      <c r="E59" s="87"/>
      <c r="F59" s="175"/>
      <c r="G59" s="176"/>
      <c r="H59" s="176"/>
      <c r="I59" s="176"/>
      <c r="J59" s="76"/>
      <c r="K59" s="76"/>
      <c r="L59" s="127"/>
      <c r="M59" s="127"/>
      <c r="N59" s="56"/>
      <c r="O59" s="9"/>
    </row>
    <row r="60" spans="2:15" ht="24.95" customHeight="1" x14ac:dyDescent="0.2">
      <c r="B60" s="7"/>
      <c r="C60" s="3"/>
      <c r="D60" s="3"/>
      <c r="E60" s="20"/>
      <c r="F60" s="180"/>
      <c r="G60" s="181"/>
      <c r="H60" s="181"/>
      <c r="I60" s="181"/>
      <c r="J60" s="76"/>
      <c r="K60" s="127"/>
      <c r="L60" s="127"/>
      <c r="M60" s="127"/>
      <c r="N60" s="56"/>
      <c r="O60" s="9"/>
    </row>
    <row r="61" spans="2:15" ht="24.95" customHeight="1" x14ac:dyDescent="0.2">
      <c r="B61" s="7"/>
      <c r="C61" s="3"/>
      <c r="D61" s="3"/>
      <c r="E61" s="20"/>
      <c r="F61" s="136"/>
      <c r="G61" s="182"/>
      <c r="H61" s="183"/>
      <c r="I61" s="183"/>
      <c r="J61" s="76"/>
      <c r="K61" s="127"/>
      <c r="L61" s="81"/>
      <c r="M61" s="81"/>
      <c r="N61" s="56"/>
      <c r="O61" s="9"/>
    </row>
    <row r="62" spans="2:15" ht="15" x14ac:dyDescent="0.2">
      <c r="B62" s="7"/>
      <c r="C62" s="3"/>
      <c r="D62" s="3"/>
      <c r="E62" s="3"/>
      <c r="F62" s="126"/>
      <c r="G62" s="126"/>
      <c r="H62" s="126"/>
      <c r="I62" s="126"/>
      <c r="J62" s="126"/>
      <c r="K62" s="126"/>
      <c r="L62" s="126"/>
      <c r="M62" s="76"/>
      <c r="N62" s="56"/>
      <c r="O62" s="9"/>
    </row>
    <row r="63" spans="2:15" ht="13.5" thickBot="1" x14ac:dyDescent="0.25">
      <c r="B63" s="7"/>
      <c r="C63" s="3"/>
      <c r="D63" s="3"/>
      <c r="E63" s="3"/>
      <c r="F63" s="3"/>
      <c r="G63" s="3"/>
      <c r="H63" s="3"/>
      <c r="I63" s="3"/>
      <c r="J63" s="3"/>
      <c r="K63" s="3"/>
      <c r="L63" s="3"/>
      <c r="M63" s="3"/>
      <c r="N63" s="56"/>
      <c r="O63" s="9"/>
    </row>
    <row r="64" spans="2:15" ht="13.5" thickTop="1" x14ac:dyDescent="0.2">
      <c r="B64" s="7"/>
      <c r="C64" s="57"/>
      <c r="D64" s="57"/>
      <c r="E64" s="57"/>
      <c r="F64" s="57"/>
      <c r="G64" s="57"/>
      <c r="H64" s="57"/>
      <c r="I64" s="57"/>
      <c r="J64" s="57"/>
      <c r="K64" s="57"/>
      <c r="L64" s="57"/>
      <c r="M64" s="57"/>
      <c r="N64" s="56"/>
      <c r="O64" s="9"/>
    </row>
    <row r="65" spans="1:15" x14ac:dyDescent="0.2">
      <c r="B65" s="7"/>
      <c r="C65" s="3"/>
      <c r="D65" s="3"/>
      <c r="E65" s="3"/>
      <c r="F65" s="3"/>
      <c r="G65" s="3"/>
      <c r="H65" s="3"/>
      <c r="I65" s="3"/>
      <c r="J65" s="3"/>
      <c r="K65" s="3"/>
      <c r="L65" s="3"/>
      <c r="M65" s="3"/>
      <c r="N65" s="56"/>
      <c r="O65" s="9"/>
    </row>
    <row r="66" spans="1:15" ht="3" customHeight="1" x14ac:dyDescent="0.2">
      <c r="B66" s="7"/>
      <c r="C66" s="3"/>
      <c r="D66" s="3"/>
      <c r="E66" s="3"/>
      <c r="F66" s="3"/>
      <c r="G66" s="3"/>
      <c r="H66" s="3"/>
      <c r="I66" s="3"/>
      <c r="J66" s="3"/>
      <c r="K66" s="3"/>
      <c r="L66" s="3"/>
      <c r="M66" s="3"/>
      <c r="N66" s="56"/>
      <c r="O66" s="9"/>
    </row>
    <row r="67" spans="1:15" x14ac:dyDescent="0.2">
      <c r="A67" s="129"/>
      <c r="B67" s="130"/>
      <c r="C67" s="107"/>
      <c r="D67" s="107"/>
      <c r="E67" s="107"/>
      <c r="F67" s="107"/>
      <c r="G67" s="107"/>
      <c r="H67" s="107"/>
      <c r="I67" s="107"/>
      <c r="J67" s="107"/>
      <c r="K67" s="107"/>
      <c r="L67" s="107"/>
      <c r="M67" s="107"/>
      <c r="N67" s="56"/>
      <c r="O67" s="9"/>
    </row>
    <row r="68" spans="1:15" x14ac:dyDescent="0.2">
      <c r="A68" s="129"/>
      <c r="B68" s="130"/>
      <c r="C68" s="107"/>
      <c r="D68" s="107"/>
      <c r="E68" s="107"/>
      <c r="F68" s="131"/>
      <c r="G68" s="131"/>
      <c r="H68" s="131"/>
      <c r="I68" s="131"/>
      <c r="J68" s="131"/>
      <c r="K68" s="131"/>
      <c r="L68" s="131"/>
      <c r="M68" s="131"/>
      <c r="N68" s="56"/>
      <c r="O68" s="9"/>
    </row>
    <row r="69" spans="1:15" x14ac:dyDescent="0.2">
      <c r="A69" s="129"/>
      <c r="B69" s="130"/>
      <c r="C69" s="107"/>
      <c r="D69" s="107"/>
      <c r="E69" s="107"/>
      <c r="F69" s="131"/>
      <c r="G69" s="131"/>
      <c r="H69" s="131"/>
      <c r="I69" s="131"/>
      <c r="J69" s="131"/>
      <c r="K69" s="131"/>
      <c r="L69" s="131"/>
      <c r="M69" s="131"/>
      <c r="N69" s="56"/>
      <c r="O69" s="9"/>
    </row>
    <row r="70" spans="1:15" ht="0.95" customHeight="1" thickBot="1" x14ac:dyDescent="0.25">
      <c r="B70" s="10"/>
      <c r="C70" s="11"/>
      <c r="D70" s="11"/>
      <c r="E70" s="11"/>
      <c r="F70" s="11"/>
      <c r="G70" s="11"/>
      <c r="H70" s="11"/>
      <c r="I70" s="11"/>
      <c r="J70" s="11"/>
      <c r="K70" s="11"/>
      <c r="L70" s="3"/>
      <c r="M70" s="3"/>
      <c r="N70" s="11"/>
      <c r="O70" s="12"/>
    </row>
    <row r="71" spans="1:15" ht="6" customHeight="1" thickTop="1" x14ac:dyDescent="0.2">
      <c r="L71" s="3"/>
      <c r="M71" s="3"/>
    </row>
  </sheetData>
  <scenarios current="0">
    <scenario name="sample1" locked="1" count="10" user="Nickte" comment="Created by Nickte on 23/10/96">
      <inputCells r="E23" val="M. Antoine CIVAUX"/>
      <inputCells r="E24" val="34, route de Marseille"/>
      <inputCells r="E25" val="84000"/>
      <inputCells r="E26" val="04.90.26.45.78"/>
      <inputCells r="G25" val="Avignon"/>
      <inputCells r="J25" val="France"/>
      <inputCells r="L23" val="35343" numFmtId="14"/>
      <inputCells r="L24" val="452"/>
      <inputCells r="L25" val="T. Farot"/>
      <inputCells r="L26" val="Le Havre"/>
    </scenario>
    <scenario name="sample2" locked="1" count="10" user="Nickte" comment="Created by Nickte on 23/10/96">
      <inputCells r="M32" undone="1" val="1300" numFmtId="8"/>
      <inputCells r="L32" undone="1" val="2"/>
      <inputCells r="M31" undone="1" val="2300" numFmtId="8"/>
      <inputCells r="L31" undone="1" val="2"/>
      <inputCells r="F32" undone="1" val="Fauteuil ergonomique"/>
      <inputCells r="E32" undone="1" val="1"/>
      <inputCells r="D32" undone="1" val="RF458"/>
      <inputCells r="F31" undone="1" val="Bureau métal"/>
      <inputCells r="E31" undone="1" val="1"/>
      <inputCells r="D31" undone="1" val="FV451"/>
    </scenario>
  </scenarios>
  <mergeCells count="24">
    <mergeCell ref="L15:M19"/>
    <mergeCell ref="E23:J23"/>
    <mergeCell ref="G25:H25"/>
    <mergeCell ref="F30:K30"/>
    <mergeCell ref="L25:M25"/>
    <mergeCell ref="E26:J26"/>
    <mergeCell ref="E24:J24"/>
    <mergeCell ref="L26:M26"/>
    <mergeCell ref="D18:H19"/>
    <mergeCell ref="F31:K31"/>
    <mergeCell ref="F59:I59"/>
    <mergeCell ref="F43:K43"/>
    <mergeCell ref="F60:I60"/>
    <mergeCell ref="G61:I61"/>
    <mergeCell ref="F48:K48"/>
    <mergeCell ref="F58:I58"/>
    <mergeCell ref="F39:K39"/>
    <mergeCell ref="F37:K37"/>
    <mergeCell ref="F41:K41"/>
    <mergeCell ref="F40:K40"/>
    <mergeCell ref="F38:K38"/>
    <mergeCell ref="F51:K51"/>
    <mergeCell ref="F47:K47"/>
    <mergeCell ref="C57:K57"/>
  </mergeCells>
  <phoneticPr fontId="0" type="noConversion"/>
  <dataValidations xWindow="258" yWindow="385" count="12">
    <dataValidation errorStyle="warning" allowBlank="1" showInputMessage="1" errorTitle="Numéro de carte de crédit" promptTitle="Numéro de carte de crédit" prompt="Tapez ici le numéro de carte de crédit du client" sqref="F60"/>
    <dataValidation errorStyle="warning" allowBlank="1" showInputMessage="1" errorTitle="Cadre réservé à la société" promptTitle="Cadre réservé à la société" prompt="Insérez ici toute information ne figurant pas déjà sur la facture. Vous pouvez la taper maintenant, ou l'insérer manuellement dans le document imprimé." sqref="K59:K61 L57:M57"/>
    <dataValidation type="textLength" errorStyle="warning" allowBlank="1" showErrorMessage="1" errorTitle="Total" error="Les cellules ombrées contiennent des formules et sont calculées automatiquement par Excel. N'y tapez aucune information." promptTitle="Total" sqref="M55:M56">
      <formula1>0</formula1>
      <formula2>0</formula2>
    </dataValidation>
    <dataValidation type="textLength" errorStyle="warning" allowBlank="1" showErrorMessage="1" errorTitle="Sous-total" error="Les cellules ombrées contiennent des formules et sont calculées automatiquement par Excel. N'y tapez aucune information." promptTitle="Sous-total" sqref="M52">
      <formula1>0</formula1>
      <formula2>0</formula2>
    </dataValidation>
    <dataValidation type="textLength" errorStyle="warning" allowBlank="1" showInputMessage="1" showErrorMessage="1" errorTitle="Frais de livraison" error="Les cellules ombrées contiennent des formules et sont calculées automatiquement par Excel. N'y tapez aucune information." promptTitle="Frais de livraison" prompt="Pour ajouter des frais de livraison, cliquez sur le bouton Personnaliser… ci-dessus, et modifiez l'information dans l'encadré Spécifiez les informations par défaut." sqref="M53">
      <formula1>0</formula1>
      <formula2>0</formula2>
    </dataValidation>
    <dataValidation allowBlank="1" showErrorMessage="1" sqref="G25:H25"/>
    <dataValidation errorStyle="warning" allowBlank="1" showInputMessage="1" errorTitle="Dernières informations" promptTitle="Dernières informations" prompt="Utilisez cet espace pour destiner un message à votre clientèle (slogan, présentation de l'entreprise, etc.). Si vous ne voulez pas insérer de message, cliquez dans le menu Edition, sur Effacer, Contenu, pour supprimer le texte existant." sqref="F67:K69 L65:L67"/>
    <dataValidation type="textLength" errorStyle="warning" allowBlank="1" showErrorMessage="1" errorTitle="T.V.A." error="Les cellules ombrées contiennent des formules et sont calculées automatiquement par Excel. N'y tapez aucune information." promptTitle="T.V.A." sqref="L54">
      <formula1>0</formula1>
      <formula2>0</formula2>
    </dataValidation>
    <dataValidation type="textLength" errorStyle="warning" allowBlank="1" showInputMessage="1" showErrorMessage="1" errorTitle="Taux" error="Les cellules ombrées contiennent des formules et sont calculées automatiquement par Excel. N'y tapez aucune information." promptTitle="Taux" prompt="Pour ajouter une taxe, ou pour en modifier le nom ou le taux, cliquez sur le bouton Personnaliser… ci-dessus, et modifiez l'information dans l'encadré Spécifiez les informations par défaut." sqref="M54">
      <formula1>0</formula1>
      <formula2>0</formula2>
    </dataValidation>
    <dataValidation type="whole" errorStyle="warning" allowBlank="1" showErrorMessage="1" errorTitle="Quantité" error="Tapez un nombre dans cette cellule." promptTitle="Quantité" sqref="E31:E51">
      <formula1>0</formula1>
      <formula2>1000000000</formula2>
    </dataValidation>
    <dataValidation type="decimal" allowBlank="1" showErrorMessage="1" errorTitle="Prix unitaire" error="Tapez un nombre dans cette cellule." promptTitle="Prix unitaire" sqref="L31:L51">
      <formula1>0</formula1>
      <formula2>1000000000</formula2>
    </dataValidation>
    <dataValidation type="textLength" allowBlank="1" showErrorMessage="1" errorTitle="Cellules ombrées" error="Les cellules ombrées contiennent des formules et sont calculées automatiquement par Excel. N'y tapez aucune information." promptTitle="Cellules ombrées" sqref="M31:M51">
      <formula1>0</formula1>
      <formula2>0</formula2>
    </dataValidation>
  </dataValidations>
  <printOptions horizontalCentered="1"/>
  <pageMargins left="0.51181102362204722" right="0.51181102362204722" top="0.51181102362204722" bottom="0.51181102362204722" header="0.51181102362204722" footer="0.51181102362204722"/>
  <pageSetup paperSize="9" scale="51" orientation="portrait" blackAndWhite="1" horizontalDpi="300" verticalDpi="300" r:id="rId1"/>
  <headerFooter alignWithMargins="0"/>
  <drawing r:id="rId2"/>
  <legacyDrawing r:id="rId3"/>
  <mc:AlternateContent xmlns:mc="http://schemas.openxmlformats.org/markup-compatibility/2006">
    <mc:Choice Requires="x14">
      <controls>
        <mc:AlternateContent xmlns:mc="http://schemas.openxmlformats.org/markup-compatibility/2006">
          <mc:Choice Requires="x14">
            <control shapeId="2108" r:id="rId4" name="pd2">
              <controlPr defaultSize="0" autoFill="0" autoLine="0" autoPict="0" macro="[2]!INV_Payments">
                <anchor moveWithCells="1">
                  <from>
                    <xdr:col>4</xdr:col>
                    <xdr:colOff>266700</xdr:colOff>
                    <xdr:row>53</xdr:row>
                    <xdr:rowOff>9525</xdr:rowOff>
                  </from>
                  <to>
                    <xdr:col>4</xdr:col>
                    <xdr:colOff>571500</xdr:colOff>
                    <xdr:row>53</xdr:row>
                    <xdr:rowOff>228600</xdr:rowOff>
                  </to>
                </anchor>
              </controlPr>
            </control>
          </mc:Choice>
        </mc:AlternateContent>
        <mc:AlternateContent xmlns:mc="http://schemas.openxmlformats.org/markup-compatibility/2006">
          <mc:Choice Requires="x14">
            <control shapeId="2109" r:id="rId5" name="Option Button 61">
              <controlPr defaultSize="0" autoFill="0" autoLine="0" autoPict="0" macro="[2]!INV_Payments">
                <anchor moveWithCells="1">
                  <from>
                    <xdr:col>4</xdr:col>
                    <xdr:colOff>238125</xdr:colOff>
                    <xdr:row>54</xdr:row>
                    <xdr:rowOff>0</xdr:rowOff>
                  </from>
                  <to>
                    <xdr:col>4</xdr:col>
                    <xdr:colOff>552450</xdr:colOff>
                    <xdr:row>54</xdr:row>
                    <xdr:rowOff>228600</xdr:rowOff>
                  </to>
                </anchor>
              </controlPr>
            </control>
          </mc:Choice>
        </mc:AlternateContent>
      </controls>
    </mc:Choice>
  </mc:AlternateConten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
  <sheetViews>
    <sheetView zoomScale="95" workbookViewId="0"/>
  </sheetViews>
  <sheetFormatPr baseColWidth="10" defaultColWidth="9.140625" defaultRowHeight="12.75" x14ac:dyDescent="0.2"/>
  <sheetData/>
  <phoneticPr fontId="0" type="noConversion"/>
  <pageMargins left="0.78740157499999996" right="0.78740157499999996" top="0.984251969" bottom="0.984251969"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Feuil4"/>
  <dimension ref="A1:K14"/>
  <sheetViews>
    <sheetView zoomScale="95" workbookViewId="0">
      <selection activeCell="E22" sqref="E22"/>
    </sheetView>
  </sheetViews>
  <sheetFormatPr baseColWidth="10" defaultColWidth="9.140625" defaultRowHeight="12.75" x14ac:dyDescent="0.2"/>
  <cols>
    <col min="1" max="16384" width="9.140625" style="68"/>
  </cols>
  <sheetData>
    <row r="1" spans="1:11" x14ac:dyDescent="0.2">
      <c r="A1" s="68" t="s">
        <v>30</v>
      </c>
    </row>
    <row r="2" spans="1:11" x14ac:dyDescent="0.2">
      <c r="A2" s="68" t="s">
        <v>37</v>
      </c>
      <c r="B2" s="68" t="s">
        <v>31</v>
      </c>
    </row>
    <row r="3" spans="1:11" x14ac:dyDescent="0.2">
      <c r="A3" s="68" t="s">
        <v>38</v>
      </c>
      <c r="B3" s="68" t="s">
        <v>45</v>
      </c>
    </row>
    <row r="4" spans="1:11" x14ac:dyDescent="0.2">
      <c r="A4" s="68" t="s">
        <v>32</v>
      </c>
    </row>
    <row r="5" spans="1:11" x14ac:dyDescent="0.2">
      <c r="A5" s="68" t="s">
        <v>39</v>
      </c>
      <c r="B5" s="68">
        <v>1</v>
      </c>
    </row>
    <row r="6" spans="1:11" x14ac:dyDescent="0.2">
      <c r="A6" s="68">
        <v>1</v>
      </c>
      <c r="B6" s="68" t="s">
        <v>40</v>
      </c>
      <c r="C6" s="68" t="s">
        <v>44</v>
      </c>
      <c r="D6" s="68" t="s">
        <v>41</v>
      </c>
      <c r="E6" s="68">
        <v>10</v>
      </c>
      <c r="G6" s="68">
        <v>-727923968</v>
      </c>
    </row>
    <row r="7" spans="1:11" x14ac:dyDescent="0.2">
      <c r="A7" s="68" t="s">
        <v>42</v>
      </c>
      <c r="B7" s="68" t="s">
        <v>33</v>
      </c>
      <c r="C7" s="68" t="s">
        <v>18</v>
      </c>
      <c r="D7" s="68" t="s">
        <v>3</v>
      </c>
      <c r="E7" s="68" t="s">
        <v>5</v>
      </c>
      <c r="F7" s="68" t="s">
        <v>7</v>
      </c>
      <c r="G7" s="68" t="s">
        <v>8</v>
      </c>
      <c r="H7" s="68" t="s">
        <v>9</v>
      </c>
      <c r="I7" s="68" t="s">
        <v>20</v>
      </c>
      <c r="J7" s="68" t="s">
        <v>34</v>
      </c>
      <c r="K7" s="68" t="s">
        <v>19</v>
      </c>
    </row>
    <row r="8" spans="1:11" x14ac:dyDescent="0.2">
      <c r="A8" s="68" t="s">
        <v>43</v>
      </c>
      <c r="B8" s="69" t="str">
        <f>Facture!$M$11</f>
        <v/>
      </c>
      <c r="C8" s="70">
        <f>Facture!$L$23</f>
        <v>43314</v>
      </c>
      <c r="D8" s="71" t="str">
        <f>Facture!$E$23</f>
        <v>SIM SYSTÈME</v>
      </c>
      <c r="E8" s="68" t="str">
        <f>Facture!$E$24</f>
        <v>KM2 ROUTE DE TUNIS KELIBIA</v>
      </c>
      <c r="F8" s="68">
        <f>Facture!$E$25</f>
        <v>8090</v>
      </c>
      <c r="G8" s="71" t="str">
        <f>Facture!$G$25</f>
        <v>KELIBIA</v>
      </c>
      <c r="H8" s="71" t="str">
        <f>Facture!$J$25</f>
        <v>TN</v>
      </c>
      <c r="I8" s="68" t="str">
        <f>Facture!$E$26</f>
        <v>72 295 501 FAX :72 296 495</v>
      </c>
      <c r="J8" s="72">
        <f>Facture!$M$55</f>
        <v>2678.1</v>
      </c>
      <c r="K8" s="68" t="str">
        <f>Facture!$L$25</f>
        <v xml:space="preserve">Mr MAHER </v>
      </c>
    </row>
    <row r="9" spans="1:11" x14ac:dyDescent="0.2">
      <c r="A9" s="68" t="s">
        <v>32</v>
      </c>
    </row>
    <row r="10" spans="1:11" x14ac:dyDescent="0.2">
      <c r="G10" s="68">
        <v>324499967</v>
      </c>
    </row>
    <row r="14" spans="1:11" x14ac:dyDescent="0.2">
      <c r="G14" s="68">
        <v>1194546431</v>
      </c>
    </row>
  </sheetData>
  <phoneticPr fontId="0" type="noConversion"/>
  <pageMargins left="0.78740157499999996" right="0.78740157499999996" top="0.984251969" bottom="0.984251969" header="0.4921259845" footer="0.4921259845"/>
  <headerFooter alignWithMargins="0">
    <oddHeader>&amp;A</oddHeader>
    <oddFoote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RowHeight="12.75"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80</vt:i4>
      </vt:variant>
    </vt:vector>
  </HeadingPairs>
  <TitlesOfParts>
    <vt:vector size="84" baseType="lpstr">
      <vt:lpstr>Personnaliser votre facture</vt:lpstr>
      <vt:lpstr>Facture</vt:lpstr>
      <vt:lpstr>Patientez un instant...</vt:lpstr>
      <vt:lpstr>TemplateInformation</vt:lpstr>
      <vt:lpstr>_SHR1</vt:lpstr>
      <vt:lpstr>_SHR2</vt:lpstr>
      <vt:lpstr>_Tax1</vt:lpstr>
      <vt:lpstr>Auto_ouvrir21</vt:lpstr>
      <vt:lpstr>boxes</vt:lpstr>
      <vt:lpstr>CC</vt:lpstr>
      <vt:lpstr>CCT</vt:lpstr>
      <vt:lpstr>CDB</vt:lpstr>
      <vt:lpstr>CS</vt:lpstr>
      <vt:lpstr>data1</vt:lpstr>
      <vt:lpstr>data10</vt:lpstr>
      <vt:lpstr>data2</vt:lpstr>
      <vt:lpstr>data3</vt:lpstr>
      <vt:lpstr>data4</vt:lpstr>
      <vt:lpstr>data47</vt:lpstr>
      <vt:lpstr>data48</vt:lpstr>
      <vt:lpstr>data49</vt:lpstr>
      <vt:lpstr>data5</vt:lpstr>
      <vt:lpstr>data53</vt:lpstr>
      <vt:lpstr>data54</vt:lpstr>
      <vt:lpstr>data55</vt:lpstr>
      <vt:lpstr>data56</vt:lpstr>
      <vt:lpstr>data57</vt:lpstr>
      <vt:lpstr>data58</vt:lpstr>
      <vt:lpstr>data59</vt:lpstr>
      <vt:lpstr>data6</vt:lpstr>
      <vt:lpstr>data60</vt:lpstr>
      <vt:lpstr>data61</vt:lpstr>
      <vt:lpstr>data62</vt:lpstr>
      <vt:lpstr>data63</vt:lpstr>
      <vt:lpstr>data64</vt:lpstr>
      <vt:lpstr>data65</vt:lpstr>
      <vt:lpstr>data66</vt:lpstr>
      <vt:lpstr>data67</vt:lpstr>
      <vt:lpstr>data68</vt:lpstr>
      <vt:lpstr>data69</vt:lpstr>
      <vt:lpstr>data7</vt:lpstr>
      <vt:lpstr>data8</vt:lpstr>
      <vt:lpstr>dflt1</vt:lpstr>
      <vt:lpstr>dflt2</vt:lpstr>
      <vt:lpstr>dflt3</vt:lpstr>
      <vt:lpstr>dflt4</vt:lpstr>
      <vt:lpstr>dflt5</vt:lpstr>
      <vt:lpstr>dflt6</vt:lpstr>
      <vt:lpstr>dflt7</vt:lpstr>
      <vt:lpstr>display_area_1</vt:lpstr>
      <vt:lpstr>display_area_2</vt:lpstr>
      <vt:lpstr>LOC</vt:lpstr>
      <vt:lpstr>LTR</vt:lpstr>
      <vt:lpstr>NO</vt:lpstr>
      <vt:lpstr>NS</vt:lpstr>
      <vt:lpstr>qzqzqz1</vt:lpstr>
      <vt:lpstr>qzqzqz2</vt:lpstr>
      <vt:lpstr>qzqzqz21</vt:lpstr>
      <vt:lpstr>qzqzqz23</vt:lpstr>
      <vt:lpstr>qzqzqz24</vt:lpstr>
      <vt:lpstr>qzqzqz25</vt:lpstr>
      <vt:lpstr>qzqzqz26</vt:lpstr>
      <vt:lpstr>qzqzqz27</vt:lpstr>
      <vt:lpstr>qzqzqz28</vt:lpstr>
      <vt:lpstr>qzqzqz29</vt:lpstr>
      <vt:lpstr>qzqzqz3</vt:lpstr>
      <vt:lpstr>qzqzqz30</vt:lpstr>
      <vt:lpstr>qzqzqz31</vt:lpstr>
      <vt:lpstr>qzqzqz32</vt:lpstr>
      <vt:lpstr>qzqzqz4</vt:lpstr>
      <vt:lpstr>qzqzqz5</vt:lpstr>
      <vt:lpstr>qzqzqz6</vt:lpstr>
      <vt:lpstr>qzqzqz7</vt:lpstr>
      <vt:lpstr>qzqzqz8</vt:lpstr>
      <vt:lpstr>SS</vt:lpstr>
      <vt:lpstr>TOT</vt:lpstr>
      <vt:lpstr>vital1</vt:lpstr>
      <vt:lpstr>vital2</vt:lpstr>
      <vt:lpstr>vital4</vt:lpstr>
      <vt:lpstr>vital5</vt:lpstr>
      <vt:lpstr>vital6</vt:lpstr>
      <vt:lpstr>vital8</vt:lpstr>
      <vt:lpstr>vital9</vt:lpstr>
      <vt:lpstr>Facture!Zone_d_impression</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Modèle de facture</dc:title>
  <dc:creator>Village Software</dc:creator>
  <cp:lastModifiedBy>User</cp:lastModifiedBy>
  <cp:lastPrinted>2018-08-02T11:54:41Z</cp:lastPrinted>
  <dcterms:created xsi:type="dcterms:W3CDTF">1995-05-29T15:50:39Z</dcterms:created>
  <dcterms:modified xsi:type="dcterms:W3CDTF">2018-08-02T11:55:26Z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Facture N°" linkTarget="NO">
    <vt:lpwstr/>
  </property>
  <property fmtid="{D5CDD505-2E9C-101B-9397-08002B2CF9AE}" pid="3" name="Nom de la société" linkTarget="vital1">
    <vt:lpwstr>GAMESTREAM ATLAS  ORGANISME DE FORMATION N° D'AGREMENT : 01 069 11 </vt:lpwstr>
  </property>
  <property fmtid="{D5CDD505-2E9C-101B-9397-08002B2CF9AE}" pid="4" name="Adresse de la société" linkTarget="vital2">
    <vt:lpwstr>4 RUE DU CAIRE 1001 TUNIS</vt:lpwstr>
  </property>
  <property fmtid="{D5CDD505-2E9C-101B-9397-08002B2CF9AE}" pid="5" name="Ville de la société" linkTarget="vital4">
    <vt:lpwstr>FAX : 71 259346</vt:lpwstr>
  </property>
  <property fmtid="{D5CDD505-2E9C-101B-9397-08002B2CF9AE}" pid="6" name="Pays de la société" linkTarget="vital5">
    <vt:lpwstr/>
  </property>
  <property fmtid="{D5CDD505-2E9C-101B-9397-08002B2CF9AE}" pid="7" name="Code postal de la société" linkTarget="vital6">
    <vt:lpwstr>TEL:  71 258108</vt:lpwstr>
  </property>
  <property fmtid="{D5CDD505-2E9C-101B-9397-08002B2CF9AE}" pid="8" name="Téléphone de la société" linkTarget="vital8">
    <vt:lpwstr/>
  </property>
  <property fmtid="{D5CDD505-2E9C-101B-9397-08002B2CF9AE}" pid="9" name="Télécopie de la société" linkTarget="vital9">
    <vt:lpwstr/>
  </property>
  <property fmtid="{D5CDD505-2E9C-101B-9397-08002B2CF9AE}" pid="10" name="Nom du client" linkTarget="data5">
    <vt:lpwstr>SIM SYSTÈME</vt:lpwstr>
  </property>
  <property fmtid="{D5CDD505-2E9C-101B-9397-08002B2CF9AE}" pid="11" name="Montant de la facture" linkTarget="TOT">
    <vt:r8>2678.1</vt:r8>
  </property>
</Properties>
</file>