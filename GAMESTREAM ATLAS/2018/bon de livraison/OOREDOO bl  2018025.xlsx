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bon de livraison\"/>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Facture!$F$35</definedName>
    <definedName name="data46">Facture!#REF!</definedName>
    <definedName name="data47">Facture!$E$29</definedName>
    <definedName name="data48">Facture!$F$29</definedName>
    <definedName name="data49">Facture!$L$29</definedName>
    <definedName name="data5">Facture!$E$19</definedName>
    <definedName name="data50">Facture!#REF!</definedName>
    <definedName name="data51">Facture!#REF!</definedName>
    <definedName name="data52">Facture!#REF!</definedName>
    <definedName name="data53">Facture!$E$30</definedName>
    <definedName name="data54">Facture!$F$30</definedName>
    <definedName name="data55">Facture!$L$30</definedName>
    <definedName name="data56">Facture!#REF!</definedName>
    <definedName name="data57">Facture!#REF!</definedName>
    <definedName name="data58">Facture!#REF!</definedName>
    <definedName name="data59">Facture!$E$41</definedName>
    <definedName name="data6">Facture!$F$20</definedName>
    <definedName name="data60">Facture!$F$41</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Facture!$F$35:$K$35</definedName>
    <definedName name="qzqzqz21">Facture!$F$29:$K$29</definedName>
    <definedName name="qzqzqz22">Facture!#REF!</definedName>
    <definedName name="qzqzqz23">Facture!$F$30:$K$30</definedName>
    <definedName name="qzqzqz24">Facture!#REF!</definedName>
    <definedName name="qzqzqz25">Facture!$F$41:$K$41</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33" i="3" l="1"/>
  <c r="M32" i="3" l="1"/>
  <c r="M31" i="3"/>
  <c r="M25" i="3"/>
  <c r="M26" i="3"/>
  <c r="M27" i="3"/>
  <c r="M29" i="3"/>
  <c r="M30" i="3"/>
  <c r="M41" i="3"/>
  <c r="F33" i="2"/>
  <c r="B8" i="8"/>
  <c r="C8" i="8"/>
  <c r="D8" i="8"/>
  <c r="E8" i="8"/>
  <c r="F8" i="8"/>
  <c r="G8" i="8"/>
  <c r="H8" i="8"/>
  <c r="I8" i="8"/>
  <c r="K8" i="8"/>
  <c r="M42" i="3" l="1"/>
  <c r="M43" i="3" s="1"/>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<sst xmlns="http://schemas.openxmlformats.org/spreadsheetml/2006/main" count="83" uniqueCount="68">
  <si>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</si>
  <si>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</si>
  <si>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</si>
  <si>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</si>
  <si>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</si>
  <si>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</si>
  <si>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</si>
  <si>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</si>
  <si>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</si>
  <si>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</si>
  <si>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</si>
  <si>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</si>
  <si>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</si>
  <si>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</si>
  <si>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</si>
  <si>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</si>
  <si>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</si>
  <si>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</si>
  <si>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</si>
  <si>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</si>
  <si>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</si>
  <si>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</si>
  <si>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</si>
  <si>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</si>
  <si>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</si>
  <si>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</si>
  <si>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</si>
  <si>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</si>
  <si>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</si>
  <si>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</si>
  <si>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</si>
  <si>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</si>
  <si>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</si>
  <si>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</si>
  <si>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</si>
  <si>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</si>
  <si>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</si>
  <si>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</si>
  <si>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</si>
  <si>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</si>
  <si>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</si>
  <si>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</si>
  <si>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</si>
  <si>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</si>
  <si>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</si>
  <si>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</si>
  <si>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</si>
  <si>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</si>
  <si>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</si>
  <si>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</si>
  <si>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</si>
  <si>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</si>
  <si>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</si>
  <si>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TEL:  71 258108 FAX : 71 259346</t>
  </si>
  <si>
    <t>RC:B 159472001  MF:778013 Z A M 000</t>
  </si>
  <si>
    <t xml:space="preserve">Responsable : Service achat </t>
  </si>
  <si>
    <t>STB THAMEUR</t>
  </si>
  <si>
    <t>RIB: 10 000 000 081951 8 788 90</t>
  </si>
  <si>
    <t>OOREDOO</t>
  </si>
  <si>
    <t xml:space="preserve">LES JARDINS DU LAC </t>
  </si>
  <si>
    <t xml:space="preserve">TUNIS </t>
  </si>
  <si>
    <t>Date:27/09/2018</t>
  </si>
  <si>
    <t>Réf Commande: 1801833</t>
  </si>
  <si>
    <t>MF:789012H/A/M/000</t>
  </si>
  <si>
    <t xml:space="preserve"> 22120000    Fax: 22121009</t>
  </si>
  <si>
    <t>Bon de livraison  N°2018025</t>
  </si>
  <si>
    <t xml:space="preserve">Dossier de formation pour 6 groupes </t>
  </si>
  <si>
    <t xml:space="preserve">Formation travail en hauteur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</si>
</sst>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sz val="9"/>
      <name val="Arial"/>
      <family val="2"/>
    </font>
    <font>
      <sz val="14"/>
      <name val="Arial"/>
      <family val="2"/>
    </font>
    <font>
      <i/>
      <sz val="14"/>
      <name val="Arial"/>
      <family val="2"/>
    </font>
    <font>
      <i/>
      <sz val="11"/>
      <name val="Calibri"/>
      <family val="2"/>
    </font>
    <font>
      <b/>
      <i/>
      <sz val="11"/>
      <name val="Calibri"/>
      <family val="2"/>
    </font>
    <font>
      <sz val="9"/>
      <color rgb="FF000000"/>
      <name val="Arial"/>
      <family val="2"/>
    </font>
    <font>
      <b/>
      <sz val="16"/>
      <name val="Arial"/>
      <family val="2"/>
    </font>
    <font>
      <sz val="16"/>
      <name val="Arial"/>
      <family val="2"/>
    </font>
    <font>
      <sz val="9"/>
      <color rgb="FFFF0000"/>
      <name val="Arial"/>
      <family val="2"/>
    </font>
    <font>
      <b/>
      <sz val="9"/>
      <color rgb="FFFF0000"/>
      <name val="Arial"/>
      <family val="2"/>
    </font>
    <font>
      <sz val="10"/>
      <color rgb="FFFF0000"/>
      <name val="Arial"/>
      <family val="2"/>
    </font>
    <font>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hair">
        <color indexed="64"/>
      </left>
      <right/>
      <top style="hair">
        <color indexed="64"/>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7" fillId="3" borderId="0" xfId="0" quotePrefix="1" applyNumberFormat="1" applyFont="1" applyFill="1" applyBorder="1" applyAlignment="1"/>
    <xf numFmtId="49" fontId="27" fillId="3" borderId="35" xfId="0" quotePrefix="1" applyNumberFormat="1" applyFont="1" applyFill="1" applyBorder="1" applyAlignment="1"/>
    <xf numFmtId="49" fontId="29" fillId="3" borderId="33" xfId="0" applyNumberFormat="1" applyFont="1" applyFill="1" applyBorder="1" applyAlignment="1"/>
    <xf numFmtId="0" fontId="19" fillId="3" borderId="0" xfId="0" applyFont="1" applyFill="1" applyBorder="1"/>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8" fillId="6" borderId="41" xfId="0" applyNumberFormat="1" applyFont="1" applyFill="1" applyBorder="1"/>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8"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1" fillId="3" borderId="41" xfId="0" applyFont="1" applyFill="1" applyBorder="1" applyAlignment="1">
      <alignment horizontal="right"/>
    </xf>
    <xf numFmtId="0" fontId="32" fillId="3" borderId="0" xfId="0" applyFont="1" applyFill="1" applyBorder="1"/>
    <xf numFmtId="0" fontId="32" fillId="3" borderId="0" xfId="0" applyFont="1" applyFill="1" applyBorder="1" applyAlignment="1">
      <alignment shrinkToFit="1"/>
    </xf>
    <xf numFmtId="0" fontId="33" fillId="3" borderId="0" xfId="0" applyFont="1" applyFill="1" applyBorder="1" applyAlignment="1">
      <alignment vertical="center" wrapText="1"/>
    </xf>
    <xf numFmtId="0" fontId="2" fillId="6" borderId="0" xfId="0" applyFont="1" applyFill="1" applyAlignment="1"/>
    <xf numFmtId="0" fontId="34" fillId="0" borderId="0" xfId="0" applyFont="1" applyFill="1" applyAlignment="1">
      <alignment vertical="center" readingOrder="1"/>
    </xf>
    <xf numFmtId="0" fontId="0" fillId="0" borderId="0" xfId="0" applyFill="1" applyBorder="1"/>
    <xf numFmtId="0" fontId="35" fillId="0" borderId="0" xfId="0" applyFont="1" applyFill="1" applyAlignment="1">
      <alignment vertical="center" readingOrder="1"/>
    </xf>
    <xf numFmtId="0" fontId="36" fillId="2" borderId="0" xfId="0" applyFont="1"/>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31" fillId="3" borderId="33" xfId="0" applyFont="1" applyFill="1" applyBorder="1" applyAlignment="1">
      <alignment shrinkToFit="1"/>
    </xf>
    <xf numFmtId="0" fontId="37" fillId="0" borderId="0" xfId="0" applyFont="1" applyFill="1" applyBorder="1"/>
    <xf numFmtId="0" fontId="38" fillId="0" borderId="0" xfId="0" applyFont="1" applyFill="1" applyBorder="1" applyAlignment="1">
      <alignment horizontal="center" wrapText="1"/>
    </xf>
    <xf numFmtId="0" fontId="18" fillId="0" borderId="0" xfId="0" applyFont="1" applyFill="1" applyBorder="1" applyAlignment="1">
      <alignment vertical="center" wrapText="1"/>
    </xf>
    <xf numFmtId="0" fontId="0" fillId="6" borderId="0" xfId="0" applyFill="1"/>
    <xf numFmtId="0" fontId="2" fillId="6" borderId="0" xfId="0" applyFont="1" applyFill="1"/>
    <xf numFmtId="0" fontId="22" fillId="0" borderId="0" xfId="0" applyFont="1" applyFill="1" applyBorder="1"/>
    <xf numFmtId="0" fontId="39" fillId="3" borderId="0" xfId="0" applyFont="1" applyFill="1" applyBorder="1" applyAlignment="1">
      <alignment horizontal="left"/>
    </xf>
    <xf numFmtId="0" fontId="39" fillId="3" borderId="0" xfId="0" applyFont="1" applyFill="1" applyBorder="1"/>
    <xf numFmtId="0" fontId="39" fillId="3" borderId="0" xfId="0" applyFont="1" applyFill="1"/>
    <xf numFmtId="0" fontId="39" fillId="3" borderId="0" xfId="0" applyFont="1" applyFill="1" applyBorder="1" applyAlignment="1">
      <alignment vertical="top"/>
    </xf>
    <xf numFmtId="167" fontId="39" fillId="3" borderId="0" xfId="0" applyNumberFormat="1" applyFont="1" applyFill="1" applyBorder="1"/>
    <xf numFmtId="9" fontId="40" fillId="3" borderId="0" xfId="0" applyNumberFormat="1" applyFont="1" applyFill="1" applyBorder="1"/>
    <xf numFmtId="0" fontId="41" fillId="3" borderId="0" xfId="0" applyFont="1" applyFill="1"/>
    <xf numFmtId="0" fontId="41" fillId="3" borderId="0" xfId="0" applyFont="1" applyFill="1" applyBorder="1"/>
    <xf numFmtId="0" fontId="42" fillId="3" borderId="0" xfId="0" quotePrefix="1" applyFont="1" applyFill="1" applyBorder="1"/>
    <xf numFmtId="0" fontId="23" fillId="6" borderId="49" xfId="0" applyFont="1" applyFill="1" applyBorder="1" applyAlignment="1">
      <alignment vertical="top"/>
    </xf>
    <xf numFmtId="0" fontId="18" fillId="6" borderId="33"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2" fillId="3" borderId="39" xfId="0" applyNumberFormat="1" applyFont="1" applyFill="1" applyBorder="1" applyAlignment="1"/>
    <xf numFmtId="0" fontId="22"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6" fillId="3" borderId="33" xfId="0" applyNumberFormat="1" applyFont="1" applyFill="1" applyBorder="1" applyAlignment="1">
      <alignment horizontal="left" shrinkToFit="1"/>
    </xf>
    <xf numFmtId="49" fontId="26" fillId="3" borderId="0" xfId="0" applyNumberFormat="1" applyFont="1" applyFill="1" applyBorder="1" applyAlignment="1">
      <alignment horizontal="left" shrinkToFit="1"/>
    </xf>
    <xf numFmtId="49" fontId="26" fillId="3" borderId="35" xfId="0" applyNumberFormat="1" applyFont="1" applyFill="1" applyBorder="1" applyAlignment="1">
      <alignment horizontal="left" shrinkToFit="1"/>
    </xf>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5" fillId="3" borderId="34" xfId="0" applyNumberFormat="1" applyFont="1" applyFill="1" applyBorder="1" applyAlignment="1">
      <alignment horizontal="center"/>
    </xf>
    <xf numFmtId="49" fontId="25" fillId="3" borderId="38" xfId="0" applyNumberFormat="1" applyFont="1" applyFill="1" applyBorder="1" applyAlignment="1">
      <alignment horizontal="center"/>
    </xf>
    <xf numFmtId="49" fontId="25" fillId="3" borderId="37" xfId="0" applyNumberFormat="1" applyFont="1" applyFill="1" applyBorder="1" applyAlignment="1">
      <alignment horizont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0" xfId="0" applyNumberFormat="1" applyFont="1" applyFill="1" applyBorder="1" applyAlignment="1"/>
    <xf numFmtId="14" fontId="18" fillId="2" borderId="0" xfId="0" applyNumberFormat="1" applyFont="1" applyBorder="1" applyAlignment="1"/>
    <xf numFmtId="0" fontId="5" fillId="2" borderId="47" xfId="0" applyFont="1" applyBorder="1" applyAlignment="1">
      <alignment horizontal="center" vertical="center"/>
    </xf>
    <xf numFmtId="49" fontId="26" fillId="3" borderId="33" xfId="0" applyNumberFormat="1" applyFont="1" applyFill="1" applyBorder="1" applyAlignment="1">
      <alignment shrinkToFit="1"/>
    </xf>
    <xf numFmtId="49" fontId="26" fillId="3" borderId="0" xfId="0" applyNumberFormat="1" applyFont="1" applyFill="1" applyBorder="1" applyAlignment="1">
      <alignment shrinkToFit="1"/>
    </xf>
    <xf numFmtId="49" fontId="26"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2" fillId="3" borderId="0" xfId="0" applyFont="1" applyFill="1" applyBorder="1" applyAlignment="1">
      <alignment shrinkToFit="1"/>
    </xf>
    <xf numFmtId="0" fontId="32" fillId="2" borderId="0" xfId="0" applyFont="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47625</xdr:colOff>
          <xdr:row>3</xdr:row>
          <xdr:rowOff>28575</xdr:rowOff>
        </xdr:from>
        <xdr:to>
          <xdr:col>7</xdr:col>
          <xdr:colOff>866775</xdr:colOff>
          <xdr:row>8</xdr:row>
          <xdr:rowOff>142875</xdr:rowOff>
        </xdr:to>
        <xdr:sp macro="" textlink="">
          <xdr:nvSpPr>
            <xdr:cNvPr id="2099" name="Object 51" hidden="1">
              <a:extLst>
                <a:ext uri="{63B3BB69-23CF-44E3-9099-C40C66FF867C}">
                  <a14:compatExt spid="_x0000_s209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38100</xdr:colOff>
          <xdr:row>3</xdr:row>
          <xdr:rowOff>19050</xdr:rowOff>
        </xdr:from>
        <xdr:to>
          <xdr:col>7</xdr:col>
          <xdr:colOff>19050</xdr:colOff>
          <xdr:row>8</xdr:row>
          <xdr:rowOff>152400</xdr:rowOff>
        </xdr:to>
        <xdr:sp macro="" textlink="">
          <xdr:nvSpPr>
            <xdr:cNvPr id="2100" name="Object 52" hidden="1">
              <a:extLst>
                <a:ext uri="{63B3BB69-23CF-44E3-9099-C40C66FF867C}">
                  <a14:compatExt spid="_x0000_s2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xdr:row>
          <xdr:rowOff>19050</xdr:rowOff>
        </xdr:from>
        <xdr:to>
          <xdr:col>6</xdr:col>
          <xdr:colOff>438150</xdr:colOff>
          <xdr:row>8</xdr:row>
          <xdr:rowOff>152400</xdr:rowOff>
        </xdr:to>
        <xdr:sp macro="" textlink="">
          <xdr:nvSpPr>
            <xdr:cNvPr id="2101" name="Object 53" hidden="1">
              <a:extLst>
                <a:ext uri="{63B3BB69-23CF-44E3-9099-C40C66FF867C}">
                  <a14:compatExt spid="_x0000_s210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50132</xdr:colOff>
      <xdr:row>2</xdr:row>
      <xdr:rowOff>70184</xdr:rowOff>
    </xdr:from>
    <xdr:to>
      <xdr:col>7</xdr:col>
      <xdr:colOff>551448</xdr:colOff>
      <xdr:row>8</xdr:row>
      <xdr:rowOff>160420</xdr:rowOff>
    </xdr:to>
    <xdr:pic>
      <xdr:nvPicPr>
        <xdr:cNvPr id="12" name="Image 11"/>
        <xdr:cNvPicPr/>
      </xdr:nvPicPr>
      <xdr:blipFill>
        <a:blip xmlns:r="http://schemas.openxmlformats.org/officeDocument/2006/relationships" r:embed="rId1" cstate="print"/>
        <a:srcRect/>
        <a:stretch>
          <a:fillRect/>
        </a:stretch>
      </xdr:blipFill>
      <xdr:spPr bwMode="auto">
        <a:xfrm>
          <a:off x="170448" y="160421"/>
          <a:ext cx="3368842"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oleObject" Target="../embeddings/oleObject3.bin"/><Relationship Id="rId12"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ctrlProp" Target="../ctrlProps/ctrlProp7.xml"/><Relationship Id="rId5" Type="http://schemas.openxmlformats.org/officeDocument/2006/relationships/image" Target="../media/image1.png"/><Relationship Id="rId10" Type="http://schemas.openxmlformats.org/officeDocument/2006/relationships/ctrlProp" Target="../ctrlProps/ctrlProp6.xml"/><Relationship Id="rId4" Type="http://schemas.openxmlformats.org/officeDocument/2006/relationships/oleObject" Target="../embeddings/oleObject1.bin"/><Relationship Id="rId9"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43</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8" t="s">
        <v>4</v>
      </c>
      <c r="G12" s="17"/>
      <c r="H12" s="27"/>
      <c r="I12" s="3"/>
      <c r="J12" s="9"/>
    </row>
    <row r="13" spans="2:10" ht="13.5" thickBot="1" x14ac:dyDescent="0.25">
      <c r="B13" s="7"/>
      <c r="C13" s="3"/>
      <c r="D13" s="34" t="s">
        <v>5</v>
      </c>
      <c r="E13" s="14" t="s">
        <v>46</v>
      </c>
      <c r="F13" s="68"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W65"/>
  <sheetViews>
    <sheetView showGridLines="0" showRowColHeaders="0" tabSelected="1" topLeftCell="A3" zoomScale="95" workbookViewId="0">
      <selection activeCell="F29" sqref="F29:K2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130" t="s">
        <v>46</v>
      </c>
      <c r="E11" s="131"/>
      <c r="F11" s="131"/>
      <c r="G11" s="131"/>
      <c r="H11" s="3"/>
      <c r="I11" s="3"/>
      <c r="J11" s="3"/>
      <c r="K11" s="8"/>
      <c r="L11" s="81"/>
      <c r="M11" s="81" t="s">
        <v>51</v>
      </c>
      <c r="N11" s="19"/>
      <c r="O11" s="9"/>
    </row>
    <row r="12" spans="2:15" ht="15" x14ac:dyDescent="0.2">
      <c r="B12" s="7"/>
      <c r="C12" s="3"/>
      <c r="D12" s="130" t="s">
        <v>53</v>
      </c>
      <c r="E12" s="131"/>
      <c r="F12" s="131"/>
      <c r="G12" s="131"/>
      <c r="H12" s="3"/>
      <c r="I12" s="3"/>
      <c r="J12" s="3"/>
      <c r="K12" s="3"/>
      <c r="L12" s="3"/>
      <c r="M12" s="3"/>
      <c r="N12" s="3"/>
      <c r="O12" s="9"/>
    </row>
    <row r="13" spans="2:15" ht="15" x14ac:dyDescent="0.2">
      <c r="B13" s="7"/>
      <c r="C13" s="3"/>
      <c r="D13" s="132" t="s">
        <v>54</v>
      </c>
      <c r="E13" s="131"/>
      <c r="F13" s="131"/>
      <c r="G13" s="131"/>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65</v>
      </c>
      <c r="M15" s="94"/>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0" t="s">
        <v>3</v>
      </c>
      <c r="E19" s="172" t="s">
        <v>58</v>
      </c>
      <c r="F19" s="173"/>
      <c r="G19" s="173"/>
      <c r="H19" s="173"/>
      <c r="I19" s="173"/>
      <c r="J19" s="173"/>
      <c r="K19" s="108"/>
      <c r="L19" s="164" t="s">
        <v>61</v>
      </c>
      <c r="M19" s="165"/>
      <c r="N19" s="58"/>
      <c r="O19" s="9"/>
    </row>
    <row r="20" spans="2:15" x14ac:dyDescent="0.2">
      <c r="B20" s="7"/>
      <c r="C20" s="3"/>
      <c r="D20" s="90" t="s">
        <v>5</v>
      </c>
      <c r="E20" s="170" t="s">
        <v>59</v>
      </c>
      <c r="F20" s="171"/>
      <c r="G20" s="171"/>
      <c r="H20" s="171"/>
      <c r="I20" s="171"/>
      <c r="J20" s="171"/>
      <c r="K20" s="90"/>
      <c r="L20" s="176" t="s">
        <v>62</v>
      </c>
      <c r="M20" s="177"/>
      <c r="N20" s="59"/>
      <c r="O20" s="9"/>
    </row>
    <row r="21" spans="2:15" x14ac:dyDescent="0.2">
      <c r="B21" s="7"/>
      <c r="C21" s="3"/>
      <c r="D21" s="90" t="s">
        <v>7</v>
      </c>
      <c r="E21" s="97">
        <v>1053</v>
      </c>
      <c r="F21" s="98" t="s">
        <v>8</v>
      </c>
      <c r="G21" s="168" t="s">
        <v>60</v>
      </c>
      <c r="H21" s="169"/>
      <c r="I21" s="99" t="s">
        <v>9</v>
      </c>
      <c r="J21" s="96" t="s">
        <v>49</v>
      </c>
      <c r="K21" s="90"/>
      <c r="L21" s="129" t="s">
        <v>55</v>
      </c>
      <c r="M21" s="129"/>
      <c r="N21" s="129"/>
      <c r="O21" s="9"/>
    </row>
    <row r="22" spans="2:15" x14ac:dyDescent="0.2">
      <c r="B22" s="7"/>
      <c r="C22" s="3"/>
      <c r="D22" s="90" t="s">
        <v>20</v>
      </c>
      <c r="E22" s="174" t="s">
        <v>64</v>
      </c>
      <c r="F22" s="175"/>
      <c r="G22" s="175"/>
      <c r="H22" s="175"/>
      <c r="I22" s="175"/>
      <c r="J22" s="175"/>
      <c r="K22" s="90"/>
      <c r="L22" s="166" t="s">
        <v>63</v>
      </c>
      <c r="M22" s="167"/>
      <c r="N22" s="3"/>
      <c r="O22" s="9"/>
    </row>
    <row r="23" spans="2:15" x14ac:dyDescent="0.2">
      <c r="B23" s="7"/>
      <c r="C23" s="3"/>
      <c r="D23" s="90"/>
      <c r="E23" s="90"/>
      <c r="F23" s="90"/>
      <c r="G23" s="90"/>
      <c r="H23" s="90"/>
      <c r="I23" s="90"/>
      <c r="J23" s="90"/>
      <c r="K23" s="90"/>
      <c r="L23" s="90"/>
      <c r="M23" s="90"/>
      <c r="N23" s="3"/>
      <c r="O23" s="9"/>
    </row>
    <row r="24" spans="2:15" x14ac:dyDescent="0.2">
      <c r="B24" s="7"/>
      <c r="C24" s="3"/>
      <c r="D24" s="72" t="s">
        <v>33</v>
      </c>
      <c r="E24" s="53" t="s">
        <v>21</v>
      </c>
      <c r="F24" s="178" t="s">
        <v>22</v>
      </c>
      <c r="G24" s="179"/>
      <c r="H24" s="179"/>
      <c r="I24" s="179"/>
      <c r="J24" s="179"/>
      <c r="K24" s="180"/>
      <c r="L24" s="53" t="s">
        <v>23</v>
      </c>
      <c r="M24" s="54" t="s">
        <v>24</v>
      </c>
      <c r="N24" s="60"/>
      <c r="O24" s="9"/>
    </row>
    <row r="25" spans="2:15" x14ac:dyDescent="0.2">
      <c r="B25" s="7"/>
      <c r="C25" s="3"/>
      <c r="D25" s="70"/>
      <c r="E25" s="55"/>
      <c r="F25" s="181"/>
      <c r="G25" s="182"/>
      <c r="H25" s="182"/>
      <c r="I25" s="182"/>
      <c r="J25" s="182"/>
      <c r="K25" s="183"/>
      <c r="L25" s="79"/>
      <c r="M25" s="109" t="str">
        <f t="shared" ref="M25:M33" si="0">IF(E25&lt;&gt;"",E25*L25,"")</f>
        <v/>
      </c>
      <c r="N25" s="60"/>
      <c r="O25" s="9"/>
    </row>
    <row r="26" spans="2:15" ht="15" x14ac:dyDescent="0.2">
      <c r="B26" s="7"/>
      <c r="C26" s="3"/>
      <c r="D26" s="70"/>
      <c r="E26" s="82"/>
      <c r="F26" s="181"/>
      <c r="G26" s="184"/>
      <c r="H26" s="184"/>
      <c r="I26" s="184"/>
      <c r="J26" s="184"/>
      <c r="K26" s="185"/>
      <c r="L26" s="83"/>
      <c r="M26" s="110" t="str">
        <f t="shared" si="0"/>
        <v/>
      </c>
      <c r="N26" s="60"/>
      <c r="O26" s="9"/>
    </row>
    <row r="27" spans="2:15" ht="15" x14ac:dyDescent="0.2">
      <c r="B27" s="7"/>
      <c r="C27" s="3"/>
      <c r="D27" s="70"/>
      <c r="E27" s="82"/>
      <c r="F27" s="181" t="s">
        <v>66</v>
      </c>
      <c r="G27" s="184"/>
      <c r="H27" s="184"/>
      <c r="I27" s="184"/>
      <c r="J27" s="184"/>
      <c r="K27" s="185"/>
      <c r="L27" s="83"/>
      <c r="M27" s="110" t="str">
        <f t="shared" si="0"/>
        <v/>
      </c>
      <c r="N27" s="60"/>
      <c r="O27" s="9"/>
    </row>
    <row r="28" spans="2:15" ht="15" x14ac:dyDescent="0.2">
      <c r="B28" s="7"/>
      <c r="C28" s="3"/>
      <c r="D28" s="70"/>
      <c r="E28" s="82"/>
      <c r="F28" s="134" t="s">
        <v>67</v>
      </c>
      <c r="G28" s="135"/>
      <c r="H28" s="135"/>
      <c r="I28" s="135"/>
      <c r="J28" s="135"/>
      <c r="K28" s="136"/>
      <c r="L28" s="83"/>
      <c r="M28" s="110"/>
      <c r="N28" s="60"/>
      <c r="O28" s="9"/>
    </row>
    <row r="29" spans="2:15" ht="15" x14ac:dyDescent="0.2">
      <c r="B29" s="7"/>
      <c r="C29" s="3"/>
      <c r="D29" s="137"/>
      <c r="E29" s="82"/>
      <c r="F29" s="181"/>
      <c r="G29" s="184"/>
      <c r="H29" s="184"/>
      <c r="I29" s="184"/>
      <c r="J29" s="184"/>
      <c r="K29" s="185"/>
      <c r="L29" s="83"/>
      <c r="M29" s="110" t="str">
        <f t="shared" si="0"/>
        <v/>
      </c>
      <c r="N29" s="60"/>
      <c r="O29" s="9"/>
    </row>
    <row r="30" spans="2:15" ht="15" x14ac:dyDescent="0.2">
      <c r="B30" s="7"/>
      <c r="C30" s="3"/>
      <c r="D30" s="137"/>
      <c r="E30" s="82"/>
      <c r="F30" s="181"/>
      <c r="G30" s="182"/>
      <c r="H30" s="182"/>
      <c r="I30" s="182"/>
      <c r="J30" s="182"/>
      <c r="K30" s="183"/>
      <c r="L30" s="83"/>
      <c r="M30" s="110" t="str">
        <f t="shared" si="0"/>
        <v/>
      </c>
      <c r="N30" s="60"/>
      <c r="O30" s="9"/>
    </row>
    <row r="31" spans="2:15" ht="15" x14ac:dyDescent="0.2">
      <c r="B31" s="7"/>
      <c r="C31" s="3"/>
      <c r="D31" s="137"/>
      <c r="E31" s="56"/>
      <c r="F31" s="191"/>
      <c r="G31" s="192"/>
      <c r="H31" s="192"/>
      <c r="I31" s="192"/>
      <c r="J31" s="192"/>
      <c r="K31" s="193"/>
      <c r="L31" s="83"/>
      <c r="M31" s="110" t="str">
        <f t="shared" si="0"/>
        <v/>
      </c>
      <c r="N31" s="60"/>
      <c r="O31" s="9"/>
    </row>
    <row r="32" spans="2:15" ht="15" x14ac:dyDescent="0.2">
      <c r="B32" s="7"/>
      <c r="C32" s="3"/>
      <c r="D32" s="137"/>
      <c r="E32" s="56"/>
      <c r="F32" s="191"/>
      <c r="G32" s="192"/>
      <c r="H32" s="192"/>
      <c r="I32" s="192"/>
      <c r="J32" s="192"/>
      <c r="K32" s="193"/>
      <c r="L32" s="83"/>
      <c r="M32" s="110" t="str">
        <f t="shared" si="0"/>
        <v/>
      </c>
      <c r="N32" s="60"/>
      <c r="O32" s="9"/>
    </row>
    <row r="33" spans="2:23" ht="15" x14ac:dyDescent="0.2">
      <c r="B33" s="7"/>
      <c r="C33" s="3"/>
      <c r="D33" s="70"/>
      <c r="E33" s="56"/>
      <c r="F33" s="191"/>
      <c r="G33" s="192"/>
      <c r="H33" s="192"/>
      <c r="I33" s="192"/>
      <c r="J33" s="192"/>
      <c r="K33" s="193"/>
      <c r="L33" s="83"/>
      <c r="M33" s="110" t="str">
        <f t="shared" si="0"/>
        <v/>
      </c>
      <c r="N33" s="60"/>
      <c r="O33" s="9"/>
    </row>
    <row r="34" spans="2:23" ht="15" x14ac:dyDescent="0.2">
      <c r="B34" s="7"/>
      <c r="C34" s="3"/>
      <c r="D34" s="70"/>
      <c r="E34" s="56"/>
      <c r="F34" s="191"/>
      <c r="G34" s="192"/>
      <c r="H34" s="192"/>
      <c r="I34" s="192"/>
      <c r="J34" s="192"/>
      <c r="K34" s="193"/>
      <c r="L34" s="83"/>
      <c r="M34" s="110"/>
      <c r="N34" s="60"/>
      <c r="O34" s="9"/>
    </row>
    <row r="35" spans="2:23" ht="15" x14ac:dyDescent="0.2">
      <c r="B35" s="7"/>
      <c r="C35" s="3"/>
      <c r="D35" s="70"/>
      <c r="E35" s="56"/>
      <c r="F35" s="203"/>
      <c r="G35" s="204"/>
      <c r="H35" s="204"/>
      <c r="I35" s="204"/>
      <c r="J35" s="204"/>
      <c r="K35" s="205"/>
      <c r="L35" s="83"/>
      <c r="M35" s="110"/>
      <c r="N35" s="60"/>
      <c r="O35" s="9"/>
    </row>
    <row r="36" spans="2:23" ht="15" x14ac:dyDescent="0.2">
      <c r="B36" s="7"/>
      <c r="C36" s="3"/>
      <c r="D36" s="70"/>
      <c r="E36" s="56"/>
      <c r="F36" s="188"/>
      <c r="G36" s="189"/>
      <c r="H36" s="189"/>
      <c r="I36" s="189"/>
      <c r="J36" s="189"/>
      <c r="K36" s="190"/>
      <c r="L36" s="83"/>
      <c r="M36" s="110"/>
      <c r="N36" s="60"/>
      <c r="O36" s="9"/>
    </row>
    <row r="37" spans="2:23" ht="15" x14ac:dyDescent="0.2">
      <c r="B37" s="7"/>
      <c r="C37" s="3"/>
      <c r="D37" s="70"/>
      <c r="E37" s="56"/>
      <c r="F37" s="188"/>
      <c r="G37" s="189"/>
      <c r="H37" s="189"/>
      <c r="I37" s="189"/>
      <c r="J37" s="189"/>
      <c r="K37" s="190"/>
      <c r="L37" s="83"/>
      <c r="M37" s="110"/>
      <c r="N37" s="60"/>
      <c r="O37" s="9"/>
    </row>
    <row r="38" spans="2:23" ht="15.75" x14ac:dyDescent="0.25">
      <c r="B38" s="7"/>
      <c r="C38" s="3"/>
      <c r="D38" s="70"/>
      <c r="E38" s="56"/>
      <c r="F38" s="104"/>
      <c r="G38" s="102"/>
      <c r="H38" s="102"/>
      <c r="I38" s="102"/>
      <c r="J38" s="102"/>
      <c r="K38" s="103"/>
      <c r="L38" s="83"/>
      <c r="M38" s="110"/>
      <c r="N38" s="60"/>
      <c r="O38" s="9"/>
    </row>
    <row r="39" spans="2:23" ht="15" x14ac:dyDescent="0.2">
      <c r="B39" s="7"/>
      <c r="C39" s="3"/>
      <c r="D39" s="70"/>
      <c r="E39" s="56"/>
      <c r="F39" s="197"/>
      <c r="G39" s="198"/>
      <c r="H39" s="198"/>
      <c r="I39" s="198"/>
      <c r="J39" s="198"/>
      <c r="K39" s="199"/>
      <c r="L39" s="83"/>
      <c r="M39" s="110"/>
      <c r="N39" s="60"/>
      <c r="O39" s="9"/>
    </row>
    <row r="40" spans="2:23" ht="15" x14ac:dyDescent="0.2">
      <c r="B40" s="7"/>
      <c r="C40" s="3"/>
      <c r="D40" s="70"/>
      <c r="E40" s="56"/>
      <c r="F40" s="197"/>
      <c r="G40" s="198"/>
      <c r="H40" s="198"/>
      <c r="I40" s="198"/>
      <c r="J40" s="198"/>
      <c r="K40" s="199"/>
      <c r="L40" s="83"/>
      <c r="M40" s="110"/>
      <c r="N40" s="60"/>
      <c r="O40" s="9"/>
      <c r="W40" s="133"/>
    </row>
    <row r="41" spans="2:23" ht="15" x14ac:dyDescent="0.2">
      <c r="B41" s="7"/>
      <c r="C41" s="3"/>
      <c r="D41" s="71"/>
      <c r="E41" s="57"/>
      <c r="F41" s="194"/>
      <c r="G41" s="195"/>
      <c r="H41" s="195"/>
      <c r="I41" s="195"/>
      <c r="J41" s="195"/>
      <c r="K41" s="196"/>
      <c r="L41" s="83"/>
      <c r="M41" s="110" t="str">
        <f>IF(E41&lt;&gt;"",E41*L41,"")</f>
        <v/>
      </c>
      <c r="N41" s="60"/>
      <c r="O41" s="9"/>
    </row>
    <row r="42" spans="2:23" ht="15.75" x14ac:dyDescent="0.25">
      <c r="B42" s="7"/>
      <c r="C42" s="3"/>
      <c r="D42" s="3"/>
      <c r="E42" s="90"/>
      <c r="F42" s="90"/>
      <c r="G42" s="90"/>
      <c r="H42" s="90"/>
      <c r="I42" s="90"/>
      <c r="J42" s="84"/>
      <c r="K42" s="84"/>
      <c r="L42" s="121" t="s">
        <v>25</v>
      </c>
      <c r="M42" s="111">
        <f>SUM(M26:M32)</f>
        <v>0</v>
      </c>
      <c r="N42" s="60"/>
      <c r="O42" s="9"/>
    </row>
    <row r="43" spans="2:23" ht="15" x14ac:dyDescent="0.2">
      <c r="B43" s="7"/>
      <c r="C43" s="3"/>
      <c r="D43" s="3"/>
      <c r="E43" s="90"/>
      <c r="F43" s="90"/>
      <c r="G43" s="90"/>
      <c r="H43" s="90"/>
      <c r="I43" s="90"/>
      <c r="J43" s="84"/>
      <c r="K43" s="84"/>
      <c r="L43" s="122">
        <v>0.19</v>
      </c>
      <c r="M43" s="123">
        <f>M42*0.19</f>
        <v>0</v>
      </c>
      <c r="N43" s="60"/>
      <c r="O43" s="9"/>
    </row>
    <row r="44" spans="2:23" ht="15" x14ac:dyDescent="0.2">
      <c r="B44" s="7"/>
      <c r="C44" s="3"/>
      <c r="D44" s="3"/>
      <c r="E44" s="92"/>
      <c r="F44" s="144"/>
      <c r="G44" s="145"/>
      <c r="H44" s="145"/>
      <c r="I44" s="145"/>
      <c r="J44" s="146"/>
      <c r="K44" s="86"/>
      <c r="L44" s="125" t="s">
        <v>45</v>
      </c>
      <c r="M44" s="123"/>
      <c r="N44" s="60"/>
      <c r="O44" s="9"/>
    </row>
    <row r="45" spans="2:23" ht="15.75" x14ac:dyDescent="0.25">
      <c r="B45" s="7"/>
      <c r="C45" s="3"/>
      <c r="D45" s="3"/>
      <c r="E45" s="93"/>
      <c r="F45" s="144"/>
      <c r="G45" s="147"/>
      <c r="H45" s="148"/>
      <c r="I45" s="145"/>
      <c r="J45" s="149"/>
      <c r="K45" s="84"/>
      <c r="L45" s="124" t="s">
        <v>26</v>
      </c>
      <c r="M45" s="111">
        <f>+M42+M43+M44</f>
        <v>0</v>
      </c>
      <c r="N45" s="60"/>
      <c r="O45" s="9"/>
    </row>
    <row r="46" spans="2:23" ht="15.75" x14ac:dyDescent="0.25">
      <c r="B46" s="7"/>
      <c r="C46" s="3"/>
      <c r="D46" s="3"/>
      <c r="E46" s="91"/>
      <c r="F46" s="150"/>
      <c r="G46" s="151"/>
      <c r="H46" s="150"/>
      <c r="I46" s="151"/>
      <c r="J46" s="152"/>
      <c r="K46" s="84"/>
      <c r="L46" s="87"/>
      <c r="M46" s="87"/>
      <c r="N46" s="60"/>
      <c r="O46" s="9"/>
    </row>
    <row r="47" spans="2:23" ht="17.100000000000001" customHeight="1" x14ac:dyDescent="0.25">
      <c r="B47" s="7"/>
      <c r="C47" s="126"/>
      <c r="D47" s="208"/>
      <c r="E47" s="209"/>
      <c r="F47" s="209"/>
      <c r="G47" s="209"/>
      <c r="H47" s="209"/>
      <c r="I47" s="209"/>
      <c r="J47" s="209"/>
      <c r="K47" s="209"/>
      <c r="L47" s="87"/>
      <c r="M47" s="119"/>
      <c r="N47" s="60"/>
      <c r="O47" s="9"/>
    </row>
    <row r="48" spans="2:23" ht="17.100000000000001" customHeight="1" x14ac:dyDescent="0.25">
      <c r="B48" s="7"/>
      <c r="C48" s="126"/>
      <c r="D48" s="127"/>
      <c r="E48" s="126"/>
      <c r="F48" s="126"/>
      <c r="G48" s="128"/>
      <c r="H48" s="128"/>
      <c r="I48" s="128"/>
      <c r="J48" s="126"/>
      <c r="K48" s="126"/>
      <c r="L48" s="87"/>
      <c r="M48" s="119"/>
      <c r="N48" s="60"/>
      <c r="O48" s="9"/>
    </row>
    <row r="49" spans="1:15" ht="17.100000000000001" customHeight="1" x14ac:dyDescent="0.2">
      <c r="B49" s="7"/>
      <c r="C49" s="3"/>
      <c r="D49" s="3"/>
      <c r="E49" s="95"/>
      <c r="F49" s="186"/>
      <c r="G49" s="187"/>
      <c r="H49" s="187"/>
      <c r="I49" s="187"/>
      <c r="J49" s="84"/>
      <c r="K49" s="84"/>
      <c r="L49" s="84"/>
      <c r="M49" s="120"/>
      <c r="N49" s="60"/>
      <c r="O49" s="9"/>
    </row>
    <row r="50" spans="1:15" ht="15" x14ac:dyDescent="0.2">
      <c r="B50" s="7"/>
      <c r="C50" s="3"/>
      <c r="D50" s="3"/>
      <c r="E50" s="20"/>
      <c r="F50" s="206"/>
      <c r="G50" s="207"/>
      <c r="H50" s="207"/>
      <c r="I50" s="207"/>
      <c r="J50" s="84"/>
      <c r="K50" s="84"/>
      <c r="L50" s="84"/>
      <c r="M50" s="84"/>
      <c r="N50" s="60"/>
      <c r="O50" s="9"/>
    </row>
    <row r="51" spans="1:15" ht="15" customHeight="1" x14ac:dyDescent="0.2">
      <c r="B51" s="7"/>
      <c r="C51" s="3"/>
      <c r="D51" s="3"/>
      <c r="E51" s="20"/>
      <c r="F51" s="85"/>
      <c r="G51" s="200"/>
      <c r="H51" s="201"/>
      <c r="I51" s="201"/>
      <c r="J51" s="84"/>
      <c r="K51" s="153" t="s">
        <v>52</v>
      </c>
      <c r="L51" s="112"/>
      <c r="M51" s="113"/>
      <c r="N51" s="60"/>
      <c r="O51" s="9"/>
    </row>
    <row r="52" spans="1:15" ht="15" x14ac:dyDescent="0.2">
      <c r="B52" s="7"/>
      <c r="C52" s="3"/>
      <c r="D52" s="3"/>
      <c r="E52" s="3"/>
      <c r="F52" s="84"/>
      <c r="G52" s="84"/>
      <c r="H52" s="84"/>
      <c r="I52" s="84"/>
      <c r="J52" s="84"/>
      <c r="K52" s="154"/>
      <c r="L52" s="114"/>
      <c r="M52" s="115"/>
      <c r="N52" s="60"/>
      <c r="O52" s="9"/>
    </row>
    <row r="53" spans="1:15" ht="15" x14ac:dyDescent="0.2">
      <c r="B53" s="7"/>
      <c r="C53" s="3"/>
      <c r="D53" s="101"/>
      <c r="E53" s="107"/>
      <c r="F53" s="84"/>
      <c r="G53" s="84"/>
      <c r="H53" s="84"/>
      <c r="I53" s="84"/>
      <c r="J53" s="86"/>
      <c r="K53" s="116"/>
      <c r="L53" s="117"/>
      <c r="M53" s="118"/>
      <c r="N53" s="60"/>
      <c r="O53" s="9"/>
    </row>
    <row r="54" spans="1:15" ht="20.25" x14ac:dyDescent="0.3">
      <c r="B54" s="7"/>
      <c r="C54" s="143" t="s">
        <v>57</v>
      </c>
      <c r="D54" s="138"/>
      <c r="E54" s="3"/>
      <c r="F54" s="106"/>
      <c r="G54" s="106"/>
      <c r="H54" s="106"/>
      <c r="I54" s="106"/>
      <c r="J54" s="106"/>
      <c r="K54" s="106"/>
      <c r="L54" s="106"/>
      <c r="M54" s="89"/>
      <c r="N54" s="60"/>
      <c r="O54" s="9"/>
    </row>
    <row r="55" spans="1:15" ht="15" x14ac:dyDescent="0.2">
      <c r="B55" s="7"/>
      <c r="C55" s="141"/>
      <c r="D55" s="142" t="s">
        <v>56</v>
      </c>
      <c r="E55" s="141"/>
      <c r="F55" s="141"/>
      <c r="G55" s="141"/>
      <c r="H55" s="106"/>
      <c r="I55" s="106"/>
      <c r="J55" s="106"/>
      <c r="K55" s="106"/>
      <c r="L55" s="106"/>
      <c r="M55" s="84"/>
      <c r="N55" s="60"/>
      <c r="O55" s="9"/>
    </row>
    <row r="56" spans="1:15" ht="60.75" customHeight="1" x14ac:dyDescent="0.3">
      <c r="B56" s="7"/>
      <c r="C56" s="139"/>
      <c r="D56" s="140"/>
      <c r="E56" s="140"/>
      <c r="F56" s="106"/>
      <c r="G56" s="106"/>
      <c r="H56" s="106"/>
      <c r="I56" s="106"/>
      <c r="J56" s="106"/>
      <c r="K56" s="106"/>
      <c r="L56" s="106"/>
      <c r="M56" s="84"/>
      <c r="N56" s="60"/>
      <c r="O56" s="9"/>
    </row>
    <row r="57" spans="1:15" ht="15" x14ac:dyDescent="0.2">
      <c r="A57" s="106"/>
      <c r="B57" s="106"/>
      <c r="C57" s="106"/>
      <c r="D57" s="106"/>
      <c r="E57" s="106"/>
      <c r="F57" s="106"/>
      <c r="G57" s="106"/>
      <c r="H57" s="106"/>
      <c r="I57" s="106"/>
      <c r="J57" s="106"/>
      <c r="K57" s="106"/>
      <c r="L57" s="106"/>
      <c r="M57" s="88"/>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62"/>
      <c r="B60" s="202"/>
      <c r="C60" s="202"/>
      <c r="D60" s="202"/>
      <c r="E60" s="202"/>
      <c r="F60" s="162"/>
      <c r="G60" s="202"/>
      <c r="H60" s="202"/>
      <c r="I60" s="202"/>
      <c r="J60" s="202"/>
      <c r="K60" s="202"/>
      <c r="L60" s="202"/>
      <c r="M60" s="162"/>
      <c r="N60" s="60"/>
      <c r="O60" s="9"/>
    </row>
    <row r="61" spans="1:15" x14ac:dyDescent="0.2">
      <c r="A61" s="163"/>
      <c r="B61" s="163"/>
      <c r="C61" s="163"/>
      <c r="D61" s="163"/>
      <c r="E61" s="163"/>
      <c r="F61" s="163"/>
      <c r="G61" s="163"/>
      <c r="H61" s="163"/>
      <c r="I61" s="163"/>
      <c r="J61" s="163"/>
      <c r="K61" s="163"/>
      <c r="L61" s="163"/>
      <c r="M61" s="163"/>
      <c r="N61" s="60"/>
      <c r="O61" s="9"/>
    </row>
    <row r="62" spans="1:15" x14ac:dyDescent="0.2">
      <c r="A62" s="163"/>
      <c r="B62" s="163"/>
      <c r="C62" s="163"/>
      <c r="D62" s="163"/>
      <c r="E62" s="163"/>
      <c r="F62" s="163"/>
      <c r="G62" s="163"/>
      <c r="H62" s="163"/>
      <c r="I62" s="163"/>
      <c r="J62" s="163"/>
      <c r="K62" s="163"/>
      <c r="L62" s="163"/>
      <c r="M62" s="163"/>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G51:I51"/>
    <mergeCell ref="F60:L62"/>
    <mergeCell ref="F35:K35"/>
    <mergeCell ref="F32:K32"/>
    <mergeCell ref="F50:I50"/>
    <mergeCell ref="D47:K47"/>
    <mergeCell ref="A60:E62"/>
    <mergeCell ref="F27:K27"/>
    <mergeCell ref="F41:K41"/>
    <mergeCell ref="F39:K39"/>
    <mergeCell ref="F40:K40"/>
    <mergeCell ref="F34:K34"/>
    <mergeCell ref="F37:K37"/>
    <mergeCell ref="F33:K33"/>
    <mergeCell ref="M60:M62"/>
    <mergeCell ref="L19:M19"/>
    <mergeCell ref="L22:M22"/>
    <mergeCell ref="G21:H21"/>
    <mergeCell ref="E20:J20"/>
    <mergeCell ref="E19:J19"/>
    <mergeCell ref="E22:J22"/>
    <mergeCell ref="L20:M20"/>
    <mergeCell ref="F24:K24"/>
    <mergeCell ref="F25:K25"/>
    <mergeCell ref="F26:K26"/>
    <mergeCell ref="F49:I49"/>
    <mergeCell ref="F36:K36"/>
    <mergeCell ref="F31:K31"/>
    <mergeCell ref="F29:K29"/>
    <mergeCell ref="F30:K30"/>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whole" errorStyle="warning" allowBlank="1" showErrorMessage="1" errorTitle="Quantité" error="Tapez un nombre dans cette cellule." promptTitle="Quantité" sqref="E25:E41">
      <formula1>0</formula1>
      <formula2>1000000000</formula2>
    </dataValidation>
    <dataValidation allowBlank="1" showErrorMessage="1" sqref="G21:H21"/>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oleObjects>
    <mc:AlternateContent xmlns:mc="http://schemas.openxmlformats.org/markup-compatibility/2006">
      <mc:Choice Requires="x14">
        <oleObject progId="PBrush" shapeId="2099" r:id="rId4">
          <objectPr defaultSize="0" autoPict="0" r:id="rId5">
            <anchor moveWithCells="1" sizeWithCells="1">
              <from>
                <xdr:col>3</xdr:col>
                <xdr:colOff>47625</xdr:colOff>
                <xdr:row>3</xdr:row>
                <xdr:rowOff>28575</xdr:rowOff>
              </from>
              <to>
                <xdr:col>7</xdr:col>
                <xdr:colOff>866775</xdr:colOff>
                <xdr:row>8</xdr:row>
                <xdr:rowOff>142875</xdr:rowOff>
              </to>
            </anchor>
          </objectPr>
        </oleObject>
      </mc:Choice>
      <mc:Fallback>
        <oleObject progId="PBrush" shapeId="2099" r:id="rId4"/>
      </mc:Fallback>
    </mc:AlternateContent>
    <mc:AlternateContent xmlns:mc="http://schemas.openxmlformats.org/markup-compatibility/2006">
      <mc:Choice Requires="x14">
        <oleObject progId="PBrush" shapeId="2100" r:id="rId6">
          <objectPr defaultSize="0" autoPict="0" r:id="rId5">
            <anchor moveWithCells="1" sizeWithCells="1">
              <from>
                <xdr:col>2</xdr:col>
                <xdr:colOff>38100</xdr:colOff>
                <xdr:row>3</xdr:row>
                <xdr:rowOff>19050</xdr:rowOff>
              </from>
              <to>
                <xdr:col>7</xdr:col>
                <xdr:colOff>19050</xdr:colOff>
                <xdr:row>8</xdr:row>
                <xdr:rowOff>152400</xdr:rowOff>
              </to>
            </anchor>
          </objectPr>
        </oleObject>
      </mc:Choice>
      <mc:Fallback>
        <oleObject progId="PBrush" shapeId="2100" r:id="rId6"/>
      </mc:Fallback>
    </mc:AlternateContent>
    <mc:AlternateContent xmlns:mc="http://schemas.openxmlformats.org/markup-compatibility/2006">
      <mc:Choice Requires="x14">
        <oleObject progId="PBrush" shapeId="2101" r:id="rId7">
          <objectPr defaultSize="0" autoPict="0" r:id="rId8">
            <anchor moveWithCells="1" sizeWithCells="1">
              <from>
                <xdr:col>2</xdr:col>
                <xdr:colOff>152400</xdr:colOff>
                <xdr:row>3</xdr:row>
                <xdr:rowOff>19050</xdr:rowOff>
              </from>
              <to>
                <xdr:col>6</xdr:col>
                <xdr:colOff>438150</xdr:colOff>
                <xdr:row>8</xdr:row>
                <xdr:rowOff>152400</xdr:rowOff>
              </to>
            </anchor>
          </objectPr>
        </oleObject>
      </mc:Choice>
      <mc:Fallback>
        <oleObject progId="PBrush" shapeId="2101" r:id="rId7"/>
      </mc:Fallback>
    </mc:AlternateContent>
  </oleObjects>
  <mc:AlternateContent xmlns:mc="http://schemas.openxmlformats.org/markup-compatibility/2006">
    <mc:Choice Requires="x14">
      <controls>
        <mc:AlternateContent xmlns:mc="http://schemas.openxmlformats.org/markup-compatibility/2006">
          <mc:Choice Requires="x14">
            <control shapeId="2059" r:id="rId9"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10"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11"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12"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27</v>
      </c>
    </row>
    <row r="2" spans="1:11" x14ac:dyDescent="0.2">
      <c r="A2" s="73" t="s">
        <v>34</v>
      </c>
      <c r="B2" s="73" t="s">
        <v>28</v>
      </c>
    </row>
    <row r="3" spans="1:11" x14ac:dyDescent="0.2">
      <c r="A3" s="73" t="s">
        <v>35</v>
      </c>
      <c r="B3" s="73" t="s">
        <v>42</v>
      </c>
    </row>
    <row r="4" spans="1:11" x14ac:dyDescent="0.2">
      <c r="A4" s="73" t="s">
        <v>29</v>
      </c>
    </row>
    <row r="5" spans="1:11" x14ac:dyDescent="0.2">
      <c r="A5" s="73" t="s">
        <v>36</v>
      </c>
      <c r="B5" s="73">
        <v>1</v>
      </c>
    </row>
    <row r="6" spans="1:11" x14ac:dyDescent="0.2">
      <c r="A6" s="73">
        <v>1</v>
      </c>
      <c r="B6" s="73" t="s">
        <v>37</v>
      </c>
      <c r="C6" s="73" t="s">
        <v>41</v>
      </c>
      <c r="D6" s="73" t="s">
        <v>38</v>
      </c>
      <c r="E6" s="73">
        <v>10</v>
      </c>
      <c r="G6" s="73">
        <v>-1383939328</v>
      </c>
    </row>
    <row r="7" spans="1:11" x14ac:dyDescent="0.2">
      <c r="A7" s="73" t="s">
        <v>39</v>
      </c>
      <c r="B7" s="73" t="s">
        <v>30</v>
      </c>
      <c r="C7" s="73" t="s">
        <v>18</v>
      </c>
      <c r="D7" s="73" t="s">
        <v>3</v>
      </c>
      <c r="E7" s="73" t="s">
        <v>5</v>
      </c>
      <c r="F7" s="73" t="s">
        <v>7</v>
      </c>
      <c r="G7" s="73" t="s">
        <v>8</v>
      </c>
      <c r="H7" s="73" t="s">
        <v>9</v>
      </c>
      <c r="I7" s="73" t="s">
        <v>20</v>
      </c>
      <c r="J7" s="73" t="s">
        <v>31</v>
      </c>
      <c r="K7" s="73" t="s">
        <v>19</v>
      </c>
    </row>
    <row r="8" spans="1:11" x14ac:dyDescent="0.2">
      <c r="A8" s="73" t="s">
        <v>40</v>
      </c>
      <c r="B8" s="74" t="str">
        <f>Facture!$M$11</f>
        <v/>
      </c>
      <c r="C8" s="75" t="str">
        <f>Facture!$L$19</f>
        <v>Date:27/09/2018</v>
      </c>
      <c r="D8" s="76" t="str">
        <f>Facture!$E$19</f>
        <v>OOREDOO</v>
      </c>
      <c r="E8" s="73" t="str">
        <f>Facture!$E$20</f>
        <v xml:space="preserve">LES JARDINS DU LAC </v>
      </c>
      <c r="F8" s="73">
        <f>Facture!$E$21</f>
        <v>1053</v>
      </c>
      <c r="G8" s="76" t="str">
        <f>Facture!$G$21</f>
        <v xml:space="preserve">TUNIS </v>
      </c>
      <c r="H8" s="76" t="str">
        <f>Facture!$J$21</f>
        <v>TN</v>
      </c>
      <c r="I8" s="73" t="str">
        <f>Facture!$E$22</f>
        <v xml:space="preserve"> 22120000    Fax: 22121009</v>
      </c>
      <c r="J8" s="77">
        <f>Facture!$M$45</f>
        <v>0</v>
      </c>
      <c r="K8" s="73" t="str">
        <f>Facture!$L$21</f>
        <v xml:space="preserve">Responsable : Service achat </v>
      </c>
    </row>
    <row r="9" spans="1:11" x14ac:dyDescent="0.2">
      <c r="A9" s="73" t="s">
        <v>29</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2018-02-26T11:32:16Z</cp:lastPrinted>
  <dcterms:created xsi:type="dcterms:W3CDTF">1995-05-29T15:50:39Z</dcterms:created>
  <dcterms:modified xsi:type="dcterms:W3CDTF">2018-09-27T15:39:53Z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OOREDOO</vt:lpwstr>
  </property>
  <property fmtid="{D5CDD505-2E9C-101B-9397-08002B2CF9AE}" pid="11" name="Montant de la facture" linkTarget="TOT">
    <vt:r8>0</vt:r8>
  </property>
</Properties>
</file>