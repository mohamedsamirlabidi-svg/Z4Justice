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6\"/>
    </mc:Choice>
  </mc:AlternateContent>
  <bookViews>
    <workbookView xWindow="-120" yWindow="-120" windowWidth="20730" windowHeight="1116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5" i="3" l="1"/>
  <c r="L36" i="3"/>
  <c r="L37" i="3"/>
  <c r="L38" i="3"/>
  <c r="L39" i="3" l="1"/>
  <c r="L45" i="3" l="1"/>
  <c r="L47" i="3" s="1"/>
  <c r="L48" i="3" l="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<sst xmlns="http://schemas.openxmlformats.org/spreadsheetml/2006/main" count="88" uniqueCount="80">
  <si>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</si>
  <si>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</si>
  <si>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</si>
  <si>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</si>
  <si>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</si>
  <si>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</si>
  <si>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</si>
  <si>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</si>
  <si>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</si>
  <si>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</si>
  <si>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</si>
  <si>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</si>
  <si>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</si>
  <si>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</si>
  <si>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</si>
  <si>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</si>
  <si>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</si>
  <si>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</si>
  <si>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</si>
  <si>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</si>
  <si>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</si>
  <si>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</si>
  <si>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</si>
  <si>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</si>
  <si>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</si>
  <si>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</si>
  <si>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</si>
  <si>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</si>
  <si>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</si>
  <si>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</si>
  <si>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</si>
  <si>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</si>
  <si>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</si>
  <si>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</si>
  <si>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</si>
  <si>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</si>
  <si>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</si>
  <si>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</si>
  <si>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</si>
  <si>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</si>
  <si>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</si>
  <si>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</si>
  <si>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</si>
  <si>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</si>
  <si>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</si>
  <si>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</si>
  <si>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</si>
  <si>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</si>
  <si>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</si>
  <si>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</si>
  <si>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</si>
  <si>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</si>
  <si>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</si>
  <si>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</si>
  <si>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</si>
  <si>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</si>
  <si>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</si>
  <si>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</si>
  <si>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</si>
  <si>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</si>
  <si>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</si>
  <si>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</si>
  <si>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</si>
  <si>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</si>
  <si>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</si>
  <si>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</si>
  <si>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</si>
  <si>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</si>
  <si>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</si>
  <si>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</si>
  <si>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Facture  N°2026-005</t>
  </si>
  <si>
    <t xml:space="preserve">    COMMANDE N°: 
</t>
  </si>
  <si>
    <t xml:space="preserve">     Responsable:        wissem attia</t>
  </si>
  <si>
    <t>1441776E</t>
  </si>
  <si>
    <t>SMARTSITE</t>
  </si>
  <si>
    <t>TUNIS</t>
  </si>
  <si>
    <t>TRAVAIL EN HAUTEUR</t>
  </si>
  <si>
    <t>HABILITATION ELECTRIQUE</t>
  </si>
  <si>
    <t>SECOURISME</t>
  </si>
  <si>
    <t xml:space="preserve">  ARRETE LA PRESENTE FACTURE LA SOMME DE :QUATRE MILLE  CENT SOIXANTE SIX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</si>
</sst>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b/>
      <sz val="20"/>
      <name val="Times New Roman"/>
      <family val="1"/>
    </font>
    <font>
      <b/>
      <sz val="20"/>
      <color theme="1"/>
      <name val="Time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xf numFmtId="0" fontId="0" fillId="3" borderId="0" xfId="0" quotePrefix="1" applyFill="1" applyAlignment="1">
      <alignment horizontal="right"/>
    </xf>
    <xf numFmtId="0" fontId="3" fillId="3" borderId="0" xfId="0" applyFont="1" applyFill="1"/>
    <xf numFmtId="0" fontId="10" fillId="3" borderId="0" xfId="0" applyFont="1" applyFill="1"/>
    <xf numFmtId="0" fontId="9" fillId="3" borderId="7" xfId="0" applyFont="1" applyFill="1" applyBorder="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Alignment="1">
      <alignment horizontal="right"/>
    </xf>
    <xf numFmtId="0" fontId="0" fillId="4" borderId="0" xfId="0" applyFill="1"/>
    <xf numFmtId="0" fontId="0" fillId="4" borderId="20" xfId="0" applyFill="1" applyBorder="1"/>
    <xf numFmtId="0" fontId="0" fillId="4" borderId="21" xfId="0" applyFill="1" applyBorder="1"/>
    <xf numFmtId="0" fontId="0" fillId="4" borderId="13" xfId="0" applyFill="1" applyBorder="1"/>
    <xf numFmtId="0" fontId="0" fillId="4" borderId="16" xfId="0" applyFill="1" applyBorder="1"/>
    <xf numFmtId="0" fontId="0" fillId="4" borderId="22" xfId="0" applyFill="1" applyBorder="1" applyAlignment="1">
      <alignment horizontal="right"/>
    </xf>
    <xf numFmtId="0" fontId="0" fillId="4" borderId="0" xfId="0" quotePrefix="1" applyFill="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23" xfId="0" applyFill="1" applyBorder="1"/>
    <xf numFmtId="0" fontId="0" fillId="4" borderId="0" xfId="0" quotePrefix="1" applyFill="1" applyAlignment="1">
      <alignment horizontal="center"/>
    </xf>
    <xf numFmtId="167" fontId="0" fillId="4" borderId="23" xfId="0" applyNumberFormat="1" applyFill="1" applyBorder="1"/>
    <xf numFmtId="0" fontId="9" fillId="4" borderId="23" xfId="0" applyFont="1" applyFill="1" applyBorder="1"/>
    <xf numFmtId="0" fontId="9" fillId="4" borderId="0" xfId="0" applyFont="1" applyFill="1"/>
    <xf numFmtId="0" fontId="9" fillId="4" borderId="19" xfId="0" applyFont="1" applyFill="1" applyBorder="1"/>
    <xf numFmtId="0" fontId="12" fillId="4" borderId="0" xfId="0" applyFont="1" applyFill="1"/>
    <xf numFmtId="0" fontId="9" fillId="4" borderId="20" xfId="0" applyFont="1" applyFill="1" applyBorder="1"/>
    <xf numFmtId="0" fontId="9" fillId="4" borderId="21" xfId="0" applyFont="1" applyFill="1" applyBorder="1"/>
    <xf numFmtId="0" fontId="9" fillId="4" borderId="13" xfId="0" applyFont="1" applyFill="1" applyBorder="1"/>
    <xf numFmtId="0" fontId="0" fillId="3" borderId="25" xfId="0" applyFill="1" applyBorder="1" applyAlignment="1">
      <alignment horizontal="center"/>
    </xf>
    <xf numFmtId="14" fontId="0" fillId="3" borderId="0" xfId="0" quotePrefix="1" applyNumberFormat="1" applyFill="1" applyAlignment="1">
      <alignment horizontal="left"/>
    </xf>
    <xf numFmtId="49" fontId="0" fillId="3" borderId="0" xfId="0" applyNumberFormat="1" applyFill="1"/>
    <xf numFmtId="0" fontId="0" fillId="3" borderId="27" xfId="0" applyFill="1" applyBorder="1"/>
    <xf numFmtId="0" fontId="3" fillId="3" borderId="27" xfId="0" applyFont="1" applyFill="1" applyBorder="1"/>
    <xf numFmtId="0" fontId="9" fillId="3" borderId="0" xfId="0" applyFont="1" applyFill="1"/>
    <xf numFmtId="0" fontId="0" fillId="3" borderId="28" xfId="0"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Alignment="1">
      <alignment horizontal="right"/>
    </xf>
    <xf numFmtId="0" fontId="17" fillId="3" borderId="0" xfId="0" applyFont="1" applyFill="1"/>
    <xf numFmtId="9" fontId="18" fillId="3" borderId="0" xfId="0" applyNumberFormat="1" applyFont="1" applyFill="1"/>
    <xf numFmtId="0" fontId="17" fillId="3" borderId="0" xfId="0" quotePrefix="1" applyFont="1" applyFill="1"/>
    <xf numFmtId="0" fontId="17" fillId="3" borderId="0" xfId="0" applyFont="1" applyFill="1" applyAlignment="1">
      <alignment vertical="top"/>
    </xf>
    <xf numFmtId="0" fontId="4" fillId="3" borderId="0" xfId="0" applyFont="1" applyFill="1"/>
    <xf numFmtId="167" fontId="4" fillId="3" borderId="0" xfId="0" quotePrefix="1" applyNumberFormat="1" applyFont="1" applyFill="1"/>
    <xf numFmtId="167" fontId="4" fillId="3" borderId="0" xfId="0" applyNumberFormat="1" applyFont="1" applyFill="1"/>
    <xf numFmtId="0" fontId="4" fillId="3" borderId="0" xfId="0" applyFont="1" applyFill="1" applyAlignment="1">
      <alignment vertical="top"/>
    </xf>
    <xf numFmtId="0" fontId="20" fillId="4" borderId="0" xfId="0" applyFont="1" applyFill="1"/>
    <xf numFmtId="0" fontId="0" fillId="3" borderId="34" xfId="0" applyFill="1" applyBorder="1"/>
    <xf numFmtId="0" fontId="3" fillId="3" borderId="34" xfId="0" applyFont="1" applyFill="1" applyBorder="1"/>
    <xf numFmtId="168" fontId="0" fillId="0" borderId="35" xfId="0" applyNumberFormat="1" applyFill="1" applyBorder="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0" fillId="6" borderId="0" xfId="0" applyFill="1"/>
    <xf numFmtId="0" fontId="27" fillId="6" borderId="0" xfId="0" applyFont="1" applyFill="1" applyAlignment="1">
      <alignment horizontal="center" vertical="center"/>
    </xf>
    <xf numFmtId="0" fontId="24" fillId="3" borderId="0" xfId="0" applyFont="1" applyFill="1" applyAlignment="1">
      <alignment horizontal="left"/>
    </xf>
    <xf numFmtId="0" fontId="32" fillId="6" borderId="39" xfId="0" applyFont="1" applyFill="1" applyBorder="1"/>
    <xf numFmtId="0" fontId="33" fillId="3" borderId="0" xfId="0" applyFont="1" applyFill="1" applyAlignment="1">
      <alignment horizontal="right"/>
    </xf>
    <xf numFmtId="49" fontId="32" fillId="3" borderId="41" xfId="0" applyNumberFormat="1" applyFont="1" applyFill="1" applyBorder="1" applyAlignment="1">
      <alignment horizontal="left"/>
    </xf>
    <xf numFmtId="0" fontId="31" fillId="3" borderId="0" xfId="0" applyFont="1" applyFill="1"/>
    <xf numFmtId="0" fontId="29" fillId="0" borderId="0" xfId="0" applyFont="1" applyFill="1" applyAlignment="1">
      <alignment horizontal="right"/>
    </xf>
    <xf numFmtId="168" fontId="34" fillId="0" borderId="37" xfId="0" applyNumberFormat="1" applyFont="1" applyFill="1" applyBorder="1" applyAlignment="1">
      <alignment shrinkToFit="1"/>
    </xf>
    <xf numFmtId="49" fontId="33" fillId="3" borderId="0" xfId="0" applyNumberFormat="1" applyFont="1" applyFill="1" applyAlignment="1">
      <alignment horizontal="left"/>
    </xf>
    <xf numFmtId="0" fontId="7" fillId="3" borderId="0" xfId="0" applyFont="1" applyFill="1"/>
    <xf numFmtId="170" fontId="35" fillId="0" borderId="37" xfId="0" applyNumberFormat="1" applyFont="1" applyFill="1" applyBorder="1" applyAlignment="1">
      <alignment shrinkToFit="1"/>
    </xf>
    <xf numFmtId="0" fontId="19" fillId="3" borderId="0" xfId="0" applyFont="1" applyFill="1" applyAlignment="1">
      <alignment horizontal="center" vertical="center" wrapText="1"/>
    </xf>
    <xf numFmtId="0" fontId="21" fillId="6" borderId="0" xfId="0" applyFont="1" applyFill="1" applyAlignment="1">
      <alignment horizontal="center" vertical="center" wrapText="1"/>
    </xf>
    <xf numFmtId="0" fontId="25" fillId="6" borderId="0" xfId="0" applyFont="1" applyFill="1" applyAlignment="1">
      <alignment horizontal="left"/>
    </xf>
    <xf numFmtId="0" fontId="5" fillId="6" borderId="0" xfId="0" applyFont="1" applyFill="1" applyAlignment="1">
      <alignment horizontal="center" vertical="center"/>
    </xf>
    <xf numFmtId="0" fontId="25" fillId="3" borderId="0" xfId="0" applyFont="1" applyFill="1"/>
    <xf numFmtId="0" fontId="17" fillId="3" borderId="0" xfId="0" quotePrefix="1" applyFont="1" applyFill="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xf numFmtId="0" fontId="38" fillId="3" borderId="0" xfId="0" applyFont="1" applyFill="1" applyAlignment="1">
      <alignment horizontal="left"/>
    </xf>
    <xf numFmtId="0" fontId="0" fillId="6" borderId="8" xfId="0" applyFill="1" applyBorder="1"/>
    <xf numFmtId="0" fontId="0" fillId="6" borderId="9" xfId="0" applyFill="1" applyBorder="1"/>
    <xf numFmtId="168" fontId="34" fillId="0" borderId="0" xfId="0" applyNumberFormat="1" applyFont="1" applyFill="1" applyAlignment="1">
      <alignment shrinkToFit="1"/>
    </xf>
    <xf numFmtId="0" fontId="39" fillId="3" borderId="0" xfId="0" applyFont="1" applyFill="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xf numFmtId="0" fontId="2" fillId="3" borderId="0" xfId="0" quotePrefix="1" applyFont="1" applyFill="1" applyAlignment="1">
      <alignment horizontal="right"/>
    </xf>
    <xf numFmtId="0" fontId="33" fillId="3" borderId="0" xfId="0" applyFont="1" applyFill="1" applyAlignment="1">
      <alignment horizontal="left"/>
    </xf>
    <xf numFmtId="0" fontId="23" fillId="3" borderId="0" xfId="0" applyFont="1" applyFill="1"/>
    <xf numFmtId="14" fontId="31" fillId="6" borderId="39" xfId="0" applyNumberFormat="1" applyFont="1" applyFill="1" applyBorder="1"/>
    <xf numFmtId="49" fontId="46" fillId="3" borderId="30" xfId="0" applyNumberFormat="1" applyFont="1" applyFill="1" applyBorder="1"/>
    <xf numFmtId="0" fontId="25" fillId="3" borderId="35" xfId="0" applyFont="1" applyFill="1" applyBorder="1" applyAlignment="1">
      <alignment horizontal="center"/>
    </xf>
    <xf numFmtId="49" fontId="47" fillId="3" borderId="30" xfId="0" applyNumberFormat="1" applyFont="1" applyFill="1" applyBorder="1"/>
    <xf numFmtId="49" fontId="47" fillId="3" borderId="0" xfId="0" applyNumberFormat="1" applyFont="1" applyFill="1"/>
    <xf numFmtId="49" fontId="47" fillId="3" borderId="32" xfId="0" applyNumberFormat="1" applyFont="1" applyFill="1" applyBorder="1"/>
    <xf numFmtId="49" fontId="47" fillId="3" borderId="0" xfId="0" applyNumberFormat="1" applyFont="1" applyFill="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xf numFmtId="0" fontId="27" fillId="3" borderId="35" xfId="0" applyFont="1" applyFill="1" applyBorder="1" applyAlignment="1">
      <alignment horizontal="center"/>
    </xf>
    <xf numFmtId="0" fontId="13" fillId="3" borderId="42" xfId="0" applyFont="1" applyFill="1" applyBorder="1"/>
    <xf numFmtId="0" fontId="0" fillId="2" borderId="42" xfId="0" applyBorder="1"/>
    <xf numFmtId="0" fontId="7" fillId="3" borderId="21" xfId="0" applyFont="1" applyFill="1" applyBorder="1"/>
    <xf numFmtId="0" fontId="0" fillId="2" borderId="21" xfId="0" applyBorder="1"/>
    <xf numFmtId="0" fontId="7" fillId="3" borderId="21" xfId="0" quotePrefix="1" applyFont="1" applyFill="1" applyBorder="1"/>
    <xf numFmtId="0" fontId="0" fillId="5" borderId="43" xfId="0" applyFill="1" applyBorder="1"/>
    <xf numFmtId="0" fontId="0" fillId="2" borderId="44" xfId="0" applyBorder="1"/>
    <xf numFmtId="0" fontId="40" fillId="6" borderId="0" xfId="0" applyFont="1" applyFill="1" applyAlignment="1">
      <alignment horizontal="center" vertical="center" wrapText="1"/>
    </xf>
    <xf numFmtId="14" fontId="17" fillId="3" borderId="0" xfId="0" applyNumberFormat="1" applyFont="1" applyFill="1"/>
    <xf numFmtId="14" fontId="17" fillId="2" borderId="0" xfId="0" applyNumberFormat="1" applyFont="1"/>
    <xf numFmtId="0" fontId="30" fillId="6" borderId="0" xfId="0" applyFont="1" applyFill="1" applyAlignment="1">
      <alignment horizontal="center" vertical="center"/>
    </xf>
    <xf numFmtId="49" fontId="41" fillId="3" borderId="41" xfId="0" applyNumberFormat="1" applyFont="1" applyFill="1" applyBorder="1"/>
    <xf numFmtId="49" fontId="42" fillId="3" borderId="41" xfId="0" applyNumberFormat="1" applyFont="1" applyFill="1" applyBorder="1"/>
    <xf numFmtId="49" fontId="32" fillId="3" borderId="40" xfId="0" applyNumberFormat="1" applyFont="1" applyFill="1" applyBorder="1" applyAlignment="1">
      <alignment horizontal="left"/>
    </xf>
    <xf numFmtId="0" fontId="21" fillId="3" borderId="36" xfId="0" applyFont="1" applyFill="1" applyBorder="1"/>
    <xf numFmtId="0" fontId="21" fillId="3" borderId="38" xfId="0" applyFont="1" applyFill="1" applyBorder="1"/>
    <xf numFmtId="0" fontId="21" fillId="3" borderId="45" xfId="0" applyFont="1" applyFill="1" applyBorder="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Alignment="1">
      <alignment horizontal="center"/>
    </xf>
    <xf numFmtId="0" fontId="26" fillId="3" borderId="0" xfId="0" applyFont="1" applyFill="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xf numFmtId="0" fontId="2" fillId="2" borderId="0" xfId="0" applyFont="1"/>
    <xf numFmtId="49" fontId="49" fillId="3" borderId="30" xfId="0" applyNumberFormat="1" applyFont="1" applyFill="1" applyBorder="1"/>
    <xf numFmtId="0" fontId="49" fillId="2" borderId="0" xfId="0" applyFont="1"/>
    <xf numFmtId="0" fontId="49" fillId="2" borderId="32" xfId="0" applyFont="1" applyBorder="1"/>
    <xf numFmtId="49" fontId="17" fillId="3" borderId="0" xfId="0" applyNumberFormat="1" applyFont="1" applyFill="1"/>
    <xf numFmtId="0" fontId="17" fillId="2" borderId="0" xfId="0" applyFont="1"/>
    <xf numFmtId="0" fontId="33" fillId="3" borderId="0" xfId="0" applyFont="1" applyFill="1" applyAlignment="1">
      <alignment horizontal="left" vertical="top"/>
    </xf>
    <xf numFmtId="0" fontId="27" fillId="0" borderId="0" xfId="0" applyFont="1" applyFill="1" applyAlignment="1">
      <alignment horizontal="center" vertical="center"/>
    </xf>
    <xf numFmtId="0" fontId="0" fillId="3" borderId="0" xfId="0" applyFill="1" applyAlignment="1">
      <alignment horizontal="center"/>
    </xf>
    <xf numFmtId="49" fontId="50" fillId="3" borderId="30" xfId="0" applyNumberFormat="1" applyFont="1" applyFill="1" applyBorder="1" applyAlignment="1">
      <alignment horizontal="left" vertical="top"/>
    </xf>
    <xf numFmtId="49" fontId="50" fillId="3" borderId="0" xfId="0" applyNumberFormat="1" applyFont="1" applyFill="1" applyAlignment="1">
      <alignment horizontal="left" vertical="top"/>
    </xf>
    <xf numFmtId="49" fontId="50" fillId="3" borderId="32" xfId="0" applyNumberFormat="1" applyFont="1" applyFill="1" applyBorder="1" applyAlignment="1">
      <alignment horizontal="left" vertical="top"/>
    </xf>
    <xf numFmtId="0" fontId="26" fillId="6" borderId="0" xfId="0" applyFont="1" applyFill="1" applyAlignment="1">
      <alignment horizontal="left"/>
    </xf>
    <xf numFmtId="49" fontId="22" fillId="3" borderId="46" xfId="0" applyNumberFormat="1" applyFont="1" applyFill="1" applyBorder="1"/>
    <xf numFmtId="49" fontId="22" fillId="3" borderId="47" xfId="0" applyNumberFormat="1" applyFont="1" applyFill="1" applyBorder="1"/>
    <xf numFmtId="49" fontId="22" fillId="3" borderId="48" xfId="0" applyNumberFormat="1" applyFont="1" applyFill="1" applyBorder="1"/>
    <xf numFmtId="49" fontId="49" fillId="3" borderId="30" xfId="0" applyNumberFormat="1" applyFont="1" applyFill="1" applyBorder="1" applyAlignment="1">
      <alignment horizontal="left"/>
    </xf>
    <xf numFmtId="49" fontId="49" fillId="3" borderId="0" xfId="0" applyNumberFormat="1" applyFont="1" applyFill="1" applyAlignment="1">
      <alignment horizontal="left"/>
    </xf>
    <xf numFmtId="49" fontId="49" fillId="3" borderId="32" xfId="0" applyNumberFormat="1" applyFont="1" applyFill="1" applyBorder="1" applyAlignment="1">
      <alignment horizontal="left"/>
    </xf>
    <xf numFmtId="49" fontId="49" fillId="3" borderId="0" xfId="0" applyNumberFormat="1" applyFont="1" applyFill="1"/>
    <xf numFmtId="49" fontId="49" fillId="3" borderId="32" xfId="0" applyNumberFormat="1" applyFont="1" applyFill="1" applyBorder="1"/>
    <xf numFmtId="49" fontId="47" fillId="3" borderId="30" xfId="0" applyNumberFormat="1" applyFont="1" applyFill="1" applyBorder="1" applyAlignment="1">
      <alignment horizontal="left"/>
    </xf>
    <xf numFmtId="49" fontId="47" fillId="3" borderId="0" xfId="0" applyNumberFormat="1" applyFont="1" applyFill="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xf numFmtId="49" fontId="45" fillId="3" borderId="0" xfId="0" applyNumberFormat="1" applyFont="1" applyFill="1"/>
    <xf numFmtId="49" fontId="45" fillId="3" borderId="32" xfId="0" applyNumberFormat="1" applyFont="1" applyFill="1" applyBorder="1"/>
    <xf numFmtId="49" fontId="44" fillId="3" borderId="30" xfId="0" applyNumberFormat="1" applyFont="1" applyFill="1" applyBorder="1"/>
    <xf numFmtId="49" fontId="44" fillId="3" borderId="0" xfId="0" applyNumberFormat="1" applyFont="1" applyFill="1"/>
    <xf numFmtId="49" fontId="44" fillId="3" borderId="32" xfId="0" applyNumberFormat="1" applyFont="1" applyFill="1" applyBorder="1"/>
    <xf numFmtId="0" fontId="26" fillId="6" borderId="0" xfId="0" applyFont="1" applyFill="1" applyAlignment="1">
      <alignment horizontal="left"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a:extLst>
            <a:ext uri="{FF2B5EF4-FFF2-40B4-BE49-F238E27FC236}">
              <a16:creationId xmlns:a16="http://schemas.microsoft.com/office/drawing/2014/main" xmlns="" id="{00000000-0008-0000-0200-0000D2080000}"/>
            </a:ext>
          </a:extLst>
        </xdr:cNvPr>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a:extLst>
            <a:ext uri="{FF2B5EF4-FFF2-40B4-BE49-F238E27FC236}">
              <a16:creationId xmlns:a16="http://schemas.microsoft.com/office/drawing/2014/main" xmlns="" id="{00000000-0008-0000-0200-0000D3080000}"/>
            </a:ext>
          </a:extLst>
        </xdr:cNvPr>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a:extLst>
            <a:ext uri="{FF2B5EF4-FFF2-40B4-BE49-F238E27FC236}">
              <a16:creationId xmlns:a16="http://schemas.microsoft.com/office/drawing/2014/main" xmlns="" id="{00000000-0008-0000-0200-000040080000}"/>
            </a:ext>
          </a:extLst>
        </xdr:cNvPr>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1085851</xdr:colOff>
      <xdr:row>14</xdr:row>
      <xdr:rowOff>28575</xdr:rowOff>
    </xdr:from>
    <xdr:to>
      <xdr:col>11</xdr:col>
      <xdr:colOff>1676401</xdr:colOff>
      <xdr:row>20</xdr:row>
      <xdr:rowOff>47625</xdr:rowOff>
    </xdr:to>
    <xdr:sp macro="" textlink="">
      <xdr:nvSpPr>
        <xdr:cNvPr id="2261" name="INVB2">
          <a:extLst>
            <a:ext uri="{FF2B5EF4-FFF2-40B4-BE49-F238E27FC236}">
              <a16:creationId xmlns:a16="http://schemas.microsoft.com/office/drawing/2014/main" xmlns="" id="{00000000-0008-0000-0200-0000D5080000}"/>
            </a:ext>
          </a:extLst>
        </xdr:cNvPr>
        <xdr:cNvSpPr>
          <a:spLocks noChangeArrowheads="1"/>
        </xdr:cNvSpPr>
      </xdr:nvSpPr>
      <xdr:spPr bwMode="auto">
        <a:xfrm>
          <a:off x="7962901" y="24479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 uri="{FF2B5EF4-FFF2-40B4-BE49-F238E27FC236}">
                  <a16:creationId xmlns:a16="http://schemas.microsoft.com/office/drawing/2014/main" xmlns="" id="{00000000-0008-0000-0200-00003C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 uri="{FF2B5EF4-FFF2-40B4-BE49-F238E27FC236}">
                  <a16:creationId xmlns:a16="http://schemas.microsoft.com/office/drawing/2014/main" xmlns="" id="{00000000-0008-0000-0200-00003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a:extLst>
            <a:ext uri="{FF2B5EF4-FFF2-40B4-BE49-F238E27FC236}">
              <a16:creationId xmlns:a16="http://schemas.microsoft.com/office/drawing/2014/main" xmlns=""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 uri="{FF2B5EF4-FFF2-40B4-BE49-F238E27FC236}">
                  <a16:creationId xmlns:a16="http://schemas.microsoft.com/office/drawing/2014/main" xmlns="" id="{00000000-0008-0000-0200-00003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4"/>
      <c r="D5" s="54"/>
      <c r="E5" s="54"/>
      <c r="F5" s="54"/>
      <c r="G5" s="54"/>
      <c r="H5" s="54"/>
      <c r="I5" s="54"/>
      <c r="J5" s="1"/>
    </row>
    <row r="6" spans="2:10" ht="12.75" customHeight="1" x14ac:dyDescent="0.3">
      <c r="B6" s="7"/>
      <c r="C6" s="3"/>
      <c r="D6" s="21"/>
      <c r="E6" s="3"/>
      <c r="F6" s="3"/>
      <c r="G6" s="3"/>
      <c r="H6" s="3"/>
      <c r="I6" s="3"/>
      <c r="J6" s="9"/>
    </row>
    <row r="7" spans="2:10" x14ac:dyDescent="0.2">
      <c r="B7" s="7"/>
      <c r="C7" s="3"/>
      <c r="D7" s="3"/>
      <c r="E7" s="3"/>
      <c r="F7" s="3"/>
      <c r="G7" s="60" t="s">
        <v>43</v>
      </c>
      <c r="H7" s="3"/>
      <c r="I7" s="3"/>
      <c r="J7" s="9"/>
    </row>
    <row r="8" spans="2:10" x14ac:dyDescent="0.2">
      <c r="B8" s="7"/>
      <c r="C8" s="3"/>
      <c r="D8" s="3"/>
      <c r="E8" s="3"/>
      <c r="F8" s="3"/>
      <c r="G8" s="60" t="s">
        <v>1</v>
      </c>
      <c r="H8" s="3"/>
      <c r="I8" s="3"/>
      <c r="J8" s="9"/>
    </row>
    <row r="9" spans="2:10" x14ac:dyDescent="0.2">
      <c r="B9" s="7"/>
      <c r="C9" s="3"/>
      <c r="D9" s="22"/>
      <c r="E9" s="3"/>
      <c r="F9" s="3"/>
      <c r="G9" s="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1" t="s">
        <v>4</v>
      </c>
      <c r="G12" s="17"/>
      <c r="H12" s="27"/>
      <c r="I12" s="3"/>
      <c r="J12" s="9"/>
    </row>
    <row r="13" spans="2:10" ht="13.5" thickBot="1" x14ac:dyDescent="0.25">
      <c r="B13" s="7"/>
      <c r="C13" s="3"/>
      <c r="D13" s="34" t="s">
        <v>5</v>
      </c>
      <c r="E13" s="14" t="s">
        <v>46</v>
      </c>
      <c r="F13" s="61"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29"/>
      <c r="G15" s="29"/>
      <c r="H15" s="27"/>
      <c r="I15" s="3"/>
      <c r="J15" s="9"/>
    </row>
    <row r="16" spans="2:10" ht="13.5" thickBot="1" x14ac:dyDescent="0.25">
      <c r="B16" s="7"/>
      <c r="C16" s="3"/>
      <c r="D16" s="34" t="s">
        <v>9</v>
      </c>
      <c r="E16" s="16"/>
      <c r="F16" s="29"/>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5" t="s">
        <v>44</v>
      </c>
      <c r="E19" s="14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1"/>
      <c r="E21" s="29" t="s">
        <v>32</v>
      </c>
      <c r="F21" s="35"/>
      <c r="G21" s="42" t="s">
        <v>10</v>
      </c>
      <c r="H21" s="27"/>
      <c r="I21" s="3"/>
      <c r="J21" s="9"/>
    </row>
    <row r="22" spans="2:10" x14ac:dyDescent="0.2">
      <c r="B22" s="7"/>
      <c r="C22" s="3"/>
      <c r="D22" s="34">
        <v>1</v>
      </c>
      <c r="E22" s="70">
        <v>0.1</v>
      </c>
      <c r="F22" s="35"/>
      <c r="G22" s="38"/>
      <c r="H22" s="27"/>
      <c r="I22" s="3"/>
      <c r="J22" s="9"/>
    </row>
    <row r="23" spans="2:10" x14ac:dyDescent="0.2">
      <c r="B23" s="7"/>
      <c r="C23" s="3"/>
      <c r="D23" s="36">
        <v>2</v>
      </c>
      <c r="E23" s="62">
        <v>0.18</v>
      </c>
      <c r="F23" s="35"/>
      <c r="G23" s="39"/>
      <c r="H23" s="27"/>
      <c r="I23" s="3"/>
      <c r="J23" s="9"/>
    </row>
    <row r="24" spans="2:10" ht="13.5" thickBot="1" x14ac:dyDescent="0.25">
      <c r="B24" s="7"/>
      <c r="C24" s="3"/>
      <c r="D24" s="36">
        <v>3</v>
      </c>
      <c r="E24" s="58">
        <v>0.28999999999999998</v>
      </c>
      <c r="F24" s="35"/>
      <c r="G24" s="37"/>
      <c r="H24" s="27"/>
      <c r="I24" s="3"/>
      <c r="J24" s="9"/>
    </row>
    <row r="25" spans="2:10" ht="13.5" thickBot="1" x14ac:dyDescent="0.25">
      <c r="B25" s="7"/>
      <c r="C25" s="3"/>
      <c r="D25" s="41"/>
      <c r="E25" s="29"/>
      <c r="F25" s="35"/>
      <c r="G25" s="40"/>
      <c r="H25" s="27"/>
      <c r="I25" s="3"/>
      <c r="J25" s="9"/>
    </row>
    <row r="26" spans="2:10" ht="13.5" thickBot="1" x14ac:dyDescent="0.25">
      <c r="B26" s="7"/>
      <c r="C26" s="3"/>
      <c r="D26" s="36"/>
      <c r="E26" s="29"/>
      <c r="F26" s="35"/>
      <c r="G26" s="35"/>
      <c r="H26" s="27"/>
      <c r="I26" s="3"/>
      <c r="J26" s="9"/>
    </row>
    <row r="27" spans="2:10" ht="13.5" thickBot="1" x14ac:dyDescent="0.25">
      <c r="B27" s="7"/>
      <c r="C27" s="3"/>
      <c r="D27" s="36"/>
      <c r="E27" s="29"/>
      <c r="F27" s="28" t="s">
        <v>45</v>
      </c>
      <c r="G27" s="71">
        <v>0.2</v>
      </c>
      <c r="H27" s="27"/>
      <c r="I27" s="3"/>
      <c r="J27" s="9"/>
    </row>
    <row r="28" spans="2:10" x14ac:dyDescent="0.2">
      <c r="B28" s="7"/>
      <c r="C28" s="3"/>
      <c r="D28" s="43"/>
      <c r="E28" s="29"/>
      <c r="F28" s="35"/>
      <c r="G28" s="35"/>
      <c r="H28" s="27"/>
      <c r="I28" s="3"/>
      <c r="J28" s="9"/>
    </row>
    <row r="29" spans="2:10" ht="13.5" thickBot="1" x14ac:dyDescent="0.25">
      <c r="B29" s="7"/>
      <c r="C29" s="3"/>
      <c r="D29" s="43"/>
      <c r="E29" s="29"/>
      <c r="F29" s="35"/>
      <c r="G29" s="35"/>
      <c r="H29" s="27"/>
      <c r="I29" s="3"/>
      <c r="J29" s="9"/>
    </row>
    <row r="30" spans="2:10" ht="13.5" thickBot="1" x14ac:dyDescent="0.25">
      <c r="B30" s="7"/>
      <c r="C30" s="3"/>
      <c r="D30" s="43" t="b">
        <v>0</v>
      </c>
      <c r="E30" s="29" t="s">
        <v>11</v>
      </c>
      <c r="F30" s="28" t="s">
        <v>12</v>
      </c>
      <c r="G30" s="57"/>
      <c r="H30" s="27"/>
      <c r="I30" s="3"/>
      <c r="J30" s="9"/>
    </row>
    <row r="31" spans="2:10" x14ac:dyDescent="0.2">
      <c r="B31" s="7"/>
      <c r="C31" s="3"/>
      <c r="D31" s="43"/>
      <c r="E31" s="29" t="s">
        <v>13</v>
      </c>
      <c r="F31" s="28" t="s">
        <v>14</v>
      </c>
      <c r="G31" s="29"/>
      <c r="H31" s="27"/>
      <c r="I31" s="3"/>
      <c r="J31" s="9"/>
    </row>
    <row r="32" spans="2:10" ht="13.5" thickBot="1" x14ac:dyDescent="0.25">
      <c r="B32" s="7"/>
      <c r="C32" s="3"/>
      <c r="D32" s="43"/>
      <c r="E32" s="29"/>
      <c r="F32" s="28"/>
      <c r="G32" s="29"/>
      <c r="H32" s="27"/>
      <c r="I32" s="3"/>
      <c r="J32" s="9"/>
    </row>
    <row r="33" spans="2:10" ht="13.5" thickBot="1" x14ac:dyDescent="0.25">
      <c r="B33" s="7"/>
      <c r="C33" s="3"/>
      <c r="D33" s="43"/>
      <c r="E33" s="28" t="s">
        <v>15</v>
      </c>
      <c r="F33" s="146" t="str">
        <f>LOWER(TemplateInformation!B3)</f>
        <v>c:\program files\microsoft office\office\macrolib\factbd.xls</v>
      </c>
      <c r="G33" s="14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4"/>
      <c r="E37" s="25"/>
      <c r="F37" s="25"/>
      <c r="G37" s="25"/>
      <c r="H37" s="26"/>
      <c r="I37" s="3"/>
      <c r="J37" s="9"/>
    </row>
    <row r="38" spans="2:10" ht="14.25" x14ac:dyDescent="0.2">
      <c r="B38" s="7"/>
      <c r="C38" s="3"/>
      <c r="D38" s="44"/>
      <c r="E38" s="45"/>
      <c r="F38" s="81"/>
      <c r="G38" s="45"/>
      <c r="H38" s="46"/>
      <c r="I38" s="56"/>
      <c r="J38" s="23"/>
    </row>
    <row r="39" spans="2:10" ht="14.25" x14ac:dyDescent="0.2">
      <c r="B39" s="7"/>
      <c r="C39" s="3"/>
      <c r="D39" s="44"/>
      <c r="E39" s="45"/>
      <c r="F39" s="47"/>
      <c r="G39" s="45"/>
      <c r="H39" s="46"/>
      <c r="I39" s="56"/>
      <c r="J39" s="23"/>
    </row>
    <row r="40" spans="2:10" ht="14.25" x14ac:dyDescent="0.2">
      <c r="B40" s="7"/>
      <c r="C40" s="3"/>
      <c r="D40" s="44"/>
      <c r="E40" s="45"/>
      <c r="F40" s="45"/>
      <c r="G40" s="45"/>
      <c r="H40" s="46"/>
      <c r="I40" s="56"/>
      <c r="J40" s="23"/>
    </row>
    <row r="41" spans="2:10" ht="14.25" x14ac:dyDescent="0.2">
      <c r="B41" s="7"/>
      <c r="C41" s="3"/>
      <c r="D41" s="44"/>
      <c r="E41" s="45"/>
      <c r="F41" s="45"/>
      <c r="G41" s="45"/>
      <c r="H41" s="46"/>
      <c r="I41" s="56"/>
      <c r="J41" s="23"/>
    </row>
    <row r="42" spans="2:10" ht="20.100000000000001" customHeight="1" x14ac:dyDescent="0.2">
      <c r="B42" s="7"/>
      <c r="C42" s="3"/>
      <c r="D42" s="44"/>
      <c r="E42" s="45"/>
      <c r="F42" s="45"/>
      <c r="G42" s="45"/>
      <c r="H42" s="46"/>
      <c r="I42" s="56"/>
      <c r="J42" s="23"/>
    </row>
    <row r="43" spans="2:10" ht="14.25" x14ac:dyDescent="0.2">
      <c r="B43" s="7"/>
      <c r="C43" s="3"/>
      <c r="D43" s="44"/>
      <c r="E43" s="45"/>
      <c r="F43" s="45"/>
      <c r="G43" s="45"/>
      <c r="H43" s="46"/>
      <c r="I43" s="56"/>
      <c r="J43" s="23"/>
    </row>
    <row r="44" spans="2:10" ht="26.25" customHeight="1" thickBot="1" x14ac:dyDescent="0.25">
      <c r="B44" s="7"/>
      <c r="C44" s="3"/>
      <c r="D44" s="48"/>
      <c r="E44" s="49"/>
      <c r="F44" s="49"/>
      <c r="G44" s="49"/>
      <c r="H44" s="50"/>
      <c r="I44" s="56"/>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9">
        <v>0</v>
      </c>
    </row>
    <row r="49" spans="5:5" x14ac:dyDescent="0.2">
      <c r="E49" s="59" t="b">
        <v>0</v>
      </c>
    </row>
    <row r="50" spans="5:5" x14ac:dyDescent="0.2">
      <c r="E50" s="59" t="b">
        <v>0</v>
      </c>
    </row>
    <row r="51" spans="5:5" x14ac:dyDescent="0.2">
      <c r="E51" s="59" t="s">
        <v>17</v>
      </c>
    </row>
    <row r="52" spans="5:5" x14ac:dyDescent="0.2">
      <c r="E52" s="59"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C36" sqref="C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2"/>
      <c r="L11" s="72"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0"/>
      <c r="K14" s="91"/>
      <c r="L14" s="91"/>
      <c r="M14" s="3"/>
      <c r="N14" s="9"/>
    </row>
    <row r="15" spans="1:14" x14ac:dyDescent="0.2">
      <c r="A15" s="7"/>
      <c r="B15" s="3"/>
      <c r="C15" s="3"/>
      <c r="D15" s="3"/>
      <c r="E15" s="3"/>
      <c r="F15" s="3"/>
      <c r="G15" s="3"/>
      <c r="H15" s="3"/>
      <c r="I15" s="3"/>
      <c r="J15" s="90"/>
      <c r="K15" s="151" t="s">
        <v>70</v>
      </c>
      <c r="L15" s="151"/>
      <c r="M15" s="3"/>
      <c r="N15" s="9"/>
    </row>
    <row r="16" spans="1:14" x14ac:dyDescent="0.2">
      <c r="A16" s="7"/>
      <c r="B16" s="3"/>
      <c r="C16" s="3"/>
      <c r="D16" s="3"/>
      <c r="E16" s="3"/>
      <c r="F16" s="3"/>
      <c r="G16" s="3"/>
      <c r="H16" s="3"/>
      <c r="I16" s="3"/>
      <c r="J16" s="90"/>
      <c r="K16" s="151"/>
      <c r="L16" s="151"/>
      <c r="M16" s="3"/>
      <c r="N16" s="9"/>
    </row>
    <row r="17" spans="1:14" ht="12.75" customHeight="1" x14ac:dyDescent="0.2">
      <c r="A17" s="7"/>
      <c r="B17" s="3"/>
      <c r="C17" s="3"/>
      <c r="D17" s="3"/>
      <c r="E17" s="3"/>
      <c r="F17" s="3"/>
      <c r="G17" s="3"/>
      <c r="H17" s="3"/>
      <c r="I17" s="3"/>
      <c r="J17" s="90"/>
      <c r="K17" s="151"/>
      <c r="L17" s="151"/>
      <c r="M17" s="3"/>
      <c r="N17" s="9"/>
    </row>
    <row r="18" spans="1:14" ht="12.75" customHeight="1" x14ac:dyDescent="0.2">
      <c r="A18" s="7"/>
      <c r="B18" s="3"/>
      <c r="C18" s="163"/>
      <c r="D18" s="163"/>
      <c r="E18" s="163"/>
      <c r="F18" s="163"/>
      <c r="G18" s="163"/>
      <c r="H18" s="3"/>
      <c r="I18" s="3"/>
      <c r="J18" s="90"/>
      <c r="K18" s="151"/>
      <c r="L18" s="151"/>
      <c r="M18" s="3"/>
      <c r="N18" s="9"/>
    </row>
    <row r="19" spans="1:14" ht="20.100000000000001" customHeight="1" thickBot="1" x14ac:dyDescent="0.25">
      <c r="A19" s="7"/>
      <c r="B19" s="3"/>
      <c r="C19" s="164"/>
      <c r="D19" s="164"/>
      <c r="E19" s="164"/>
      <c r="F19" s="164"/>
      <c r="G19" s="164"/>
      <c r="H19" s="3"/>
      <c r="I19" s="3"/>
      <c r="J19" s="90"/>
      <c r="K19" s="151"/>
      <c r="L19" s="151"/>
      <c r="M19" s="3"/>
      <c r="N19" s="9"/>
    </row>
    <row r="20" spans="1:14" ht="3" customHeight="1" thickTop="1" x14ac:dyDescent="0.3">
      <c r="A20" s="7"/>
      <c r="B20" s="3"/>
      <c r="C20" s="54"/>
      <c r="D20" s="54"/>
      <c r="E20" s="54"/>
      <c r="F20" s="54"/>
      <c r="G20" s="54"/>
      <c r="H20" s="54"/>
      <c r="I20" s="55"/>
      <c r="J20" s="55"/>
      <c r="K20" s="82"/>
      <c r="L20" s="83"/>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06" t="s">
        <v>52</v>
      </c>
      <c r="D23" s="152" t="s">
        <v>74</v>
      </c>
      <c r="E23" s="153"/>
      <c r="F23" s="153"/>
      <c r="G23" s="153"/>
      <c r="H23" s="153"/>
      <c r="I23" s="153"/>
      <c r="J23" s="104" t="s">
        <v>57</v>
      </c>
      <c r="K23" s="130">
        <v>46055</v>
      </c>
      <c r="L23" s="93"/>
      <c r="M23" s="52"/>
      <c r="N23" s="9"/>
    </row>
    <row r="24" spans="1:14" ht="23.25" x14ac:dyDescent="0.35">
      <c r="A24" s="7"/>
      <c r="B24" s="3"/>
      <c r="C24" s="106" t="s">
        <v>53</v>
      </c>
      <c r="D24" s="160" t="s">
        <v>75</v>
      </c>
      <c r="E24" s="160"/>
      <c r="F24" s="160"/>
      <c r="G24" s="161"/>
      <c r="H24" s="161"/>
      <c r="I24" s="161"/>
      <c r="J24" s="199" t="s">
        <v>71</v>
      </c>
      <c r="K24" s="181"/>
      <c r="L24" s="181"/>
      <c r="M24" s="53"/>
      <c r="N24" s="9"/>
    </row>
    <row r="25" spans="1:14" ht="27.75" x14ac:dyDescent="0.4">
      <c r="A25" s="7"/>
      <c r="B25" s="3"/>
      <c r="C25" s="106" t="s">
        <v>58</v>
      </c>
      <c r="D25" s="122"/>
      <c r="E25" s="94" t="s">
        <v>51</v>
      </c>
      <c r="F25" s="154"/>
      <c r="G25" s="154"/>
      <c r="H25" s="99" t="s">
        <v>55</v>
      </c>
      <c r="I25" s="95" t="s">
        <v>56</v>
      </c>
      <c r="J25" s="104" t="s">
        <v>72</v>
      </c>
      <c r="K25" s="114"/>
      <c r="L25" s="115"/>
      <c r="M25" s="3"/>
      <c r="N25" s="9"/>
    </row>
    <row r="26" spans="1:14" ht="27.75" customHeight="1" x14ac:dyDescent="0.4">
      <c r="A26" s="7"/>
      <c r="B26" s="3"/>
      <c r="C26" s="106" t="s">
        <v>54</v>
      </c>
      <c r="D26" s="158"/>
      <c r="E26" s="159"/>
      <c r="F26" s="159"/>
      <c r="G26" s="159"/>
      <c r="H26" s="159"/>
      <c r="I26" s="159"/>
      <c r="J26" s="104" t="s">
        <v>61</v>
      </c>
      <c r="K26" s="162" t="s">
        <v>73</v>
      </c>
      <c r="L26" s="162"/>
      <c r="M26" s="3"/>
      <c r="N26" s="9"/>
    </row>
    <row r="27" spans="1:14" x14ac:dyDescent="0.2">
      <c r="A27" s="7"/>
      <c r="B27" s="3"/>
      <c r="C27" s="77"/>
      <c r="D27" s="77"/>
      <c r="E27" s="77"/>
      <c r="F27" s="77"/>
      <c r="G27" s="77"/>
      <c r="H27" s="77"/>
      <c r="I27" s="77"/>
      <c r="J27" s="77"/>
      <c r="K27" s="77"/>
      <c r="L27" s="77"/>
      <c r="M27" s="3"/>
      <c r="N27" s="9"/>
    </row>
    <row r="28" spans="1:14" x14ac:dyDescent="0.2">
      <c r="A28" s="7"/>
      <c r="B28" s="3"/>
      <c r="C28" s="77"/>
      <c r="D28" s="77"/>
      <c r="E28" s="77"/>
      <c r="F28" s="77"/>
      <c r="G28" s="77"/>
      <c r="H28" s="77"/>
      <c r="I28" s="77"/>
      <c r="J28" s="77"/>
      <c r="K28" s="77"/>
      <c r="L28" s="77"/>
      <c r="M28" s="3"/>
      <c r="N28" s="9"/>
    </row>
    <row r="29" spans="1:14" x14ac:dyDescent="0.2">
      <c r="A29" s="7"/>
      <c r="B29" s="3"/>
      <c r="C29" s="77"/>
      <c r="D29" s="77"/>
      <c r="E29" s="77"/>
      <c r="F29" s="77"/>
      <c r="G29" s="77"/>
      <c r="H29" s="77"/>
      <c r="I29" s="77"/>
      <c r="J29" s="77"/>
      <c r="K29" s="77"/>
      <c r="L29" s="77"/>
      <c r="M29" s="3"/>
      <c r="N29" s="9"/>
    </row>
    <row r="30" spans="1:14" ht="18" x14ac:dyDescent="0.25">
      <c r="A30" s="7"/>
      <c r="B30" s="3"/>
      <c r="C30" s="86" t="s">
        <v>33</v>
      </c>
      <c r="D30" s="124" t="s">
        <v>64</v>
      </c>
      <c r="E30" s="155" t="s">
        <v>21</v>
      </c>
      <c r="F30" s="156"/>
      <c r="G30" s="156"/>
      <c r="H30" s="156"/>
      <c r="I30" s="156"/>
      <c r="J30" s="157"/>
      <c r="K30" s="86" t="s">
        <v>22</v>
      </c>
      <c r="L30" s="87" t="s">
        <v>23</v>
      </c>
      <c r="M30" s="3"/>
      <c r="N30" s="9"/>
    </row>
    <row r="31" spans="1:14" ht="18.75" x14ac:dyDescent="0.3">
      <c r="A31" s="7"/>
      <c r="B31" s="3"/>
      <c r="C31" s="63"/>
      <c r="D31" s="51"/>
      <c r="E31" s="182"/>
      <c r="F31" s="183"/>
      <c r="G31" s="183"/>
      <c r="H31" s="183"/>
      <c r="I31" s="183"/>
      <c r="J31" s="184"/>
      <c r="K31" s="84"/>
      <c r="L31" s="85" t="str">
        <f>IF(D31&lt;&gt;"",D31*K31,"")</f>
        <v/>
      </c>
      <c r="M31" s="3"/>
      <c r="N31" s="9"/>
    </row>
    <row r="32" spans="1:14" ht="25.5" x14ac:dyDescent="0.35">
      <c r="A32" s="7"/>
      <c r="B32" s="3"/>
      <c r="C32" s="125"/>
      <c r="D32" s="88"/>
      <c r="E32" s="193" t="s">
        <v>67</v>
      </c>
      <c r="F32" s="194"/>
      <c r="G32" s="194"/>
      <c r="H32" s="194"/>
      <c r="I32" s="194"/>
      <c r="J32" s="195"/>
      <c r="K32" s="89"/>
      <c r="L32" s="89" t="str">
        <f>IF(D32&lt;&gt;"",D32*K32,"")</f>
        <v/>
      </c>
      <c r="M32" s="3"/>
      <c r="N32" s="9"/>
    </row>
    <row r="33" spans="1:14" ht="27.75" x14ac:dyDescent="0.4">
      <c r="A33" s="7"/>
      <c r="B33" s="3"/>
      <c r="C33" s="63"/>
      <c r="D33" s="88"/>
      <c r="E33" s="196"/>
      <c r="F33" s="197"/>
      <c r="G33" s="197"/>
      <c r="H33" s="197"/>
      <c r="I33" s="197"/>
      <c r="J33" s="198"/>
      <c r="K33" s="89"/>
      <c r="L33" s="89"/>
      <c r="M33" s="3"/>
      <c r="N33" s="9"/>
    </row>
    <row r="34" spans="1:14" ht="25.5" x14ac:dyDescent="0.35">
      <c r="A34" s="7"/>
      <c r="B34" s="3"/>
      <c r="C34" s="113"/>
      <c r="D34" s="88"/>
      <c r="E34" s="170"/>
      <c r="F34" s="171"/>
      <c r="G34" s="171"/>
      <c r="H34" s="171"/>
      <c r="I34" s="171"/>
      <c r="J34" s="172"/>
      <c r="K34" s="89"/>
      <c r="L34" s="89"/>
      <c r="M34" s="3"/>
      <c r="N34" s="9"/>
    </row>
    <row r="35" spans="1:14" ht="25.5" x14ac:dyDescent="0.35">
      <c r="A35" s="7"/>
      <c r="B35" s="3"/>
      <c r="C35" s="113"/>
      <c r="D35" s="88">
        <v>8</v>
      </c>
      <c r="E35" s="170" t="s">
        <v>76</v>
      </c>
      <c r="F35" s="188"/>
      <c r="G35" s="188"/>
      <c r="H35" s="188"/>
      <c r="I35" s="188"/>
      <c r="J35" s="189"/>
      <c r="K35" s="89">
        <v>250</v>
      </c>
      <c r="L35" s="89">
        <f t="shared" ref="L35:L38" si="0">IF(D35&lt;&gt;"",D35*K35,"")</f>
        <v>2000</v>
      </c>
      <c r="M35" s="3"/>
      <c r="N35" s="9"/>
    </row>
    <row r="36" spans="1:14" ht="25.5" x14ac:dyDescent="0.35">
      <c r="A36" s="7"/>
      <c r="B36" s="3"/>
      <c r="C36" s="113"/>
      <c r="D36" s="88"/>
      <c r="E36" s="185"/>
      <c r="F36" s="186"/>
      <c r="G36" s="186"/>
      <c r="H36" s="186"/>
      <c r="I36" s="186"/>
      <c r="J36" s="187"/>
      <c r="K36" s="89"/>
      <c r="L36" s="89" t="str">
        <f t="shared" si="0"/>
        <v/>
      </c>
      <c r="M36" s="3"/>
      <c r="N36" s="9"/>
    </row>
    <row r="37" spans="1:14" ht="25.5" x14ac:dyDescent="0.35">
      <c r="A37" s="7"/>
      <c r="B37" s="3"/>
      <c r="C37" s="113"/>
      <c r="D37" s="88">
        <v>3</v>
      </c>
      <c r="E37" s="170" t="s">
        <v>77</v>
      </c>
      <c r="F37" s="188"/>
      <c r="G37" s="188"/>
      <c r="H37" s="188"/>
      <c r="I37" s="188"/>
      <c r="J37" s="189"/>
      <c r="K37" s="89">
        <v>250</v>
      </c>
      <c r="L37" s="89">
        <f t="shared" si="0"/>
        <v>750</v>
      </c>
      <c r="M37" s="3"/>
      <c r="N37" s="9"/>
    </row>
    <row r="38" spans="1:14" ht="26.25" x14ac:dyDescent="0.4">
      <c r="A38" s="7"/>
      <c r="B38" s="3"/>
      <c r="C38" s="113"/>
      <c r="D38" s="140"/>
      <c r="E38" s="178"/>
      <c r="F38" s="179"/>
      <c r="G38" s="179"/>
      <c r="H38" s="179"/>
      <c r="I38" s="179"/>
      <c r="J38" s="180"/>
      <c r="K38" s="89"/>
      <c r="L38" s="89" t="str">
        <f t="shared" si="0"/>
        <v/>
      </c>
      <c r="M38" s="3"/>
      <c r="N38" s="9"/>
    </row>
    <row r="39" spans="1:14" ht="25.5" x14ac:dyDescent="0.35">
      <c r="A39" s="7"/>
      <c r="B39" s="3"/>
      <c r="C39" s="113"/>
      <c r="D39" s="132">
        <v>3</v>
      </c>
      <c r="E39" s="133" t="s">
        <v>78</v>
      </c>
      <c r="F39" s="134"/>
      <c r="G39" s="134"/>
      <c r="H39" s="134"/>
      <c r="I39" s="134"/>
      <c r="J39" s="135"/>
      <c r="K39" s="89">
        <v>250</v>
      </c>
      <c r="L39" s="89">
        <f t="shared" ref="L38:L39" si="1">IF(D39&lt;&gt;"",D39*K39,"")</f>
        <v>750</v>
      </c>
      <c r="M39" s="3"/>
      <c r="N39" s="9"/>
    </row>
    <row r="40" spans="1:14" ht="25.5" x14ac:dyDescent="0.35">
      <c r="A40" s="7"/>
      <c r="B40" s="3"/>
      <c r="C40" s="113"/>
      <c r="D40" s="132"/>
      <c r="E40" s="133"/>
      <c r="F40" s="134"/>
      <c r="G40" s="134"/>
      <c r="H40" s="134"/>
      <c r="I40" s="134"/>
      <c r="J40" s="135"/>
      <c r="K40" s="89"/>
      <c r="L40" s="89"/>
      <c r="M40" s="3"/>
      <c r="N40" s="9"/>
    </row>
    <row r="41" spans="1:14" ht="25.5" x14ac:dyDescent="0.35">
      <c r="A41" s="7"/>
      <c r="B41" s="3"/>
      <c r="C41" s="113"/>
      <c r="D41" s="132"/>
      <c r="E41" s="133"/>
      <c r="F41" s="134"/>
      <c r="G41" s="134"/>
      <c r="H41" s="134"/>
      <c r="I41" s="134"/>
      <c r="J41" s="135"/>
      <c r="K41" s="89"/>
      <c r="L41" s="89"/>
      <c r="M41" s="3"/>
      <c r="N41" s="9"/>
    </row>
    <row r="42" spans="1:14" ht="25.5" x14ac:dyDescent="0.35">
      <c r="A42" s="7"/>
      <c r="B42" s="3"/>
      <c r="C42" s="113"/>
      <c r="D42" s="132"/>
      <c r="E42" s="190"/>
      <c r="F42" s="191"/>
      <c r="G42" s="191"/>
      <c r="H42" s="191"/>
      <c r="I42" s="191"/>
      <c r="J42" s="192"/>
      <c r="K42" s="89"/>
      <c r="L42" s="89"/>
      <c r="M42" s="3"/>
      <c r="N42" s="9"/>
    </row>
    <row r="43" spans="1:14" ht="25.5" x14ac:dyDescent="0.35">
      <c r="A43" s="7"/>
      <c r="B43" s="3"/>
      <c r="C43" s="113"/>
      <c r="D43" s="132"/>
      <c r="E43" s="131"/>
      <c r="F43" s="136"/>
      <c r="G43" s="136"/>
      <c r="H43" s="136"/>
      <c r="I43" s="136"/>
      <c r="J43" s="137"/>
      <c r="K43" s="89"/>
      <c r="L43" s="89"/>
      <c r="M43" s="3"/>
      <c r="N43" s="9"/>
    </row>
    <row r="44" spans="1:14" ht="25.5" x14ac:dyDescent="0.35">
      <c r="A44" s="7"/>
      <c r="B44" s="3"/>
      <c r="C44" s="64"/>
      <c r="D44" s="138"/>
      <c r="E44" s="165"/>
      <c r="F44" s="166"/>
      <c r="G44" s="166"/>
      <c r="H44" s="166"/>
      <c r="I44" s="166"/>
      <c r="J44" s="167"/>
      <c r="K44" s="89"/>
      <c r="L44" s="89"/>
      <c r="M44" s="3"/>
      <c r="N44" s="9"/>
    </row>
    <row r="45" spans="1:14" ht="30" x14ac:dyDescent="0.4">
      <c r="A45" s="7"/>
      <c r="B45" s="3"/>
      <c r="C45" s="100"/>
      <c r="D45" s="77"/>
      <c r="E45" s="77"/>
      <c r="F45" s="77"/>
      <c r="G45" s="77"/>
      <c r="H45" s="77"/>
      <c r="I45" s="73"/>
      <c r="J45" s="96"/>
      <c r="K45" s="111" t="s">
        <v>24</v>
      </c>
      <c r="L45" s="98">
        <f>SUM(L33:L44)</f>
        <v>3500</v>
      </c>
      <c r="M45" s="3"/>
      <c r="N45" s="9"/>
    </row>
    <row r="46" spans="1:14" ht="30" x14ac:dyDescent="0.4">
      <c r="A46" s="7"/>
      <c r="B46" s="3"/>
      <c r="C46" s="3"/>
      <c r="D46" s="78"/>
      <c r="E46" s="92" t="s">
        <v>63</v>
      </c>
      <c r="F46" s="77"/>
      <c r="G46" s="77"/>
      <c r="H46" s="77"/>
      <c r="I46" s="73"/>
      <c r="J46" s="96"/>
      <c r="K46" s="108" t="s">
        <v>45</v>
      </c>
      <c r="L46" s="112">
        <v>1</v>
      </c>
      <c r="M46" s="3"/>
      <c r="N46" s="9"/>
    </row>
    <row r="47" spans="1:14" ht="30" x14ac:dyDescent="0.4">
      <c r="A47" s="7"/>
      <c r="B47" s="3"/>
      <c r="C47" s="3"/>
      <c r="D47" s="78"/>
      <c r="E47" s="128" t="s">
        <v>65</v>
      </c>
      <c r="F47" s="77"/>
      <c r="G47" s="77"/>
      <c r="H47" s="77"/>
      <c r="I47" s="73"/>
      <c r="J47" s="96"/>
      <c r="K47" s="109" t="s">
        <v>59</v>
      </c>
      <c r="L47" s="101">
        <f>+L45*19%</f>
        <v>665</v>
      </c>
      <c r="M47" s="3"/>
      <c r="N47" s="9"/>
    </row>
    <row r="48" spans="1:14" ht="30" x14ac:dyDescent="0.4">
      <c r="A48" s="7"/>
      <c r="B48" s="3"/>
      <c r="C48" s="3"/>
      <c r="D48" s="79"/>
      <c r="E48" s="92" t="s">
        <v>66</v>
      </c>
      <c r="F48" s="120"/>
      <c r="G48" s="123"/>
      <c r="H48" s="123"/>
      <c r="I48" s="74"/>
      <c r="J48" s="96"/>
      <c r="K48" s="110" t="s">
        <v>26</v>
      </c>
      <c r="L48" s="98">
        <f>L45+L47+L46</f>
        <v>4166</v>
      </c>
      <c r="M48" s="3"/>
      <c r="N48" s="9"/>
    </row>
    <row r="49" spans="1:14" ht="30" x14ac:dyDescent="0.4">
      <c r="A49" s="7"/>
      <c r="B49" s="3"/>
      <c r="C49" s="3"/>
      <c r="D49" s="79"/>
      <c r="E49" s="92"/>
      <c r="F49" s="80"/>
      <c r="G49" s="79"/>
      <c r="H49" s="77"/>
      <c r="I49" s="74"/>
      <c r="J49" s="96"/>
      <c r="K49" s="97"/>
      <c r="L49" s="119"/>
      <c r="M49" s="3"/>
      <c r="N49" s="9"/>
    </row>
    <row r="50" spans="1:14" ht="30" x14ac:dyDescent="0.4">
      <c r="A50" s="7"/>
      <c r="B50" s="116"/>
      <c r="C50" s="139" t="s">
        <v>79</v>
      </c>
      <c r="D50" s="129"/>
      <c r="E50" s="129"/>
      <c r="F50" s="129"/>
      <c r="G50" s="129"/>
      <c r="H50" s="129"/>
      <c r="I50" s="129"/>
      <c r="J50" s="96"/>
      <c r="K50" s="97"/>
      <c r="L50" s="119"/>
      <c r="M50" s="3"/>
      <c r="N50" s="9"/>
    </row>
    <row r="51" spans="1:14" ht="30" x14ac:dyDescent="0.4">
      <c r="A51" s="7"/>
      <c r="B51" s="177"/>
      <c r="C51" s="177"/>
      <c r="D51" s="177"/>
      <c r="E51" s="177"/>
      <c r="F51" s="177"/>
      <c r="G51" s="177"/>
      <c r="H51" s="177"/>
      <c r="I51" s="75" t="s">
        <v>25</v>
      </c>
      <c r="J51" s="96"/>
      <c r="K51" s="176" t="s">
        <v>60</v>
      </c>
      <c r="L51" s="176"/>
      <c r="M51" s="3"/>
      <c r="N51" s="9"/>
    </row>
    <row r="52" spans="1:14" ht="18.75" x14ac:dyDescent="0.3">
      <c r="A52" s="7"/>
      <c r="B52" s="3"/>
      <c r="C52" s="116"/>
      <c r="D52" s="116"/>
      <c r="E52" s="116"/>
      <c r="F52" s="116"/>
      <c r="G52" s="116"/>
      <c r="H52" s="116"/>
      <c r="I52" s="116"/>
      <c r="J52" s="116"/>
      <c r="K52" s="176"/>
      <c r="L52" s="176"/>
      <c r="M52" s="3"/>
      <c r="N52" s="9"/>
    </row>
    <row r="53" spans="1:14" ht="30" x14ac:dyDescent="0.4">
      <c r="A53" s="7"/>
      <c r="B53" s="175" t="s">
        <v>68</v>
      </c>
      <c r="C53" s="175"/>
      <c r="D53" s="175"/>
      <c r="E53" s="175"/>
      <c r="F53" s="175"/>
      <c r="G53" s="175"/>
      <c r="H53" s="175"/>
      <c r="I53" s="73"/>
      <c r="J53" s="96"/>
      <c r="K53" s="90"/>
      <c r="L53" s="103"/>
      <c r="M53" s="3"/>
      <c r="N53" s="9"/>
    </row>
    <row r="54" spans="1:14" ht="27.75" x14ac:dyDescent="0.4">
      <c r="A54" s="7"/>
      <c r="B54" s="126" t="s">
        <v>69</v>
      </c>
      <c r="C54" s="3"/>
      <c r="D54" s="127"/>
      <c r="E54" s="168"/>
      <c r="F54" s="169"/>
      <c r="G54" s="169"/>
      <c r="H54" s="169"/>
      <c r="I54" s="73"/>
      <c r="J54" s="73"/>
      <c r="K54" s="103"/>
      <c r="L54" s="103"/>
      <c r="M54" s="3"/>
      <c r="N54" s="9"/>
    </row>
    <row r="55" spans="1:14" ht="18" x14ac:dyDescent="0.2">
      <c r="A55" s="7"/>
      <c r="B55" s="3"/>
      <c r="C55" s="3"/>
      <c r="D55" s="20"/>
      <c r="E55" s="173"/>
      <c r="F55" s="174"/>
      <c r="G55" s="174"/>
      <c r="H55" s="174"/>
      <c r="I55" s="73"/>
      <c r="J55" s="103"/>
      <c r="K55" s="103"/>
      <c r="L55" s="103"/>
      <c r="M55" s="3"/>
      <c r="N55" s="9"/>
    </row>
    <row r="56" spans="1:14" ht="18" x14ac:dyDescent="0.2">
      <c r="A56" s="7"/>
      <c r="B56" s="90"/>
      <c r="C56" s="3"/>
      <c r="D56" s="20"/>
      <c r="E56" s="107"/>
      <c r="F56" s="149"/>
      <c r="G56" s="150"/>
      <c r="H56" s="150"/>
      <c r="I56" s="73"/>
      <c r="J56" s="103"/>
      <c r="K56" s="76"/>
      <c r="L56" s="76"/>
      <c r="M56" s="3"/>
      <c r="N56" s="9"/>
    </row>
    <row r="57" spans="1:14" ht="15.75" thickBot="1" x14ac:dyDescent="0.25">
      <c r="B57" s="90"/>
      <c r="C57" s="3"/>
      <c r="D57" s="3"/>
      <c r="E57" s="102"/>
      <c r="F57" s="102"/>
      <c r="G57" s="102"/>
      <c r="H57" s="102"/>
      <c r="I57" s="102"/>
      <c r="J57" s="102"/>
      <c r="K57" s="102"/>
      <c r="L57" s="73"/>
      <c r="M57" s="3"/>
      <c r="N57" s="9"/>
    </row>
    <row r="58" spans="1:14" ht="14.25" thickTop="1" thickBot="1" x14ac:dyDescent="0.25">
      <c r="A58" s="54"/>
      <c r="B58" s="90"/>
      <c r="C58" s="3"/>
      <c r="D58" s="3"/>
      <c r="E58" s="3"/>
      <c r="F58" s="3"/>
      <c r="G58" s="3"/>
      <c r="H58" s="3"/>
      <c r="I58" s="3"/>
      <c r="J58" s="3"/>
      <c r="K58" s="3"/>
      <c r="L58" s="3"/>
      <c r="M58" s="3"/>
      <c r="N58" s="9"/>
    </row>
    <row r="59" spans="1:14" ht="13.5" thickTop="1" x14ac:dyDescent="0.2">
      <c r="A59" s="3"/>
      <c r="B59" s="54"/>
      <c r="C59" s="54"/>
      <c r="D59" s="54"/>
      <c r="E59" s="54"/>
      <c r="F59" s="54"/>
      <c r="G59" s="54"/>
      <c r="H59" s="54"/>
      <c r="I59" s="54"/>
      <c r="J59" s="54"/>
      <c r="K59" s="54"/>
      <c r="L59" s="54"/>
      <c r="M59" s="3"/>
      <c r="N59" s="9"/>
    </row>
    <row r="60" spans="1:14" x14ac:dyDescent="0.2">
      <c r="A60" s="105"/>
      <c r="B60" s="3"/>
      <c r="C60" s="3"/>
      <c r="D60" s="3"/>
      <c r="E60" s="3"/>
      <c r="F60" s="3"/>
      <c r="G60" s="3"/>
      <c r="H60" s="3"/>
      <c r="I60" s="3"/>
      <c r="J60" s="3"/>
      <c r="K60" s="3"/>
      <c r="L60" s="3"/>
      <c r="M60" s="3"/>
      <c r="N60" s="9"/>
    </row>
    <row r="61" spans="1:14" x14ac:dyDescent="0.2">
      <c r="A61" s="3"/>
      <c r="B61" s="105"/>
      <c r="C61" s="105"/>
      <c r="D61" s="105"/>
      <c r="E61" s="105"/>
      <c r="F61" s="105"/>
      <c r="G61" s="105"/>
      <c r="H61" s="105"/>
      <c r="I61" s="105"/>
      <c r="J61" s="105"/>
      <c r="K61" s="105"/>
      <c r="L61" s="105"/>
      <c r="M61" s="90"/>
      <c r="N61" s="121"/>
    </row>
    <row r="62" spans="1:14" ht="12.75" customHeight="1" x14ac:dyDescent="0.2">
      <c r="A62" s="3"/>
      <c r="B62" s="148" t="s">
        <v>62</v>
      </c>
      <c r="C62" s="148"/>
      <c r="D62" s="148"/>
      <c r="E62" s="148"/>
      <c r="F62" s="148"/>
      <c r="G62" s="148"/>
      <c r="H62" s="148"/>
      <c r="I62" s="148"/>
      <c r="J62" s="148"/>
      <c r="K62" s="148"/>
      <c r="L62" s="148"/>
      <c r="M62" s="148"/>
      <c r="N62" s="121"/>
    </row>
    <row r="63" spans="1:14" ht="12.75" customHeight="1" x14ac:dyDescent="0.2">
      <c r="A63" s="90"/>
      <c r="B63" s="148"/>
      <c r="C63" s="148"/>
      <c r="D63" s="148"/>
      <c r="E63" s="148"/>
      <c r="F63" s="148"/>
      <c r="G63" s="148"/>
      <c r="H63" s="148"/>
      <c r="I63" s="148"/>
      <c r="J63" s="148"/>
      <c r="K63" s="148"/>
      <c r="L63" s="148"/>
      <c r="M63" s="148"/>
      <c r="N63" s="90"/>
    </row>
    <row r="64" spans="1:14" ht="12.75" customHeight="1" x14ac:dyDescent="0.2">
      <c r="A64" s="105"/>
      <c r="B64" s="148"/>
      <c r="C64" s="148"/>
      <c r="D64" s="148"/>
      <c r="E64" s="148"/>
      <c r="F64" s="148"/>
      <c r="G64" s="148"/>
      <c r="H64" s="148"/>
      <c r="I64" s="148"/>
      <c r="J64" s="148"/>
      <c r="K64" s="148"/>
      <c r="L64" s="148"/>
      <c r="M64" s="148"/>
      <c r="N64" s="90"/>
    </row>
    <row r="65" spans="1:15" ht="12.75" customHeight="1" x14ac:dyDescent="0.2">
      <c r="A65" s="3"/>
      <c r="B65" s="148"/>
      <c r="C65" s="148"/>
      <c r="D65" s="148"/>
      <c r="E65" s="148"/>
      <c r="F65" s="148"/>
      <c r="G65" s="148"/>
      <c r="H65" s="148"/>
      <c r="I65" s="148"/>
      <c r="J65" s="148"/>
      <c r="K65" s="148"/>
      <c r="L65" s="148"/>
      <c r="M65" s="148"/>
      <c r="N65" s="90"/>
    </row>
    <row r="66" spans="1:15" ht="12.75" customHeight="1" x14ac:dyDescent="0.2">
      <c r="A66" s="3"/>
      <c r="B66" s="148"/>
      <c r="C66" s="148"/>
      <c r="D66" s="148"/>
      <c r="E66" s="148"/>
      <c r="F66" s="148"/>
      <c r="G66" s="148"/>
      <c r="H66" s="148"/>
      <c r="I66" s="148"/>
      <c r="J66" s="148"/>
      <c r="K66" s="148"/>
      <c r="L66" s="148"/>
      <c r="M66" s="148"/>
      <c r="N66" s="90"/>
    </row>
    <row r="67" spans="1:15" ht="13.5" thickBot="1" x14ac:dyDescent="0.25">
      <c r="A67" s="117"/>
      <c r="B67" s="90"/>
      <c r="C67" s="90"/>
      <c r="D67" s="90"/>
      <c r="E67" s="90"/>
      <c r="F67" s="90"/>
      <c r="G67" s="90"/>
      <c r="H67" s="90"/>
      <c r="I67" s="90"/>
      <c r="J67" s="90"/>
      <c r="K67" s="90"/>
      <c r="L67" s="90"/>
      <c r="M67" s="90"/>
      <c r="N67" s="90"/>
    </row>
    <row r="68" spans="1:15" ht="24.95" customHeight="1" thickTop="1" thickBot="1" x14ac:dyDescent="0.25">
      <c r="B68" s="118"/>
      <c r="C68" s="90"/>
      <c r="D68" s="90"/>
      <c r="E68" s="90"/>
      <c r="F68" s="90"/>
      <c r="G68" s="90"/>
      <c r="H68" s="90"/>
      <c r="I68" s="90"/>
      <c r="J68" s="90"/>
      <c r="K68" s="90"/>
      <c r="L68" s="90"/>
      <c r="M68" s="90"/>
      <c r="N68" s="90"/>
      <c r="O68" s="90"/>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1:H51"/>
    <mergeCell ref="E38:J38"/>
    <mergeCell ref="J24:L24"/>
    <mergeCell ref="E31:J31"/>
    <mergeCell ref="E36:J36"/>
    <mergeCell ref="E35:J35"/>
    <mergeCell ref="E42:J42"/>
    <mergeCell ref="E32:J32"/>
    <mergeCell ref="E33:J33"/>
    <mergeCell ref="E37:J37"/>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 ref="K51:L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K31:K44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4">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27</v>
      </c>
    </row>
    <row r="2" spans="1:11" x14ac:dyDescent="0.2">
      <c r="A2" s="65" t="s">
        <v>34</v>
      </c>
      <c r="B2" s="65" t="s">
        <v>28</v>
      </c>
    </row>
    <row r="3" spans="1:11" x14ac:dyDescent="0.2">
      <c r="A3" s="65" t="s">
        <v>35</v>
      </c>
      <c r="B3" s="65" t="s">
        <v>42</v>
      </c>
    </row>
    <row r="4" spans="1:11" x14ac:dyDescent="0.2">
      <c r="A4" s="65" t="s">
        <v>29</v>
      </c>
    </row>
    <row r="5" spans="1:11" x14ac:dyDescent="0.2">
      <c r="A5" s="65" t="s">
        <v>36</v>
      </c>
      <c r="B5" s="65">
        <v>1</v>
      </c>
    </row>
    <row r="6" spans="1:11" x14ac:dyDescent="0.2">
      <c r="A6" s="65">
        <v>1</v>
      </c>
      <c r="B6" s="65" t="s">
        <v>37</v>
      </c>
      <c r="C6" s="65" t="s">
        <v>41</v>
      </c>
      <c r="D6" s="65" t="s">
        <v>38</v>
      </c>
      <c r="E6" s="65">
        <v>10</v>
      </c>
      <c r="G6" s="65">
        <v>-727923968</v>
      </c>
    </row>
    <row r="7" spans="1:11" x14ac:dyDescent="0.2">
      <c r="A7" s="65" t="s">
        <v>39</v>
      </c>
      <c r="B7" s="65" t="s">
        <v>30</v>
      </c>
      <c r="C7" s="65" t="s">
        <v>18</v>
      </c>
      <c r="D7" s="65" t="s">
        <v>3</v>
      </c>
      <c r="E7" s="65" t="s">
        <v>5</v>
      </c>
      <c r="F7" s="65" t="s">
        <v>7</v>
      </c>
      <c r="G7" s="65" t="s">
        <v>8</v>
      </c>
      <c r="H7" s="65" t="s">
        <v>9</v>
      </c>
      <c r="I7" s="65" t="s">
        <v>20</v>
      </c>
      <c r="J7" s="65" t="s">
        <v>31</v>
      </c>
      <c r="K7" s="65" t="s">
        <v>19</v>
      </c>
    </row>
    <row r="8" spans="1:11" x14ac:dyDescent="0.2">
      <c r="A8" s="65" t="s">
        <v>40</v>
      </c>
      <c r="B8" s="66" t="str">
        <f>Facture!$L$11</f>
        <v/>
      </c>
      <c r="C8" s="67">
        <f>Facture!$K$23</f>
        <v>46055</v>
      </c>
      <c r="D8" s="68" t="str">
        <f>Facture!$D$23</f>
        <v>SMARTSITE</v>
      </c>
      <c r="E8" s="65" t="str">
        <f>Facture!$D$24</f>
        <v>TUNIS</v>
      </c>
      <c r="F8" s="65">
        <f>Facture!$D$25</f>
        <v>0</v>
      </c>
      <c r="G8" s="68">
        <f>Facture!$F$25</f>
        <v>0</v>
      </c>
      <c r="H8" s="68" t="str">
        <f>Facture!$I$25</f>
        <v>TN</v>
      </c>
      <c r="I8" s="65">
        <f>Facture!$D$26</f>
        <v>0</v>
      </c>
      <c r="J8" s="69">
        <f>Facture!$L$48</f>
        <v>4166</v>
      </c>
      <c r="K8" s="65">
        <f>Facture!$K$25</f>
        <v>0</v>
      </c>
    </row>
    <row r="9" spans="1:11" x14ac:dyDescent="0.2">
      <c r="A9" s="65" t="s">
        <v>29</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2026-02-02T07:12:25Z</cp:lastPrinted>
  <dcterms:created xsi:type="dcterms:W3CDTF">1995-05-29T15:50:39Z</dcterms:created>
  <dcterms:modified xsi:type="dcterms:W3CDTF">2026-02-02T07:21:24Z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SMARTSITE</vt:lpwstr>
  </property>
  <property fmtid="{D5CDD505-2E9C-101B-9397-08002B2CF9AE}" pid="11" name="Montant de la facture" linkTarget="TOT">
    <vt:r8>4166</vt:r8>
  </property>
</Properties>
</file>