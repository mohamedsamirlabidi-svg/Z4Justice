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<sst xmlns="http://schemas.openxmlformats.org/spreadsheetml/2006/main" count="84" uniqueCount="70">
  <si>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</si>
  <si>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</si>
  <si>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</si>
  <si>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</si>
  <si>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</si>
  <si>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</si>
  <si>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</si>
  <si>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</si>
  <si>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</si>
  <si>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</si>
  <si>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</si>
  <si>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</si>
  <si>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</si>
  <si>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</si>
  <si>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</si>
  <si>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</si>
  <si>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</si>
  <si>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</si>
  <si>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</si>
  <si>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</si>
  <si>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</si>
  <si>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</si>
  <si>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</si>
  <si>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</si>
  <si>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</si>
  <si>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</si>
  <si>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</si>
  <si>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</si>
  <si>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</si>
  <si>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</si>
  <si>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</si>
  <si>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</si>
  <si>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</si>
  <si>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</si>
  <si>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</si>
  <si>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</si>
  <si>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</si>
  <si>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</si>
  <si>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</si>
  <si>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</si>
  <si>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</si>
  <si>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</si>
  <si>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</si>
  <si>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</si>
  <si>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</si>
  <si>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</si>
  <si>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</si>
  <si>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</si>
  <si>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</si>
  <si>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</si>
  <si>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</si>
  <si>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</si>
  <si>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</si>
  <si>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</si>
  <si>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</si>
  <si>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</si>
  <si>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</si>
  <si>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</si>
  <si>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</si>
  <si>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</si>
  <si>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 xml:space="preserve">SERVICE ACHAT </t>
  </si>
  <si>
    <t>24-26 PLACE DU 7 NOVEMBRE 1987</t>
  </si>
  <si>
    <t>TUNIS</t>
  </si>
  <si>
    <t xml:space="preserve">             71 341 555      FAX 71 353 142</t>
  </si>
  <si>
    <t xml:space="preserve">FORMATION TRAVAIL EN HAUTEUR  </t>
  </si>
  <si>
    <t>FACTURE N°2019019</t>
  </si>
  <si>
    <t xml:space="preserve">BUTAGAZ TUNISIE </t>
  </si>
  <si>
    <t>Réf Commande:42001445</t>
  </si>
  <si>
    <t>MF:169B/A/M/000</t>
  </si>
  <si>
    <t xml:space="preserve">ARRETE LA PRESENTE  FACTURE A LA SOMME DE :HUIT CENT QUATRE VINGT TREIZE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</si>
</sst>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4" zoomScale="95" workbookViewId="0">
      <selection activeCell="C47" sqref="C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65</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2" t="s">
        <v>66</v>
      </c>
      <c r="F19" s="173"/>
      <c r="G19" s="173"/>
      <c r="H19" s="173"/>
      <c r="I19" s="173"/>
      <c r="J19" s="173"/>
      <c r="K19" s="108"/>
      <c r="L19" s="164" t="s">
        <v>59</v>
      </c>
      <c r="M19" s="165"/>
      <c r="N19" s="58"/>
      <c r="O19" s="9"/>
    </row>
    <row r="20" spans="2:15" x14ac:dyDescent="0.2">
      <c r="B20" s="7"/>
      <c r="C20" s="3"/>
      <c r="D20" s="91" t="s">
        <v>5</v>
      </c>
      <c r="E20" s="170" t="s">
        <v>61</v>
      </c>
      <c r="F20" s="171"/>
      <c r="G20" s="171"/>
      <c r="H20" s="171"/>
      <c r="I20" s="171"/>
      <c r="J20" s="171"/>
      <c r="K20" s="91"/>
      <c r="L20" s="176" t="s">
        <v>67</v>
      </c>
      <c r="M20" s="176"/>
      <c r="N20" s="59"/>
      <c r="O20" s="9"/>
    </row>
    <row r="21" spans="2:15" x14ac:dyDescent="0.2">
      <c r="B21" s="7"/>
      <c r="C21" s="3"/>
      <c r="D21" s="91" t="s">
        <v>7</v>
      </c>
      <c r="E21" s="99">
        <v>1001</v>
      </c>
      <c r="F21" s="100" t="s">
        <v>8</v>
      </c>
      <c r="G21" s="168" t="s">
        <v>62</v>
      </c>
      <c r="H21" s="169"/>
      <c r="I21" s="101" t="s">
        <v>9</v>
      </c>
      <c r="J21" s="98" t="s">
        <v>51</v>
      </c>
      <c r="K21" s="91"/>
      <c r="L21" s="124" t="s">
        <v>55</v>
      </c>
      <c r="M21" s="148" t="s">
        <v>60</v>
      </c>
      <c r="N21" s="124"/>
      <c r="O21" s="9"/>
    </row>
    <row r="22" spans="2:15" x14ac:dyDescent="0.2">
      <c r="B22" s="7"/>
      <c r="C22" s="3"/>
      <c r="D22" s="91" t="s">
        <v>20</v>
      </c>
      <c r="E22" s="174" t="s">
        <v>63</v>
      </c>
      <c r="F22" s="175"/>
      <c r="G22" s="175"/>
      <c r="H22" s="175"/>
      <c r="I22" s="175"/>
      <c r="J22" s="175"/>
      <c r="K22" s="91"/>
      <c r="L22" s="166" t="s">
        <v>68</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09" t="str">
        <f t="shared" ref="M25:M29" si="0">IF(E25&lt;&gt;"",E25*L25,"")</f>
        <v/>
      </c>
      <c r="N25" s="60"/>
      <c r="O25" s="9"/>
    </row>
    <row r="26" spans="2:15" ht="15" x14ac:dyDescent="0.2">
      <c r="B26" s="7"/>
      <c r="C26" s="3"/>
      <c r="D26" s="70"/>
      <c r="E26" s="82"/>
      <c r="F26" s="156"/>
      <c r="G26" s="157"/>
      <c r="H26" s="157"/>
      <c r="I26" s="157"/>
      <c r="J26" s="157"/>
      <c r="K26" s="158"/>
      <c r="L26" s="137"/>
      <c r="M26" s="110" t="str">
        <f t="shared" si="0"/>
        <v/>
      </c>
      <c r="N26" s="60"/>
      <c r="O26" s="9"/>
    </row>
    <row r="27" spans="2:15" ht="15" x14ac:dyDescent="0.2">
      <c r="B27" s="7"/>
      <c r="C27" s="3"/>
      <c r="D27" s="136" t="s">
        <v>56</v>
      </c>
      <c r="E27" s="56">
        <v>3</v>
      </c>
      <c r="F27" s="156" t="s">
        <v>64</v>
      </c>
      <c r="G27" s="157"/>
      <c r="H27" s="157"/>
      <c r="I27" s="157"/>
      <c r="J27" s="157"/>
      <c r="K27" s="158"/>
      <c r="L27" s="83">
        <v>250</v>
      </c>
      <c r="M27" s="110">
        <f t="shared" si="0"/>
        <v>750</v>
      </c>
      <c r="N27" s="60"/>
      <c r="O27" s="9"/>
    </row>
    <row r="28" spans="2:15" ht="15" x14ac:dyDescent="0.2">
      <c r="B28" s="7"/>
      <c r="C28" s="3"/>
      <c r="D28" s="70"/>
      <c r="E28" s="56"/>
      <c r="F28" s="156"/>
      <c r="G28" s="157"/>
      <c r="H28" s="157"/>
      <c r="I28" s="157"/>
      <c r="J28" s="157"/>
      <c r="K28" s="158"/>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56"/>
      <c r="G32" s="157"/>
      <c r="H32" s="157"/>
      <c r="I32" s="157"/>
      <c r="J32" s="157"/>
      <c r="K32" s="158"/>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56"/>
      <c r="G34" s="157"/>
      <c r="H34" s="157"/>
      <c r="I34" s="157"/>
      <c r="J34" s="157"/>
      <c r="K34" s="158"/>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90"/>
      <c r="G38" s="191"/>
      <c r="H38" s="191"/>
      <c r="I38" s="191"/>
      <c r="J38" s="191"/>
      <c r="K38" s="192"/>
      <c r="L38" s="83"/>
      <c r="M38" s="110"/>
      <c r="N38" s="60"/>
      <c r="O38" s="9"/>
    </row>
    <row r="39" spans="2:15" ht="15.75" x14ac:dyDescent="0.25">
      <c r="B39" s="7"/>
      <c r="C39" s="3"/>
      <c r="D39" s="70"/>
      <c r="E39" s="56"/>
      <c r="F39" s="190"/>
      <c r="G39" s="191"/>
      <c r="H39" s="191"/>
      <c r="I39" s="191"/>
      <c r="J39" s="191"/>
      <c r="K39" s="192"/>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750</v>
      </c>
      <c r="N42" s="60"/>
      <c r="O42" s="9"/>
    </row>
    <row r="43" spans="2:15" ht="15" x14ac:dyDescent="0.2">
      <c r="B43" s="7"/>
      <c r="C43" s="3"/>
      <c r="D43" s="3"/>
      <c r="E43" s="91"/>
      <c r="F43" s="132"/>
      <c r="G43" s="132"/>
      <c r="H43" s="132"/>
      <c r="I43" s="132"/>
      <c r="J43" s="132"/>
      <c r="K43" s="132"/>
      <c r="L43" s="115">
        <v>0.19</v>
      </c>
      <c r="M43" s="116">
        <f>M42*0.19</f>
        <v>142.5</v>
      </c>
      <c r="N43" s="60"/>
      <c r="O43" s="9"/>
    </row>
    <row r="44" spans="2:15" ht="15" x14ac:dyDescent="0.2">
      <c r="B44" s="7"/>
      <c r="C44" s="3"/>
      <c r="D44" s="3"/>
      <c r="E44" s="93"/>
      <c r="F44" s="146" t="s">
        <v>57</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893.1</v>
      </c>
      <c r="N45" s="60"/>
      <c r="O45" s="9"/>
    </row>
    <row r="46" spans="2:15" ht="15.75" x14ac:dyDescent="0.25">
      <c r="B46" s="7"/>
      <c r="C46" s="3"/>
      <c r="D46" s="3"/>
      <c r="E46" s="92"/>
      <c r="F46" s="147" t="s">
        <v>58</v>
      </c>
      <c r="G46" s="91"/>
      <c r="H46" s="92"/>
      <c r="I46" s="91"/>
      <c r="J46" s="87" t="s">
        <v>27</v>
      </c>
      <c r="K46" s="84"/>
      <c r="L46" s="88"/>
      <c r="M46" s="88"/>
      <c r="N46" s="60"/>
      <c r="O46" s="9"/>
    </row>
    <row r="47" spans="2:15" ht="17.100000000000001" customHeight="1" x14ac:dyDescent="0.25">
      <c r="B47" s="7"/>
      <c r="C47" s="145" t="s">
        <v>69</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3"/>
      <c r="G49" s="184"/>
      <c r="H49" s="184"/>
      <c r="I49" s="184"/>
      <c r="J49" s="84"/>
      <c r="K49" s="84"/>
      <c r="L49" s="84"/>
      <c r="M49" s="113"/>
      <c r="N49" s="60"/>
      <c r="O49" s="9"/>
    </row>
    <row r="50" spans="1:15" ht="15" x14ac:dyDescent="0.2">
      <c r="B50" s="7"/>
      <c r="C50" s="3"/>
      <c r="D50" s="3"/>
      <c r="E50" s="20"/>
      <c r="F50" s="188"/>
      <c r="G50" s="189"/>
      <c r="H50" s="189"/>
      <c r="I50" s="189"/>
      <c r="J50" s="84"/>
      <c r="K50" s="84"/>
      <c r="L50" s="84"/>
      <c r="M50" s="84"/>
      <c r="N50" s="60"/>
      <c r="O50" s="9"/>
    </row>
    <row r="51" spans="1:15" ht="15" customHeight="1" x14ac:dyDescent="0.2">
      <c r="B51" s="7"/>
      <c r="C51" s="3"/>
      <c r="D51" s="3"/>
      <c r="E51" s="20"/>
      <c r="F51" s="85"/>
      <c r="G51" s="185"/>
      <c r="H51" s="186"/>
      <c r="I51" s="186"/>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187"/>
      <c r="C60" s="187"/>
      <c r="D60" s="187"/>
      <c r="E60" s="187"/>
      <c r="F60" s="162"/>
      <c r="G60" s="187"/>
      <c r="H60" s="187"/>
      <c r="I60" s="187"/>
      <c r="J60" s="187"/>
      <c r="K60" s="187"/>
      <c r="L60" s="187"/>
      <c r="M60" s="162"/>
      <c r="N60" s="60"/>
      <c r="O60" s="9"/>
    </row>
    <row r="61" spans="1:15" x14ac:dyDescent="0.2">
      <c r="A61" s="163"/>
      <c r="B61" s="163"/>
      <c r="C61" s="163"/>
      <c r="D61" s="163"/>
      <c r="E61" s="163"/>
      <c r="F61" s="163"/>
      <c r="G61" s="163"/>
      <c r="H61" s="163"/>
      <c r="I61" s="163"/>
      <c r="J61" s="163"/>
      <c r="K61" s="163"/>
      <c r="L61" s="163"/>
      <c r="M61" s="163"/>
      <c r="N61" s="60"/>
      <c r="O61" s="9"/>
    </row>
    <row r="62" spans="1:15" x14ac:dyDescent="0.2">
      <c r="A62" s="163"/>
      <c r="B62" s="163"/>
      <c r="C62" s="163"/>
      <c r="D62" s="163"/>
      <c r="E62" s="163"/>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 xml:space="preserve">BUTAGAZ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893.1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2019-04-29T08:16:08Z</cp:lastPrinted>
  <dcterms:created xsi:type="dcterms:W3CDTF">1995-05-29T15:50:39Z</dcterms:created>
  <dcterms:modified xsi:type="dcterms:W3CDTF">2019-04-29T08:20:00Z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893.1</vt:r8>
  </property>
</Properties>
</file>