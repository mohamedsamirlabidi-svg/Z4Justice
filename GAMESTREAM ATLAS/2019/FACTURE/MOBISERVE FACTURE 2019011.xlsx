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Facture!#REF!</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Facture!$F$36</definedName>
    <definedName name="data46">Facture!#REF!</definedName>
    <definedName name="data47">Facture!$E$30</definedName>
    <definedName name="data48">Facture!$F$28</definedName>
    <definedName name="data49">Facture!$L$30</definedName>
    <definedName name="data5">Facture!$E$19</definedName>
    <definedName name="data50">Facture!#REF!</definedName>
    <definedName name="data51">Facture!#REF!</definedName>
    <definedName name="data52">Facture!#REF!</definedName>
    <definedName name="data53">Facture!$E$31</definedName>
    <definedName name="data54">Facture!$F$29</definedName>
    <definedName name="data55">Facture!$L$31</definedName>
    <definedName name="data56">Facture!#REF!</definedName>
    <definedName name="data57">Facture!#REF!</definedName>
    <definedName name="data58">Facture!#REF!</definedName>
    <definedName name="data59">Facture!$E$46</definedName>
    <definedName name="data6">Facture!$F$20</definedName>
    <definedName name="data60">Facture!$F$42</definedName>
    <definedName name="data61">Facture!$L$46</definedName>
    <definedName name="data62">Facture!$E$49</definedName>
    <definedName name="data63">Facture!$E$50</definedName>
    <definedName name="data64">Facture!#REF!</definedName>
    <definedName name="data65">Facture!$H$50</definedName>
    <definedName name="data66">Facture!$F$52</definedName>
    <definedName name="data67">Facture!$F$55</definedName>
    <definedName name="data68">Facture!$G$56</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Facture!$F$36:$K$36</definedName>
    <definedName name="qzqzqz21">Facture!$F$28:$K$28</definedName>
    <definedName name="qzqzqz22">Facture!#REF!</definedName>
    <definedName name="qzqzqz23">Facture!$F$29:$K$29</definedName>
    <definedName name="qzqzqz24">Facture!#REF!</definedName>
    <definedName name="qzqzqz25">Facture!$F$42:$K$42</definedName>
    <definedName name="qzqzqz26">Facture!$F$52:$I$52</definedName>
    <definedName name="qzqzqz27">Facture!$F$54:$I$54</definedName>
    <definedName name="qzqzqz28">Facture!$F$55:$I$55</definedName>
    <definedName name="qzqzqz29">Facture!$K$56:$M$58</definedName>
    <definedName name="qzqzqz3">Facture!$E$20:$J$20</definedName>
    <definedName name="qzqzqz30">Facture!$G$56:$I$56</definedName>
    <definedName name="qzqzqz31">Facture!$G$56:$H$56</definedName>
    <definedName name="qzqzqz32">Facture!$K$55:$M$57</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27" i="3" l="1"/>
  <c r="M28" i="3"/>
  <c r="M29" i="3"/>
  <c r="M30" i="3"/>
  <c r="M31" i="3"/>
  <c r="M32" i="3"/>
  <c r="M33" i="3"/>
  <c r="M34" i="3"/>
  <c r="M35" i="3"/>
  <c r="M36" i="3"/>
  <c r="M37" i="3"/>
  <c r="M25" i="3" l="1"/>
  <c r="M26" i="3"/>
  <c r="M46" i="3"/>
  <c r="F33" i="2"/>
  <c r="B8" i="8"/>
  <c r="C8" i="8"/>
  <c r="D8" i="8"/>
  <c r="E8" i="8"/>
  <c r="F8" i="8"/>
  <c r="G8" i="8"/>
  <c r="H8" i="8"/>
  <c r="I8" i="8"/>
  <c r="K8" i="8"/>
  <c r="M47" i="3" l="1"/>
  <c r="M48" i="3" s="1"/>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<sst xmlns="http://schemas.openxmlformats.org/spreadsheetml/2006/main" count="87" uniqueCount="73">
  <si>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</si>
  <si>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</si>
  <si>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</si>
  <si>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</si>
  <si>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</si>
  <si>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</si>
  <si>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</si>
  <si>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</si>
  <si>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</si>
  <si>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</si>
  <si>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</si>
  <si>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</si>
  <si>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</si>
  <si>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</si>
  <si>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</si>
  <si>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</si>
  <si>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</si>
  <si>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</si>
  <si>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</si>
  <si>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</si>
  <si>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</si>
  <si>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</si>
  <si>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</si>
  <si>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</si>
  <si>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</si>
  <si>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</si>
  <si>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</si>
  <si>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</si>
  <si>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</si>
  <si>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</si>
  <si>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</si>
  <si>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</si>
  <si>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</si>
  <si>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</si>
  <si>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</si>
  <si>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</si>
  <si>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</si>
  <si>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</si>
  <si>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</si>
  <si>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</si>
  <si>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</si>
  <si>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</si>
  <si>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</si>
  <si>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</si>
  <si>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</si>
  <si>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</si>
  <si>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</si>
  <si>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</si>
  <si>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</si>
  <si>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</si>
  <si>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</si>
  <si>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</si>
  <si>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</si>
  <si>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</si>
  <si>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</si>
  <si>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 xml:space="preserve">TUNIS </t>
  </si>
  <si>
    <t>LE THEME :</t>
  </si>
  <si>
    <t xml:space="preserve">FORMATION THEORIQUE ET PRATIQUE SUR  </t>
  </si>
  <si>
    <t>MOBISERVE</t>
  </si>
  <si>
    <t xml:space="preserve">         Fax:             </t>
  </si>
  <si>
    <t>MF:1150711S/A/M/000</t>
  </si>
  <si>
    <t xml:space="preserve">IMMEUBLE LE PALMIER CENTRE BABEL APP9 1 ERE ETAGE RUE DU LAC </t>
  </si>
  <si>
    <t xml:space="preserve">DE TELECOMMUNICATION </t>
  </si>
  <si>
    <t xml:space="preserve">ZONE GAFSA &amp;GABES </t>
  </si>
  <si>
    <t xml:space="preserve">-  TRAVAIL EN HAUTEUR SUR PYLONE </t>
  </si>
  <si>
    <t xml:space="preserve">-  HABILITATION ELECTRIQUE </t>
  </si>
  <si>
    <t xml:space="preserve">Mr AHMED BOUALI </t>
  </si>
  <si>
    <t>Date:22/03/2019</t>
  </si>
  <si>
    <t>Réf Commande:5836</t>
  </si>
  <si>
    <t>FTH001</t>
  </si>
  <si>
    <t>FHE002</t>
  </si>
  <si>
    <t xml:space="preserve">ARRETE LA PRESENTE FACTURE  A LA SOMME DE ONZE MILLE DEUX CENT QUARANTE SIX DINARS ET 100 MILLIMES </t>
  </si>
  <si>
    <t>FACTURE N°2019011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</si>
</sst>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9"/>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48"/>
      <name val="Arial"/>
      <family val="2"/>
    </font>
    <font>
      <b/>
      <u/>
      <sz val="1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2" fillId="3" borderId="0" xfId="0" applyFont="1" applyFill="1" applyBorder="1" applyAlignment="1">
      <alignment horizontal="left"/>
    </xf>
    <xf numFmtId="0" fontId="2" fillId="6" borderId="0" xfId="0" applyFont="1" applyFill="1" applyAlignment="1"/>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0" xfId="0" quotePrefix="1" applyNumberFormat="1" applyFont="1" applyFill="1" applyBorder="1" applyAlignment="1"/>
    <xf numFmtId="49" fontId="30" fillId="3" borderId="35" xfId="0" quotePrefix="1" applyNumberFormat="1" applyFont="1" applyFill="1" applyBorder="1" applyAlignment="1"/>
    <xf numFmtId="49" fontId="31"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49" fontId="32" fillId="3" borderId="33" xfId="0" applyNumberFormat="1" applyFont="1" applyFill="1" applyBorder="1" applyAlignment="1"/>
    <xf numFmtId="49" fontId="33"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70" fontId="18" fillId="3" borderId="28" xfId="0" applyNumberFormat="1" applyFont="1" applyFill="1" applyBorder="1" applyAlignment="1"/>
    <xf numFmtId="170" fontId="18" fillId="6" borderId="28" xfId="0" applyNumberFormat="1" applyFont="1" applyFill="1" applyBorder="1"/>
    <xf numFmtId="0" fontId="24" fillId="6" borderId="0" xfId="0" applyFont="1" applyFill="1" applyBorder="1" applyAlignment="1">
      <alignment vertical="top"/>
    </xf>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30" fillId="3" borderId="33" xfId="0" applyNumberFormat="1" applyFont="1" applyFill="1" applyBorder="1" applyAlignment="1"/>
    <xf numFmtId="49" fontId="30" fillId="3" borderId="0" xfId="0" applyNumberFormat="1" applyFont="1" applyFill="1" applyBorder="1" applyAlignment="1"/>
    <xf numFmtId="49" fontId="30" fillId="3" borderId="35" xfId="0" applyNumberFormat="1" applyFont="1" applyFill="1" applyBorder="1" applyAlignment="1"/>
    <xf numFmtId="49" fontId="30" fillId="3" borderId="33"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5" xfId="0" applyNumberFormat="1" applyFont="1" applyFill="1" applyBorder="1" applyAlignment="1">
      <alignment horizontal="left"/>
    </xf>
    <xf numFmtId="0" fontId="34" fillId="3" borderId="0" xfId="0" applyFont="1" applyFill="1" applyBorder="1" applyAlignment="1">
      <alignment horizontal="center"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49" fontId="26" fillId="3" borderId="33" xfId="0" applyNumberFormat="1" applyFont="1" applyFill="1"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35" fillId="3" borderId="33" xfId="0" applyNumberFormat="1" applyFont="1" applyFill="1" applyBorder="1" applyAlignment="1">
      <alignment horizontal="left"/>
    </xf>
    <xf numFmtId="49" fontId="35" fillId="3" borderId="0" xfId="0" applyNumberFormat="1" applyFont="1" applyFill="1" applyBorder="1" applyAlignment="1">
      <alignment horizontal="left"/>
    </xf>
    <xf numFmtId="49" fontId="35"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8</xdr:row>
      <xdr:rowOff>100263</xdr:rowOff>
    </xdr:from>
    <xdr:to>
      <xdr:col>6</xdr:col>
      <xdr:colOff>481263</xdr:colOff>
      <xdr:row>14</xdr:row>
      <xdr:rowOff>171450</xdr:rowOff>
    </xdr:to>
    <xdr:sp macro="[0]!Nada" textlink="">
      <xdr:nvSpPr>
        <xdr:cNvPr id="2052" name="LT"/>
        <xdr:cNvSpPr txBox="1">
          <a:spLocks noChangeArrowheads="1"/>
        </xdr:cNvSpPr>
      </xdr:nvSpPr>
      <xdr:spPr bwMode="auto">
        <a:xfrm>
          <a:off x="370974" y="1153026"/>
          <a:ext cx="2486526" cy="11339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10026</xdr:colOff>
      <xdr:row>2</xdr:row>
      <xdr:rowOff>30078</xdr:rowOff>
    </xdr:from>
    <xdr:to>
      <xdr:col>7</xdr:col>
      <xdr:colOff>365760</xdr:colOff>
      <xdr:row>8</xdr:row>
      <xdr:rowOff>120314</xdr:rowOff>
    </xdr:to>
    <xdr:pic>
      <xdr:nvPicPr>
        <xdr:cNvPr id="7" name="Image 6"/>
        <xdr:cNvPicPr/>
      </xdr:nvPicPr>
      <xdr:blipFill>
        <a:blip xmlns:r="http://schemas.openxmlformats.org/officeDocument/2006/relationships" r:embed="rId1" cstate="print"/>
        <a:srcRect/>
        <a:stretch>
          <a:fillRect/>
        </a:stretch>
      </xdr:blipFill>
      <xdr:spPr bwMode="auto">
        <a:xfrm>
          <a:off x="130342" y="120315"/>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0</xdr:rowOff>
        </xdr:from>
        <xdr:to>
          <xdr:col>4</xdr:col>
          <xdr:colOff>714375</xdr:colOff>
          <xdr:row>51</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45</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0"/>
  <sheetViews>
    <sheetView showGridLines="0" showRowColHeaders="0" tabSelected="1" zoomScale="95" workbookViewId="0">
      <selection activeCell="M34" sqref="M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52</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72</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1" t="s">
        <v>58</v>
      </c>
      <c r="F19" s="172"/>
      <c r="G19" s="172"/>
      <c r="H19" s="172"/>
      <c r="I19" s="172"/>
      <c r="J19" s="172"/>
      <c r="K19" s="109"/>
      <c r="L19" s="163" t="s">
        <v>67</v>
      </c>
      <c r="M19" s="164"/>
      <c r="N19" s="58"/>
      <c r="O19" s="9"/>
    </row>
    <row r="20" spans="2:15" x14ac:dyDescent="0.2">
      <c r="B20" s="7"/>
      <c r="C20" s="3"/>
      <c r="D20" s="92" t="s">
        <v>5</v>
      </c>
      <c r="E20" s="169" t="s">
        <v>61</v>
      </c>
      <c r="F20" s="170"/>
      <c r="G20" s="170"/>
      <c r="H20" s="170"/>
      <c r="I20" s="170"/>
      <c r="J20" s="170"/>
      <c r="K20" s="92"/>
      <c r="L20" s="175" t="s">
        <v>68</v>
      </c>
      <c r="M20" s="176"/>
      <c r="N20" s="59"/>
      <c r="O20" s="9"/>
    </row>
    <row r="21" spans="2:15" x14ac:dyDescent="0.2">
      <c r="B21" s="7"/>
      <c r="C21" s="3"/>
      <c r="D21" s="92" t="s">
        <v>7</v>
      </c>
      <c r="E21" s="100">
        <v>1053</v>
      </c>
      <c r="F21" s="101" t="s">
        <v>8</v>
      </c>
      <c r="G21" s="167" t="s">
        <v>55</v>
      </c>
      <c r="H21" s="168"/>
      <c r="I21" s="102" t="s">
        <v>9</v>
      </c>
      <c r="J21" s="99" t="s">
        <v>50</v>
      </c>
      <c r="K21" s="92"/>
      <c r="L21" s="122" t="s">
        <v>54</v>
      </c>
      <c r="M21" s="122" t="s">
        <v>66</v>
      </c>
      <c r="N21" s="122"/>
      <c r="O21" s="9"/>
    </row>
    <row r="22" spans="2:15" x14ac:dyDescent="0.2">
      <c r="B22" s="7"/>
      <c r="C22" s="3"/>
      <c r="D22" s="92" t="s">
        <v>20</v>
      </c>
      <c r="E22" s="173" t="s">
        <v>59</v>
      </c>
      <c r="F22" s="174"/>
      <c r="G22" s="174"/>
      <c r="H22" s="174"/>
      <c r="I22" s="174"/>
      <c r="J22" s="174"/>
      <c r="K22" s="92"/>
      <c r="L22" s="165" t="s">
        <v>60</v>
      </c>
      <c r="M22" s="166"/>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34</v>
      </c>
      <c r="E24" s="53" t="s">
        <v>21</v>
      </c>
      <c r="F24" s="177" t="s">
        <v>22</v>
      </c>
      <c r="G24" s="178"/>
      <c r="H24" s="178"/>
      <c r="I24" s="178"/>
      <c r="J24" s="178"/>
      <c r="K24" s="179"/>
      <c r="L24" s="53" t="s">
        <v>23</v>
      </c>
      <c r="M24" s="54" t="s">
        <v>24</v>
      </c>
      <c r="N24" s="60"/>
      <c r="O24" s="9"/>
    </row>
    <row r="25" spans="2:15" x14ac:dyDescent="0.2">
      <c r="B25" s="7"/>
      <c r="C25" s="3"/>
      <c r="D25" s="70"/>
      <c r="E25" s="55"/>
      <c r="F25" s="190" t="s">
        <v>63</v>
      </c>
      <c r="G25" s="191"/>
      <c r="H25" s="191"/>
      <c r="I25" s="191"/>
      <c r="J25" s="191"/>
      <c r="K25" s="192"/>
      <c r="L25" s="79"/>
      <c r="M25" s="110" t="str">
        <f t="shared" ref="M25:M37" si="0">IF(E25&lt;&gt;"",E25*L25,"")</f>
        <v/>
      </c>
      <c r="N25" s="60"/>
      <c r="O25" s="9"/>
    </row>
    <row r="26" spans="2:15" ht="15" x14ac:dyDescent="0.2">
      <c r="B26" s="7"/>
      <c r="C26" s="3"/>
      <c r="D26" s="70"/>
      <c r="E26" s="82"/>
      <c r="F26" s="180" t="s">
        <v>57</v>
      </c>
      <c r="G26" s="181"/>
      <c r="H26" s="181"/>
      <c r="I26" s="181"/>
      <c r="J26" s="181"/>
      <c r="K26" s="182"/>
      <c r="L26" s="138"/>
      <c r="M26" s="139" t="str">
        <f t="shared" si="0"/>
        <v/>
      </c>
      <c r="N26" s="60"/>
      <c r="O26" s="9"/>
    </row>
    <row r="27" spans="2:15" ht="15" x14ac:dyDescent="0.2">
      <c r="B27" s="7"/>
      <c r="C27" s="3"/>
      <c r="D27" s="70"/>
      <c r="E27" s="82"/>
      <c r="F27" s="180" t="s">
        <v>56</v>
      </c>
      <c r="G27" s="181"/>
      <c r="H27" s="181"/>
      <c r="I27" s="181"/>
      <c r="J27" s="181"/>
      <c r="K27" s="182"/>
      <c r="L27" s="83"/>
      <c r="M27" s="139" t="str">
        <f t="shared" si="0"/>
        <v/>
      </c>
      <c r="N27" s="60"/>
      <c r="O27" s="9"/>
    </row>
    <row r="28" spans="2:15" ht="15.75" x14ac:dyDescent="0.25">
      <c r="B28" s="7"/>
      <c r="C28" s="3"/>
      <c r="D28" s="137" t="s">
        <v>69</v>
      </c>
      <c r="E28" s="82">
        <v>12</v>
      </c>
      <c r="F28" s="141" t="s">
        <v>64</v>
      </c>
      <c r="G28" s="142"/>
      <c r="H28" s="142"/>
      <c r="I28" s="142"/>
      <c r="J28" s="142"/>
      <c r="K28" s="143"/>
      <c r="L28" s="83">
        <v>270</v>
      </c>
      <c r="M28" s="139">
        <f t="shared" si="0"/>
        <v>3240</v>
      </c>
      <c r="N28" s="60"/>
      <c r="O28" s="9"/>
    </row>
    <row r="29" spans="2:15" ht="15.75" x14ac:dyDescent="0.25">
      <c r="B29" s="7"/>
      <c r="C29" s="3"/>
      <c r="D29" s="137"/>
      <c r="E29" s="82"/>
      <c r="F29" s="141" t="s">
        <v>62</v>
      </c>
      <c r="G29" s="142"/>
      <c r="H29" s="142"/>
      <c r="I29" s="142"/>
      <c r="J29" s="142"/>
      <c r="K29" s="143"/>
      <c r="L29" s="83"/>
      <c r="M29" s="139" t="str">
        <f t="shared" si="0"/>
        <v/>
      </c>
      <c r="N29" s="60"/>
      <c r="O29" s="9"/>
    </row>
    <row r="30" spans="2:15" ht="15" x14ac:dyDescent="0.2">
      <c r="B30" s="7"/>
      <c r="C30" s="3"/>
      <c r="D30" s="137"/>
      <c r="E30" s="56"/>
      <c r="F30" s="187"/>
      <c r="G30" s="188"/>
      <c r="H30" s="188"/>
      <c r="I30" s="188"/>
      <c r="J30" s="188"/>
      <c r="K30" s="189"/>
      <c r="L30" s="83"/>
      <c r="M30" s="139" t="str">
        <f t="shared" si="0"/>
        <v/>
      </c>
      <c r="N30" s="60"/>
      <c r="O30" s="9"/>
    </row>
    <row r="31" spans="2:15" ht="15.75" x14ac:dyDescent="0.25">
      <c r="B31" s="7"/>
      <c r="C31" s="3"/>
      <c r="D31" s="137" t="s">
        <v>70</v>
      </c>
      <c r="E31" s="82">
        <v>23</v>
      </c>
      <c r="F31" s="156" t="s">
        <v>65</v>
      </c>
      <c r="G31" s="157"/>
      <c r="H31" s="157"/>
      <c r="I31" s="157"/>
      <c r="J31" s="157"/>
      <c r="K31" s="158"/>
      <c r="L31" s="83">
        <v>270</v>
      </c>
      <c r="M31" s="139">
        <f t="shared" si="0"/>
        <v>6210</v>
      </c>
      <c r="N31" s="60"/>
      <c r="O31" s="9"/>
    </row>
    <row r="32" spans="2:15" ht="15" x14ac:dyDescent="0.2">
      <c r="B32" s="7"/>
      <c r="C32" s="3"/>
      <c r="D32" s="70"/>
      <c r="E32" s="56"/>
      <c r="F32" s="133"/>
      <c r="G32" s="133"/>
      <c r="H32" s="133"/>
      <c r="I32" s="133"/>
      <c r="J32" s="133"/>
      <c r="K32" s="133"/>
      <c r="L32" s="83"/>
      <c r="M32" s="139" t="str">
        <f t="shared" si="0"/>
        <v/>
      </c>
      <c r="N32" s="60"/>
      <c r="O32" s="9"/>
    </row>
    <row r="33" spans="2:15" ht="15" x14ac:dyDescent="0.2">
      <c r="B33" s="7"/>
      <c r="C33" s="3"/>
      <c r="D33" s="70"/>
      <c r="E33" s="56"/>
      <c r="F33" s="190"/>
      <c r="G33" s="191"/>
      <c r="H33" s="191"/>
      <c r="I33" s="191"/>
      <c r="J33" s="191"/>
      <c r="K33" s="192"/>
      <c r="L33" s="83"/>
      <c r="M33" s="139" t="str">
        <f t="shared" si="0"/>
        <v/>
      </c>
      <c r="N33" s="60"/>
      <c r="O33" s="9"/>
    </row>
    <row r="34" spans="2:15" ht="15.75" x14ac:dyDescent="0.25">
      <c r="B34" s="7"/>
      <c r="C34" s="3"/>
      <c r="D34" s="137"/>
      <c r="E34" s="56"/>
      <c r="F34" s="159"/>
      <c r="G34" s="160"/>
      <c r="H34" s="160"/>
      <c r="I34" s="160"/>
      <c r="J34" s="160"/>
      <c r="K34" s="161"/>
      <c r="L34" s="83"/>
      <c r="M34" s="139" t="str">
        <f t="shared" si="0"/>
        <v/>
      </c>
      <c r="N34" s="60"/>
      <c r="O34" s="9"/>
    </row>
    <row r="35" spans="2:15" ht="15.75" x14ac:dyDescent="0.25">
      <c r="B35" s="7"/>
      <c r="C35" s="3"/>
      <c r="D35" s="70"/>
      <c r="E35" s="56"/>
      <c r="F35" s="159"/>
      <c r="G35" s="160"/>
      <c r="H35" s="160"/>
      <c r="I35" s="160"/>
      <c r="J35" s="160"/>
      <c r="K35" s="161"/>
      <c r="L35" s="83"/>
      <c r="M35" s="139" t="str">
        <f t="shared" si="0"/>
        <v/>
      </c>
      <c r="N35" s="60"/>
      <c r="O35" s="9"/>
    </row>
    <row r="36" spans="2:15" ht="15.75" x14ac:dyDescent="0.25">
      <c r="B36" s="7"/>
      <c r="C36" s="3"/>
      <c r="D36" s="70"/>
      <c r="E36" s="56"/>
      <c r="F36" s="159"/>
      <c r="G36" s="160"/>
      <c r="H36" s="160"/>
      <c r="I36" s="160"/>
      <c r="J36" s="160"/>
      <c r="K36" s="161"/>
      <c r="L36" s="83"/>
      <c r="M36" s="139" t="str">
        <f t="shared" si="0"/>
        <v/>
      </c>
      <c r="N36" s="60"/>
      <c r="O36" s="9"/>
    </row>
    <row r="37" spans="2:15" ht="15.75" x14ac:dyDescent="0.25">
      <c r="B37" s="7"/>
      <c r="C37" s="3"/>
      <c r="D37" s="70"/>
      <c r="E37" s="56"/>
      <c r="F37" s="156"/>
      <c r="G37" s="157"/>
      <c r="H37" s="157"/>
      <c r="I37" s="157"/>
      <c r="J37" s="157"/>
      <c r="K37" s="158"/>
      <c r="L37" s="83"/>
      <c r="M37" s="139" t="str">
        <f t="shared" si="0"/>
        <v/>
      </c>
      <c r="N37" s="60"/>
      <c r="O37" s="9"/>
    </row>
    <row r="38" spans="2:15" ht="15.75" x14ac:dyDescent="0.25">
      <c r="B38" s="7"/>
      <c r="C38" s="3"/>
      <c r="D38" s="70"/>
      <c r="E38" s="56"/>
      <c r="F38" s="123"/>
      <c r="G38" s="124"/>
      <c r="H38" s="124"/>
      <c r="I38" s="124"/>
      <c r="J38" s="124"/>
      <c r="K38" s="125"/>
      <c r="L38" s="83"/>
      <c r="M38" s="111"/>
      <c r="N38" s="60"/>
      <c r="O38" s="9"/>
    </row>
    <row r="39" spans="2:15" ht="15.75" x14ac:dyDescent="0.25">
      <c r="B39" s="7"/>
      <c r="C39" s="3"/>
      <c r="D39" s="70"/>
      <c r="E39" s="56"/>
      <c r="F39" s="156"/>
      <c r="G39" s="157"/>
      <c r="H39" s="157"/>
      <c r="I39" s="157"/>
      <c r="J39" s="157"/>
      <c r="K39" s="158"/>
      <c r="L39" s="83"/>
      <c r="M39" s="111"/>
      <c r="N39" s="60"/>
      <c r="O39" s="9"/>
    </row>
    <row r="40" spans="2:15" ht="15.75" x14ac:dyDescent="0.25">
      <c r="B40" s="7"/>
      <c r="C40" s="3"/>
      <c r="D40" s="70"/>
      <c r="E40" s="56"/>
      <c r="F40" s="123"/>
      <c r="G40" s="126"/>
      <c r="H40" s="126"/>
      <c r="I40" s="126"/>
      <c r="J40" s="126"/>
      <c r="K40" s="127"/>
      <c r="L40" s="83"/>
      <c r="M40" s="111"/>
      <c r="N40" s="60"/>
      <c r="O40" s="9"/>
    </row>
    <row r="41" spans="2:15" ht="15.75" x14ac:dyDescent="0.25">
      <c r="B41" s="7"/>
      <c r="C41" s="3"/>
      <c r="D41" s="70"/>
      <c r="E41" s="56"/>
      <c r="F41" s="128"/>
      <c r="G41" s="129"/>
      <c r="H41" s="129"/>
      <c r="I41" s="129"/>
      <c r="J41" s="129"/>
      <c r="K41" s="130"/>
      <c r="L41" s="83"/>
      <c r="M41" s="111"/>
      <c r="N41" s="60"/>
      <c r="O41" s="9"/>
    </row>
    <row r="42" spans="2:15" ht="15.75" x14ac:dyDescent="0.25">
      <c r="B42" s="7"/>
      <c r="C42" s="3"/>
      <c r="D42" s="70"/>
      <c r="E42" s="56"/>
      <c r="F42" s="131"/>
      <c r="G42" s="126"/>
      <c r="H42" s="126"/>
      <c r="I42" s="126"/>
      <c r="J42" s="126"/>
      <c r="K42" s="127"/>
      <c r="L42" s="83"/>
      <c r="M42" s="111"/>
      <c r="N42" s="60"/>
      <c r="O42" s="9"/>
    </row>
    <row r="43" spans="2:15" ht="15.75" x14ac:dyDescent="0.25">
      <c r="B43" s="7"/>
      <c r="C43" s="3"/>
      <c r="D43" s="70"/>
      <c r="E43" s="56"/>
      <c r="F43" s="159"/>
      <c r="G43" s="160"/>
      <c r="H43" s="160"/>
      <c r="I43" s="160"/>
      <c r="J43" s="160"/>
      <c r="K43" s="161"/>
      <c r="L43" s="83"/>
      <c r="M43" s="111"/>
      <c r="N43" s="60"/>
      <c r="O43" s="9"/>
    </row>
    <row r="44" spans="2:15" ht="15.75" x14ac:dyDescent="0.25">
      <c r="B44" s="7"/>
      <c r="C44" s="3"/>
      <c r="D44" s="70"/>
      <c r="E44" s="56"/>
      <c r="F44" s="159"/>
      <c r="G44" s="160"/>
      <c r="H44" s="160"/>
      <c r="I44" s="160"/>
      <c r="J44" s="160"/>
      <c r="K44" s="161"/>
      <c r="L44" s="83"/>
      <c r="M44" s="111"/>
      <c r="N44" s="60"/>
      <c r="O44" s="9"/>
    </row>
    <row r="45" spans="2:15" ht="15.75" x14ac:dyDescent="0.25">
      <c r="B45" s="7"/>
      <c r="C45" s="3"/>
      <c r="D45" s="70"/>
      <c r="E45" s="56"/>
      <c r="F45" s="132"/>
      <c r="G45" s="129"/>
      <c r="H45" s="129"/>
      <c r="I45" s="129"/>
      <c r="J45" s="129"/>
      <c r="K45" s="130"/>
      <c r="L45" s="83"/>
      <c r="M45" s="111"/>
      <c r="N45" s="60"/>
      <c r="O45" s="9"/>
    </row>
    <row r="46" spans="2:15" ht="15" x14ac:dyDescent="0.2">
      <c r="B46" s="7"/>
      <c r="C46" s="3"/>
      <c r="D46" s="71"/>
      <c r="E46" s="57"/>
      <c r="F46" s="134"/>
      <c r="G46" s="135"/>
      <c r="H46" s="135"/>
      <c r="I46" s="135"/>
      <c r="J46" s="135"/>
      <c r="K46" s="136"/>
      <c r="L46" s="83"/>
      <c r="M46" s="111" t="str">
        <f>IF(E46&lt;&gt;"",E46*L46,"")</f>
        <v/>
      </c>
      <c r="N46" s="60"/>
      <c r="O46" s="9"/>
    </row>
    <row r="47" spans="2:15" ht="15.75" x14ac:dyDescent="0.25">
      <c r="B47" s="7"/>
      <c r="C47" s="3"/>
      <c r="D47" s="3"/>
      <c r="E47" s="92"/>
      <c r="F47" s="133"/>
      <c r="G47" s="133"/>
      <c r="H47" s="133"/>
      <c r="I47" s="133"/>
      <c r="J47" s="133"/>
      <c r="K47" s="133"/>
      <c r="L47" s="115" t="s">
        <v>25</v>
      </c>
      <c r="M47" s="112">
        <f>SUM(M26:M46)</f>
        <v>9450</v>
      </c>
      <c r="N47" s="60"/>
      <c r="O47" s="9"/>
    </row>
    <row r="48" spans="2:15" ht="15" x14ac:dyDescent="0.2">
      <c r="B48" s="7"/>
      <c r="C48" s="3"/>
      <c r="D48" s="3"/>
      <c r="E48" s="92"/>
      <c r="F48" s="133"/>
      <c r="G48" s="133"/>
      <c r="H48" s="133"/>
      <c r="I48" s="133"/>
      <c r="J48" s="133"/>
      <c r="K48" s="133"/>
      <c r="L48" s="116">
        <v>0.19</v>
      </c>
      <c r="M48" s="117">
        <f>M47*0.19</f>
        <v>1795.5</v>
      </c>
      <c r="N48" s="60"/>
      <c r="O48" s="9"/>
    </row>
    <row r="49" spans="1:15" ht="15" x14ac:dyDescent="0.2">
      <c r="B49" s="7"/>
      <c r="C49" s="3"/>
      <c r="D49" s="3"/>
      <c r="E49" s="94"/>
      <c r="F49" s="133"/>
      <c r="G49" s="133"/>
      <c r="H49" s="133"/>
      <c r="I49" s="133"/>
      <c r="J49" s="133"/>
      <c r="K49" s="133"/>
      <c r="L49" s="119" t="s">
        <v>46</v>
      </c>
      <c r="M49" s="117">
        <v>0.6</v>
      </c>
      <c r="N49" s="60"/>
      <c r="O49" s="9"/>
    </row>
    <row r="50" spans="1:15" ht="15.75" x14ac:dyDescent="0.25">
      <c r="B50" s="7"/>
      <c r="C50" s="3"/>
      <c r="D50" s="3"/>
      <c r="E50" s="95"/>
      <c r="F50" s="121"/>
      <c r="G50" s="98"/>
      <c r="H50" s="95"/>
      <c r="I50" s="92"/>
      <c r="J50" s="87"/>
      <c r="K50" s="84"/>
      <c r="L50" s="118" t="s">
        <v>27</v>
      </c>
      <c r="M50" s="112">
        <f>+M47+M48+M49</f>
        <v>11246.1</v>
      </c>
      <c r="N50" s="60"/>
      <c r="O50" s="9"/>
    </row>
    <row r="51" spans="1:15" ht="15.75" x14ac:dyDescent="0.25">
      <c r="B51" s="7"/>
      <c r="C51" s="3"/>
      <c r="D51" s="3"/>
      <c r="E51" s="93"/>
      <c r="F51" s="93"/>
      <c r="G51" s="92"/>
      <c r="H51" s="93"/>
      <c r="I51" s="92"/>
      <c r="J51" s="88" t="s">
        <v>26</v>
      </c>
      <c r="K51" s="84"/>
      <c r="L51" s="89"/>
      <c r="M51" s="89"/>
      <c r="N51" s="60"/>
      <c r="O51" s="9"/>
    </row>
    <row r="52" spans="1:15" ht="17.100000000000001" customHeight="1" x14ac:dyDescent="0.25">
      <c r="B52" s="7"/>
      <c r="C52" s="162" t="s">
        <v>71</v>
      </c>
      <c r="D52" s="162"/>
      <c r="E52" s="162"/>
      <c r="F52" s="162"/>
      <c r="G52" s="162"/>
      <c r="H52" s="162"/>
      <c r="I52" s="162"/>
      <c r="J52" s="162"/>
      <c r="K52" s="162"/>
      <c r="L52" s="162"/>
      <c r="M52" s="113"/>
      <c r="N52" s="60"/>
      <c r="O52" s="9"/>
    </row>
    <row r="53" spans="1:15" ht="17.100000000000001" customHeight="1" x14ac:dyDescent="0.25">
      <c r="B53" s="7"/>
      <c r="C53" s="162"/>
      <c r="D53" s="162"/>
      <c r="E53" s="162"/>
      <c r="F53" s="162"/>
      <c r="G53" s="162"/>
      <c r="H53" s="162"/>
      <c r="I53" s="162"/>
      <c r="J53" s="162"/>
      <c r="K53" s="162"/>
      <c r="L53" s="162"/>
      <c r="M53" s="113"/>
      <c r="N53" s="60"/>
      <c r="O53" s="9"/>
    </row>
    <row r="54" spans="1:15" ht="17.100000000000001" customHeight="1" x14ac:dyDescent="0.2">
      <c r="B54" s="7"/>
      <c r="C54" s="3"/>
      <c r="D54" s="3"/>
      <c r="E54" s="97"/>
      <c r="F54" s="183"/>
      <c r="G54" s="184"/>
      <c r="H54" s="184"/>
      <c r="I54" s="184"/>
      <c r="J54" s="84"/>
      <c r="K54" s="84"/>
      <c r="L54" s="84"/>
      <c r="M54" s="114"/>
      <c r="N54" s="60"/>
      <c r="O54" s="9"/>
    </row>
    <row r="55" spans="1:15" ht="15" x14ac:dyDescent="0.2">
      <c r="B55" s="7"/>
      <c r="C55" s="3"/>
      <c r="D55" s="3"/>
      <c r="E55" s="20"/>
      <c r="F55" s="151"/>
      <c r="G55" s="152"/>
      <c r="H55" s="152"/>
      <c r="I55" s="152"/>
      <c r="J55" s="84"/>
      <c r="K55" s="84"/>
      <c r="L55" s="84"/>
      <c r="M55" s="84"/>
      <c r="N55" s="60"/>
      <c r="O55" s="9"/>
    </row>
    <row r="56" spans="1:15" ht="15" customHeight="1" x14ac:dyDescent="0.2">
      <c r="B56" s="7"/>
      <c r="C56" s="3"/>
      <c r="D56" s="3"/>
      <c r="E56" s="20"/>
      <c r="F56" s="85"/>
      <c r="G56" s="185"/>
      <c r="H56" s="186"/>
      <c r="I56" s="186"/>
      <c r="J56" s="84"/>
      <c r="K56" s="140" t="s">
        <v>53</v>
      </c>
      <c r="L56" s="120"/>
      <c r="M56" s="120"/>
      <c r="N56" s="60"/>
      <c r="O56" s="9"/>
    </row>
    <row r="57" spans="1:15" ht="15" x14ac:dyDescent="0.2">
      <c r="B57" s="7"/>
      <c r="C57" s="3"/>
      <c r="D57" s="3"/>
      <c r="E57" s="3"/>
      <c r="F57" s="84"/>
      <c r="G57" s="84"/>
      <c r="H57" s="84"/>
      <c r="I57" s="84"/>
      <c r="J57" s="84"/>
      <c r="K57" s="120"/>
      <c r="L57" s="120"/>
      <c r="M57" s="120"/>
      <c r="N57" s="60"/>
      <c r="O57" s="9"/>
    </row>
    <row r="58" spans="1:15" ht="15" x14ac:dyDescent="0.2">
      <c r="B58" s="7"/>
      <c r="C58" s="3"/>
      <c r="D58" s="104"/>
      <c r="E58" s="108"/>
      <c r="F58" s="84"/>
      <c r="G58" s="84"/>
      <c r="H58" s="84"/>
      <c r="I58" s="84"/>
      <c r="J58" s="86"/>
      <c r="K58" s="120"/>
      <c r="L58" s="120"/>
      <c r="M58" s="120"/>
      <c r="N58" s="60"/>
      <c r="O58" s="9"/>
    </row>
    <row r="59" spans="1:15" ht="15" x14ac:dyDescent="0.2">
      <c r="B59" s="7"/>
      <c r="C59" s="3"/>
      <c r="D59" s="3"/>
      <c r="E59" s="3"/>
      <c r="F59" s="106"/>
      <c r="G59" s="107"/>
      <c r="H59" s="107"/>
      <c r="I59" s="107"/>
      <c r="J59" s="107"/>
      <c r="K59" s="107"/>
      <c r="L59" s="107"/>
      <c r="M59" s="91"/>
      <c r="N59" s="60"/>
      <c r="O59" s="9"/>
    </row>
    <row r="60" spans="1:15" ht="15" x14ac:dyDescent="0.2">
      <c r="B60" s="7"/>
      <c r="C60" s="3"/>
      <c r="D60" s="3"/>
      <c r="E60" s="3"/>
      <c r="F60" s="107"/>
      <c r="G60" s="107"/>
      <c r="H60" s="107"/>
      <c r="I60" s="107"/>
      <c r="J60" s="107"/>
      <c r="K60" s="107"/>
      <c r="L60" s="107"/>
      <c r="M60" s="84"/>
      <c r="N60" s="60"/>
      <c r="O60" s="9"/>
    </row>
    <row r="61" spans="1:15" ht="15" x14ac:dyDescent="0.2">
      <c r="B61" s="7"/>
      <c r="C61" s="3"/>
      <c r="D61" s="3"/>
      <c r="E61" s="92"/>
      <c r="F61" s="107"/>
      <c r="G61" s="107"/>
      <c r="H61" s="107"/>
      <c r="I61" s="107"/>
      <c r="J61" s="107"/>
      <c r="K61" s="107"/>
      <c r="L61" s="107"/>
      <c r="M61" s="84"/>
      <c r="N61" s="60"/>
      <c r="O61" s="9"/>
    </row>
    <row r="62" spans="1:15" ht="15" x14ac:dyDescent="0.2">
      <c r="A62" s="107"/>
      <c r="B62" s="107"/>
      <c r="C62" s="107"/>
      <c r="D62" s="107"/>
      <c r="E62" s="107"/>
      <c r="F62" s="107"/>
      <c r="G62" s="107"/>
      <c r="H62" s="107"/>
      <c r="I62" s="107"/>
      <c r="J62" s="107"/>
      <c r="K62" s="107"/>
      <c r="L62" s="107"/>
      <c r="M62" s="90"/>
      <c r="N62" s="60"/>
      <c r="O62" s="9"/>
    </row>
    <row r="63" spans="1:15" ht="13.5" thickBot="1" x14ac:dyDescent="0.25">
      <c r="A63" s="3"/>
      <c r="B63" s="3"/>
      <c r="C63" s="3"/>
      <c r="D63" s="3"/>
      <c r="E63" s="3"/>
      <c r="F63" s="3"/>
      <c r="G63" s="3"/>
      <c r="H63" s="3"/>
      <c r="I63" s="3"/>
      <c r="J63" s="3"/>
      <c r="K63" s="3"/>
      <c r="L63" s="3"/>
      <c r="M63" s="3"/>
      <c r="N63" s="60"/>
      <c r="O63" s="9"/>
    </row>
    <row r="64" spans="1:15" ht="13.5" thickTop="1" x14ac:dyDescent="0.2">
      <c r="A64" s="61"/>
      <c r="B64" s="61"/>
      <c r="C64" s="61"/>
      <c r="D64" s="61"/>
      <c r="E64" s="61"/>
      <c r="F64" s="61"/>
      <c r="G64" s="61"/>
      <c r="H64" s="61"/>
      <c r="I64" s="61"/>
      <c r="J64" s="61"/>
      <c r="K64" s="61"/>
      <c r="L64" s="61"/>
      <c r="M64" s="61"/>
      <c r="N64" s="60"/>
      <c r="O64" s="9"/>
    </row>
    <row r="65" spans="1:15" ht="3" customHeight="1" x14ac:dyDescent="0.2">
      <c r="A65" s="153"/>
      <c r="B65" s="154"/>
      <c r="C65" s="154"/>
      <c r="D65" s="154"/>
      <c r="E65" s="154"/>
      <c r="F65" s="153"/>
      <c r="G65" s="154"/>
      <c r="H65" s="154"/>
      <c r="I65" s="154"/>
      <c r="J65" s="154"/>
      <c r="K65" s="154"/>
      <c r="L65" s="154"/>
      <c r="M65" s="153"/>
      <c r="N65" s="60"/>
      <c r="O65" s="9"/>
    </row>
    <row r="66" spans="1:15" x14ac:dyDescent="0.2">
      <c r="A66" s="155"/>
      <c r="B66" s="155"/>
      <c r="C66" s="155"/>
      <c r="D66" s="155"/>
      <c r="E66" s="155"/>
      <c r="F66" s="155"/>
      <c r="G66" s="155"/>
      <c r="H66" s="155"/>
      <c r="I66" s="155"/>
      <c r="J66" s="155"/>
      <c r="K66" s="155"/>
      <c r="L66" s="155"/>
      <c r="M66" s="155"/>
      <c r="N66" s="60"/>
      <c r="O66" s="9"/>
    </row>
    <row r="67" spans="1:15" x14ac:dyDescent="0.2">
      <c r="A67" s="155"/>
      <c r="B67" s="155"/>
      <c r="C67" s="155"/>
      <c r="D67" s="155"/>
      <c r="E67" s="155"/>
      <c r="F67" s="155"/>
      <c r="G67" s="155"/>
      <c r="H67" s="155"/>
      <c r="I67" s="155"/>
      <c r="J67" s="155"/>
      <c r="K67" s="155"/>
      <c r="L67" s="155"/>
      <c r="M67" s="155"/>
      <c r="N67" s="60"/>
      <c r="O67" s="9"/>
    </row>
    <row r="68" spans="1:15" ht="13.5" thickBot="1" x14ac:dyDescent="0.25">
      <c r="B68" s="10"/>
      <c r="C68" s="11"/>
      <c r="D68" s="11"/>
      <c r="E68" s="11"/>
      <c r="F68" s="11"/>
      <c r="G68" s="11"/>
      <c r="H68" s="11"/>
      <c r="I68" s="11"/>
      <c r="J68" s="11"/>
      <c r="K68" s="11"/>
      <c r="L68" s="11"/>
      <c r="M68" s="3"/>
      <c r="N68" s="60"/>
      <c r="O68" s="9"/>
    </row>
    <row r="69" spans="1:15" ht="0.95" customHeight="1" thickTop="1" thickBot="1" x14ac:dyDescent="0.25">
      <c r="M69" s="11"/>
      <c r="N69" s="11"/>
      <c r="O69" s="12"/>
    </row>
    <row r="70"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D30" val="RF458"/>
      <inputCells r="E26" val="1"/>
      <inputCells r="F26" val="Fauteuil ergonomique"/>
      <inputCells r="L25" val="2300" numFmtId="8"/>
      <inputCells r="L26" val="1300" numFmtId="8"/>
      <inputCells r="L26" undone="1" val="2"/>
      <inputCells r="L25" undone="1" val="2"/>
    </scenario>
  </scenarios>
  <mergeCells count="28">
    <mergeCell ref="F27:K27"/>
    <mergeCell ref="F35:K35"/>
    <mergeCell ref="F34:K34"/>
    <mergeCell ref="F31:K31"/>
    <mergeCell ref="F25:K25"/>
    <mergeCell ref="F33:K33"/>
    <mergeCell ref="M65:M67"/>
    <mergeCell ref="L19:M19"/>
    <mergeCell ref="L22:M22"/>
    <mergeCell ref="G21:H21"/>
    <mergeCell ref="E20:J20"/>
    <mergeCell ref="E19:J19"/>
    <mergeCell ref="E22:J22"/>
    <mergeCell ref="L20:M20"/>
    <mergeCell ref="F24:K24"/>
    <mergeCell ref="F26:K26"/>
    <mergeCell ref="F54:I54"/>
    <mergeCell ref="F37:K37"/>
    <mergeCell ref="G56:I56"/>
    <mergeCell ref="F65:L67"/>
    <mergeCell ref="F36:K36"/>
    <mergeCell ref="F30:K30"/>
    <mergeCell ref="F55:I55"/>
    <mergeCell ref="A65:E67"/>
    <mergeCell ref="F39:K39"/>
    <mergeCell ref="F43:K43"/>
    <mergeCell ref="F44:K44"/>
    <mergeCell ref="C52: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 K56:K57 K54:L54"/>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allowBlank="1" showErrorMessage="1" sqref="G21:H21"/>
    <dataValidation type="decimal" allowBlank="1" showErrorMessage="1" errorTitle="Prix unitaire" error="Tapez un nombre dans cette cellule." promptTitle="Prix unitaire" sqref="L25: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4 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L67"/>
  </dataValidations>
  <printOptions horizontalCentered="1"/>
  <pageMargins left="0.51181102362204722" right="0.51181102362204722" top="0.51181102362204722" bottom="0.51181102362204722" header="0.51181102362204722" footer="0.51181102362204722"/>
  <pageSetup paperSize="9" scale="84"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0</xdr:rowOff>
                  </from>
                  <to>
                    <xdr:col>4</xdr:col>
                    <xdr:colOff>714375</xdr:colOff>
                    <xdr:row>51</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Date:22/03/2019</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Facture!$M$50</f>
        <v>11246.1</v>
      </c>
      <c r="K8" s="73" t="str">
        <f>Facture!$L$21</f>
        <v>Responsable:</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87</vt:i4>
      </vt:variant>
    </vt:vector>
  </HeadingPairs>
  <TitlesOfParts>
    <vt:vector size="9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2019-01-25T10:18:38Z</cp:lastPrinted>
  <dcterms:created xsi:type="dcterms:W3CDTF">1995-05-29T15:50:39Z</dcterms:created>
  <dcterms:modified xsi:type="dcterms:W3CDTF">2019-03-22T08:36:29Z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11246.1</vt:r8>
  </property>
</Properties>
</file>