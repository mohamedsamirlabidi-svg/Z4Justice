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<sst xmlns="http://schemas.openxmlformats.org/spreadsheetml/2006/main" count="87" uniqueCount="73">
  <si>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</si>
  <si>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</si>
  <si>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</si>
  <si>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</si>
  <si>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</si>
  <si>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</si>
  <si>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</si>
  <si>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</si>
  <si>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</si>
  <si>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</si>
  <si>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</si>
  <si>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</si>
  <si>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</si>
  <si>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</si>
  <si>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</si>
  <si>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</si>
  <si>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</si>
  <si>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</si>
  <si>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</si>
  <si>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</si>
  <si>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</si>
  <si>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</si>
  <si>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</si>
  <si>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</si>
  <si>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</si>
  <si>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</si>
  <si>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</si>
  <si>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</si>
  <si>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</si>
  <si>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</si>
  <si>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</si>
  <si>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</si>
  <si>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</si>
  <si>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</si>
  <si>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</si>
  <si>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</si>
  <si>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</si>
  <si>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</si>
  <si>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</si>
  <si>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</si>
  <si>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</si>
  <si>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</si>
  <si>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</si>
  <si>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</si>
  <si>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</si>
  <si>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</si>
  <si>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</si>
  <si>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</si>
  <si>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</si>
  <si>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</si>
  <si>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</si>
  <si>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</si>
  <si>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</si>
  <si>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</si>
  <si>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</si>
  <si>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</si>
  <si>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</si>
  <si>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</si>
  <si>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</si>
  <si>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</si>
  <si>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</si>
  <si>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 xml:space="preserve">FORMATION THEORIQUE ET PRATIQUE SUR  </t>
  </si>
  <si>
    <t>Khouloud BELKAHLA</t>
  </si>
  <si>
    <t>LE THEME  :</t>
  </si>
  <si>
    <t xml:space="preserve">Virement </t>
  </si>
  <si>
    <t>Espèce</t>
  </si>
  <si>
    <t>30 jours</t>
  </si>
  <si>
    <t>FACTURE  N° 2019007</t>
  </si>
  <si>
    <t>Date:19/02/2019</t>
  </si>
  <si>
    <t>Réf Commande:19/0250</t>
  </si>
  <si>
    <t>HCCH</t>
  </si>
  <si>
    <t xml:space="preserve">HABILITATION CONDUITE CHARIOT </t>
  </si>
  <si>
    <t xml:space="preserve">ARRETE LA PRESENTE FACTURE  A LA SOMME DE :  DEUX MILLE CENT QUARANTE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</si>
</sst>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13" zoomScale="95" workbookViewId="0">
      <selection activeCell="L62" sqref="L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84" t="s">
        <v>57</v>
      </c>
      <c r="F19" s="185"/>
      <c r="G19" s="185"/>
      <c r="H19" s="185"/>
      <c r="I19" s="185"/>
      <c r="J19" s="185"/>
      <c r="K19" s="108"/>
      <c r="L19" s="176" t="s">
        <v>68</v>
      </c>
      <c r="M19" s="177"/>
      <c r="N19" s="58"/>
      <c r="O19" s="9"/>
    </row>
    <row r="20" spans="2:15" x14ac:dyDescent="0.2">
      <c r="B20" s="7"/>
      <c r="C20" s="3"/>
      <c r="D20" s="91" t="s">
        <v>5</v>
      </c>
      <c r="E20" s="182" t="s">
        <v>58</v>
      </c>
      <c r="F20" s="183"/>
      <c r="G20" s="183"/>
      <c r="H20" s="183"/>
      <c r="I20" s="183"/>
      <c r="J20" s="183"/>
      <c r="K20" s="91"/>
      <c r="L20" s="188" t="s">
        <v>69</v>
      </c>
      <c r="M20" s="189"/>
      <c r="N20" s="59"/>
      <c r="O20" s="9"/>
    </row>
    <row r="21" spans="2:15" x14ac:dyDescent="0.2">
      <c r="B21" s="7"/>
      <c r="C21" s="3"/>
      <c r="D21" s="91" t="s">
        <v>7</v>
      </c>
      <c r="E21" s="99">
        <v>2051</v>
      </c>
      <c r="F21" s="100" t="s">
        <v>8</v>
      </c>
      <c r="G21" s="180" t="s">
        <v>59</v>
      </c>
      <c r="H21" s="181"/>
      <c r="I21" s="101" t="s">
        <v>9</v>
      </c>
      <c r="J21" s="98" t="s">
        <v>51</v>
      </c>
      <c r="K21" s="91"/>
      <c r="L21" s="124" t="s">
        <v>55</v>
      </c>
      <c r="M21" s="154" t="s">
        <v>62</v>
      </c>
      <c r="N21" s="124"/>
      <c r="O21" s="9"/>
    </row>
    <row r="22" spans="2:15" x14ac:dyDescent="0.2">
      <c r="B22" s="7"/>
      <c r="C22" s="3"/>
      <c r="D22" s="91" t="s">
        <v>20</v>
      </c>
      <c r="E22" s="186" t="s">
        <v>60</v>
      </c>
      <c r="F22" s="187"/>
      <c r="G22" s="187"/>
      <c r="H22" s="187"/>
      <c r="I22" s="187"/>
      <c r="J22" s="187"/>
      <c r="K22" s="91"/>
      <c r="L22" s="178" t="s">
        <v>56</v>
      </c>
      <c r="M22" s="17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90" t="s">
        <v>22</v>
      </c>
      <c r="G24" s="191"/>
      <c r="H24" s="191"/>
      <c r="I24" s="191"/>
      <c r="J24" s="191"/>
      <c r="K24" s="192"/>
      <c r="L24" s="53" t="s">
        <v>23</v>
      </c>
      <c r="M24" s="54" t="s">
        <v>24</v>
      </c>
      <c r="N24" s="60"/>
      <c r="O24" s="9"/>
    </row>
    <row r="25" spans="2:15" x14ac:dyDescent="0.2">
      <c r="B25" s="7"/>
      <c r="C25" s="3"/>
      <c r="D25" s="70"/>
      <c r="E25" s="55"/>
      <c r="F25" s="193"/>
      <c r="G25" s="194"/>
      <c r="H25" s="194"/>
      <c r="I25" s="194"/>
      <c r="J25" s="194"/>
      <c r="K25" s="195"/>
      <c r="L25" s="79"/>
      <c r="M25" s="110" t="str">
        <f t="shared" ref="M25:M35" si="0">IF(E25&lt;&gt;"",E25*L25,"")</f>
        <v/>
      </c>
      <c r="N25" s="60"/>
      <c r="O25" s="9"/>
    </row>
    <row r="26" spans="2:15" ht="15" x14ac:dyDescent="0.2">
      <c r="B26" s="7"/>
      <c r="C26" s="3"/>
      <c r="D26" s="125"/>
      <c r="E26" s="82"/>
      <c r="F26" s="169" t="s">
        <v>61</v>
      </c>
      <c r="G26" s="172"/>
      <c r="H26" s="172"/>
      <c r="I26" s="172"/>
      <c r="J26" s="172"/>
      <c r="K26" s="173"/>
      <c r="L26" s="83"/>
      <c r="M26" s="111" t="str">
        <f t="shared" si="0"/>
        <v/>
      </c>
      <c r="N26" s="60"/>
      <c r="O26" s="9"/>
    </row>
    <row r="27" spans="2:15" ht="15" x14ac:dyDescent="0.2">
      <c r="B27" s="7"/>
      <c r="C27" s="3"/>
      <c r="D27" s="70"/>
      <c r="E27" s="82"/>
      <c r="F27" s="169" t="s">
        <v>63</v>
      </c>
      <c r="G27" s="172"/>
      <c r="H27" s="172"/>
      <c r="I27" s="172"/>
      <c r="J27" s="172"/>
      <c r="K27" s="173"/>
      <c r="L27" s="83"/>
      <c r="M27" s="111" t="str">
        <f t="shared" si="0"/>
        <v/>
      </c>
      <c r="N27" s="60"/>
      <c r="O27" s="9"/>
    </row>
    <row r="28" spans="2:15" ht="25.5" x14ac:dyDescent="0.35">
      <c r="B28" s="7"/>
      <c r="C28" s="3"/>
      <c r="D28" s="109"/>
      <c r="E28" s="82"/>
      <c r="F28" s="169"/>
      <c r="G28" s="170"/>
      <c r="H28" s="170"/>
      <c r="I28" s="170"/>
      <c r="J28" s="170"/>
      <c r="K28" s="171"/>
      <c r="L28" s="83"/>
      <c r="M28" s="111" t="str">
        <f t="shared" si="0"/>
        <v/>
      </c>
      <c r="N28" s="60"/>
      <c r="O28" s="9"/>
    </row>
    <row r="29" spans="2:15" ht="15" x14ac:dyDescent="0.2">
      <c r="B29" s="7"/>
      <c r="C29" s="3"/>
      <c r="D29" s="70"/>
      <c r="E29" s="82"/>
      <c r="F29" s="169"/>
      <c r="G29" s="170"/>
      <c r="H29" s="170"/>
      <c r="I29" s="170"/>
      <c r="J29" s="170"/>
      <c r="K29" s="171"/>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70</v>
      </c>
      <c r="E31" s="56">
        <v>2</v>
      </c>
      <c r="F31" s="129" t="s">
        <v>71</v>
      </c>
      <c r="G31" s="130"/>
      <c r="H31" s="130"/>
      <c r="I31" s="130"/>
      <c r="J31" s="130"/>
      <c r="K31" s="131"/>
      <c r="L31" s="83">
        <v>900</v>
      </c>
      <c r="M31" s="111">
        <f t="shared" si="0"/>
        <v>1800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1800</v>
      </c>
      <c r="N48" s="60"/>
      <c r="O48" s="9"/>
    </row>
    <row r="49" spans="1:15" ht="15" x14ac:dyDescent="0.2">
      <c r="B49" s="7"/>
      <c r="C49" s="3"/>
      <c r="D49" s="3"/>
      <c r="E49" s="91"/>
      <c r="F49" s="125"/>
      <c r="G49" s="125"/>
      <c r="H49" s="125"/>
      <c r="I49" s="125"/>
      <c r="J49" s="125"/>
      <c r="K49" s="125"/>
      <c r="L49" s="115">
        <v>0.19</v>
      </c>
      <c r="M49" s="116">
        <f>M48*0.19</f>
        <v>342</v>
      </c>
      <c r="N49" s="60"/>
      <c r="O49" s="9"/>
    </row>
    <row r="50" spans="1:15" ht="15" x14ac:dyDescent="0.2">
      <c r="B50" s="7"/>
      <c r="C50" s="3"/>
      <c r="D50" s="3"/>
      <c r="E50" s="93"/>
      <c r="F50" s="159" t="s">
        <v>64</v>
      </c>
      <c r="G50" s="157" t="s">
        <v>66</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2142.6</v>
      </c>
      <c r="N51" s="60"/>
      <c r="O51" s="9"/>
    </row>
    <row r="52" spans="1:15" ht="15.75" x14ac:dyDescent="0.25">
      <c r="B52" s="7"/>
      <c r="C52" s="3"/>
      <c r="D52" s="3"/>
      <c r="E52" s="92"/>
      <c r="F52" s="158" t="s">
        <v>65</v>
      </c>
      <c r="G52" s="91"/>
      <c r="H52" s="92"/>
      <c r="I52" s="91"/>
      <c r="J52" s="87" t="s">
        <v>27</v>
      </c>
      <c r="K52" s="84"/>
      <c r="L52" s="88"/>
      <c r="M52" s="88"/>
      <c r="N52" s="60"/>
      <c r="O52" s="9"/>
    </row>
    <row r="53" spans="1:15" ht="34.5" x14ac:dyDescent="0.45">
      <c r="B53" s="7"/>
      <c r="C53" s="120"/>
      <c r="D53" s="167" t="s">
        <v>72</v>
      </c>
      <c r="E53" s="168"/>
      <c r="F53" s="168"/>
      <c r="G53" s="168"/>
      <c r="H53" s="168"/>
      <c r="I53" s="168"/>
      <c r="J53" s="168"/>
      <c r="K53" s="168"/>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96"/>
      <c r="G55" s="197"/>
      <c r="H55" s="197"/>
      <c r="I55" s="197"/>
      <c r="J55" s="84"/>
      <c r="K55" s="84"/>
      <c r="L55" s="84"/>
      <c r="M55" s="114"/>
      <c r="N55" s="60"/>
      <c r="O55" s="9"/>
    </row>
    <row r="56" spans="1:15" ht="17.100000000000001" customHeight="1" x14ac:dyDescent="0.2">
      <c r="B56" s="7"/>
      <c r="C56" s="3"/>
      <c r="D56" s="3"/>
      <c r="E56" s="20"/>
      <c r="F56" s="200"/>
      <c r="G56" s="201"/>
      <c r="H56" s="201"/>
      <c r="I56" s="201"/>
      <c r="J56" s="84"/>
      <c r="K56" s="84"/>
      <c r="L56" s="84"/>
      <c r="M56" s="84"/>
      <c r="N56" s="60"/>
      <c r="O56" s="9"/>
    </row>
    <row r="57" spans="1:15" ht="15.75" x14ac:dyDescent="0.2">
      <c r="B57" s="7"/>
      <c r="C57" s="3"/>
      <c r="D57" s="3"/>
      <c r="E57" s="20"/>
      <c r="F57" s="85"/>
      <c r="G57" s="198"/>
      <c r="H57" s="199"/>
      <c r="I57" s="199"/>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74"/>
      <c r="B66" s="174"/>
      <c r="C66" s="174"/>
      <c r="D66" s="174"/>
      <c r="E66" s="174"/>
      <c r="F66" s="174"/>
      <c r="G66" s="174"/>
      <c r="H66" s="174"/>
      <c r="I66" s="174"/>
      <c r="J66" s="174"/>
      <c r="K66" s="174"/>
      <c r="L66" s="174"/>
      <c r="M66" s="174"/>
      <c r="N66" s="60"/>
      <c r="O66" s="9"/>
    </row>
    <row r="67" spans="1:15" ht="3" customHeight="1" x14ac:dyDescent="0.2">
      <c r="A67" s="175"/>
      <c r="B67" s="175"/>
      <c r="C67" s="175"/>
      <c r="D67" s="175"/>
      <c r="E67" s="175"/>
      <c r="F67" s="175"/>
      <c r="G67" s="175"/>
      <c r="H67" s="175"/>
      <c r="I67" s="175"/>
      <c r="J67" s="175"/>
      <c r="K67" s="175"/>
      <c r="L67" s="175"/>
      <c r="M67" s="175"/>
      <c r="N67" s="60"/>
      <c r="O67" s="9"/>
    </row>
    <row r="68" spans="1:15" x14ac:dyDescent="0.2">
      <c r="A68" s="175"/>
      <c r="B68" s="175"/>
      <c r="C68" s="175"/>
      <c r="D68" s="175"/>
      <c r="E68" s="175"/>
      <c r="F68" s="175"/>
      <c r="G68" s="175"/>
      <c r="H68" s="175"/>
      <c r="I68" s="175"/>
      <c r="J68" s="175"/>
      <c r="K68" s="175"/>
      <c r="L68" s="175"/>
      <c r="M68" s="175"/>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J66:J68"/>
    <mergeCell ref="K66:K68"/>
    <mergeCell ref="L66:L68"/>
    <mergeCell ref="F24:K24"/>
    <mergeCell ref="F25:K25"/>
    <mergeCell ref="F26:K26"/>
    <mergeCell ref="F55:I55"/>
    <mergeCell ref="G57:I57"/>
    <mergeCell ref="F56:I56"/>
    <mergeCell ref="L19:M19"/>
    <mergeCell ref="L22:M22"/>
    <mergeCell ref="G21:H21"/>
    <mergeCell ref="E20:J20"/>
    <mergeCell ref="E19:J19"/>
    <mergeCell ref="E22:J22"/>
    <mergeCell ref="L20:M20"/>
    <mergeCell ref="D53:K53"/>
    <mergeCell ref="F28:K28"/>
    <mergeCell ref="F27:K27"/>
    <mergeCell ref="F29:K29"/>
    <mergeCell ref="M66:M68"/>
    <mergeCell ref="A66:A68"/>
    <mergeCell ref="B66:B68"/>
    <mergeCell ref="C66:C68"/>
    <mergeCell ref="D66:D68"/>
    <mergeCell ref="E66:E68"/>
    <mergeCell ref="F66:F68"/>
    <mergeCell ref="G66:G68"/>
    <mergeCell ref="H66:H68"/>
    <mergeCell ref="I66:I6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Date:19/02/2019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2142.6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2019-02-19T09:01:50Z</cp:lastPrinted>
  <dcterms:created xsi:type="dcterms:W3CDTF">1995-05-29T15:50:39Z</dcterms:created>
  <dcterms:modified xsi:type="dcterms:W3CDTF">2019-02-19T09:01:52Z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2142.6</vt:r8>
  </property>
</Properties>
</file>