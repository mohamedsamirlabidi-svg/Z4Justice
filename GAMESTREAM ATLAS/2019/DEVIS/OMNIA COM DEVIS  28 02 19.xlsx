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Facture!$E$50</definedName>
    <definedName name="data6">Facture!$F$20</definedName>
    <definedName name="data60">Facture!$F$46</definedName>
    <definedName name="data61">Facture!$L$50</definedName>
    <definedName name="data62">Facture!$E$53</definedName>
    <definedName name="data63">Facture!$E$54</definedName>
    <definedName name="data64">Facture!#REF!</definedName>
    <definedName name="data65">Facture!$H$54</definedName>
    <definedName name="data66">Facture!$F$56</definedName>
    <definedName name="data67">Facture!$F$59</definedName>
    <definedName name="data68">Facture!$G$60</definedName>
    <definedName name="data69">Facture!$K$61</definedName>
    <definedName name="data7">Facture!$H$21</definedName>
    <definedName name="data70">Facture!$K$62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Facture!$F$46:$K$46</definedName>
    <definedName name="qzqzqz26">Facture!$F$56:$I$56</definedName>
    <definedName name="qzqzqz27">Facture!$F$58:$I$58</definedName>
    <definedName name="qzqzqz28">Facture!$F$59:$I$59</definedName>
    <definedName name="qzqzqz29">Facture!$K$60:$M$62</definedName>
    <definedName name="qzqzqz3">Facture!$E$20:$J$20</definedName>
    <definedName name="qzqzqz30">Facture!$G$60:$I$60</definedName>
    <definedName name="qzqzqz31">Facture!$G$60:$H$60</definedName>
    <definedName name="qzqzqz32">Facture!$K$59:$M$61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38" i="3" l="1"/>
  <c r="M37" i="3" l="1"/>
  <c r="M32" i="3"/>
  <c r="M25" i="3"/>
  <c r="M26" i="3"/>
  <c r="M27" i="3"/>
  <c r="M28" i="3"/>
  <c r="M29" i="3"/>
  <c r="M50" i="3"/>
  <c r="F33" i="2"/>
  <c r="B8" i="8"/>
  <c r="C8" i="8"/>
  <c r="D8" i="8"/>
  <c r="E8" i="8"/>
  <c r="F8" i="8"/>
  <c r="G8" i="8"/>
  <c r="H8" i="8"/>
  <c r="I8" i="8"/>
  <c r="K8" i="8"/>
  <c r="M51" i="3" l="1"/>
  <c r="M52" i="3" s="1"/>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<sst xmlns="http://schemas.openxmlformats.org/spreadsheetml/2006/main" count="101" uniqueCount="87">
  <si>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</si>
  <si>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</si>
  <si>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</si>
  <si>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</si>
  <si>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</si>
  <si>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</si>
  <si>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</si>
  <si>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</si>
  <si>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</si>
  <si>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</si>
  <si>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</si>
  <si>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</si>
  <si>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</si>
  <si>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</si>
  <si>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</si>
  <si>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</si>
  <si>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</si>
  <si>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</si>
  <si>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</si>
  <si>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</si>
  <si>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</si>
  <si>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</si>
  <si>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</si>
  <si>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</si>
  <si>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</si>
  <si>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</si>
  <si>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</si>
  <si>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</si>
  <si>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</si>
  <si>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</si>
  <si>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</si>
  <si>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</si>
  <si>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</si>
  <si>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</si>
  <si>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</si>
  <si>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</si>
  <si>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</si>
  <si>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</si>
  <si>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</si>
  <si>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</si>
  <si>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</si>
  <si>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</si>
  <si>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</si>
  <si>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</si>
  <si>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</si>
  <si>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</si>
  <si>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</si>
  <si>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</si>
  <si>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</si>
  <si>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</si>
  <si>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</si>
  <si>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</si>
  <si>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</si>
  <si>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</si>
  <si>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</si>
  <si>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</si>
  <si>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</si>
  <si>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</si>
  <si>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</si>
  <si>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</si>
  <si>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</si>
  <si>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</si>
  <si>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</si>
  <si>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</si>
  <si>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</si>
  <si>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</si>
  <si>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</si>
  <si>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</si>
  <si>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</si>
  <si>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</si>
  <si>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</si>
  <si>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 xml:space="preserve"> DE DEMONSTRATION  PRATIQUE  </t>
  </si>
  <si>
    <t>VALABLE 3ANS</t>
  </si>
  <si>
    <t>DEVIS N°2019085</t>
  </si>
  <si>
    <t>Date:28/02/2019</t>
  </si>
  <si>
    <t>Habilitation électrique H0V (non électricien)</t>
  </si>
  <si>
    <t>Habilitation électrique B1- B2- B2V – BC –BR</t>
  </si>
  <si>
    <t>Formation conducteurs nacelles - CACES Nacelles</t>
  </si>
  <si>
    <t>HE002</t>
  </si>
  <si>
    <t>HE001</t>
  </si>
  <si>
    <t>FCN001</t>
  </si>
  <si>
    <t>(plus les frais de location nacelle)</t>
  </si>
  <si>
    <t>200DT PAR PERSONNE</t>
  </si>
  <si>
    <t xml:space="preserve">200 DT PAR PERSONNE </t>
  </si>
  <si>
    <t>900DT  PAR JOUR PAR GROUPE</t>
  </si>
  <si>
    <t xml:space="preserve">ARRETE LA PRESENTE  DEVIS A LA SOMME DE: DEUX MILLE SIX CENT DIX HUIT DINARS ET 600 MILLIMES </t>
  </si>
  <si>
    <t xml:space="preserve">DUREE 2 JOURS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</si>
</sst>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0</xdr:rowOff>
        </xdr:from>
        <xdr:to>
          <xdr:col>4</xdr:col>
          <xdr:colOff>714375</xdr:colOff>
          <xdr:row>55</xdr:row>
          <xdr:rowOff>19051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59</xdr:row>
      <xdr:rowOff>170448</xdr:rowOff>
    </xdr:from>
    <xdr:to>
      <xdr:col>12</xdr:col>
      <xdr:colOff>1032711</xdr:colOff>
      <xdr:row>66</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6" t="s">
        <v>0</v>
      </c>
      <c r="E4" s="147"/>
      <c r="F4" s="14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8" t="s">
        <v>2</v>
      </c>
      <c r="E10" s="14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0" t="s">
        <v>46</v>
      </c>
      <c r="E19" s="14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1" t="str">
        <f>LOWER(TemplateInformation!B3)</f>
        <v>c:\program files\microsoft office\office\macrolib\factbd.xls</v>
      </c>
      <c r="G33" s="15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8" t="s">
        <v>16</v>
      </c>
      <c r="E36" s="14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4"/>
  <sheetViews>
    <sheetView showGridLines="0" showRowColHeaders="0" tabSelected="1" topLeftCell="A28" zoomScale="95" workbookViewId="0">
      <selection activeCell="F43" sqref="F43:K4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73</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66</v>
      </c>
      <c r="F19" s="177"/>
      <c r="G19" s="177"/>
      <c r="H19" s="177"/>
      <c r="I19" s="177"/>
      <c r="J19" s="177"/>
      <c r="K19" s="108"/>
      <c r="L19" s="169" t="s">
        <v>74</v>
      </c>
      <c r="M19" s="170"/>
      <c r="N19" s="58"/>
      <c r="O19" s="9"/>
    </row>
    <row r="20" spans="2:15" x14ac:dyDescent="0.2">
      <c r="B20" s="7"/>
      <c r="C20" s="3"/>
      <c r="D20" s="91" t="s">
        <v>5</v>
      </c>
      <c r="E20" s="174" t="s">
        <v>67</v>
      </c>
      <c r="F20" s="175"/>
      <c r="G20" s="175"/>
      <c r="H20" s="175"/>
      <c r="I20" s="175"/>
      <c r="J20" s="175"/>
      <c r="K20" s="91"/>
      <c r="L20" s="180" t="s">
        <v>55</v>
      </c>
      <c r="M20" s="181"/>
      <c r="N20" s="59"/>
      <c r="O20" s="9"/>
    </row>
    <row r="21" spans="2:15" x14ac:dyDescent="0.2">
      <c r="B21" s="7"/>
      <c r="C21" s="3"/>
      <c r="D21" s="91" t="s">
        <v>7</v>
      </c>
      <c r="E21" s="99">
        <v>2088</v>
      </c>
      <c r="F21" s="100" t="s">
        <v>8</v>
      </c>
      <c r="G21" s="173"/>
      <c r="H21" s="173"/>
      <c r="I21" s="101" t="s">
        <v>9</v>
      </c>
      <c r="J21" s="98" t="s">
        <v>51</v>
      </c>
      <c r="K21" s="91"/>
      <c r="L21" s="125" t="s">
        <v>56</v>
      </c>
      <c r="M21" s="125" t="s">
        <v>69</v>
      </c>
      <c r="N21" s="125"/>
      <c r="O21" s="9"/>
    </row>
    <row r="22" spans="2:15" x14ac:dyDescent="0.2">
      <c r="B22" s="7"/>
      <c r="C22" s="3"/>
      <c r="D22" s="91" t="s">
        <v>20</v>
      </c>
      <c r="E22" s="178" t="s">
        <v>68</v>
      </c>
      <c r="F22" s="179"/>
      <c r="G22" s="179"/>
      <c r="H22" s="179"/>
      <c r="I22" s="179"/>
      <c r="J22" s="179"/>
      <c r="K22" s="91"/>
      <c r="L22" s="171" t="s">
        <v>70</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8" si="0">IF(E25&lt;&gt;"",E25*L25,"")</f>
        <v/>
      </c>
      <c r="N25" s="60"/>
      <c r="O25" s="9"/>
    </row>
    <row r="26" spans="2:15" ht="15" x14ac:dyDescent="0.2">
      <c r="B26" s="7"/>
      <c r="C26" s="3"/>
      <c r="D26" s="136" t="s">
        <v>78</v>
      </c>
      <c r="E26" s="82">
        <v>1</v>
      </c>
      <c r="F26" s="166" t="s">
        <v>76</v>
      </c>
      <c r="G26" s="167"/>
      <c r="H26" s="167"/>
      <c r="I26" s="167"/>
      <c r="J26" s="167"/>
      <c r="K26" s="168"/>
      <c r="L26" s="83">
        <v>200</v>
      </c>
      <c r="M26" s="111">
        <f t="shared" si="0"/>
        <v>200</v>
      </c>
      <c r="N26" s="60"/>
      <c r="O26" s="9"/>
    </row>
    <row r="27" spans="2:15" ht="15" x14ac:dyDescent="0.2">
      <c r="B27" s="7"/>
      <c r="C27" s="3"/>
      <c r="D27" s="70"/>
      <c r="E27" s="82"/>
      <c r="F27" s="166" t="s">
        <v>82</v>
      </c>
      <c r="G27" s="167"/>
      <c r="H27" s="167"/>
      <c r="I27" s="167"/>
      <c r="J27" s="167"/>
      <c r="K27" s="168"/>
      <c r="L27" s="83"/>
      <c r="M27" s="111" t="str">
        <f t="shared" si="0"/>
        <v/>
      </c>
      <c r="N27" s="60"/>
      <c r="O27" s="9"/>
    </row>
    <row r="28" spans="2:15" ht="25.5" x14ac:dyDescent="0.35">
      <c r="B28" s="7"/>
      <c r="C28" s="3"/>
      <c r="D28" s="109"/>
      <c r="E28" s="82"/>
      <c r="F28" s="195"/>
      <c r="G28" s="196"/>
      <c r="H28" s="196"/>
      <c r="I28" s="196"/>
      <c r="J28" s="196"/>
      <c r="K28" s="197"/>
      <c r="L28" s="83"/>
      <c r="M28" s="111" t="str">
        <f t="shared" si="0"/>
        <v/>
      </c>
      <c r="N28" s="60"/>
      <c r="O28" s="9"/>
    </row>
    <row r="29" spans="2:15" ht="15" x14ac:dyDescent="0.2">
      <c r="B29" s="7"/>
      <c r="C29" s="3"/>
      <c r="D29" s="136" t="s">
        <v>79</v>
      </c>
      <c r="E29" s="82">
        <v>1</v>
      </c>
      <c r="F29" s="166" t="s">
        <v>75</v>
      </c>
      <c r="G29" s="167"/>
      <c r="H29" s="167"/>
      <c r="I29" s="167"/>
      <c r="J29" s="167"/>
      <c r="K29" s="168"/>
      <c r="L29" s="83">
        <v>200</v>
      </c>
      <c r="M29" s="111">
        <f t="shared" si="0"/>
        <v>200</v>
      </c>
      <c r="N29" s="60"/>
      <c r="O29" s="9"/>
    </row>
    <row r="30" spans="2:15" ht="15" x14ac:dyDescent="0.2">
      <c r="B30" s="7"/>
      <c r="C30" s="3"/>
      <c r="D30" s="136"/>
      <c r="E30" s="82"/>
      <c r="F30" s="143" t="s">
        <v>83</v>
      </c>
      <c r="G30" s="144"/>
      <c r="H30" s="144"/>
      <c r="I30" s="144"/>
      <c r="J30" s="144"/>
      <c r="K30" s="145"/>
      <c r="L30" s="83"/>
      <c r="M30" s="111"/>
      <c r="N30" s="60"/>
      <c r="O30" s="9"/>
    </row>
    <row r="31" spans="2:15" ht="15" x14ac:dyDescent="0.2">
      <c r="B31" s="7"/>
      <c r="C31" s="3"/>
      <c r="D31" s="136"/>
      <c r="E31" s="82"/>
      <c r="F31" s="143"/>
      <c r="G31" s="144"/>
      <c r="H31" s="144"/>
      <c r="I31" s="144"/>
      <c r="J31" s="144"/>
      <c r="K31" s="145"/>
      <c r="L31" s="83"/>
      <c r="M31" s="111"/>
      <c r="N31" s="60"/>
      <c r="O31" s="9"/>
    </row>
    <row r="32" spans="2:15" ht="15" x14ac:dyDescent="0.2">
      <c r="B32" s="7"/>
      <c r="C32" s="3"/>
      <c r="D32" s="136" t="s">
        <v>80</v>
      </c>
      <c r="E32" s="56">
        <v>2</v>
      </c>
      <c r="F32" s="166" t="s">
        <v>77</v>
      </c>
      <c r="G32" s="167"/>
      <c r="H32" s="167"/>
      <c r="I32" s="167"/>
      <c r="J32" s="167"/>
      <c r="K32" s="168"/>
      <c r="L32" s="83">
        <v>900</v>
      </c>
      <c r="M32" s="111">
        <f t="shared" si="0"/>
        <v>1800</v>
      </c>
      <c r="N32" s="60"/>
      <c r="O32" s="9"/>
    </row>
    <row r="33" spans="2:15" ht="15" x14ac:dyDescent="0.2">
      <c r="B33" s="7"/>
      <c r="C33" s="3"/>
      <c r="D33" s="136"/>
      <c r="E33" s="56"/>
      <c r="F33" s="143" t="s">
        <v>86</v>
      </c>
      <c r="G33" s="144"/>
      <c r="H33" s="144"/>
      <c r="I33" s="144"/>
      <c r="J33" s="144"/>
      <c r="K33" s="145"/>
      <c r="L33" s="83"/>
      <c r="M33" s="111"/>
      <c r="N33" s="60"/>
      <c r="O33" s="9"/>
    </row>
    <row r="34" spans="2:15" ht="15" x14ac:dyDescent="0.2">
      <c r="B34" s="7"/>
      <c r="C34" s="3"/>
      <c r="D34" s="70"/>
      <c r="E34" s="56"/>
      <c r="F34" s="143" t="s">
        <v>84</v>
      </c>
      <c r="G34" s="144"/>
      <c r="H34" s="144"/>
      <c r="I34" s="144"/>
      <c r="J34" s="144"/>
      <c r="K34" s="145"/>
      <c r="L34" s="83"/>
      <c r="M34" s="111"/>
      <c r="N34" s="60"/>
      <c r="O34" s="9"/>
    </row>
    <row r="35" spans="2:15" ht="15" x14ac:dyDescent="0.2">
      <c r="B35" s="7"/>
      <c r="C35" s="3"/>
      <c r="D35" s="70"/>
      <c r="E35" s="56"/>
      <c r="F35" s="143" t="s">
        <v>81</v>
      </c>
      <c r="G35" s="144"/>
      <c r="H35" s="144"/>
      <c r="I35" s="144"/>
      <c r="J35" s="144"/>
      <c r="K35" s="145"/>
      <c r="L35" s="83"/>
      <c r="M35" s="111"/>
      <c r="N35" s="60"/>
      <c r="O35" s="9"/>
    </row>
    <row r="36" spans="2:15" ht="15" x14ac:dyDescent="0.2">
      <c r="B36" s="7"/>
      <c r="C36" s="3"/>
      <c r="D36" s="70"/>
      <c r="E36" s="56"/>
      <c r="F36" s="143"/>
      <c r="G36" s="144"/>
      <c r="H36" s="144"/>
      <c r="I36" s="144"/>
      <c r="J36" s="144"/>
      <c r="K36" s="145"/>
      <c r="L36" s="83"/>
      <c r="M36" s="111"/>
      <c r="N36" s="60"/>
      <c r="O36" s="9"/>
    </row>
    <row r="37" spans="2:15" ht="15" x14ac:dyDescent="0.2">
      <c r="B37" s="7"/>
      <c r="C37" s="3"/>
      <c r="D37" s="70"/>
      <c r="E37" s="56"/>
      <c r="F37" s="190" t="s">
        <v>57</v>
      </c>
      <c r="G37" s="191"/>
      <c r="H37" s="191"/>
      <c r="I37" s="191"/>
      <c r="J37" s="191"/>
      <c r="K37" s="192"/>
      <c r="L37" s="83"/>
      <c r="M37" s="111" t="str">
        <f t="shared" si="0"/>
        <v/>
      </c>
      <c r="N37" s="60"/>
      <c r="O37" s="9"/>
    </row>
    <row r="38" spans="2:15" ht="15" x14ac:dyDescent="0.2">
      <c r="B38" s="7"/>
      <c r="C38" s="3"/>
      <c r="D38" s="70"/>
      <c r="E38" s="56"/>
      <c r="F38" s="160" t="s">
        <v>58</v>
      </c>
      <c r="G38" s="161"/>
      <c r="H38" s="161"/>
      <c r="I38" s="161"/>
      <c r="J38" s="161"/>
      <c r="K38" s="162"/>
      <c r="L38" s="83"/>
      <c r="M38" s="111" t="str">
        <f t="shared" si="0"/>
        <v/>
      </c>
      <c r="N38" s="60"/>
      <c r="O38" s="9"/>
    </row>
    <row r="39" spans="2:15" ht="15" x14ac:dyDescent="0.2">
      <c r="B39" s="7"/>
      <c r="C39" s="3"/>
      <c r="D39" s="70"/>
      <c r="E39" s="56"/>
      <c r="F39" s="160" t="s">
        <v>59</v>
      </c>
      <c r="G39" s="161"/>
      <c r="H39" s="161"/>
      <c r="I39" s="161"/>
      <c r="J39" s="161"/>
      <c r="K39" s="162"/>
      <c r="L39" s="83"/>
      <c r="M39" s="111"/>
      <c r="N39" s="60"/>
      <c r="O39" s="9"/>
    </row>
    <row r="40" spans="2:15" ht="15" x14ac:dyDescent="0.2">
      <c r="B40" s="7"/>
      <c r="C40" s="3"/>
      <c r="D40" s="70"/>
      <c r="E40" s="56"/>
      <c r="F40" s="160" t="s">
        <v>60</v>
      </c>
      <c r="G40" s="161"/>
      <c r="H40" s="161"/>
      <c r="I40" s="161"/>
      <c r="J40" s="161"/>
      <c r="K40" s="162"/>
      <c r="L40" s="83"/>
      <c r="M40" s="111"/>
      <c r="N40" s="60"/>
      <c r="O40" s="9"/>
    </row>
    <row r="41" spans="2:15" ht="15" x14ac:dyDescent="0.2">
      <c r="B41" s="7"/>
      <c r="C41" s="3"/>
      <c r="D41" s="70"/>
      <c r="E41" s="56"/>
      <c r="F41" s="190" t="s">
        <v>71</v>
      </c>
      <c r="G41" s="191"/>
      <c r="H41" s="191"/>
      <c r="I41" s="191"/>
      <c r="J41" s="191"/>
      <c r="K41" s="192"/>
      <c r="L41" s="83"/>
      <c r="M41" s="111"/>
      <c r="N41" s="60"/>
      <c r="O41" s="9"/>
    </row>
    <row r="42" spans="2:15" ht="15" x14ac:dyDescent="0.2">
      <c r="B42" s="7"/>
      <c r="C42" s="3"/>
      <c r="D42" s="70"/>
      <c r="E42" s="56"/>
      <c r="F42" s="138"/>
      <c r="G42" s="139"/>
      <c r="H42" s="139"/>
      <c r="I42" s="139"/>
      <c r="J42" s="139"/>
      <c r="K42" s="140"/>
      <c r="L42" s="83"/>
      <c r="M42" s="111"/>
      <c r="N42" s="60"/>
      <c r="O42" s="9"/>
    </row>
    <row r="43" spans="2:15" ht="15" x14ac:dyDescent="0.2">
      <c r="B43" s="7"/>
      <c r="C43" s="3"/>
      <c r="D43" s="70"/>
      <c r="E43" s="56"/>
      <c r="F43" s="190" t="s">
        <v>61</v>
      </c>
      <c r="G43" s="191"/>
      <c r="H43" s="191"/>
      <c r="I43" s="191"/>
      <c r="J43" s="191"/>
      <c r="K43" s="192"/>
      <c r="L43" s="83"/>
      <c r="M43" s="111"/>
      <c r="N43" s="60"/>
      <c r="O43" s="9"/>
    </row>
    <row r="44" spans="2:15" ht="15" x14ac:dyDescent="0.2">
      <c r="B44" s="7"/>
      <c r="C44" s="3"/>
      <c r="D44" s="70"/>
      <c r="E44" s="56"/>
      <c r="F44" s="138" t="s">
        <v>62</v>
      </c>
      <c r="G44" s="141"/>
      <c r="H44" s="141"/>
      <c r="I44" s="141"/>
      <c r="J44" s="141"/>
      <c r="K44" s="142"/>
      <c r="L44" s="83"/>
      <c r="M44" s="111"/>
      <c r="N44" s="60"/>
      <c r="O44" s="9"/>
    </row>
    <row r="45" spans="2:15" ht="15.75" x14ac:dyDescent="0.25">
      <c r="B45" s="7"/>
      <c r="C45" s="3"/>
      <c r="D45" s="70"/>
      <c r="E45" s="56"/>
      <c r="F45" s="128"/>
      <c r="G45" s="129"/>
      <c r="H45" s="129"/>
      <c r="I45" s="129"/>
      <c r="J45" s="129"/>
      <c r="K45" s="130"/>
      <c r="L45" s="83"/>
      <c r="M45" s="111"/>
      <c r="N45" s="60"/>
      <c r="O45" s="9"/>
    </row>
    <row r="46" spans="2:15" ht="15.75" x14ac:dyDescent="0.25">
      <c r="B46" s="7"/>
      <c r="C46" s="3"/>
      <c r="D46" s="70"/>
      <c r="E46" s="56"/>
      <c r="F46" s="131" t="s">
        <v>63</v>
      </c>
      <c r="G46" s="126"/>
      <c r="H46" s="126"/>
      <c r="I46" s="126"/>
      <c r="J46" s="126"/>
      <c r="K46" s="127"/>
      <c r="L46" s="83"/>
      <c r="M46" s="111"/>
      <c r="N46" s="60"/>
      <c r="O46" s="9"/>
    </row>
    <row r="47" spans="2:15" ht="15.75" x14ac:dyDescent="0.25">
      <c r="B47" s="7"/>
      <c r="C47" s="3"/>
      <c r="D47" s="70"/>
      <c r="E47" s="56"/>
      <c r="F47" s="163" t="s">
        <v>64</v>
      </c>
      <c r="G47" s="164"/>
      <c r="H47" s="164"/>
      <c r="I47" s="164"/>
      <c r="J47" s="164"/>
      <c r="K47" s="165"/>
      <c r="L47" s="83"/>
      <c r="M47" s="111"/>
      <c r="N47" s="60"/>
      <c r="O47" s="9"/>
    </row>
    <row r="48" spans="2:15" ht="15.75" x14ac:dyDescent="0.25">
      <c r="B48" s="7"/>
      <c r="C48" s="3"/>
      <c r="D48" s="70"/>
      <c r="E48" s="56"/>
      <c r="F48" s="163" t="s">
        <v>65</v>
      </c>
      <c r="G48" s="164"/>
      <c r="H48" s="164"/>
      <c r="I48" s="164"/>
      <c r="J48" s="164"/>
      <c r="K48" s="165"/>
      <c r="L48" s="83"/>
      <c r="M48" s="111"/>
      <c r="N48" s="60"/>
      <c r="O48" s="9"/>
    </row>
    <row r="49" spans="2:15" ht="15.75" x14ac:dyDescent="0.25">
      <c r="B49" s="7"/>
      <c r="C49" s="3"/>
      <c r="D49" s="70"/>
      <c r="E49" s="56"/>
      <c r="F49" s="132" t="s">
        <v>72</v>
      </c>
      <c r="G49" s="129"/>
      <c r="H49" s="129"/>
      <c r="I49" s="129"/>
      <c r="J49" s="129"/>
      <c r="K49" s="130"/>
      <c r="L49" s="83"/>
      <c r="M49" s="111"/>
      <c r="N49" s="60"/>
      <c r="O49" s="9"/>
    </row>
    <row r="50" spans="2:15" ht="15" x14ac:dyDescent="0.2">
      <c r="B50" s="7"/>
      <c r="C50" s="3"/>
      <c r="D50" s="71"/>
      <c r="E50" s="57"/>
      <c r="F50" s="134"/>
      <c r="G50" s="134"/>
      <c r="H50" s="134"/>
      <c r="I50" s="134"/>
      <c r="J50" s="134"/>
      <c r="K50" s="135"/>
      <c r="L50" s="83"/>
      <c r="M50" s="111" t="str">
        <f>IF(E50&lt;&gt;"",E50*L50,"")</f>
        <v/>
      </c>
      <c r="N50" s="60"/>
      <c r="O50" s="9"/>
    </row>
    <row r="51" spans="2:15" ht="15.75" x14ac:dyDescent="0.25">
      <c r="B51" s="7"/>
      <c r="C51" s="3"/>
      <c r="D51" s="3"/>
      <c r="E51" s="91"/>
      <c r="F51" s="133"/>
      <c r="G51" s="133"/>
      <c r="H51" s="133"/>
      <c r="I51" s="133"/>
      <c r="J51" s="133"/>
      <c r="K51" s="133"/>
      <c r="L51" s="115" t="s">
        <v>25</v>
      </c>
      <c r="M51" s="112">
        <f>SUM(M26:M50)</f>
        <v>2200</v>
      </c>
      <c r="N51" s="60"/>
      <c r="O51" s="9"/>
    </row>
    <row r="52" spans="2:15" ht="15" x14ac:dyDescent="0.2">
      <c r="B52" s="7"/>
      <c r="C52" s="3"/>
      <c r="D52" s="3"/>
      <c r="E52" s="91"/>
      <c r="F52" s="133"/>
      <c r="G52" s="133"/>
      <c r="H52" s="133"/>
      <c r="I52" s="133"/>
      <c r="J52" s="133"/>
      <c r="K52" s="133"/>
      <c r="L52" s="116">
        <v>0.19</v>
      </c>
      <c r="M52" s="117">
        <f>M51*0.19</f>
        <v>418</v>
      </c>
      <c r="N52" s="60"/>
      <c r="O52" s="9"/>
    </row>
    <row r="53" spans="2:15" ht="15" x14ac:dyDescent="0.2">
      <c r="B53" s="7"/>
      <c r="C53" s="3"/>
      <c r="D53" s="3"/>
      <c r="E53" s="93"/>
      <c r="F53" s="133"/>
      <c r="G53" s="133"/>
      <c r="H53" s="133"/>
      <c r="I53" s="133"/>
      <c r="J53" s="133"/>
      <c r="K53" s="133"/>
      <c r="L53" s="119" t="s">
        <v>47</v>
      </c>
      <c r="M53" s="117">
        <v>0.6</v>
      </c>
      <c r="N53" s="60"/>
      <c r="O53" s="9"/>
    </row>
    <row r="54" spans="2:15" ht="15.75" x14ac:dyDescent="0.25">
      <c r="B54" s="7"/>
      <c r="C54" s="3"/>
      <c r="D54" s="3"/>
      <c r="E54" s="94"/>
      <c r="F54" s="124" t="s">
        <v>26</v>
      </c>
      <c r="G54" s="97"/>
      <c r="H54" s="94"/>
      <c r="I54" s="91"/>
      <c r="J54" s="86"/>
      <c r="K54" s="84"/>
      <c r="L54" s="118" t="s">
        <v>28</v>
      </c>
      <c r="M54" s="112">
        <f>+M51+M52+M53</f>
        <v>2618.6</v>
      </c>
      <c r="N54" s="60"/>
      <c r="O54" s="9"/>
    </row>
    <row r="55" spans="2:15" ht="15.75" x14ac:dyDescent="0.25">
      <c r="B55" s="7"/>
      <c r="C55" s="3"/>
      <c r="D55" s="3"/>
      <c r="E55" s="92"/>
      <c r="F55" s="92"/>
      <c r="G55" s="91"/>
      <c r="H55" s="92"/>
      <c r="I55" s="91"/>
      <c r="J55" s="87" t="s">
        <v>27</v>
      </c>
      <c r="K55" s="84"/>
      <c r="L55" s="88"/>
      <c r="M55" s="88"/>
      <c r="N55" s="60"/>
      <c r="O55" s="9"/>
    </row>
    <row r="56" spans="2:15" ht="17.100000000000001" customHeight="1" x14ac:dyDescent="0.25">
      <c r="B56" s="7"/>
      <c r="C56" s="121"/>
      <c r="D56" s="155" t="s">
        <v>85</v>
      </c>
      <c r="E56" s="156"/>
      <c r="F56" s="156"/>
      <c r="G56" s="156"/>
      <c r="H56" s="156"/>
      <c r="I56" s="156"/>
      <c r="J56" s="156"/>
      <c r="K56" s="156"/>
      <c r="L56" s="88"/>
      <c r="M56" s="113"/>
      <c r="N56" s="60"/>
      <c r="O56" s="9"/>
    </row>
    <row r="57" spans="2:15" ht="17.100000000000001" customHeight="1" x14ac:dyDescent="0.25">
      <c r="B57" s="7"/>
      <c r="C57" s="121"/>
      <c r="D57" s="122"/>
      <c r="E57" s="121"/>
      <c r="F57" s="121"/>
      <c r="G57" s="123"/>
      <c r="H57" s="123"/>
      <c r="I57" s="123"/>
      <c r="J57" s="121"/>
      <c r="K57" s="121"/>
      <c r="L57" s="88"/>
      <c r="M57" s="113"/>
      <c r="N57" s="60"/>
      <c r="O57" s="9"/>
    </row>
    <row r="58" spans="2:15" ht="17.100000000000001" customHeight="1" x14ac:dyDescent="0.2">
      <c r="B58" s="7"/>
      <c r="C58" s="3"/>
      <c r="D58" s="3"/>
      <c r="E58" s="96"/>
      <c r="F58" s="188"/>
      <c r="G58" s="189"/>
      <c r="H58" s="189"/>
      <c r="I58" s="189"/>
      <c r="J58" s="84"/>
      <c r="K58" s="84"/>
      <c r="L58" s="84"/>
      <c r="M58" s="114"/>
      <c r="N58" s="60"/>
      <c r="O58" s="9"/>
    </row>
    <row r="59" spans="2:15" ht="15" x14ac:dyDescent="0.2">
      <c r="B59" s="7"/>
      <c r="C59" s="3"/>
      <c r="D59" s="3"/>
      <c r="E59" s="20"/>
      <c r="F59" s="153"/>
      <c r="G59" s="154"/>
      <c r="H59" s="154"/>
      <c r="I59" s="154"/>
      <c r="J59" s="84"/>
      <c r="K59" s="84"/>
      <c r="L59" s="84"/>
      <c r="M59" s="84"/>
      <c r="N59" s="60"/>
      <c r="O59" s="9"/>
    </row>
    <row r="60" spans="2:15" ht="15" customHeight="1" x14ac:dyDescent="0.2">
      <c r="B60" s="7"/>
      <c r="C60" s="3"/>
      <c r="D60" s="3"/>
      <c r="E60" s="20"/>
      <c r="F60" s="85"/>
      <c r="G60" s="193"/>
      <c r="H60" s="194"/>
      <c r="I60" s="194"/>
      <c r="J60" s="84"/>
      <c r="K60" s="137" t="s">
        <v>54</v>
      </c>
      <c r="L60" s="120"/>
      <c r="M60" s="120"/>
      <c r="N60" s="60"/>
      <c r="O60" s="9"/>
    </row>
    <row r="61" spans="2:15" ht="15" x14ac:dyDescent="0.2">
      <c r="B61" s="7"/>
      <c r="C61" s="3"/>
      <c r="D61" s="3"/>
      <c r="E61" s="3"/>
      <c r="F61" s="84"/>
      <c r="G61" s="84"/>
      <c r="H61" s="84"/>
      <c r="I61" s="84"/>
      <c r="J61" s="84"/>
      <c r="K61" s="120"/>
      <c r="L61" s="120"/>
      <c r="M61" s="120"/>
      <c r="N61" s="60"/>
      <c r="O61" s="9"/>
    </row>
    <row r="62" spans="2:15" ht="15" x14ac:dyDescent="0.2">
      <c r="B62" s="7"/>
      <c r="C62" s="3"/>
      <c r="D62" s="103"/>
      <c r="E62" s="107"/>
      <c r="F62" s="84"/>
      <c r="G62" s="84"/>
      <c r="H62" s="84"/>
      <c r="I62" s="84"/>
      <c r="J62" s="84"/>
      <c r="K62" s="120"/>
      <c r="L62" s="120"/>
      <c r="M62" s="120"/>
      <c r="N62" s="60"/>
      <c r="O62" s="9"/>
    </row>
    <row r="63" spans="2:15" ht="15" x14ac:dyDescent="0.2">
      <c r="B63" s="7"/>
      <c r="C63" s="3"/>
      <c r="D63" s="3"/>
      <c r="E63" s="3"/>
      <c r="F63" s="105"/>
      <c r="G63" s="106"/>
      <c r="H63" s="106"/>
      <c r="I63" s="106"/>
      <c r="J63" s="106"/>
      <c r="K63" s="106"/>
      <c r="L63" s="106"/>
      <c r="M63" s="90"/>
      <c r="N63" s="60"/>
      <c r="O63" s="9"/>
    </row>
    <row r="64" spans="2:15" ht="15" x14ac:dyDescent="0.2">
      <c r="B64" s="7"/>
      <c r="C64" s="3"/>
      <c r="D64" s="3"/>
      <c r="E64" s="3"/>
      <c r="F64" s="106"/>
      <c r="G64" s="106"/>
      <c r="H64" s="106"/>
      <c r="I64" s="106"/>
      <c r="J64" s="106"/>
      <c r="K64" s="106"/>
      <c r="L64" s="106"/>
      <c r="M64" s="84"/>
      <c r="N64" s="60"/>
      <c r="O64" s="9"/>
    </row>
    <row r="65" spans="1:15" ht="15" x14ac:dyDescent="0.2">
      <c r="B65" s="7"/>
      <c r="C65" s="3"/>
      <c r="D65" s="3"/>
      <c r="E65" s="91"/>
      <c r="F65" s="106"/>
      <c r="G65" s="106"/>
      <c r="H65" s="106"/>
      <c r="I65" s="106"/>
      <c r="J65" s="106"/>
      <c r="K65" s="106"/>
      <c r="L65" s="106"/>
      <c r="M65" s="84"/>
      <c r="N65" s="60"/>
      <c r="O65" s="9"/>
    </row>
    <row r="66" spans="1:15" ht="15" x14ac:dyDescent="0.2">
      <c r="A66" s="106"/>
      <c r="B66" s="106"/>
      <c r="C66" s="106"/>
      <c r="D66" s="106"/>
      <c r="E66" s="106"/>
      <c r="F66" s="106"/>
      <c r="G66" s="106"/>
      <c r="H66" s="106"/>
      <c r="I66" s="106"/>
      <c r="J66" s="106"/>
      <c r="K66" s="106"/>
      <c r="L66" s="106"/>
      <c r="M66" s="89"/>
      <c r="N66" s="60"/>
      <c r="O66" s="9"/>
    </row>
    <row r="67" spans="1:15" ht="13.5" thickBot="1" x14ac:dyDescent="0.25">
      <c r="A67" s="3"/>
      <c r="B67" s="3"/>
      <c r="C67" s="3"/>
      <c r="D67" s="3"/>
      <c r="E67" s="3"/>
      <c r="F67" s="3"/>
      <c r="G67" s="3"/>
      <c r="H67" s="3"/>
      <c r="I67" s="3"/>
      <c r="J67" s="3"/>
      <c r="K67" s="3"/>
      <c r="L67" s="3"/>
      <c r="M67" s="3"/>
      <c r="N67" s="60"/>
      <c r="O67" s="9"/>
    </row>
    <row r="68" spans="1:15" ht="13.5" thickTop="1" x14ac:dyDescent="0.2">
      <c r="A68" s="61"/>
      <c r="B68" s="61"/>
      <c r="C68" s="61"/>
      <c r="D68" s="61"/>
      <c r="E68" s="61"/>
      <c r="F68" s="61"/>
      <c r="G68" s="61"/>
      <c r="H68" s="61"/>
      <c r="I68" s="61"/>
      <c r="J68" s="61"/>
      <c r="K68" s="61"/>
      <c r="L68" s="61"/>
      <c r="M68" s="61"/>
      <c r="N68" s="60"/>
      <c r="O68" s="9"/>
    </row>
    <row r="69" spans="1:15" ht="3" customHeight="1" x14ac:dyDescent="0.2">
      <c r="A69" s="157"/>
      <c r="B69" s="158"/>
      <c r="C69" s="158"/>
      <c r="D69" s="158"/>
      <c r="E69" s="158"/>
      <c r="F69" s="157"/>
      <c r="G69" s="158"/>
      <c r="H69" s="158"/>
      <c r="I69" s="158"/>
      <c r="J69" s="158"/>
      <c r="K69" s="158"/>
      <c r="L69" s="158"/>
      <c r="M69" s="157"/>
      <c r="N69" s="60"/>
      <c r="O69" s="9"/>
    </row>
    <row r="70" spans="1:15" x14ac:dyDescent="0.2">
      <c r="A70" s="159"/>
      <c r="B70" s="159"/>
      <c r="C70" s="159"/>
      <c r="D70" s="159"/>
      <c r="E70" s="159"/>
      <c r="F70" s="159"/>
      <c r="G70" s="159"/>
      <c r="H70" s="159"/>
      <c r="I70" s="159"/>
      <c r="J70" s="159"/>
      <c r="K70" s="159"/>
      <c r="L70" s="159"/>
      <c r="M70" s="159"/>
      <c r="N70" s="60"/>
      <c r="O70" s="9"/>
    </row>
    <row r="71" spans="1:15" x14ac:dyDescent="0.2">
      <c r="A71" s="159"/>
      <c r="B71" s="159"/>
      <c r="C71" s="159"/>
      <c r="D71" s="159"/>
      <c r="E71" s="159"/>
      <c r="F71" s="159"/>
      <c r="G71" s="159"/>
      <c r="H71" s="159"/>
      <c r="I71" s="159"/>
      <c r="J71" s="159"/>
      <c r="K71" s="159"/>
      <c r="L71" s="159"/>
      <c r="M71" s="159"/>
      <c r="N71" s="60"/>
      <c r="O71" s="9"/>
    </row>
    <row r="72" spans="1:15" ht="13.5" thickBot="1" x14ac:dyDescent="0.25">
      <c r="B72" s="10"/>
      <c r="C72" s="11"/>
      <c r="D72" s="11"/>
      <c r="E72" s="11"/>
      <c r="F72" s="11"/>
      <c r="G72" s="11"/>
      <c r="H72" s="11"/>
      <c r="I72" s="11"/>
      <c r="J72" s="11"/>
      <c r="K72" s="11"/>
      <c r="L72" s="11"/>
      <c r="M72" s="3"/>
      <c r="N72" s="60"/>
      <c r="O72" s="9"/>
    </row>
    <row r="73" spans="1:15" ht="0.95" customHeight="1" thickTop="1" thickBot="1" x14ac:dyDescent="0.25">
      <c r="M73" s="11"/>
      <c r="N73" s="11"/>
      <c r="O73" s="12"/>
    </row>
    <row r="7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38:K38"/>
    <mergeCell ref="F41:K41"/>
    <mergeCell ref="F43:K43"/>
    <mergeCell ref="F32:K32"/>
    <mergeCell ref="F28:K28"/>
    <mergeCell ref="F40:K40"/>
    <mergeCell ref="F29:K29"/>
    <mergeCell ref="F27:K27"/>
    <mergeCell ref="F26:K26"/>
    <mergeCell ref="M69:M71"/>
    <mergeCell ref="L19:M19"/>
    <mergeCell ref="L22:M22"/>
    <mergeCell ref="G21:H21"/>
    <mergeCell ref="E20:J20"/>
    <mergeCell ref="E19:J19"/>
    <mergeCell ref="E22:J22"/>
    <mergeCell ref="L20:M20"/>
    <mergeCell ref="F24:K24"/>
    <mergeCell ref="F25:K25"/>
    <mergeCell ref="F58:I58"/>
    <mergeCell ref="F37:K37"/>
    <mergeCell ref="G60:I60"/>
    <mergeCell ref="F69:L71"/>
    <mergeCell ref="F59:I59"/>
    <mergeCell ref="D56:K56"/>
    <mergeCell ref="A69:E71"/>
    <mergeCell ref="F39:K39"/>
    <mergeCell ref="F47:K47"/>
    <mergeCell ref="F48:K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9 K60:K61 K58:L58"/>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whole" errorStyle="warning" allowBlank="1" showErrorMessage="1" errorTitle="Quantité" error="Tapez un nombre dans cette cellule." promptTitle="Quantité" sqref="E25:E50">
      <formula1>0</formula1>
      <formula2>1000000000</formula2>
    </dataValidation>
    <dataValidation allowBlank="1" showErrorMessage="1" sqref="G21:H21"/>
    <dataValidation type="decimal" allowBlank="1" showErrorMessage="1" errorTitle="Prix unitaire" error="Tapez un nombre dans cette cellule." promptTitle="Prix unitaire" sqref="L25: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M58 M5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L71"/>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53</xdr:row>
                    <xdr:rowOff>0</xdr:rowOff>
                  </from>
                  <to>
                    <xdr:col>4</xdr:col>
                    <xdr:colOff>704850</xdr:colOff>
                    <xdr:row>54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54</xdr:row>
                    <xdr:rowOff>0</xdr:rowOff>
                  </from>
                  <to>
                    <xdr:col>4</xdr:col>
                    <xdr:colOff>714375</xdr:colOff>
                    <xdr:row>55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Date:28/02/2019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Facture!$M$54</f>
        <v>2618.6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2019-02-28T08:14:15Z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2618.6</vt:r8>
  </property>
</Properties>
</file>