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Facture!#REF!</definedName>
    <definedName name="data49">Facture!$L$43</definedName>
    <definedName name="data5">Facture!$E$23</definedName>
    <definedName name="data50">Facture!#REF!</definedName>
    <definedName name="data51">Facture!#REF!</definedName>
    <definedName name="data52">Facture!#REF!</definedName>
    <definedName name="data53">Facture!#REF!</definedName>
    <definedName name="data54">Facture!$F$44</definedName>
    <definedName name="data55">Facture!#REF!</definedName>
    <definedName name="data56">Facture!#REF!</definedName>
    <definedName name="data57">Facture!$F$48</definedName>
    <definedName name="data58">Facture!#REF!</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Facture!$F$44:$K$44</definedName>
    <definedName name="qzqzqz24">Facture!$F$48:$K$48</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6" i="3" l="1"/>
  <c r="M34" i="3"/>
  <c r="M37" i="3" l="1"/>
  <c r="M43" i="3" l="1"/>
  <c r="M44" i="3"/>
  <c r="M48" i="3"/>
  <c r="M49" i="3"/>
  <c r="M50" i="3"/>
  <c r="M51" i="3"/>
  <c r="M52" i="3" l="1"/>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<sst xmlns="http://schemas.openxmlformats.org/spreadsheetml/2006/main" count="89" uniqueCount="81">
  <si>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</si>
  <si>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</si>
  <si>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</si>
  <si>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</si>
  <si>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</si>
  <si>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</si>
  <si>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</si>
  <si>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</si>
  <si>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</si>
  <si>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</si>
  <si>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</si>
  <si>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</si>
  <si>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</si>
  <si>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</si>
  <si>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</si>
  <si>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</si>
  <si>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</si>
  <si>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</si>
  <si>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</si>
  <si>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</si>
  <si>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</si>
  <si>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</si>
  <si>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</si>
  <si>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</si>
  <si>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</si>
  <si>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</si>
  <si>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</si>
  <si>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</si>
  <si>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</si>
  <si>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</si>
  <si>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</si>
  <si>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</si>
  <si>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</si>
  <si>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</si>
  <si>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</si>
  <si>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</si>
  <si>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</si>
  <si>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</si>
  <si>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</si>
  <si>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</si>
  <si>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</si>
  <si>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</si>
  <si>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</si>
  <si>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</si>
  <si>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</si>
  <si>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</si>
  <si>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</si>
  <si>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</si>
  <si>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</si>
  <si>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</si>
  <si>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</si>
  <si>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</si>
  <si>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</si>
  <si>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</si>
  <si>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</si>
  <si>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</si>
  <si>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</si>
  <si>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</si>
  <si>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</si>
  <si>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</si>
  <si>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</si>
  <si>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</si>
  <si>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</si>
  <si>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T.V.A 19%</t>
  </si>
  <si>
    <t>RDC:B159472001 / MF:778013 ZMA 000</t>
  </si>
  <si>
    <t>FTH002</t>
  </si>
  <si>
    <t xml:space="preserve">     MF:</t>
  </si>
  <si>
    <t>FSO001</t>
  </si>
  <si>
    <t>-   HABILITATION TRAVAIL EN HAUTEUR (1 jour )</t>
  </si>
  <si>
    <t>COMETEL</t>
  </si>
  <si>
    <t>Yosr EL ECHI</t>
  </si>
  <si>
    <t>TUNIS</t>
  </si>
  <si>
    <t xml:space="preserve">RESIDENCE LILIA JARDINS D'EL MANZAH 2  ARIANA </t>
  </si>
  <si>
    <t xml:space="preserve">     Ref Commande:002</t>
  </si>
  <si>
    <t>1114374R/A/M/000</t>
  </si>
  <si>
    <t xml:space="preserve">ARRETE LA PRESENTE DEVIS A LA SOMME DE: TROIS MILLES TROIS CENT TRENTE DEUX  DINARS ET 600 MILLIMES </t>
  </si>
  <si>
    <t>FACTURE  N°2021- 039</t>
  </si>
  <si>
    <t>-  HABILITATION ELECTRIQUE  (1 jour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</si>
  <si>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</si>
  <si>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STB THAMEUR</t>
  </si>
  <si>
    <t>RIB: 10 000 000 0819518788 90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</si>
</sst>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4"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2"/>
      <name val="Arial"/>
      <family val="2"/>
    </font>
    <font>
      <i/>
      <sz val="10"/>
      <color indexed="63"/>
      <name val="Times New Roman CE"/>
      <family val="1"/>
      <charset val="238"/>
    </font>
    <font>
      <b/>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sz val="16"/>
      <name val="Times New Roman"/>
      <family val="1"/>
    </font>
    <font>
      <b/>
      <sz val="16"/>
      <name val="Arial"/>
      <family val="2"/>
    </font>
    <font>
      <b/>
      <i/>
      <sz val="18"/>
      <name val="Lucida Sans"/>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8"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quotePrefix="1" applyFont="1" applyFill="1" applyBorder="1"/>
    <xf numFmtId="0" fontId="16" fillId="3" borderId="0" xfId="0" applyFont="1" applyFill="1" applyBorder="1" applyAlignment="1"/>
    <xf numFmtId="0" fontId="16"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18" fillId="4" borderId="0" xfId="0" applyFont="1" applyFill="1" applyBorder="1" applyAlignment="1"/>
    <xf numFmtId="0" fontId="0" fillId="3" borderId="33" xfId="0" applyFill="1" applyBorder="1"/>
    <xf numFmtId="0" fontId="3" fillId="3" borderId="33" xfId="0" applyFont="1" applyFill="1" applyBorder="1"/>
    <xf numFmtId="0" fontId="16" fillId="0" borderId="0" xfId="0" applyFon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16" fillId="0" borderId="0" xfId="0" applyNumberFormat="1" applyFont="1" applyFill="1" applyBorder="1"/>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0" fillId="6" borderId="0" xfId="0" applyFill="1" applyBorder="1"/>
    <xf numFmtId="0" fontId="24" fillId="6" borderId="0" xfId="0" applyFont="1" applyFill="1" applyAlignment="1">
      <alignment horizontal="center" vertical="center"/>
    </xf>
    <xf numFmtId="0" fontId="21" fillId="3" borderId="0" xfId="0" applyFont="1" applyFill="1" applyBorder="1" applyAlignment="1">
      <alignment horizontal="left"/>
    </xf>
    <xf numFmtId="0" fontId="30" fillId="3" borderId="39" xfId="0" applyFont="1" applyFill="1" applyBorder="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0" fontId="26" fillId="0" borderId="0" xfId="0" applyFont="1" applyFill="1" applyBorder="1" applyAlignment="1">
      <alignment horizontal="right"/>
    </xf>
    <xf numFmtId="0" fontId="29" fillId="3" borderId="0" xfId="0" applyFont="1" applyFill="1" applyBorder="1" applyAlignment="1"/>
    <xf numFmtId="168" fontId="32" fillId="0" borderId="36" xfId="0" applyNumberFormat="1" applyFont="1" applyFill="1" applyBorder="1" applyAlignment="1">
      <alignment shrinkToFit="1"/>
    </xf>
    <xf numFmtId="49" fontId="31" fillId="3" borderId="0" xfId="0" applyNumberFormat="1" applyFont="1" applyFill="1" applyBorder="1" applyAlignment="1">
      <alignment horizontal="left"/>
    </xf>
    <xf numFmtId="49" fontId="34" fillId="0" borderId="29" xfId="0" applyNumberFormat="1" applyFont="1" applyFill="1" applyBorder="1" applyAlignment="1"/>
    <xf numFmtId="0" fontId="34" fillId="0" borderId="0" xfId="0" applyFont="1" applyFill="1" applyAlignment="1"/>
    <xf numFmtId="0" fontId="34" fillId="0" borderId="31" xfId="0" applyFont="1" applyFill="1" applyBorder="1" applyAlignment="1"/>
    <xf numFmtId="0" fontId="6" fillId="3" borderId="0" xfId="0" applyFont="1" applyFill="1" applyBorder="1"/>
    <xf numFmtId="170" fontId="33" fillId="0" borderId="36" xfId="0" applyNumberFormat="1" applyFont="1" applyFill="1" applyBorder="1" applyAlignment="1">
      <alignment shrinkToFit="1"/>
    </xf>
    <xf numFmtId="49" fontId="36" fillId="3" borderId="29" xfId="0" applyNumberFormat="1" applyFont="1" applyFill="1" applyBorder="1" applyAlignment="1">
      <alignment horizontal="left"/>
    </xf>
    <xf numFmtId="0" fontId="17" fillId="3" borderId="0" xfId="0" applyFont="1" applyFill="1" applyBorder="1" applyAlignment="1">
      <alignment horizontal="center" vertical="center" wrapText="1"/>
    </xf>
    <xf numFmtId="0" fontId="19" fillId="6" borderId="0" xfId="0" applyFont="1" applyFill="1" applyBorder="1" applyAlignment="1">
      <alignment horizontal="center" vertical="center" wrapText="1"/>
    </xf>
    <xf numFmtId="0" fontId="22" fillId="6" borderId="0" xfId="0" applyFont="1" applyFill="1" applyBorder="1" applyAlignment="1">
      <alignment horizontal="left"/>
    </xf>
    <xf numFmtId="0" fontId="0" fillId="6" borderId="0" xfId="0" applyFill="1"/>
    <xf numFmtId="0" fontId="0" fillId="6" borderId="6" xfId="0" applyFill="1" applyBorder="1"/>
    <xf numFmtId="49" fontId="37" fillId="3" borderId="29" xfId="0" applyNumberFormat="1" applyFont="1" applyFill="1" applyBorder="1" applyAlignment="1">
      <alignment horizontal="left"/>
    </xf>
    <xf numFmtId="49" fontId="37" fillId="3" borderId="0" xfId="0" applyNumberFormat="1" applyFont="1" applyFill="1" applyBorder="1" applyAlignment="1">
      <alignment horizontal="left"/>
    </xf>
    <xf numFmtId="0" fontId="22" fillId="3" borderId="0" xfId="0" applyFont="1" applyFill="1" applyBorder="1"/>
    <xf numFmtId="168" fontId="33" fillId="0" borderId="0" xfId="0" applyNumberFormat="1" applyFont="1" applyFill="1" applyBorder="1" applyAlignment="1">
      <alignment shrinkToFit="1"/>
    </xf>
    <xf numFmtId="0" fontId="16" fillId="3" borderId="0" xfId="0" quotePrefix="1" applyFont="1" applyFill="1" applyBorder="1" applyAlignment="1">
      <alignment horizontal="right"/>
    </xf>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6"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5" xfId="0" applyNumberFormat="1" applyFont="1" applyFill="1" applyBorder="1" applyAlignment="1">
      <alignment shrinkToFit="1"/>
    </xf>
    <xf numFmtId="0" fontId="0" fillId="3" borderId="25" xfId="0" applyFill="1" applyBorder="1"/>
    <xf numFmtId="0" fontId="20" fillId="3" borderId="29" xfId="0" applyFont="1" applyFill="1" applyBorder="1" applyAlignment="1">
      <alignment horizontal="center"/>
    </xf>
    <xf numFmtId="49" fontId="28" fillId="3" borderId="0" xfId="0" applyNumberFormat="1" applyFont="1" applyFill="1" applyBorder="1" applyAlignment="1">
      <alignment horizontal="left"/>
    </xf>
    <xf numFmtId="49" fontId="28" fillId="3" borderId="31" xfId="0" applyNumberFormat="1" applyFont="1" applyFill="1" applyBorder="1" applyAlignment="1">
      <alignment horizontal="left"/>
    </xf>
    <xf numFmtId="168" fontId="25" fillId="0" borderId="29" xfId="0" applyNumberFormat="1" applyFont="1" applyFill="1" applyBorder="1" applyAlignment="1"/>
    <xf numFmtId="49" fontId="34" fillId="3" borderId="29" xfId="0" applyNumberFormat="1" applyFont="1" applyFill="1" applyBorder="1" applyAlignment="1"/>
    <xf numFmtId="49" fontId="34" fillId="3" borderId="0" xfId="0" applyNumberFormat="1" applyFont="1" applyFill="1" applyBorder="1" applyAlignment="1"/>
    <xf numFmtId="49" fontId="34" fillId="3" borderId="31" xfId="0" applyNumberFormat="1" applyFont="1" applyFill="1" applyBorder="1" applyAlignment="1"/>
    <xf numFmtId="49" fontId="37" fillId="3" borderId="31" xfId="0" applyNumberFormat="1" applyFont="1" applyFill="1" applyBorder="1" applyAlignment="1">
      <alignment horizontal="left"/>
    </xf>
    <xf numFmtId="49" fontId="36" fillId="3" borderId="0" xfId="0" applyNumberFormat="1" applyFont="1" applyFill="1" applyBorder="1" applyAlignment="1">
      <alignment horizontal="left"/>
    </xf>
    <xf numFmtId="0" fontId="30"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0" fillId="6" borderId="47" xfId="0" applyNumberFormat="1" applyFont="1" applyFill="1" applyBorder="1" applyAlignment="1"/>
    <xf numFmtId="0" fontId="30" fillId="6" borderId="47" xfId="0" applyFont="1" applyFill="1" applyBorder="1" applyAlignment="1"/>
    <xf numFmtId="0" fontId="22" fillId="6" borderId="46" xfId="0" applyFont="1" applyFill="1" applyBorder="1" applyAlignment="1">
      <alignment horizontal="left"/>
    </xf>
    <xf numFmtId="0" fontId="38" fillId="3" borderId="0" xfId="0" applyFont="1" applyFill="1" applyBorder="1" applyAlignment="1"/>
    <xf numFmtId="49" fontId="41" fillId="0" borderId="29" xfId="0" applyNumberFormat="1" applyFont="1" applyFill="1" applyBorder="1" applyAlignment="1"/>
    <xf numFmtId="49" fontId="41" fillId="3" borderId="29" xfId="0" applyNumberFormat="1" applyFont="1" applyFill="1" applyBorder="1" applyAlignment="1">
      <alignment vertical="top"/>
    </xf>
    <xf numFmtId="49" fontId="41" fillId="3" borderId="0" xfId="0" applyNumberFormat="1" applyFont="1" applyFill="1" applyBorder="1" applyAlignment="1">
      <alignment vertical="top"/>
    </xf>
    <xf numFmtId="0" fontId="20" fillId="3" borderId="0" xfId="0" applyFont="1" applyFill="1" applyBorder="1" applyAlignment="1">
      <alignment horizontal="center"/>
    </xf>
    <xf numFmtId="168" fontId="25" fillId="0" borderId="0" xfId="0" applyNumberFormat="1" applyFont="1" applyFill="1" applyBorder="1" applyAlignment="1"/>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2" fillId="6" borderId="0" xfId="0" applyFont="1" applyFill="1" applyBorder="1" applyAlignment="1">
      <alignment horizontal="center" vertical="center" wrapText="1"/>
    </xf>
    <xf numFmtId="49" fontId="37" fillId="3" borderId="29"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1" xfId="0" applyNumberFormat="1" applyFont="1" applyFill="1" applyBorder="1" applyAlignment="1">
      <alignment horizontal="left"/>
    </xf>
    <xf numFmtId="0" fontId="4" fillId="3" borderId="0" xfId="0" applyFont="1" applyFill="1" applyBorder="1" applyAlignment="1"/>
    <xf numFmtId="49" fontId="41" fillId="3" borderId="29" xfId="0" applyNumberFormat="1" applyFont="1" applyFill="1" applyBorder="1" applyAlignment="1">
      <alignment vertical="top"/>
    </xf>
    <xf numFmtId="49" fontId="41" fillId="3" borderId="0" xfId="0" applyNumberFormat="1" applyFont="1" applyFill="1" applyBorder="1" applyAlignment="1">
      <alignment vertical="top"/>
    </xf>
    <xf numFmtId="49" fontId="41" fillId="3" borderId="31" xfId="0" applyNumberFormat="1" applyFont="1" applyFill="1" applyBorder="1" applyAlignment="1">
      <alignment vertical="top"/>
    </xf>
    <xf numFmtId="49" fontId="16" fillId="3" borderId="0" xfId="0" applyNumberFormat="1" applyFont="1" applyFill="1" applyBorder="1" applyAlignment="1"/>
    <xf numFmtId="14" fontId="16" fillId="3" borderId="0" xfId="0" applyNumberFormat="1" applyFont="1" applyFill="1" applyBorder="1" applyAlignment="1"/>
    <xf numFmtId="49" fontId="41" fillId="3" borderId="29"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1" xfId="0" applyNumberFormat="1" applyFont="1" applyFill="1" applyBorder="1" applyAlignment="1">
      <alignment horizontal="left" vertical="top"/>
    </xf>
    <xf numFmtId="49" fontId="21" fillId="3" borderId="30" xfId="0" applyNumberFormat="1" applyFont="1" applyFill="1" applyBorder="1" applyAlignment="1">
      <alignment horizontal="center"/>
    </xf>
    <xf numFmtId="49" fontId="21" fillId="3" borderId="38" xfId="0" applyNumberFormat="1" applyFont="1" applyFill="1" applyBorder="1" applyAlignment="1">
      <alignment horizontal="center"/>
    </xf>
    <xf numFmtId="49" fontId="21" fillId="3" borderId="32" xfId="0" applyNumberFormat="1" applyFont="1" applyFill="1" applyBorder="1" applyAlignment="1">
      <alignment horizontal="center"/>
    </xf>
    <xf numFmtId="0" fontId="27" fillId="6" borderId="0" xfId="0" applyFont="1" applyFill="1" applyAlignment="1">
      <alignment horizontal="center" vertical="center"/>
    </xf>
    <xf numFmtId="49" fontId="39" fillId="3" borderId="40" xfId="0" applyNumberFormat="1" applyFont="1" applyFill="1" applyBorder="1" applyAlignment="1"/>
    <xf numFmtId="49" fontId="40" fillId="3" borderId="40" xfId="0" applyNumberFormat="1" applyFont="1" applyFill="1" applyBorder="1" applyAlignment="1"/>
    <xf numFmtId="49" fontId="30"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0" fontId="34" fillId="6" borderId="48" xfId="0" applyFont="1" applyFill="1" applyBorder="1" applyAlignment="1">
      <alignment horizontal="center" vertical="center"/>
    </xf>
    <xf numFmtId="0" fontId="0" fillId="2" borderId="48" xfId="0" applyBorder="1" applyAlignment="1">
      <alignment horizontal="center"/>
    </xf>
    <xf numFmtId="3" fontId="23" fillId="3" borderId="40" xfId="0" applyNumberFormat="1" applyFont="1" applyFill="1" applyBorder="1" applyAlignment="1">
      <alignment horizontal="left" wrapText="1"/>
    </xf>
    <xf numFmtId="0" fontId="31" fillId="2" borderId="40" xfId="0" applyFont="1" applyBorder="1" applyAlignment="1">
      <alignment horizontal="left"/>
    </xf>
    <xf numFmtId="0" fontId="21" fillId="3" borderId="45" xfId="0" applyFont="1" applyFill="1" applyBorder="1" applyAlignment="1">
      <alignment horizontal="left"/>
    </xf>
    <xf numFmtId="0" fontId="21" fillId="2" borderId="45" xfId="0" applyFont="1" applyBorder="1" applyAlignment="1">
      <alignment horizontal="left"/>
    </xf>
    <xf numFmtId="0" fontId="23" fillId="6" borderId="46" xfId="0" applyFont="1" applyFill="1" applyBorder="1" applyAlignment="1">
      <alignment horizontal="center"/>
    </xf>
    <xf numFmtId="0" fontId="23" fillId="3" borderId="0" xfId="0" applyFont="1" applyFill="1" applyBorder="1" applyAlignment="1">
      <alignment horizontal="center"/>
    </xf>
    <xf numFmtId="0" fontId="23" fillId="3" borderId="41" xfId="0" applyFont="1" applyFill="1" applyBorder="1" applyAlignment="1">
      <alignment horizontal="center"/>
    </xf>
    <xf numFmtId="0" fontId="16" fillId="3" borderId="0" xfId="0" applyFont="1" applyFill="1" applyBorder="1" applyAlignment="1">
      <alignment horizontal="left"/>
    </xf>
    <xf numFmtId="167" fontId="16" fillId="3" borderId="0" xfId="0" applyNumberFormat="1" applyFont="1" applyFill="1" applyBorder="1"/>
    <xf numFmtId="0" fontId="20" fillId="3" borderId="0" xfId="0" applyFont="1" applyFill="1" applyBorder="1"/>
    <xf numFmtId="0" fontId="19" fillId="3" borderId="0" xfId="0" applyFont="1" applyFill="1" applyBorder="1" applyAlignment="1">
      <alignment horizontal="center"/>
    </xf>
    <xf numFmtId="0" fontId="23" fillId="3" borderId="0" xfId="0" quotePrefix="1" applyFont="1" applyFill="1" applyBorder="1" applyAlignment="1">
      <alignment horizontal="right"/>
    </xf>
    <xf numFmtId="0" fontId="43" fillId="3" borderId="0" xfId="0" applyFont="1" applyFill="1" applyBorder="1" applyAlignment="1"/>
    <xf numFmtId="0" fontId="42" fillId="0" borderId="0" xfId="0" applyFont="1" applyFill="1" applyBorder="1" applyAlignment="1">
      <alignment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mc:AlternateContent xmlns:mc="http://schemas.openxmlformats.org/markup-compatibility/2006">
    <mc:Choice xmlns:a14="http://schemas.microsoft.com/office/drawing/2010/main" Requires="a14">
      <xdr:oneCellAnchor>
        <xdr:from>
          <xdr:col>6</xdr:col>
          <xdr:colOff>266700</xdr:colOff>
          <xdr:row>54</xdr:row>
          <xdr:rowOff>9525</xdr:rowOff>
        </xdr:from>
        <xdr:ext cx="304800" cy="219075"/>
        <xdr:sp macro="" textlink="">
          <xdr:nvSpPr>
            <xdr:cNvPr id="2116" name="pd2" hidden="1">
              <a:extLst>
                <a:ext uri="{63B3BB69-23CF-44E3-9099-C40C66FF867C}">
                  <a14:compatExt spid="_x0000_s211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6</xdr:col>
          <xdr:colOff>238125</xdr:colOff>
          <xdr:row>55</xdr:row>
          <xdr:rowOff>0</xdr:rowOff>
        </xdr:from>
        <xdr:ext cx="314325" cy="228600"/>
        <xdr:sp macro="" textlink="">
          <xdr:nvSpPr>
            <xdr:cNvPr id="2117" name="Option Button 69" hidden="1">
              <a:extLst>
                <a:ext uri="{63B3BB69-23CF-44E3-9099-C40C66FF867C}">
                  <a14:compatExt spid="_x0000_s211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47</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K10" sqref="K1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97"/>
      <c r="L14" s="98"/>
      <c r="M14" s="98"/>
      <c r="N14" s="3"/>
      <c r="O14" s="9"/>
    </row>
    <row r="15" spans="2:15" x14ac:dyDescent="0.2">
      <c r="B15" s="7"/>
      <c r="C15" s="3"/>
      <c r="D15" s="3"/>
      <c r="E15" s="3"/>
      <c r="F15" s="3"/>
      <c r="G15" s="3"/>
      <c r="H15" s="3"/>
      <c r="I15" s="3"/>
      <c r="J15" s="3"/>
      <c r="K15" s="97"/>
      <c r="L15" s="175" t="s">
        <v>76</v>
      </c>
      <c r="M15" s="175"/>
      <c r="N15" s="3"/>
      <c r="O15" s="9"/>
    </row>
    <row r="16" spans="2:15" x14ac:dyDescent="0.2">
      <c r="B16" s="7"/>
      <c r="C16" s="3"/>
      <c r="D16" s="3"/>
      <c r="E16" s="3"/>
      <c r="F16" s="3"/>
      <c r="G16" s="3"/>
      <c r="H16" s="3"/>
      <c r="I16" s="3"/>
      <c r="J16" s="3"/>
      <c r="K16" s="97"/>
      <c r="L16" s="175"/>
      <c r="M16" s="175"/>
      <c r="N16" s="3"/>
      <c r="O16" s="9"/>
    </row>
    <row r="17" spans="1:15" ht="12.75" customHeight="1" x14ac:dyDescent="0.2">
      <c r="B17" s="7"/>
      <c r="C17" s="3"/>
      <c r="D17" s="3"/>
      <c r="E17" s="3"/>
      <c r="F17" s="3"/>
      <c r="G17" s="3"/>
      <c r="H17" s="3"/>
      <c r="I17" s="3"/>
      <c r="J17" s="3"/>
      <c r="K17" s="97"/>
      <c r="L17" s="175"/>
      <c r="M17" s="175"/>
      <c r="N17" s="3"/>
      <c r="O17" s="9"/>
    </row>
    <row r="18" spans="1:15" ht="12.75" customHeight="1" x14ac:dyDescent="0.2">
      <c r="B18" s="7"/>
      <c r="C18" s="3"/>
      <c r="D18" s="189" t="s">
        <v>64</v>
      </c>
      <c r="E18" s="189"/>
      <c r="F18" s="189"/>
      <c r="G18" s="189"/>
      <c r="H18" s="189"/>
      <c r="I18" s="3"/>
      <c r="J18" s="3"/>
      <c r="K18" s="97"/>
      <c r="L18" s="175"/>
      <c r="M18" s="175"/>
      <c r="N18" s="3"/>
      <c r="O18" s="9"/>
    </row>
    <row r="19" spans="1:15" ht="20.100000000000001" customHeight="1" thickBot="1" x14ac:dyDescent="0.25">
      <c r="B19" s="7"/>
      <c r="C19" s="3"/>
      <c r="D19" s="190"/>
      <c r="E19" s="190"/>
      <c r="F19" s="190"/>
      <c r="G19" s="190"/>
      <c r="H19" s="190"/>
      <c r="I19" s="3"/>
      <c r="J19" s="3"/>
      <c r="K19" s="97"/>
      <c r="L19" s="175"/>
      <c r="M19" s="175"/>
      <c r="N19" s="3"/>
      <c r="O19" s="9"/>
    </row>
    <row r="20" spans="1:15" ht="3" customHeight="1" thickTop="1" x14ac:dyDescent="0.3">
      <c r="B20" s="7"/>
      <c r="C20" s="3"/>
      <c r="D20" s="57"/>
      <c r="E20" s="57"/>
      <c r="F20" s="57"/>
      <c r="G20" s="57"/>
      <c r="H20" s="57"/>
      <c r="I20" s="57"/>
      <c r="J20" s="58"/>
      <c r="K20" s="58"/>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55</v>
      </c>
      <c r="E23" s="176" t="s">
        <v>69</v>
      </c>
      <c r="F23" s="177"/>
      <c r="G23" s="177"/>
      <c r="H23" s="177"/>
      <c r="I23" s="177"/>
      <c r="J23" s="177"/>
      <c r="K23" s="117" t="s">
        <v>60</v>
      </c>
      <c r="L23" s="143">
        <v>44459</v>
      </c>
      <c r="M23" s="144"/>
      <c r="N23" s="54"/>
      <c r="O23" s="9"/>
    </row>
    <row r="24" spans="1:15" ht="27" x14ac:dyDescent="0.35">
      <c r="B24" s="7"/>
      <c r="C24" s="3"/>
      <c r="D24" s="122" t="s">
        <v>56</v>
      </c>
      <c r="E24" s="186" t="s">
        <v>72</v>
      </c>
      <c r="F24" s="186"/>
      <c r="G24" s="186"/>
      <c r="H24" s="187"/>
      <c r="I24" s="187"/>
      <c r="J24" s="187"/>
      <c r="K24" s="145" t="s">
        <v>73</v>
      </c>
      <c r="L24" s="140"/>
      <c r="M24" s="140"/>
      <c r="N24" s="55"/>
      <c r="O24" s="9"/>
    </row>
    <row r="25" spans="1:15" ht="27.75" x14ac:dyDescent="0.4">
      <c r="B25" s="7"/>
      <c r="C25" s="3"/>
      <c r="D25" s="122" t="s">
        <v>62</v>
      </c>
      <c r="E25" s="100">
        <v>2030</v>
      </c>
      <c r="F25" s="101" t="s">
        <v>54</v>
      </c>
      <c r="G25" s="178" t="s">
        <v>71</v>
      </c>
      <c r="H25" s="178"/>
      <c r="I25" s="108" t="s">
        <v>58</v>
      </c>
      <c r="J25" s="102" t="s">
        <v>59</v>
      </c>
      <c r="K25" s="117" t="s">
        <v>61</v>
      </c>
      <c r="L25" s="182" t="s">
        <v>70</v>
      </c>
      <c r="M25" s="183"/>
      <c r="N25" s="3"/>
      <c r="O25" s="9"/>
    </row>
    <row r="26" spans="1:15" ht="27.75" customHeight="1" x14ac:dyDescent="0.4">
      <c r="A26">
        <v>71</v>
      </c>
      <c r="B26" s="7"/>
      <c r="C26" s="3"/>
      <c r="D26" s="122" t="s">
        <v>57</v>
      </c>
      <c r="E26" s="184"/>
      <c r="F26" s="185"/>
      <c r="G26" s="185"/>
      <c r="H26" s="185"/>
      <c r="I26" s="185"/>
      <c r="J26" s="185"/>
      <c r="K26" s="117" t="s">
        <v>66</v>
      </c>
      <c r="L26" s="188" t="s">
        <v>74</v>
      </c>
      <c r="M26" s="188"/>
      <c r="N26" s="3"/>
      <c r="O26" s="9"/>
    </row>
    <row r="27" spans="1:15" x14ac:dyDescent="0.2">
      <c r="B27" s="7"/>
      <c r="C27" s="3"/>
      <c r="D27" s="80"/>
      <c r="E27" s="80"/>
      <c r="F27" s="80"/>
      <c r="G27" s="80"/>
      <c r="H27" s="80"/>
      <c r="I27" s="80"/>
      <c r="J27" s="80"/>
      <c r="K27" s="80"/>
      <c r="L27" s="141"/>
      <c r="M27" s="141"/>
      <c r="N27" s="3"/>
      <c r="O27" s="9"/>
    </row>
    <row r="28" spans="1:15" x14ac:dyDescent="0.2">
      <c r="B28" s="7"/>
      <c r="C28" s="3"/>
      <c r="D28" s="80"/>
      <c r="E28" s="80"/>
      <c r="F28" s="80"/>
      <c r="G28" s="80"/>
      <c r="H28" s="80"/>
      <c r="I28" s="80"/>
      <c r="J28" s="80"/>
      <c r="K28" s="80"/>
      <c r="L28" s="142"/>
      <c r="M28" s="142"/>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1" t="s">
        <v>36</v>
      </c>
      <c r="E30" s="91" t="s">
        <v>21</v>
      </c>
      <c r="F30" s="179" t="s">
        <v>22</v>
      </c>
      <c r="G30" s="180"/>
      <c r="H30" s="180"/>
      <c r="I30" s="180"/>
      <c r="J30" s="180"/>
      <c r="K30" s="181"/>
      <c r="L30" s="91" t="s">
        <v>23</v>
      </c>
      <c r="M30" s="92" t="s">
        <v>24</v>
      </c>
      <c r="N30" s="56"/>
      <c r="O30" s="9"/>
    </row>
    <row r="31" spans="1:15" ht="25.5" x14ac:dyDescent="0.35">
      <c r="B31" s="7"/>
      <c r="C31" s="3"/>
      <c r="D31" s="131"/>
      <c r="E31" s="94"/>
      <c r="F31" s="160"/>
      <c r="G31" s="161"/>
      <c r="H31" s="161"/>
      <c r="I31" s="161"/>
      <c r="J31" s="161"/>
      <c r="K31" s="162"/>
      <c r="L31" s="95"/>
      <c r="M31" s="96"/>
      <c r="N31" s="56"/>
      <c r="O31" s="9"/>
    </row>
    <row r="32" spans="1:15" ht="25.5" x14ac:dyDescent="0.35">
      <c r="B32" s="7"/>
      <c r="C32" s="3"/>
      <c r="D32" s="131"/>
      <c r="E32" s="94"/>
      <c r="F32" s="120"/>
      <c r="G32" s="121"/>
      <c r="H32" s="121"/>
      <c r="I32" s="121"/>
      <c r="J32" s="121"/>
      <c r="K32" s="138"/>
      <c r="L32" s="95"/>
      <c r="M32" s="96"/>
      <c r="N32" s="56"/>
      <c r="O32" s="9"/>
    </row>
    <row r="33" spans="2:15" ht="25.5" x14ac:dyDescent="0.35">
      <c r="B33" s="7"/>
      <c r="C33" s="3"/>
      <c r="D33" s="131"/>
      <c r="E33" s="94"/>
      <c r="F33" s="135"/>
      <c r="G33" s="136"/>
      <c r="H33" s="136"/>
      <c r="I33" s="136"/>
      <c r="J33" s="136"/>
      <c r="K33" s="137"/>
      <c r="L33" s="95"/>
      <c r="M33" s="96"/>
      <c r="N33" s="56"/>
      <c r="O33" s="9"/>
    </row>
    <row r="34" spans="2:15" ht="25.5" x14ac:dyDescent="0.35">
      <c r="B34" s="7"/>
      <c r="C34" s="3"/>
      <c r="D34" s="131" t="s">
        <v>65</v>
      </c>
      <c r="E34" s="94">
        <v>7</v>
      </c>
      <c r="F34" s="147" t="s">
        <v>68</v>
      </c>
      <c r="G34" s="110"/>
      <c r="H34" s="110"/>
      <c r="I34" s="110"/>
      <c r="J34" s="110"/>
      <c r="K34" s="111"/>
      <c r="L34" s="95">
        <v>200</v>
      </c>
      <c r="M34" s="95">
        <f>+L34*E34</f>
        <v>1400</v>
      </c>
      <c r="N34" s="56"/>
      <c r="O34" s="9"/>
    </row>
    <row r="35" spans="2:15" ht="25.5" x14ac:dyDescent="0.35">
      <c r="B35" s="7"/>
      <c r="C35" s="3"/>
      <c r="D35" s="131"/>
      <c r="E35" s="94"/>
      <c r="F35" s="109"/>
      <c r="G35" s="110"/>
      <c r="H35" s="110"/>
      <c r="I35" s="110"/>
      <c r="J35" s="110"/>
      <c r="K35" s="111"/>
      <c r="L35" s="95"/>
      <c r="M35" s="95"/>
      <c r="N35" s="56"/>
      <c r="O35" s="9"/>
    </row>
    <row r="36" spans="2:15" ht="25.5" x14ac:dyDescent="0.35">
      <c r="B36" s="7"/>
      <c r="C36" s="3"/>
      <c r="D36" s="131" t="s">
        <v>67</v>
      </c>
      <c r="E36" s="94">
        <v>7</v>
      </c>
      <c r="F36" s="147" t="s">
        <v>77</v>
      </c>
      <c r="G36" s="139"/>
      <c r="H36" s="139"/>
      <c r="I36" s="139"/>
      <c r="J36" s="139"/>
      <c r="K36" s="111"/>
      <c r="L36" s="95">
        <v>200</v>
      </c>
      <c r="M36" s="95">
        <f t="shared" ref="M36" si="0">+L36*E36</f>
        <v>1400</v>
      </c>
      <c r="N36" s="56"/>
      <c r="O36" s="9"/>
    </row>
    <row r="37" spans="2:15" ht="25.5" x14ac:dyDescent="0.35">
      <c r="B37" s="7"/>
      <c r="C37" s="3"/>
      <c r="D37" s="131"/>
      <c r="E37" s="94"/>
      <c r="F37" s="109"/>
      <c r="G37" s="110"/>
      <c r="H37" s="110"/>
      <c r="I37" s="110"/>
      <c r="J37" s="110"/>
      <c r="K37" s="111"/>
      <c r="L37" s="95"/>
      <c r="M37" s="96" t="str">
        <f t="shared" ref="M37:M51" si="1">IF(E37&lt;&gt;"",E37*L37,"")</f>
        <v/>
      </c>
      <c r="N37" s="56"/>
      <c r="O37" s="9"/>
    </row>
    <row r="38" spans="2:15" ht="25.5" x14ac:dyDescent="0.35">
      <c r="B38" s="7"/>
      <c r="C38" s="3"/>
      <c r="D38" s="131"/>
      <c r="E38" s="94"/>
      <c r="F38" s="147"/>
      <c r="G38" s="110"/>
      <c r="H38" s="110"/>
      <c r="I38" s="110"/>
      <c r="J38" s="110"/>
      <c r="K38" s="111"/>
      <c r="L38" s="95"/>
      <c r="M38" s="95"/>
      <c r="N38" s="56"/>
      <c r="O38" s="9"/>
    </row>
    <row r="39" spans="2:15" ht="25.5" x14ac:dyDescent="0.35">
      <c r="B39" s="7"/>
      <c r="C39" s="3"/>
      <c r="D39" s="150"/>
      <c r="E39" s="94"/>
      <c r="F39" s="147"/>
      <c r="G39" s="110"/>
      <c r="H39" s="110"/>
      <c r="I39" s="110"/>
      <c r="J39" s="110"/>
      <c r="K39" s="111"/>
      <c r="L39" s="151"/>
      <c r="M39" s="151"/>
      <c r="N39" s="56"/>
      <c r="O39" s="9"/>
    </row>
    <row r="40" spans="2:15" ht="25.5" x14ac:dyDescent="0.35">
      <c r="B40" s="7"/>
      <c r="C40" s="3"/>
      <c r="D40" s="150"/>
      <c r="E40" s="94"/>
      <c r="F40" s="164"/>
      <c r="G40" s="165"/>
      <c r="H40" s="165"/>
      <c r="I40" s="165"/>
      <c r="J40" s="165"/>
      <c r="K40" s="166"/>
      <c r="L40" s="151"/>
      <c r="M40" s="151"/>
      <c r="N40" s="56"/>
      <c r="O40" s="9"/>
    </row>
    <row r="41" spans="2:15" ht="25.5" x14ac:dyDescent="0.35">
      <c r="B41" s="7"/>
      <c r="C41" s="3"/>
      <c r="D41" s="131"/>
      <c r="E41" s="94"/>
      <c r="F41" s="169"/>
      <c r="G41" s="170"/>
      <c r="H41" s="170"/>
      <c r="I41" s="170"/>
      <c r="J41" s="170"/>
      <c r="K41" s="171"/>
      <c r="L41" s="95"/>
      <c r="M41" s="96"/>
      <c r="N41" s="56"/>
      <c r="O41" s="9"/>
    </row>
    <row r="42" spans="2:15" ht="25.5" x14ac:dyDescent="0.35">
      <c r="B42" s="7"/>
      <c r="C42" s="3"/>
      <c r="D42" s="131"/>
      <c r="E42" s="94"/>
      <c r="F42" s="169"/>
      <c r="G42" s="170"/>
      <c r="H42" s="170"/>
      <c r="I42" s="170"/>
      <c r="J42" s="170"/>
      <c r="K42" s="171"/>
      <c r="L42" s="95"/>
      <c r="M42" s="96"/>
      <c r="N42" s="56"/>
      <c r="O42" s="9"/>
    </row>
    <row r="43" spans="2:15" ht="25.5" x14ac:dyDescent="0.35">
      <c r="B43" s="7"/>
      <c r="C43" s="3"/>
      <c r="D43" s="66"/>
      <c r="E43" s="94"/>
      <c r="F43" s="169"/>
      <c r="G43" s="170"/>
      <c r="H43" s="170"/>
      <c r="I43" s="170"/>
      <c r="J43" s="170"/>
      <c r="K43" s="171"/>
      <c r="L43" s="95"/>
      <c r="M43" s="96" t="str">
        <f t="shared" si="1"/>
        <v/>
      </c>
      <c r="N43" s="56"/>
      <c r="O43" s="9"/>
    </row>
    <row r="44" spans="2:15" ht="25.5" x14ac:dyDescent="0.35">
      <c r="B44" s="7"/>
      <c r="C44" s="3"/>
      <c r="D44" s="66"/>
      <c r="E44" s="94"/>
      <c r="F44" s="164"/>
      <c r="G44" s="165"/>
      <c r="H44" s="165"/>
      <c r="I44" s="165"/>
      <c r="J44" s="165"/>
      <c r="K44" s="166"/>
      <c r="L44" s="95"/>
      <c r="M44" s="96" t="str">
        <f t="shared" si="1"/>
        <v/>
      </c>
      <c r="N44" s="56"/>
      <c r="O44" s="9"/>
    </row>
    <row r="45" spans="2:15" ht="25.5" x14ac:dyDescent="0.35">
      <c r="B45" s="7"/>
      <c r="C45" s="3"/>
      <c r="D45" s="66"/>
      <c r="E45" s="94"/>
      <c r="F45" s="148"/>
      <c r="G45" s="149"/>
      <c r="H45" s="149"/>
      <c r="I45" s="149"/>
      <c r="J45" s="149"/>
      <c r="K45" s="149"/>
      <c r="L45" s="95"/>
      <c r="M45" s="96"/>
      <c r="N45" s="56"/>
      <c r="O45" s="9"/>
    </row>
    <row r="46" spans="2:15" ht="25.5" x14ac:dyDescent="0.35">
      <c r="B46" s="7"/>
      <c r="C46" s="3"/>
      <c r="D46" s="66"/>
      <c r="E46" s="94"/>
      <c r="F46" s="148"/>
      <c r="G46" s="149"/>
      <c r="H46" s="149"/>
      <c r="I46" s="149"/>
      <c r="J46" s="149"/>
      <c r="K46" s="149"/>
      <c r="L46" s="95"/>
      <c r="M46" s="96"/>
      <c r="N46" s="56"/>
      <c r="O46" s="9"/>
    </row>
    <row r="47" spans="2:15" ht="25.5" x14ac:dyDescent="0.35">
      <c r="B47" s="7"/>
      <c r="C47" s="3"/>
      <c r="D47" s="66"/>
      <c r="E47" s="94"/>
      <c r="F47" s="148"/>
      <c r="G47" s="149"/>
      <c r="H47" s="149"/>
      <c r="I47" s="149"/>
      <c r="J47" s="149"/>
      <c r="K47" s="149"/>
      <c r="L47" s="95"/>
      <c r="M47" s="96"/>
      <c r="N47" s="56"/>
      <c r="O47" s="9"/>
    </row>
    <row r="48" spans="2:15" ht="25.5" x14ac:dyDescent="0.35">
      <c r="B48" s="7"/>
      <c r="C48" s="3"/>
      <c r="D48" s="66"/>
      <c r="E48" s="94"/>
      <c r="F48" s="164"/>
      <c r="G48" s="165"/>
      <c r="H48" s="165"/>
      <c r="I48" s="165"/>
      <c r="J48" s="165"/>
      <c r="K48" s="166"/>
      <c r="L48" s="95"/>
      <c r="M48" s="96" t="str">
        <f t="shared" si="1"/>
        <v/>
      </c>
      <c r="N48" s="56"/>
      <c r="O48" s="9"/>
    </row>
    <row r="49" spans="2:15" ht="25.5" x14ac:dyDescent="0.35">
      <c r="B49" s="7"/>
      <c r="C49" s="3"/>
      <c r="D49" s="66"/>
      <c r="E49" s="94"/>
      <c r="F49" s="169"/>
      <c r="G49" s="170"/>
      <c r="H49" s="170"/>
      <c r="I49" s="170"/>
      <c r="J49" s="170"/>
      <c r="K49" s="171"/>
      <c r="L49" s="95"/>
      <c r="M49" s="96" t="str">
        <f t="shared" si="1"/>
        <v/>
      </c>
      <c r="N49" s="56"/>
      <c r="O49" s="9"/>
    </row>
    <row r="50" spans="2:15" ht="25.5" x14ac:dyDescent="0.35">
      <c r="B50" s="7"/>
      <c r="C50" s="3"/>
      <c r="D50" s="66"/>
      <c r="E50" s="94"/>
      <c r="F50" s="169"/>
      <c r="G50" s="170"/>
      <c r="H50" s="170"/>
      <c r="I50" s="170"/>
      <c r="J50" s="170"/>
      <c r="K50" s="171"/>
      <c r="L50" s="95"/>
      <c r="M50" s="96" t="str">
        <f t="shared" si="1"/>
        <v/>
      </c>
      <c r="N50" s="56"/>
      <c r="O50" s="9"/>
    </row>
    <row r="51" spans="2:15" ht="26.25" x14ac:dyDescent="0.4">
      <c r="B51" s="7"/>
      <c r="C51" s="3"/>
      <c r="D51" s="66"/>
      <c r="E51" s="94"/>
      <c r="F51" s="114"/>
      <c r="G51" s="132"/>
      <c r="H51" s="132"/>
      <c r="I51" s="132"/>
      <c r="J51" s="132"/>
      <c r="K51" s="133"/>
      <c r="L51" s="134"/>
      <c r="M51" s="96" t="str">
        <f t="shared" si="1"/>
        <v/>
      </c>
      <c r="N51" s="56"/>
      <c r="O51" s="9"/>
    </row>
    <row r="52" spans="2:15" ht="20.25" x14ac:dyDescent="0.3">
      <c r="B52" s="7"/>
      <c r="C52" s="3"/>
      <c r="D52" s="67"/>
      <c r="E52" s="53"/>
      <c r="F52" s="172"/>
      <c r="G52" s="173"/>
      <c r="H52" s="173"/>
      <c r="I52" s="173"/>
      <c r="J52" s="173"/>
      <c r="K52" s="174"/>
      <c r="L52" s="67"/>
      <c r="M52" s="130" t="str">
        <f>IF(E52&lt;&gt;"",E52*L52,"")</f>
        <v/>
      </c>
      <c r="N52" s="56"/>
      <c r="O52" s="9"/>
    </row>
    <row r="53" spans="2:15" ht="30" x14ac:dyDescent="0.4">
      <c r="B53" s="7"/>
      <c r="C53" s="3"/>
      <c r="D53" s="112"/>
      <c r="E53" s="80"/>
      <c r="F53" s="80"/>
      <c r="G53" s="80"/>
      <c r="H53" s="80"/>
      <c r="I53" s="80"/>
      <c r="J53" s="76"/>
      <c r="K53" s="103"/>
      <c r="L53" s="128" t="s">
        <v>25</v>
      </c>
      <c r="M53" s="107">
        <f>SUM(M31:M52)</f>
        <v>2800</v>
      </c>
      <c r="N53" s="56"/>
      <c r="O53" s="9"/>
    </row>
    <row r="54" spans="2:15" ht="24.95" customHeight="1" x14ac:dyDescent="0.4">
      <c r="B54" s="7"/>
      <c r="C54" s="3"/>
      <c r="D54" s="3"/>
      <c r="E54" s="80"/>
      <c r="F54" s="80"/>
      <c r="G54" s="80"/>
      <c r="H54" s="80"/>
      <c r="I54" s="80"/>
      <c r="J54" s="80"/>
      <c r="K54" s="103"/>
      <c r="L54" s="125" t="s">
        <v>48</v>
      </c>
      <c r="M54" s="129">
        <v>0.6</v>
      </c>
      <c r="N54" s="56"/>
      <c r="O54" s="9"/>
    </row>
    <row r="55" spans="2:15" ht="24.95" customHeight="1" x14ac:dyDescent="0.4">
      <c r="B55" s="7"/>
      <c r="C55" s="3"/>
      <c r="D55" s="194"/>
      <c r="E55" s="194"/>
      <c r="F55" s="191"/>
      <c r="G55" s="81"/>
      <c r="H55" s="99" t="s">
        <v>26</v>
      </c>
      <c r="I55" s="99"/>
      <c r="J55" s="80"/>
      <c r="K55" s="104"/>
      <c r="L55" s="126" t="s">
        <v>63</v>
      </c>
      <c r="M55" s="113">
        <f>M53*0.19</f>
        <v>532</v>
      </c>
      <c r="N55" s="56"/>
      <c r="O55" s="9"/>
    </row>
    <row r="56" spans="2:15" ht="30" x14ac:dyDescent="0.4">
      <c r="B56" s="7"/>
      <c r="C56" s="3"/>
      <c r="D56" s="193"/>
      <c r="E56" s="192"/>
      <c r="F56" s="191"/>
      <c r="G56" s="83"/>
      <c r="H56" s="99" t="s">
        <v>27</v>
      </c>
      <c r="I56" s="99"/>
      <c r="J56" s="86"/>
      <c r="K56" s="103"/>
      <c r="L56" s="127" t="s">
        <v>29</v>
      </c>
      <c r="M56" s="107">
        <f>M53+M55+M54</f>
        <v>3332.6</v>
      </c>
      <c r="N56" s="56"/>
      <c r="O56" s="9"/>
    </row>
    <row r="57" spans="2:15" ht="30" x14ac:dyDescent="0.4">
      <c r="B57" s="7"/>
      <c r="C57" s="3"/>
      <c r="D57" s="3"/>
      <c r="E57" s="83"/>
      <c r="F57" s="82"/>
      <c r="G57" s="80"/>
      <c r="H57" s="84"/>
      <c r="I57" s="80"/>
      <c r="J57" s="77" t="s">
        <v>28</v>
      </c>
      <c r="K57" s="103"/>
      <c r="L57" s="105"/>
      <c r="M57" s="123"/>
      <c r="N57" s="56"/>
      <c r="O57" s="9"/>
    </row>
    <row r="58" spans="2:15" ht="15.75" x14ac:dyDescent="0.25">
      <c r="B58" s="7"/>
      <c r="C58" s="146" t="s">
        <v>75</v>
      </c>
      <c r="D58" s="146"/>
      <c r="E58" s="146"/>
      <c r="F58" s="146"/>
      <c r="G58" s="146"/>
      <c r="H58" s="146"/>
      <c r="I58" s="146"/>
      <c r="J58" s="146"/>
      <c r="K58" s="146"/>
      <c r="L58" s="90"/>
      <c r="M58" s="93"/>
      <c r="N58" s="56"/>
      <c r="O58" s="9"/>
    </row>
    <row r="59" spans="2:15" ht="30" x14ac:dyDescent="0.4">
      <c r="B59" s="7"/>
      <c r="C59" s="3"/>
      <c r="D59" s="122" t="s">
        <v>80</v>
      </c>
      <c r="E59" s="195"/>
      <c r="F59" s="196"/>
      <c r="G59" s="196"/>
      <c r="H59" s="196"/>
      <c r="I59" s="196"/>
      <c r="J59" s="78"/>
      <c r="K59" s="106"/>
      <c r="L59" s="116"/>
      <c r="M59" s="116"/>
      <c r="N59" s="56"/>
      <c r="O59" s="9"/>
    </row>
    <row r="60" spans="2:15" ht="3" customHeight="1" x14ac:dyDescent="0.2">
      <c r="B60" s="7"/>
      <c r="C60" s="3"/>
      <c r="D60" s="3"/>
      <c r="E60" s="85"/>
      <c r="F60" s="163"/>
      <c r="G60" s="163"/>
      <c r="H60" s="163"/>
      <c r="I60" s="163"/>
      <c r="J60" s="76"/>
      <c r="K60" s="76"/>
      <c r="L60" s="116"/>
      <c r="M60" s="116"/>
      <c r="N60" s="56"/>
      <c r="O60" s="9"/>
    </row>
    <row r="61" spans="2:15" ht="20.25" x14ac:dyDescent="0.3">
      <c r="B61" s="7"/>
      <c r="C61" s="3"/>
      <c r="D61" s="197" t="s">
        <v>79</v>
      </c>
      <c r="E61" s="20"/>
      <c r="F61" s="167"/>
      <c r="G61" s="167"/>
      <c r="H61" s="167"/>
      <c r="I61" s="167"/>
      <c r="J61" s="76"/>
      <c r="K61" s="116"/>
      <c r="L61" s="116"/>
      <c r="M61" s="116"/>
      <c r="N61" s="56"/>
      <c r="O61" s="9"/>
    </row>
    <row r="62" spans="2:15" ht="18" x14ac:dyDescent="0.2">
      <c r="B62" s="7"/>
      <c r="C62" s="3"/>
      <c r="D62" s="3"/>
      <c r="E62" s="20"/>
      <c r="F62" s="124"/>
      <c r="G62" s="168"/>
      <c r="H62" s="168"/>
      <c r="I62" s="168"/>
      <c r="J62" s="76"/>
      <c r="K62" s="116"/>
      <c r="L62" s="79"/>
      <c r="M62" s="79"/>
      <c r="N62" s="56"/>
      <c r="O62" s="9"/>
    </row>
    <row r="63" spans="2:15" ht="15" x14ac:dyDescent="0.2">
      <c r="B63" s="7"/>
      <c r="C63" s="3"/>
      <c r="D63" s="3"/>
      <c r="E63" s="3"/>
      <c r="F63" s="115"/>
      <c r="G63" s="115"/>
      <c r="H63" s="115"/>
      <c r="I63" s="115"/>
      <c r="J63" s="115"/>
      <c r="K63" s="115"/>
      <c r="L63" s="115"/>
      <c r="M63" s="76"/>
      <c r="N63" s="56"/>
      <c r="O63" s="9"/>
    </row>
    <row r="64" spans="2:15" ht="0.95" customHeight="1" thickBot="1" x14ac:dyDescent="0.25">
      <c r="B64" s="7"/>
      <c r="C64" s="3"/>
      <c r="D64" s="3"/>
      <c r="E64" s="3"/>
      <c r="F64" s="3"/>
      <c r="G64" s="3"/>
      <c r="H64" s="3"/>
      <c r="I64" s="3"/>
      <c r="J64" s="3"/>
      <c r="K64" s="3"/>
      <c r="L64" s="3"/>
      <c r="M64" s="3"/>
      <c r="N64" s="56"/>
      <c r="O64" s="9"/>
    </row>
    <row r="65" spans="1:15" ht="6" customHeight="1" thickTop="1" x14ac:dyDescent="0.2">
      <c r="B65" s="7"/>
      <c r="C65" s="57"/>
      <c r="D65" s="57"/>
      <c r="E65" s="57"/>
      <c r="F65" s="57"/>
      <c r="G65" s="57"/>
      <c r="H65" s="57"/>
      <c r="I65" s="57"/>
      <c r="J65" s="57"/>
      <c r="K65" s="57"/>
      <c r="L65" s="57"/>
      <c r="M65" s="57"/>
      <c r="N65" s="56"/>
      <c r="O65" s="9"/>
    </row>
    <row r="66" spans="1:15" ht="12.75" customHeight="1" x14ac:dyDescent="0.2">
      <c r="A66" s="118"/>
      <c r="B66" s="119"/>
      <c r="C66" s="3"/>
      <c r="D66" s="159" t="s">
        <v>78</v>
      </c>
      <c r="E66" s="159"/>
      <c r="F66" s="159"/>
      <c r="G66" s="159"/>
      <c r="H66" s="159"/>
      <c r="I66" s="159"/>
      <c r="J66" s="159"/>
      <c r="K66" s="159"/>
      <c r="L66" s="159"/>
      <c r="M66" s="159"/>
      <c r="N66" s="159"/>
      <c r="O66" s="159"/>
    </row>
    <row r="67" spans="1:15" ht="12.75" customHeight="1" x14ac:dyDescent="0.2">
      <c r="A67" s="118"/>
      <c r="B67" s="119"/>
      <c r="C67" s="3"/>
      <c r="D67" s="159"/>
      <c r="E67" s="159"/>
      <c r="F67" s="159"/>
      <c r="G67" s="159"/>
      <c r="H67" s="159"/>
      <c r="I67" s="159"/>
      <c r="J67" s="159"/>
      <c r="K67" s="159"/>
      <c r="L67" s="159"/>
      <c r="M67" s="159"/>
      <c r="N67" s="159"/>
      <c r="O67" s="159"/>
    </row>
    <row r="68" spans="1:15" ht="12.75" customHeight="1" x14ac:dyDescent="0.2">
      <c r="A68" s="118"/>
      <c r="B68" s="119"/>
      <c r="C68" s="97"/>
      <c r="D68" s="159"/>
      <c r="E68" s="159"/>
      <c r="F68" s="159"/>
      <c r="G68" s="159"/>
      <c r="H68" s="159"/>
      <c r="I68" s="159"/>
      <c r="J68" s="159"/>
      <c r="K68" s="159"/>
      <c r="L68" s="159"/>
      <c r="M68" s="159"/>
      <c r="N68" s="159"/>
      <c r="O68" s="159"/>
    </row>
    <row r="69" spans="1:15" ht="13.5" customHeight="1" thickBot="1" x14ac:dyDescent="0.25">
      <c r="B69" s="10"/>
      <c r="C69" s="97"/>
      <c r="D69" s="159"/>
      <c r="E69" s="159"/>
      <c r="F69" s="159"/>
      <c r="G69" s="159"/>
      <c r="H69" s="159"/>
      <c r="I69" s="159"/>
      <c r="J69" s="159"/>
      <c r="K69" s="159"/>
      <c r="L69" s="159"/>
      <c r="M69" s="159"/>
      <c r="N69" s="159"/>
      <c r="O69" s="159"/>
    </row>
    <row r="70" spans="1:15" ht="13.5" customHeight="1" thickTop="1" x14ac:dyDescent="0.2">
      <c r="C70" s="97"/>
      <c r="D70" s="159"/>
      <c r="E70" s="159"/>
      <c r="F70" s="159"/>
      <c r="G70" s="159"/>
      <c r="H70" s="159"/>
      <c r="I70" s="159"/>
      <c r="J70" s="159"/>
      <c r="K70" s="159"/>
      <c r="L70" s="159"/>
      <c r="M70" s="159"/>
      <c r="N70" s="159"/>
      <c r="O70" s="159"/>
    </row>
    <row r="71" spans="1:15" ht="13.5" thickBot="1" x14ac:dyDescent="0.25">
      <c r="C71" s="11"/>
      <c r="D71" s="11"/>
      <c r="E71" s="11"/>
      <c r="F71" s="11"/>
      <c r="G71" s="11"/>
      <c r="H71" s="11"/>
      <c r="I71" s="11"/>
      <c r="J71" s="11"/>
      <c r="K71" s="11"/>
      <c r="L71" s="3"/>
      <c r="M71" s="3"/>
      <c r="N71" s="11"/>
      <c r="O71" s="12"/>
    </row>
    <row r="72" spans="1:15" ht="13.5"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D55:E55"/>
    <mergeCell ref="L15:M19"/>
    <mergeCell ref="E23:J23"/>
    <mergeCell ref="G25:H25"/>
    <mergeCell ref="F30:K30"/>
    <mergeCell ref="L25:M25"/>
    <mergeCell ref="E26:J26"/>
    <mergeCell ref="E24:J24"/>
    <mergeCell ref="L26:M26"/>
    <mergeCell ref="D18:H19"/>
    <mergeCell ref="D66:O70"/>
    <mergeCell ref="F31:K31"/>
    <mergeCell ref="F60:I60"/>
    <mergeCell ref="F48:K48"/>
    <mergeCell ref="F61:I61"/>
    <mergeCell ref="G62:I62"/>
    <mergeCell ref="F50:K50"/>
    <mergeCell ref="F42:K42"/>
    <mergeCell ref="F40:K40"/>
    <mergeCell ref="F44:K44"/>
    <mergeCell ref="F43:K43"/>
    <mergeCell ref="F41:K41"/>
    <mergeCell ref="F52:K52"/>
    <mergeCell ref="F49:K49"/>
  </mergeCells>
  <phoneticPr fontId="0" type="noConversion"/>
  <dataValidations xWindow="258" yWindow="385" count="11">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decimal" allowBlank="1" showErrorMessage="1" errorTitle="Prix unitaire" error="Tapez un nombre dans cette cellule." promptTitle="Prix unitaire" sqref="M38:M40 M34:M36 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41:M52 M37">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6" r:id="rId4" name="pd2">
              <controlPr defaultSize="0" autoFill="0" autoLine="0" autoPict="0" macro="[2]!INV_Payments">
                <anchor moveWithCells="1">
                  <from>
                    <xdr:col>6</xdr:col>
                    <xdr:colOff>266700</xdr:colOff>
                    <xdr:row>54</xdr:row>
                    <xdr:rowOff>9525</xdr:rowOff>
                  </from>
                  <to>
                    <xdr:col>6</xdr:col>
                    <xdr:colOff>571500</xdr:colOff>
                    <xdr:row>54</xdr:row>
                    <xdr:rowOff>228600</xdr:rowOff>
                  </to>
                </anchor>
              </controlPr>
            </control>
          </mc:Choice>
        </mc:AlternateContent>
        <mc:AlternateContent xmlns:mc="http://schemas.openxmlformats.org/markup-compatibility/2006">
          <mc:Choice Requires="x14">
            <control shapeId="2117" r:id="rId5" name="Option Button 69">
              <controlPr defaultSize="0" autoFill="0" autoLine="0" autoPict="0" macro="[2]!INV_Payments">
                <anchor moveWithCells="1">
                  <from>
                    <xdr:col>6</xdr:col>
                    <xdr:colOff>238125</xdr:colOff>
                    <xdr:row>55</xdr:row>
                    <xdr:rowOff>0</xdr:rowOff>
                  </from>
                  <to>
                    <xdr:col>6</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44459</v>
      </c>
      <c r="D8" s="71" t="str">
        <f>Facture!$E$23</f>
        <v>COMETEL</v>
      </c>
      <c r="E8" s="68" t="str">
        <f>Facture!$E$24</f>
        <v xml:space="preserve">RESIDENCE LILIA JARDINS D'EL MANZAH 2  ARIANA </v>
      </c>
      <c r="F8" s="68">
        <f>Facture!$E$25</f>
        <v>2030</v>
      </c>
      <c r="G8" s="71" t="str">
        <f>Facture!$G$25</f>
        <v>TUNIS</v>
      </c>
      <c r="H8" s="71" t="str">
        <f>Facture!$J$25</f>
        <v>TN</v>
      </c>
      <c r="I8" s="68">
        <f>Facture!$E$26</f>
        <v>0</v>
      </c>
      <c r="J8" s="72">
        <f>Facture!$M$56</f>
        <v>3332.6</v>
      </c>
      <c r="K8" s="68" t="str">
        <f>Facture!$L$25</f>
        <v>Yosr EL ECHI</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74</vt:i4>
      </vt:variant>
    </vt:vector>
  </HeadingPairs>
  <TitlesOfParts>
    <vt:vector size="7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data49</vt:lpstr>
      <vt:lpstr>data5</vt:lpstr>
      <vt:lpstr>data54</vt:lpstr>
      <vt:lpstr>data57</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2021-09-21T15:44:08Z</cp:lastPrinted>
  <dcterms:created xsi:type="dcterms:W3CDTF">1995-05-29T15:50:39Z</dcterms:created>
  <dcterms:modified xsi:type="dcterms:W3CDTF">2021-09-21T15:44:26Z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vt:lpwstr>
  </property>
  <property fmtid="{D5CDD505-2E9C-101B-9397-08002B2CF9AE}" pid="11" name="Montant de la facture" linkTarget="TOT">
    <vt:r8>3332.6</vt:r8>
  </property>
</Properties>
</file>