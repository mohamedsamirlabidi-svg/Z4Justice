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9" i="3" l="1"/>
  <c r="M40" i="3"/>
  <c r="M41" i="3"/>
  <c r="M36" i="3" l="1"/>
  <c r="M37" i="3"/>
  <c r="M38" i="3"/>
  <c r="M43" i="3" l="1"/>
  <c r="M35" i="3" l="1"/>
  <c r="M44" i="3" s="1"/>
  <c r="M31" i="3" l="1"/>
  <c r="M32" i="3"/>
  <c r="M46" i="3" l="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<sst xmlns="http://schemas.openxmlformats.org/spreadsheetml/2006/main" count="86" uniqueCount="78">
  <si>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</si>
  <si>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</si>
  <si>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</si>
  <si>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</si>
  <si>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</si>
  <si>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</si>
  <si>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</si>
  <si>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</si>
  <si>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</si>
  <si>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</si>
  <si>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</si>
  <si>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</si>
  <si>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</si>
  <si>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</si>
  <si>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</si>
  <si>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</si>
  <si>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</si>
  <si>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</si>
  <si>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</si>
  <si>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</si>
  <si>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</si>
  <si>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</si>
  <si>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</si>
  <si>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</si>
  <si>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</si>
  <si>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</si>
  <si>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</si>
  <si>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</si>
  <si>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</si>
  <si>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</si>
  <si>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</si>
  <si>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</si>
  <si>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</si>
  <si>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</si>
  <si>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</si>
  <si>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</si>
  <si>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</si>
  <si>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</si>
  <si>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</si>
  <si>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</si>
  <si>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</si>
  <si>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</si>
  <si>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</si>
  <si>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</si>
  <si>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</si>
  <si>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</si>
  <si>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</si>
  <si>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</si>
  <si>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</si>
  <si>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</si>
  <si>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</si>
  <si>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</si>
  <si>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</si>
  <si>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</si>
  <si>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</si>
  <si>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</si>
  <si>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</si>
  <si>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</si>
  <si>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</si>
  <si>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</si>
  <si>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</si>
  <si>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</si>
  <si>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</si>
  <si>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</si>
  <si>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</si>
  <si>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</si>
  <si>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</si>
  <si>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Chèque   30JOURS </t>
  </si>
  <si>
    <t xml:space="preserve">NXT </t>
  </si>
  <si>
    <t>AV MOSBAH JARBOU EL MANAR II</t>
  </si>
  <si>
    <t xml:space="preserve">     Responsable:         Mr  ABD KARIM </t>
  </si>
  <si>
    <t>0808707EAM000</t>
  </si>
  <si>
    <t xml:space="preserve">FORMATION TRAVAIL EN HAUTEUR </t>
  </si>
  <si>
    <t>FTH001</t>
  </si>
  <si>
    <t xml:space="preserve">SUR PYLONE DE TELECOMMUNICATION </t>
  </si>
  <si>
    <t>FACTURE  N°2021-001</t>
  </si>
  <si>
    <t xml:space="preserve">    COMMANDE N°:  FR-2021-110</t>
  </si>
  <si>
    <t>ARRETE LA PRESENTE FACTURE A LA SOMME DE :DEUX CENT TRENTE HUIT DINARS 600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</si>
</sst>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16"/>
      <color rgb="FFFF0000"/>
      <name val="Arial"/>
      <family val="2"/>
    </font>
    <font>
      <b/>
      <sz val="10"/>
      <color rgb="FFFF0000"/>
      <name val="Arial"/>
      <family val="2"/>
    </font>
    <font>
      <b/>
      <sz val="11"/>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49" fontId="47"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8" fillId="3" borderId="0" xfId="0" applyFont="1" applyFill="1" applyBorder="1" applyAlignment="1">
      <alignment horizontal="left"/>
    </xf>
    <xf numFmtId="0" fontId="49" fillId="3" borderId="0" xfId="0" applyFont="1" applyFill="1" applyBorder="1" applyAlignment="1">
      <alignment vertical="top"/>
    </xf>
    <xf numFmtId="167" fontId="50"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0" t="str">
        <f>LOWER(TemplateInformation!B3)</f>
        <v>c:\program files\microsoft office\office\macrolib\factbd.xls</v>
      </c>
      <c r="G33" s="16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31" zoomScale="50" zoomScaleNormal="50" workbookViewId="0">
      <selection activeCell="C50" sqref="C5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67" t="s">
        <v>75</v>
      </c>
      <c r="M15" s="167"/>
      <c r="N15" s="3"/>
      <c r="O15" s="9"/>
    </row>
    <row r="16" spans="2:15" x14ac:dyDescent="0.2">
      <c r="B16" s="7"/>
      <c r="C16" s="3"/>
      <c r="D16" s="3"/>
      <c r="E16" s="3"/>
      <c r="F16" s="3"/>
      <c r="G16" s="3"/>
      <c r="H16" s="3"/>
      <c r="I16" s="3"/>
      <c r="J16" s="3"/>
      <c r="K16" s="105"/>
      <c r="L16" s="167"/>
      <c r="M16" s="167"/>
      <c r="N16" s="3"/>
      <c r="O16" s="9"/>
    </row>
    <row r="17" spans="1:15" ht="12.75" customHeight="1" x14ac:dyDescent="0.2">
      <c r="B17" s="7"/>
      <c r="C17" s="3"/>
      <c r="D17" s="3"/>
      <c r="E17" s="3"/>
      <c r="F17" s="3"/>
      <c r="G17" s="3"/>
      <c r="H17" s="3"/>
      <c r="I17" s="3"/>
      <c r="J17" s="3"/>
      <c r="K17" s="105"/>
      <c r="L17" s="167"/>
      <c r="M17" s="167"/>
      <c r="N17" s="3"/>
      <c r="O17" s="9"/>
    </row>
    <row r="18" spans="1:15" ht="12.75" customHeight="1" x14ac:dyDescent="0.2">
      <c r="B18" s="7"/>
      <c r="C18" s="3"/>
      <c r="D18" s="179"/>
      <c r="E18" s="179"/>
      <c r="F18" s="179"/>
      <c r="G18" s="179"/>
      <c r="H18" s="179"/>
      <c r="I18" s="3"/>
      <c r="J18" s="3"/>
      <c r="K18" s="105"/>
      <c r="L18" s="167"/>
      <c r="M18" s="167"/>
      <c r="N18" s="3"/>
      <c r="O18" s="9"/>
    </row>
    <row r="19" spans="1:15" ht="20.100000000000001" customHeight="1" thickBot="1" x14ac:dyDescent="0.25">
      <c r="B19" s="7"/>
      <c r="C19" s="3"/>
      <c r="D19" s="180"/>
      <c r="E19" s="180"/>
      <c r="F19" s="180"/>
      <c r="G19" s="180"/>
      <c r="H19" s="180"/>
      <c r="I19" s="3"/>
      <c r="J19" s="3"/>
      <c r="K19" s="105"/>
      <c r="L19" s="167"/>
      <c r="M19" s="167"/>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5" t="s">
        <v>52</v>
      </c>
      <c r="E23" s="168" t="s">
        <v>68</v>
      </c>
      <c r="F23" s="169"/>
      <c r="G23" s="169"/>
      <c r="H23" s="169"/>
      <c r="I23" s="169"/>
      <c r="J23" s="169"/>
      <c r="K23" s="122" t="s">
        <v>57</v>
      </c>
      <c r="L23" s="107">
        <v>44236</v>
      </c>
      <c r="M23" s="109"/>
      <c r="N23" s="55"/>
      <c r="O23" s="9"/>
    </row>
    <row r="24" spans="1:15" ht="27" x14ac:dyDescent="0.35">
      <c r="B24" s="7"/>
      <c r="C24" s="3"/>
      <c r="D24" s="125" t="s">
        <v>53</v>
      </c>
      <c r="E24" s="176" t="s">
        <v>69</v>
      </c>
      <c r="F24" s="176"/>
      <c r="G24" s="176"/>
      <c r="H24" s="177"/>
      <c r="I24" s="177"/>
      <c r="J24" s="177"/>
      <c r="K24" s="189" t="s">
        <v>76</v>
      </c>
      <c r="L24" s="189"/>
      <c r="M24" s="189"/>
      <c r="N24" s="56"/>
      <c r="O24" s="9"/>
    </row>
    <row r="25" spans="1:15" ht="27.75" x14ac:dyDescent="0.4">
      <c r="B25" s="7"/>
      <c r="C25" s="3"/>
      <c r="D25" s="125" t="s">
        <v>59</v>
      </c>
      <c r="E25" s="146">
        <v>2092</v>
      </c>
      <c r="F25" s="110" t="s">
        <v>51</v>
      </c>
      <c r="G25" s="170"/>
      <c r="H25" s="170"/>
      <c r="I25" s="117" t="s">
        <v>55</v>
      </c>
      <c r="J25" s="111" t="s">
        <v>56</v>
      </c>
      <c r="K25" s="122" t="s">
        <v>70</v>
      </c>
      <c r="L25" s="137"/>
      <c r="M25" s="138"/>
      <c r="N25" s="3"/>
      <c r="O25" s="9"/>
    </row>
    <row r="26" spans="1:15" ht="27.75" customHeight="1" x14ac:dyDescent="0.4">
      <c r="A26">
        <v>71</v>
      </c>
      <c r="B26" s="7"/>
      <c r="C26" s="3"/>
      <c r="D26" s="125" t="s">
        <v>54</v>
      </c>
      <c r="E26" s="174"/>
      <c r="F26" s="175"/>
      <c r="G26" s="175"/>
      <c r="H26" s="175"/>
      <c r="I26" s="175"/>
      <c r="J26" s="175"/>
      <c r="K26" s="122" t="s">
        <v>63</v>
      </c>
      <c r="L26" s="178" t="s">
        <v>71</v>
      </c>
      <c r="M26" s="178"/>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71" t="s">
        <v>21</v>
      </c>
      <c r="G30" s="172"/>
      <c r="H30" s="172"/>
      <c r="I30" s="172"/>
      <c r="J30" s="172"/>
      <c r="K30" s="173"/>
      <c r="L30" s="95" t="s">
        <v>22</v>
      </c>
      <c r="M30" s="96" t="s">
        <v>23</v>
      </c>
      <c r="N30" s="57"/>
      <c r="O30" s="9"/>
    </row>
    <row r="31" spans="1:15" ht="18.75" x14ac:dyDescent="0.3">
      <c r="B31" s="7"/>
      <c r="C31" s="3"/>
      <c r="D31" s="67"/>
      <c r="E31" s="53"/>
      <c r="F31" s="190"/>
      <c r="G31" s="191"/>
      <c r="H31" s="191"/>
      <c r="I31" s="191"/>
      <c r="J31" s="191"/>
      <c r="K31" s="192"/>
      <c r="L31" s="93"/>
      <c r="M31" s="94" t="str">
        <f>IF(E31&lt;&gt;"",E31*L31,"")</f>
        <v/>
      </c>
      <c r="N31" s="57"/>
      <c r="O31" s="9"/>
    </row>
    <row r="32" spans="1:15" ht="26.25" x14ac:dyDescent="0.4">
      <c r="B32" s="7"/>
      <c r="C32" s="3"/>
      <c r="D32" s="136"/>
      <c r="E32" s="97"/>
      <c r="F32" s="193" t="s">
        <v>58</v>
      </c>
      <c r="G32" s="194"/>
      <c r="H32" s="194"/>
      <c r="I32" s="194"/>
      <c r="J32" s="194"/>
      <c r="K32" s="195"/>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73</v>
      </c>
      <c r="E35" s="100">
        <v>1</v>
      </c>
      <c r="F35" s="199" t="s">
        <v>72</v>
      </c>
      <c r="G35" s="200"/>
      <c r="H35" s="200"/>
      <c r="I35" s="200"/>
      <c r="J35" s="200"/>
      <c r="K35" s="201"/>
      <c r="L35" s="101">
        <v>200</v>
      </c>
      <c r="M35" s="102">
        <f t="shared" ref="M35:M43" si="0">IF(E35&lt;&gt;"",E35*L35,"")</f>
        <v>200</v>
      </c>
      <c r="N35" s="57"/>
      <c r="O35" s="9"/>
    </row>
    <row r="36" spans="2:15" ht="26.25" x14ac:dyDescent="0.4">
      <c r="B36" s="7"/>
      <c r="C36" s="3"/>
      <c r="D36" s="132"/>
      <c r="E36" s="100"/>
      <c r="F36" s="199" t="s">
        <v>74</v>
      </c>
      <c r="G36" s="200"/>
      <c r="H36" s="200"/>
      <c r="I36" s="200"/>
      <c r="J36" s="200"/>
      <c r="K36" s="201"/>
      <c r="L36" s="101"/>
      <c r="M36" s="102" t="str">
        <f t="shared" si="0"/>
        <v/>
      </c>
      <c r="N36" s="57"/>
      <c r="O36" s="9"/>
    </row>
    <row r="37" spans="2:15" ht="26.25" x14ac:dyDescent="0.4">
      <c r="B37" s="7"/>
      <c r="C37" s="3"/>
      <c r="D37" s="132"/>
      <c r="E37" s="100"/>
      <c r="F37" s="199"/>
      <c r="G37" s="200"/>
      <c r="H37" s="200"/>
      <c r="I37" s="200"/>
      <c r="J37" s="200"/>
      <c r="K37" s="201"/>
      <c r="L37" s="101"/>
      <c r="M37" s="102" t="str">
        <f t="shared" si="0"/>
        <v/>
      </c>
      <c r="N37" s="57"/>
      <c r="O37" s="9"/>
    </row>
    <row r="38" spans="2:15" ht="26.25" x14ac:dyDescent="0.4">
      <c r="B38" s="7"/>
      <c r="C38" s="3"/>
      <c r="D38" s="132"/>
      <c r="E38" s="100"/>
      <c r="F38" s="196"/>
      <c r="G38" s="197"/>
      <c r="H38" s="197"/>
      <c r="I38" s="197"/>
      <c r="J38" s="197"/>
      <c r="K38" s="198"/>
      <c r="L38" s="101"/>
      <c r="M38" s="102" t="str">
        <f t="shared" si="0"/>
        <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96"/>
      <c r="G40" s="197"/>
      <c r="H40" s="197"/>
      <c r="I40" s="197"/>
      <c r="J40" s="197"/>
      <c r="K40" s="198"/>
      <c r="L40" s="139"/>
      <c r="M40" s="102" t="str">
        <f t="shared" si="0"/>
        <v/>
      </c>
      <c r="N40" s="57"/>
      <c r="O40" s="9"/>
    </row>
    <row r="41" spans="2:15" ht="26.25" x14ac:dyDescent="0.4">
      <c r="B41" s="7"/>
      <c r="C41" s="3"/>
      <c r="D41" s="132"/>
      <c r="E41" s="100"/>
      <c r="F41" s="196"/>
      <c r="G41" s="197"/>
      <c r="H41" s="197"/>
      <c r="I41" s="197"/>
      <c r="J41" s="197"/>
      <c r="K41" s="198"/>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81"/>
      <c r="G43" s="182"/>
      <c r="H43" s="182"/>
      <c r="I43" s="182"/>
      <c r="J43" s="182"/>
      <c r="K43" s="183"/>
      <c r="L43" s="68"/>
      <c r="M43" s="102" t="str">
        <f t="shared" si="0"/>
        <v/>
      </c>
      <c r="N43" s="57"/>
      <c r="O43" s="9"/>
    </row>
    <row r="44" spans="2:15" ht="30" x14ac:dyDescent="0.4">
      <c r="B44" s="7"/>
      <c r="C44" s="3"/>
      <c r="D44" s="118"/>
      <c r="E44" s="83"/>
      <c r="F44" s="83"/>
      <c r="G44" s="83"/>
      <c r="H44" s="83"/>
      <c r="I44" s="83"/>
      <c r="J44" s="77"/>
      <c r="K44" s="112"/>
      <c r="L44" s="130" t="s">
        <v>24</v>
      </c>
      <c r="M44" s="116">
        <f>SUM(M33:M43)</f>
        <v>200</v>
      </c>
      <c r="N44" s="57"/>
      <c r="O44" s="9"/>
    </row>
    <row r="45" spans="2:15" ht="30" x14ac:dyDescent="0.4">
      <c r="B45" s="7"/>
      <c r="C45" s="3"/>
      <c r="D45" s="3"/>
      <c r="E45" s="84"/>
      <c r="F45" s="108" t="s">
        <v>65</v>
      </c>
      <c r="G45" s="83"/>
      <c r="H45" s="83"/>
      <c r="I45" s="83"/>
      <c r="J45" s="77"/>
      <c r="K45" s="112"/>
      <c r="L45" s="127" t="s">
        <v>45</v>
      </c>
      <c r="M45" s="131">
        <v>0.6</v>
      </c>
      <c r="N45" s="57"/>
      <c r="O45" s="9"/>
    </row>
    <row r="46" spans="2:15" ht="30" x14ac:dyDescent="0.4">
      <c r="B46" s="7"/>
      <c r="C46" s="3"/>
      <c r="D46" s="3"/>
      <c r="E46" s="84"/>
      <c r="F46" s="108" t="s">
        <v>62</v>
      </c>
      <c r="G46" s="83"/>
      <c r="H46" s="83"/>
      <c r="I46" s="83"/>
      <c r="J46" s="78"/>
      <c r="K46" s="113"/>
      <c r="L46" s="128" t="s">
        <v>60</v>
      </c>
      <c r="M46" s="119">
        <f>M44*0.19</f>
        <v>38</v>
      </c>
      <c r="N46" s="57"/>
      <c r="O46" s="9"/>
    </row>
    <row r="47" spans="2:15" ht="30" x14ac:dyDescent="0.4">
      <c r="B47" s="7"/>
      <c r="C47" s="3"/>
      <c r="D47" s="3"/>
      <c r="E47" s="86"/>
      <c r="F47" s="152" t="s">
        <v>67</v>
      </c>
      <c r="G47" s="153"/>
      <c r="H47" s="154"/>
      <c r="I47" s="147"/>
      <c r="J47" s="79"/>
      <c r="K47" s="112"/>
      <c r="L47" s="129" t="s">
        <v>26</v>
      </c>
      <c r="M47" s="116">
        <f>M44+M46+M45</f>
        <v>238.6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t="s">
        <v>77</v>
      </c>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188" t="s">
        <v>61</v>
      </c>
      <c r="M50" s="188"/>
      <c r="N50" s="57"/>
      <c r="O50" s="9"/>
    </row>
    <row r="51" spans="1:15" ht="18.75" x14ac:dyDescent="0.3">
      <c r="B51" s="7"/>
      <c r="C51" s="3"/>
      <c r="D51" s="140"/>
      <c r="E51" s="140"/>
      <c r="F51" s="140"/>
      <c r="G51" s="140"/>
      <c r="H51" s="140"/>
      <c r="I51" s="140"/>
      <c r="J51" s="140"/>
      <c r="K51" s="140"/>
      <c r="L51" s="188"/>
      <c r="M51" s="188"/>
      <c r="N51" s="57"/>
      <c r="O51" s="9"/>
    </row>
    <row r="52" spans="1:15" ht="30" x14ac:dyDescent="0.4">
      <c r="B52" s="7"/>
      <c r="C52" s="3"/>
      <c r="D52" s="3"/>
      <c r="E52" s="88"/>
      <c r="F52" s="165"/>
      <c r="G52" s="165"/>
      <c r="H52" s="165"/>
      <c r="I52" s="166"/>
      <c r="J52" s="81"/>
      <c r="K52" s="115"/>
      <c r="L52" s="123"/>
      <c r="M52" s="121"/>
      <c r="N52" s="57"/>
      <c r="O52" s="9"/>
    </row>
    <row r="53" spans="1:15" ht="18" x14ac:dyDescent="0.2">
      <c r="B53" s="7"/>
      <c r="C53" s="123"/>
      <c r="D53" s="3"/>
      <c r="E53" s="88"/>
      <c r="F53" s="184"/>
      <c r="G53" s="185"/>
      <c r="H53" s="185"/>
      <c r="I53" s="185"/>
      <c r="J53" s="77"/>
      <c r="K53" s="77"/>
      <c r="L53" s="121"/>
      <c r="M53" s="121"/>
      <c r="N53" s="57"/>
      <c r="O53" s="9"/>
    </row>
    <row r="54" spans="1:15" ht="18" x14ac:dyDescent="0.2">
      <c r="B54" s="7"/>
      <c r="C54" s="3"/>
      <c r="D54" s="3"/>
      <c r="E54" s="20"/>
      <c r="F54" s="186"/>
      <c r="G54" s="187"/>
      <c r="H54" s="187"/>
      <c r="I54" s="187"/>
      <c r="J54" s="77"/>
      <c r="K54" s="121"/>
      <c r="L54" s="121"/>
      <c r="M54" s="121"/>
      <c r="N54" s="57"/>
      <c r="O54" s="9"/>
    </row>
    <row r="55" spans="1:15" ht="18" x14ac:dyDescent="0.2">
      <c r="B55" s="7"/>
      <c r="C55" s="123"/>
      <c r="D55" s="3"/>
      <c r="E55" s="20"/>
      <c r="F55" s="126"/>
      <c r="G55" s="163"/>
      <c r="H55" s="164"/>
      <c r="I55" s="164"/>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62" t="s">
        <v>64</v>
      </c>
      <c r="D61" s="162"/>
      <c r="E61" s="162"/>
      <c r="F61" s="162"/>
      <c r="G61" s="162"/>
      <c r="H61" s="162"/>
      <c r="I61" s="162"/>
      <c r="J61" s="162"/>
      <c r="K61" s="162"/>
      <c r="L61" s="162"/>
      <c r="M61" s="162"/>
      <c r="N61" s="162"/>
      <c r="O61" s="145"/>
    </row>
    <row r="62" spans="1:15" x14ac:dyDescent="0.2">
      <c r="A62" s="3"/>
      <c r="B62" s="3"/>
      <c r="C62" s="162"/>
      <c r="D62" s="162"/>
      <c r="E62" s="162"/>
      <c r="F62" s="162"/>
      <c r="G62" s="162"/>
      <c r="H62" s="162"/>
      <c r="I62" s="162"/>
      <c r="J62" s="162"/>
      <c r="K62" s="162"/>
      <c r="L62" s="162"/>
      <c r="M62" s="162"/>
      <c r="N62" s="162"/>
      <c r="O62" s="144"/>
    </row>
    <row r="63" spans="1:15" x14ac:dyDescent="0.2">
      <c r="A63" s="123"/>
      <c r="B63" s="123"/>
      <c r="C63" s="162"/>
      <c r="D63" s="162"/>
      <c r="E63" s="162"/>
      <c r="F63" s="162"/>
      <c r="G63" s="162"/>
      <c r="H63" s="162"/>
      <c r="I63" s="162"/>
      <c r="J63" s="162"/>
      <c r="K63" s="162"/>
      <c r="L63" s="162"/>
      <c r="M63" s="162"/>
      <c r="N63" s="162"/>
      <c r="O63" s="144"/>
    </row>
    <row r="64" spans="1:15" x14ac:dyDescent="0.2">
      <c r="A64" s="124"/>
      <c r="B64" s="124"/>
      <c r="C64" s="162"/>
      <c r="D64" s="162"/>
      <c r="E64" s="162"/>
      <c r="F64" s="162"/>
      <c r="G64" s="162"/>
      <c r="H64" s="162"/>
      <c r="I64" s="162"/>
      <c r="J64" s="162"/>
      <c r="K64" s="162"/>
      <c r="L64" s="162"/>
      <c r="M64" s="162"/>
      <c r="N64" s="162"/>
      <c r="O64" s="144"/>
    </row>
    <row r="65" spans="1:15" x14ac:dyDescent="0.2">
      <c r="A65" s="3"/>
      <c r="B65" s="3"/>
      <c r="C65" s="162"/>
      <c r="D65" s="162"/>
      <c r="E65" s="162"/>
      <c r="F65" s="162"/>
      <c r="G65" s="162"/>
      <c r="H65" s="162"/>
      <c r="I65" s="162"/>
      <c r="J65" s="162"/>
      <c r="K65" s="162"/>
      <c r="L65" s="162"/>
      <c r="M65" s="162"/>
      <c r="N65" s="162"/>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31:K31"/>
    <mergeCell ref="F32:K32"/>
    <mergeCell ref="F38:K38"/>
    <mergeCell ref="F35:K35"/>
    <mergeCell ref="F41:K41"/>
    <mergeCell ref="F37:K37"/>
    <mergeCell ref="F36:K36"/>
    <mergeCell ref="F40:K40"/>
    <mergeCell ref="C61:N65"/>
    <mergeCell ref="G55:I55"/>
    <mergeCell ref="F52:I52"/>
    <mergeCell ref="L15:M19"/>
    <mergeCell ref="E23:J23"/>
    <mergeCell ref="G25:H25"/>
    <mergeCell ref="F30:K30"/>
    <mergeCell ref="E26:J26"/>
    <mergeCell ref="E24:J24"/>
    <mergeCell ref="L26:M26"/>
    <mergeCell ref="D18:H19"/>
    <mergeCell ref="F43:K43"/>
    <mergeCell ref="F53:I53"/>
    <mergeCell ref="F54:I54"/>
    <mergeCell ref="L50:M51"/>
    <mergeCell ref="K24:M2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44236</v>
      </c>
      <c r="D8" s="72" t="str">
        <f>Facture!$E$23</f>
        <v xml:space="preserve">NXT </v>
      </c>
      <c r="E8" s="69" t="str">
        <f>Facture!$E$24</f>
        <v>AV MOSBAH JARBOU EL MANAR II</v>
      </c>
      <c r="F8" s="69">
        <f>Facture!$E$25</f>
        <v>2092</v>
      </c>
      <c r="G8" s="72">
        <f>Facture!$G$25</f>
        <v>0</v>
      </c>
      <c r="H8" s="72" t="str">
        <f>Facture!$J$25</f>
        <v>TN</v>
      </c>
      <c r="I8" s="69">
        <f>Facture!$E$26</f>
        <v>0</v>
      </c>
      <c r="J8" s="73">
        <f>Facture!$M$47</f>
        <v>238.6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2020-10-28T08:35:13Z</cp:lastPrinted>
  <dcterms:created xsi:type="dcterms:W3CDTF">1995-05-29T15:50:39Z</dcterms:created>
  <dcterms:modified xsi:type="dcterms:W3CDTF">2021-02-09T09:17:21Z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238.6</vt:r8>
  </property>
</Properties>
</file>