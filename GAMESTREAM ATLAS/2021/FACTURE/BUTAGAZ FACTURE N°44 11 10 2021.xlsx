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3" i="3" l="1"/>
  <c r="M43" i="3" l="1"/>
  <c r="M44" i="3" l="1"/>
  <c r="M31" i="3" l="1"/>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<sst xmlns="http://schemas.openxmlformats.org/spreadsheetml/2006/main" count="85" uniqueCount="77">
  <si>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</si>
  <si>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</si>
  <si>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</si>
  <si>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</si>
  <si>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</si>
  <si>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</si>
  <si>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</si>
  <si>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</si>
  <si>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</si>
  <si>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</si>
  <si>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</si>
  <si>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</si>
  <si>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</si>
  <si>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</si>
  <si>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</si>
  <si>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</si>
  <si>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</si>
  <si>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</si>
  <si>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</si>
  <si>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</si>
  <si>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</si>
  <si>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</si>
  <si>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</si>
  <si>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</si>
  <si>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</si>
  <si>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</si>
  <si>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</si>
  <si>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</si>
  <si>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</si>
  <si>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</si>
  <si>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</si>
  <si>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</si>
  <si>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</si>
  <si>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</si>
  <si>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</si>
  <si>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</si>
  <si>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</si>
  <si>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</si>
  <si>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</si>
  <si>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</si>
  <si>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</si>
  <si>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</si>
  <si>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</si>
  <si>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</si>
  <si>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</si>
  <si>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</si>
  <si>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</si>
  <si>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</si>
  <si>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</si>
  <si>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</si>
  <si>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</si>
  <si>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</si>
  <si>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</si>
  <si>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</si>
  <si>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</si>
  <si>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</si>
  <si>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</si>
  <si>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</si>
  <si>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</si>
  <si>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</si>
  <si>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</si>
  <si>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</si>
  <si>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</si>
  <si>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Audit HSSE avant démarage projet </t>
  </si>
  <si>
    <t xml:space="preserve">Inspection equipements </t>
  </si>
  <si>
    <t xml:space="preserve">Visites de chantier </t>
  </si>
  <si>
    <t>Quantité</t>
  </si>
  <si>
    <r>
      <t xml:space="preserve">    COMMANDE N°:</t>
    </r>
    <r>
      <rPr>
        <b/>
        <sz val="22"/>
        <rFont val="Arial"/>
        <family val="2"/>
      </rPr>
      <t xml:space="preserve"> 4500298633</t>
    </r>
  </si>
  <si>
    <t xml:space="preserve">     Responsable:         Mahdi Attawi</t>
  </si>
  <si>
    <t>0000169BAM000</t>
  </si>
  <si>
    <t xml:space="preserve">BUTAGAZ TUNISIE </t>
  </si>
  <si>
    <t xml:space="preserve">Chéque </t>
  </si>
  <si>
    <t>ARRETE LA PRESENTE FACTURE A LA SOMME DE : QUATRE MILLE  CENT SIX DINARS ET 100 MILLIMES</t>
  </si>
  <si>
    <t>FACTURE  N°2021-044</t>
  </si>
  <si>
    <t>STB THAMEUR</t>
  </si>
  <si>
    <t>RIB: 10 000 000 081951 8 78890</t>
  </si>
  <si>
    <t xml:space="preserve">24,26place du 14 janvier 2011- 1001 tunisie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</si>
</sst>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9"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9"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50" fillId="3" borderId="0" xfId="0" applyFont="1" applyFill="1" applyBorder="1" applyAlignment="1">
      <alignment horizontal="left"/>
    </xf>
    <xf numFmtId="0" fontId="11" fillId="3" borderId="6"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1" fillId="3" borderId="0" xfId="0" applyFont="1" applyFill="1" applyBorder="1" applyAlignment="1">
      <alignment horizontal="center"/>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25" fillId="3" borderId="0" xfId="0" applyFont="1" applyFill="1" applyBorder="1" applyAlignment="1">
      <alignment horizontal="left" vertical="top"/>
    </xf>
    <xf numFmtId="0" fontId="37" fillId="3" borderId="0" xfId="0" applyFont="1" applyFill="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9" zoomScale="50" zoomScaleNormal="50" workbookViewId="0">
      <selection activeCell="F31" sqref="F31:K3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9" t="s">
        <v>73</v>
      </c>
      <c r="M15" s="179"/>
      <c r="N15" s="3"/>
      <c r="O15" s="9"/>
    </row>
    <row r="16" spans="2:15" x14ac:dyDescent="0.2">
      <c r="B16" s="7"/>
      <c r="C16" s="3"/>
      <c r="D16" s="3"/>
      <c r="E16" s="3"/>
      <c r="F16" s="3"/>
      <c r="G16" s="3"/>
      <c r="H16" s="3"/>
      <c r="I16" s="3"/>
      <c r="J16" s="3"/>
      <c r="K16" s="104"/>
      <c r="L16" s="179"/>
      <c r="M16" s="179"/>
      <c r="N16" s="3"/>
      <c r="O16" s="9"/>
    </row>
    <row r="17" spans="1:15" ht="12.75" customHeight="1" x14ac:dyDescent="0.2">
      <c r="B17" s="7"/>
      <c r="C17" s="3"/>
      <c r="D17" s="3"/>
      <c r="E17" s="3"/>
      <c r="F17" s="3"/>
      <c r="G17" s="3"/>
      <c r="H17" s="3"/>
      <c r="I17" s="3"/>
      <c r="J17" s="3"/>
      <c r="K17" s="104"/>
      <c r="L17" s="179"/>
      <c r="M17" s="179"/>
      <c r="N17" s="3"/>
      <c r="O17" s="9"/>
    </row>
    <row r="18" spans="1:15" ht="12.75" customHeight="1" x14ac:dyDescent="0.2">
      <c r="B18" s="7"/>
      <c r="C18" s="3"/>
      <c r="D18" s="188"/>
      <c r="E18" s="188"/>
      <c r="F18" s="188"/>
      <c r="G18" s="188"/>
      <c r="H18" s="188"/>
      <c r="I18" s="3"/>
      <c r="J18" s="3"/>
      <c r="K18" s="104"/>
      <c r="L18" s="179"/>
      <c r="M18" s="179"/>
      <c r="N18" s="3"/>
      <c r="O18" s="9"/>
    </row>
    <row r="19" spans="1:15" ht="20.100000000000001" customHeight="1" thickBot="1" x14ac:dyDescent="0.25">
      <c r="B19" s="7"/>
      <c r="C19" s="3"/>
      <c r="D19" s="189"/>
      <c r="E19" s="189"/>
      <c r="F19" s="189"/>
      <c r="G19" s="189"/>
      <c r="H19" s="189"/>
      <c r="I19" s="3"/>
      <c r="J19" s="3"/>
      <c r="K19" s="104"/>
      <c r="L19" s="179"/>
      <c r="M19" s="179"/>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51</v>
      </c>
      <c r="E23" s="180" t="s">
        <v>70</v>
      </c>
      <c r="F23" s="181"/>
      <c r="G23" s="181"/>
      <c r="H23" s="181"/>
      <c r="I23" s="181"/>
      <c r="J23" s="181"/>
      <c r="K23" s="121" t="s">
        <v>55</v>
      </c>
      <c r="L23" s="106">
        <v>44480</v>
      </c>
      <c r="M23" s="108"/>
      <c r="N23" s="55"/>
      <c r="O23" s="9"/>
    </row>
    <row r="24" spans="1:15" ht="27.75" x14ac:dyDescent="0.4">
      <c r="B24" s="7"/>
      <c r="C24" s="3"/>
      <c r="D24" s="124" t="s">
        <v>52</v>
      </c>
      <c r="E24" s="198" t="s">
        <v>76</v>
      </c>
      <c r="F24" s="198"/>
      <c r="G24" s="198"/>
      <c r="H24" s="199"/>
      <c r="I24" s="199"/>
      <c r="J24" s="199"/>
      <c r="K24" s="194" t="s">
        <v>67</v>
      </c>
      <c r="L24" s="194"/>
      <c r="M24" s="194"/>
      <c r="N24" s="56"/>
      <c r="O24" s="9"/>
    </row>
    <row r="25" spans="1:15" ht="27.75" x14ac:dyDescent="0.4">
      <c r="B25" s="7"/>
      <c r="C25" s="3"/>
      <c r="D25" s="124" t="s">
        <v>56</v>
      </c>
      <c r="E25" s="142"/>
      <c r="F25" s="109" t="s">
        <v>50</v>
      </c>
      <c r="G25" s="182"/>
      <c r="H25" s="182"/>
      <c r="I25" s="116" t="s">
        <v>54</v>
      </c>
      <c r="J25" s="110"/>
      <c r="K25" s="121" t="s">
        <v>68</v>
      </c>
      <c r="L25" s="133"/>
      <c r="M25" s="134"/>
      <c r="N25" s="3"/>
      <c r="O25" s="9"/>
    </row>
    <row r="26" spans="1:15" ht="27.75" customHeight="1" x14ac:dyDescent="0.4">
      <c r="A26">
        <v>71</v>
      </c>
      <c r="B26" s="7"/>
      <c r="C26" s="3"/>
      <c r="D26" s="124" t="s">
        <v>53</v>
      </c>
      <c r="E26" s="186">
        <v>71120600</v>
      </c>
      <c r="F26" s="186"/>
      <c r="G26" s="186"/>
      <c r="H26" s="186"/>
      <c r="I26" s="186"/>
      <c r="J26" s="186"/>
      <c r="K26" s="121" t="s">
        <v>60</v>
      </c>
      <c r="L26" s="187" t="s">
        <v>69</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66</v>
      </c>
      <c r="F30" s="183" t="s">
        <v>21</v>
      </c>
      <c r="G30" s="184"/>
      <c r="H30" s="184"/>
      <c r="I30" s="184"/>
      <c r="J30" s="184"/>
      <c r="K30" s="185"/>
      <c r="L30" s="94" t="s">
        <v>22</v>
      </c>
      <c r="M30" s="95" t="s">
        <v>23</v>
      </c>
      <c r="N30" s="57"/>
      <c r="O30" s="9"/>
    </row>
    <row r="31" spans="1:15" ht="18.75" x14ac:dyDescent="0.3">
      <c r="B31" s="7"/>
      <c r="C31" s="3"/>
      <c r="D31" s="67"/>
      <c r="E31" s="53"/>
      <c r="F31" s="167"/>
      <c r="G31" s="168"/>
      <c r="H31" s="168"/>
      <c r="I31" s="168"/>
      <c r="J31" s="168"/>
      <c r="K31" s="169"/>
      <c r="L31" s="92"/>
      <c r="M31" s="93" t="str">
        <f>IF(E31&lt;&gt;"",E31*L31,"")</f>
        <v/>
      </c>
      <c r="N31" s="57"/>
      <c r="O31" s="9"/>
    </row>
    <row r="32" spans="1:15" ht="26.25" x14ac:dyDescent="0.4">
      <c r="B32" s="7"/>
      <c r="C32" s="3"/>
      <c r="D32" s="132"/>
      <c r="E32" s="96"/>
      <c r="F32" s="170"/>
      <c r="G32" s="171"/>
      <c r="H32" s="171"/>
      <c r="I32" s="171"/>
      <c r="J32" s="171"/>
      <c r="K32" s="172"/>
      <c r="L32" s="97"/>
      <c r="M32" s="98"/>
      <c r="N32" s="57"/>
      <c r="O32" s="9"/>
    </row>
    <row r="33" spans="2:15" ht="30" x14ac:dyDescent="0.4">
      <c r="B33" s="7"/>
      <c r="C33" s="3"/>
      <c r="D33" s="67"/>
      <c r="E33" s="150">
        <v>1</v>
      </c>
      <c r="F33" s="151" t="s">
        <v>63</v>
      </c>
      <c r="G33" s="152"/>
      <c r="H33" s="153"/>
      <c r="I33" s="154"/>
      <c r="J33" s="154"/>
      <c r="K33" s="155"/>
      <c r="L33" s="156">
        <v>1200</v>
      </c>
      <c r="M33" s="156">
        <f>L33*E33</f>
        <v>1200</v>
      </c>
      <c r="N33" s="57"/>
      <c r="O33" s="9"/>
    </row>
    <row r="34" spans="2:15" ht="30" x14ac:dyDescent="0.4">
      <c r="B34" s="7"/>
      <c r="C34" s="3"/>
      <c r="D34" s="131"/>
      <c r="E34" s="150"/>
      <c r="F34" s="151"/>
      <c r="G34" s="152"/>
      <c r="H34" s="153"/>
      <c r="I34" s="154"/>
      <c r="J34" s="154"/>
      <c r="K34" s="155"/>
      <c r="L34" s="156"/>
      <c r="M34" s="156"/>
      <c r="N34" s="57"/>
      <c r="O34" s="9"/>
    </row>
    <row r="35" spans="2:15" ht="30" x14ac:dyDescent="0.4">
      <c r="B35" s="7"/>
      <c r="C35" s="3"/>
      <c r="D35" s="131"/>
      <c r="E35" s="150">
        <v>1</v>
      </c>
      <c r="F35" s="151" t="s">
        <v>64</v>
      </c>
      <c r="G35" s="152"/>
      <c r="H35" s="152"/>
      <c r="I35" s="154"/>
      <c r="J35" s="154"/>
      <c r="K35" s="155"/>
      <c r="L35" s="156">
        <v>500</v>
      </c>
      <c r="M35" s="156">
        <v>500</v>
      </c>
      <c r="N35" s="57"/>
      <c r="O35" s="9"/>
    </row>
    <row r="36" spans="2:15" ht="30" x14ac:dyDescent="0.4">
      <c r="B36" s="7"/>
      <c r="C36" s="3"/>
      <c r="D36" s="131"/>
      <c r="E36" s="150"/>
      <c r="F36" s="151"/>
      <c r="G36" s="152"/>
      <c r="H36" s="153"/>
      <c r="I36" s="154"/>
      <c r="J36" s="154"/>
      <c r="K36" s="155"/>
      <c r="L36" s="156"/>
      <c r="M36" s="156"/>
      <c r="N36" s="57"/>
      <c r="O36" s="9"/>
    </row>
    <row r="37" spans="2:15" ht="30" x14ac:dyDescent="0.4">
      <c r="B37" s="7"/>
      <c r="C37" s="3"/>
      <c r="D37" s="131"/>
      <c r="E37" s="150">
        <v>1</v>
      </c>
      <c r="F37" s="151" t="s">
        <v>65</v>
      </c>
      <c r="G37" s="152"/>
      <c r="H37" s="153"/>
      <c r="I37" s="154"/>
      <c r="J37" s="154"/>
      <c r="K37" s="155"/>
      <c r="L37" s="156">
        <v>1750</v>
      </c>
      <c r="M37" s="156">
        <v>1750</v>
      </c>
      <c r="N37" s="57"/>
      <c r="O37" s="9"/>
    </row>
    <row r="38" spans="2:15" ht="26.25" x14ac:dyDescent="0.4">
      <c r="B38" s="7"/>
      <c r="C38" s="3"/>
      <c r="D38" s="131"/>
      <c r="E38" s="99"/>
      <c r="F38" s="173"/>
      <c r="G38" s="174"/>
      <c r="H38" s="174"/>
      <c r="I38" s="174"/>
      <c r="J38" s="174"/>
      <c r="K38" s="175"/>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173"/>
      <c r="G40" s="174"/>
      <c r="H40" s="174"/>
      <c r="I40" s="174"/>
      <c r="J40" s="174"/>
      <c r="K40" s="175"/>
      <c r="L40" s="135"/>
      <c r="M40" s="101"/>
      <c r="N40" s="57"/>
      <c r="O40" s="9"/>
    </row>
    <row r="41" spans="2:15" ht="26.25" x14ac:dyDescent="0.4">
      <c r="B41" s="7"/>
      <c r="C41" s="3"/>
      <c r="D41" s="131"/>
      <c r="E41" s="99"/>
      <c r="F41" s="173"/>
      <c r="G41" s="174"/>
      <c r="H41" s="174"/>
      <c r="I41" s="174"/>
      <c r="J41" s="174"/>
      <c r="K41" s="175"/>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90"/>
      <c r="G43" s="191"/>
      <c r="H43" s="191"/>
      <c r="I43" s="191"/>
      <c r="J43" s="191"/>
      <c r="K43" s="192"/>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3450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107" t="s">
        <v>59</v>
      </c>
      <c r="G46" s="83"/>
      <c r="H46" s="83"/>
      <c r="I46" s="83"/>
      <c r="J46" s="78"/>
      <c r="K46" s="112"/>
      <c r="L46" s="127" t="s">
        <v>57</v>
      </c>
      <c r="M46" s="118">
        <f>M44*0.19</f>
        <v>655.5</v>
      </c>
      <c r="N46" s="57"/>
      <c r="O46" s="9"/>
    </row>
    <row r="47" spans="2:15" ht="30" x14ac:dyDescent="0.4">
      <c r="B47" s="7"/>
      <c r="C47" s="3"/>
      <c r="D47" s="3"/>
      <c r="E47" s="86"/>
      <c r="F47" s="157" t="s">
        <v>71</v>
      </c>
      <c r="G47" s="148"/>
      <c r="H47" s="149"/>
      <c r="I47" s="143"/>
      <c r="J47" s="79"/>
      <c r="K47" s="111"/>
      <c r="L47" s="128" t="s">
        <v>25</v>
      </c>
      <c r="M47" s="115">
        <f>M44+M46+M45</f>
        <v>4106.1000000000004</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97" t="s">
        <v>72</v>
      </c>
      <c r="D49" s="3"/>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93" t="s">
        <v>58</v>
      </c>
      <c r="M50" s="193"/>
      <c r="N50" s="57"/>
      <c r="O50" s="9"/>
    </row>
    <row r="51" spans="1:15" ht="18.75" x14ac:dyDescent="0.3">
      <c r="B51" s="7"/>
      <c r="C51" s="3"/>
      <c r="D51" s="136"/>
      <c r="E51" s="136"/>
      <c r="F51" s="136"/>
      <c r="G51" s="136"/>
      <c r="H51" s="136"/>
      <c r="I51" s="136"/>
      <c r="J51" s="136"/>
      <c r="K51" s="136"/>
      <c r="L51" s="193"/>
      <c r="M51" s="193"/>
      <c r="N51" s="57"/>
      <c r="O51" s="9"/>
    </row>
    <row r="52" spans="1:15" ht="30" x14ac:dyDescent="0.4">
      <c r="B52" s="158"/>
      <c r="C52" s="166"/>
      <c r="D52" s="166"/>
      <c r="E52" s="166"/>
      <c r="F52" s="166"/>
      <c r="G52" s="166"/>
      <c r="H52" s="166"/>
      <c r="I52" s="166"/>
      <c r="J52" s="81"/>
      <c r="K52" s="114"/>
      <c r="L52" s="122"/>
      <c r="M52" s="120"/>
      <c r="N52" s="57"/>
      <c r="O52" s="9"/>
    </row>
    <row r="53" spans="1:15" ht="20.25" customHeight="1" x14ac:dyDescent="0.2">
      <c r="B53" s="7"/>
      <c r="C53" s="195" t="s">
        <v>75</v>
      </c>
      <c r="D53" s="195"/>
      <c r="E53" s="195"/>
      <c r="F53" s="195"/>
      <c r="G53" s="195"/>
      <c r="H53" s="195"/>
      <c r="I53" s="195"/>
      <c r="J53" s="77"/>
      <c r="K53" s="77"/>
      <c r="L53" s="120"/>
      <c r="M53" s="120"/>
      <c r="N53" s="57"/>
      <c r="O53" s="9"/>
    </row>
    <row r="54" spans="1:15" ht="23.25" x14ac:dyDescent="0.2">
      <c r="B54" s="7"/>
      <c r="C54" s="196" t="s">
        <v>74</v>
      </c>
      <c r="D54" s="196"/>
      <c r="E54" s="196"/>
      <c r="F54" s="196"/>
      <c r="G54" s="196"/>
      <c r="H54" s="196"/>
      <c r="I54" s="196"/>
      <c r="J54" s="77"/>
      <c r="K54" s="120"/>
      <c r="L54" s="120"/>
      <c r="M54" s="120"/>
      <c r="N54" s="57"/>
      <c r="O54" s="9"/>
    </row>
    <row r="55" spans="1:15" ht="18" x14ac:dyDescent="0.2">
      <c r="B55" s="7"/>
      <c r="C55" s="122"/>
      <c r="D55" s="3"/>
      <c r="E55" s="20"/>
      <c r="F55" s="125"/>
      <c r="G55" s="177"/>
      <c r="H55" s="178"/>
      <c r="I55" s="178"/>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76" t="s">
        <v>61</v>
      </c>
      <c r="D61" s="176"/>
      <c r="E61" s="176"/>
      <c r="F61" s="176"/>
      <c r="G61" s="176"/>
      <c r="H61" s="176"/>
      <c r="I61" s="176"/>
      <c r="J61" s="176"/>
      <c r="K61" s="176"/>
      <c r="L61" s="176"/>
      <c r="M61" s="176"/>
      <c r="N61" s="176"/>
      <c r="O61" s="141"/>
    </row>
    <row r="62" spans="1:15" x14ac:dyDescent="0.2">
      <c r="A62" s="3"/>
      <c r="B62" s="3"/>
      <c r="C62" s="176"/>
      <c r="D62" s="176"/>
      <c r="E62" s="176"/>
      <c r="F62" s="176"/>
      <c r="G62" s="176"/>
      <c r="H62" s="176"/>
      <c r="I62" s="176"/>
      <c r="J62" s="176"/>
      <c r="K62" s="176"/>
      <c r="L62" s="176"/>
      <c r="M62" s="176"/>
      <c r="N62" s="176"/>
      <c r="O62" s="140"/>
    </row>
    <row r="63" spans="1:15" x14ac:dyDescent="0.2">
      <c r="A63" s="122"/>
      <c r="B63" s="122"/>
      <c r="C63" s="176"/>
      <c r="D63" s="176"/>
      <c r="E63" s="176"/>
      <c r="F63" s="176"/>
      <c r="G63" s="176"/>
      <c r="H63" s="176"/>
      <c r="I63" s="176"/>
      <c r="J63" s="176"/>
      <c r="K63" s="176"/>
      <c r="L63" s="176"/>
      <c r="M63" s="176"/>
      <c r="N63" s="176"/>
      <c r="O63" s="140"/>
    </row>
    <row r="64" spans="1:15" x14ac:dyDescent="0.2">
      <c r="A64" s="123"/>
      <c r="B64" s="123"/>
      <c r="C64" s="176"/>
      <c r="D64" s="176"/>
      <c r="E64" s="176"/>
      <c r="F64" s="176"/>
      <c r="G64" s="176"/>
      <c r="H64" s="176"/>
      <c r="I64" s="176"/>
      <c r="J64" s="176"/>
      <c r="K64" s="176"/>
      <c r="L64" s="176"/>
      <c r="M64" s="176"/>
      <c r="N64" s="176"/>
      <c r="O64" s="140"/>
    </row>
    <row r="65" spans="1:15" x14ac:dyDescent="0.2">
      <c r="A65" s="3"/>
      <c r="B65" s="3"/>
      <c r="C65" s="176"/>
      <c r="D65" s="176"/>
      <c r="E65" s="176"/>
      <c r="F65" s="176"/>
      <c r="G65" s="176"/>
      <c r="H65" s="176"/>
      <c r="I65" s="176"/>
      <c r="J65" s="176"/>
      <c r="K65" s="176"/>
      <c r="L65" s="176"/>
      <c r="M65" s="176"/>
      <c r="N65" s="176"/>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 ref="F31:K31"/>
    <mergeCell ref="F32:K32"/>
    <mergeCell ref="F38:K38"/>
    <mergeCell ref="F41:K41"/>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44480</v>
      </c>
      <c r="D8" s="72" t="str">
        <f>Facture!$E$23</f>
        <v xml:space="preserve">BUTAGAZ TUNISIE </v>
      </c>
      <c r="E8" s="69" t="str">
        <f>Facture!$E$24</f>
        <v xml:space="preserve">24,26place du 14 janvier 2011- 1001 tunisie </v>
      </c>
      <c r="F8" s="69">
        <f>Facture!$E$25</f>
        <v>0</v>
      </c>
      <c r="G8" s="72">
        <f>Facture!$G$25</f>
        <v>0</v>
      </c>
      <c r="H8" s="72">
        <f>Facture!$J$25</f>
        <v>0</v>
      </c>
      <c r="I8" s="69">
        <f>Facture!$E$26</f>
        <v>71120600</v>
      </c>
      <c r="J8" s="73">
        <f>Facture!$M$47</f>
        <v>4106.1000000000004</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2021-04-12T10:39:00Z</cp:lastPrinted>
  <dcterms:created xsi:type="dcterms:W3CDTF">1995-05-29T15:50:39Z</dcterms:created>
  <dcterms:modified xsi:type="dcterms:W3CDTF">2021-10-11T07:45:28Z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4106.1</vt:r8>
  </property>
</Properties>
</file>