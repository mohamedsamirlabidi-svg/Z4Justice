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<sst xmlns="http://schemas.openxmlformats.org/spreadsheetml/2006/main" count="86" uniqueCount="78">
  <si>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</si>
  <si>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</si>
  <si>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</si>
  <si>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</si>
  <si>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</si>
  <si>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</si>
  <si>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</si>
  <si>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</si>
  <si>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</si>
  <si>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</si>
  <si>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</si>
  <si>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</si>
  <si>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</si>
  <si>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</si>
  <si>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</si>
  <si>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</si>
  <si>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</si>
  <si>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</si>
  <si>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</si>
  <si>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</si>
  <si>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</si>
  <si>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</si>
  <si>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</si>
  <si>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</si>
  <si>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</si>
  <si>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</si>
  <si>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</si>
  <si>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</si>
  <si>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</si>
  <si>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</si>
  <si>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</si>
  <si>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</si>
  <si>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</si>
  <si>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</si>
  <si>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</si>
  <si>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</si>
  <si>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</si>
  <si>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</si>
  <si>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</si>
  <si>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</si>
  <si>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</si>
  <si>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</si>
  <si>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</si>
  <si>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</si>
  <si>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</si>
  <si>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</si>
  <si>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</si>
  <si>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</si>
  <si>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</si>
  <si>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</si>
  <si>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</si>
  <si>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</si>
  <si>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</si>
  <si>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</si>
  <si>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</si>
  <si>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</si>
  <si>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</si>
  <si>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</si>
  <si>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</si>
  <si>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</si>
  <si>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</si>
  <si>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</si>
  <si>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</si>
  <si>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</si>
  <si>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</si>
  <si>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</si>
  <si>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</si>
  <si>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</si>
  <si>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</si>
  <si>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</si>
  <si>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</si>
  <si>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</si>
  <si>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</si>
  <si>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</si>
  <si>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</si>
  <si>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FR-2021-110</t>
  </si>
  <si>
    <t>ARRETE LA PRESENTE FACTURE A LA SOMME DE :QUATRE CENT SOIXANTE SEIZE DINARS 600 MILLIMES</t>
  </si>
  <si>
    <t>FACTURE  N°2021-016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</si>
</sst>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20" sqref="L2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77</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44279</v>
      </c>
      <c r="M23" s="109"/>
      <c r="N23" s="55"/>
      <c r="O23" s="9"/>
    </row>
    <row r="24" spans="1:15" ht="27" x14ac:dyDescent="0.35">
      <c r="B24" s="7"/>
      <c r="C24" s="3"/>
      <c r="D24" s="125" t="s">
        <v>53</v>
      </c>
      <c r="E24" s="188" t="s">
        <v>69</v>
      </c>
      <c r="F24" s="188"/>
      <c r="G24" s="188"/>
      <c r="H24" s="189"/>
      <c r="I24" s="189"/>
      <c r="J24" s="189"/>
      <c r="K24" s="201" t="s">
        <v>75</v>
      </c>
      <c r="L24" s="201"/>
      <c r="M24" s="201"/>
      <c r="N24" s="56"/>
      <c r="O24" s="9"/>
    </row>
    <row r="25" spans="1:15" ht="27.75" x14ac:dyDescent="0.4">
      <c r="B25" s="7"/>
      <c r="C25" s="3"/>
      <c r="D25" s="125" t="s">
        <v>59</v>
      </c>
      <c r="E25" s="146">
        <v>2092</v>
      </c>
      <c r="F25" s="110" t="s">
        <v>51</v>
      </c>
      <c r="G25" s="182"/>
      <c r="H25" s="182"/>
      <c r="I25" s="117" t="s">
        <v>55</v>
      </c>
      <c r="J25" s="111" t="s">
        <v>56</v>
      </c>
      <c r="K25" s="122" t="s">
        <v>70</v>
      </c>
      <c r="L25" s="137"/>
      <c r="M25" s="138"/>
      <c r="N25" s="3"/>
      <c r="O25" s="9"/>
    </row>
    <row r="26" spans="1:15" ht="27.75" customHeight="1" x14ac:dyDescent="0.4">
      <c r="A26">
        <v>71</v>
      </c>
      <c r="B26" s="7"/>
      <c r="C26" s="3"/>
      <c r="D26" s="125" t="s">
        <v>54</v>
      </c>
      <c r="E26" s="186"/>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2</v>
      </c>
      <c r="F35" s="171" t="s">
        <v>72</v>
      </c>
      <c r="G35" s="172"/>
      <c r="H35" s="172"/>
      <c r="I35" s="172"/>
      <c r="J35" s="172"/>
      <c r="K35" s="173"/>
      <c r="L35" s="101">
        <v>200</v>
      </c>
      <c r="M35" s="102">
        <f t="shared" ref="M35:M43" si="0">IF(E35&lt;&gt;"",E35*L35,"")</f>
        <v>400</v>
      </c>
      <c r="N35" s="57"/>
      <c r="O35" s="9"/>
    </row>
    <row r="36" spans="2:15" ht="26.25" x14ac:dyDescent="0.4">
      <c r="B36" s="7"/>
      <c r="C36" s="3"/>
      <c r="D36" s="132"/>
      <c r="E36" s="100"/>
      <c r="F36" s="171" t="s">
        <v>74</v>
      </c>
      <c r="G36" s="172"/>
      <c r="H36" s="172"/>
      <c r="I36" s="172"/>
      <c r="J36" s="172"/>
      <c r="K36" s="173"/>
      <c r="L36" s="101"/>
      <c r="M36" s="102" t="str">
        <f t="shared" si="0"/>
        <v/>
      </c>
      <c r="N36" s="57"/>
      <c r="O36" s="9"/>
    </row>
    <row r="37" spans="2:15" ht="26.25" x14ac:dyDescent="0.4">
      <c r="B37" s="7"/>
      <c r="C37" s="3"/>
      <c r="D37" s="132"/>
      <c r="E37" s="100"/>
      <c r="F37" s="171"/>
      <c r="G37" s="172"/>
      <c r="H37" s="172"/>
      <c r="I37" s="172"/>
      <c r="J37" s="172"/>
      <c r="K37" s="173"/>
      <c r="L37" s="101"/>
      <c r="M37" s="102" t="str">
        <f t="shared" si="0"/>
        <v/>
      </c>
      <c r="N37" s="57"/>
      <c r="O37" s="9"/>
    </row>
    <row r="38" spans="2:15" ht="26.25" x14ac:dyDescent="0.4">
      <c r="B38" s="7"/>
      <c r="C38" s="3"/>
      <c r="D38" s="132"/>
      <c r="E38" s="100"/>
      <c r="F38" s="168"/>
      <c r="G38" s="169"/>
      <c r="H38" s="169"/>
      <c r="I38" s="169"/>
      <c r="J38" s="169"/>
      <c r="K38" s="170"/>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68"/>
      <c r="G40" s="169"/>
      <c r="H40" s="169"/>
      <c r="I40" s="169"/>
      <c r="J40" s="169"/>
      <c r="K40" s="170"/>
      <c r="L40" s="139"/>
      <c r="M40" s="102" t="str">
        <f t="shared" si="0"/>
        <v/>
      </c>
      <c r="N40" s="57"/>
      <c r="O40" s="9"/>
    </row>
    <row r="41" spans="2:15" ht="26.25" x14ac:dyDescent="0.4">
      <c r="B41" s="7"/>
      <c r="C41" s="3"/>
      <c r="D41" s="132"/>
      <c r="E41" s="100"/>
      <c r="F41" s="168"/>
      <c r="G41" s="169"/>
      <c r="H41" s="169"/>
      <c r="I41" s="169"/>
      <c r="J41" s="169"/>
      <c r="K41" s="17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400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76</v>
      </c>
      <c r="N46" s="57"/>
      <c r="O46" s="9"/>
    </row>
    <row r="47" spans="2:15" ht="30" x14ac:dyDescent="0.4">
      <c r="B47" s="7"/>
      <c r="C47" s="3"/>
      <c r="D47" s="3"/>
      <c r="E47" s="86"/>
      <c r="F47" s="152" t="s">
        <v>67</v>
      </c>
      <c r="G47" s="153"/>
      <c r="H47" s="154"/>
      <c r="I47" s="147"/>
      <c r="J47" s="79"/>
      <c r="K47" s="112"/>
      <c r="L47" s="129" t="s">
        <v>26</v>
      </c>
      <c r="M47" s="116">
        <f>M44+M46+M45</f>
        <v>476.6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76</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64</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44279</v>
      </c>
      <c r="D8" s="72" t="str">
        <f>Facture!$E$23</f>
        <v xml:space="preserve">NXT </v>
      </c>
      <c r="E8" s="69" t="str">
        <f>Facture!$E$24</f>
        <v>AV MOSBAH JARBOU EL MANAR II</v>
      </c>
      <c r="F8" s="69">
        <f>Facture!$E$25</f>
        <v>2092</v>
      </c>
      <c r="G8" s="72">
        <f>Facture!$G$25</f>
        <v>0</v>
      </c>
      <c r="H8" s="72" t="str">
        <f>Facture!$J$25</f>
        <v>TN</v>
      </c>
      <c r="I8" s="69">
        <f>Facture!$E$26</f>
        <v>0</v>
      </c>
      <c r="J8" s="73">
        <f>Facture!$M$47</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2020-10-28T08:35:13Z</cp:lastPrinted>
  <dcterms:created xsi:type="dcterms:W3CDTF">1995-05-29T15:50:39Z</dcterms:created>
  <dcterms:modified xsi:type="dcterms:W3CDTF">2021-03-24T13:31:20Z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476.6</vt:r8>
  </property>
</Properties>
</file>