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<sst xmlns="http://schemas.openxmlformats.org/spreadsheetml/2006/main" count="86" uniqueCount="78">
  <si>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</si>
  <si>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</si>
  <si>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</si>
  <si>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</si>
  <si>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</si>
  <si>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</si>
  <si>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</si>
  <si>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</si>
  <si>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</si>
  <si>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</si>
  <si>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</si>
  <si>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</si>
  <si>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</si>
  <si>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</si>
  <si>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</si>
  <si>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</si>
  <si>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</si>
  <si>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</si>
  <si>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</si>
  <si>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</si>
  <si>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</si>
  <si>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</si>
  <si>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</si>
  <si>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</si>
  <si>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</si>
  <si>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</si>
  <si>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</si>
  <si>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</si>
  <si>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</si>
  <si>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</si>
  <si>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</si>
  <si>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</si>
  <si>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</si>
  <si>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</si>
  <si>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</si>
  <si>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</si>
  <si>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</si>
  <si>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</si>
  <si>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</si>
  <si>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</si>
  <si>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</si>
  <si>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</si>
  <si>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</si>
  <si>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</si>
  <si>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</si>
  <si>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</si>
  <si>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</si>
  <si>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</si>
  <si>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</si>
  <si>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</si>
  <si>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</si>
  <si>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</si>
  <si>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</si>
  <si>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</si>
  <si>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</si>
  <si>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</si>
  <si>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</si>
  <si>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</si>
  <si>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</si>
  <si>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</si>
  <si>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</si>
  <si>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</si>
  <si>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</si>
  <si>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</si>
  <si>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</si>
  <si>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</si>
  <si>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</si>
  <si>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FORMATION TRAVAIL EN HAUTEUR </t>
  </si>
  <si>
    <t>FTH001</t>
  </si>
  <si>
    <t xml:space="preserve">SUR PYLONE DE TELECOMMUNICATION </t>
  </si>
  <si>
    <t xml:space="preserve">BOUSSAADA TRAVAUX </t>
  </si>
  <si>
    <t xml:space="preserve">    COMMANDE N°:  </t>
  </si>
  <si>
    <t xml:space="preserve">     Responsable:         Mr  HASSEN BOUSSAADA </t>
  </si>
  <si>
    <t>1698217X/A/M/000</t>
  </si>
  <si>
    <t>FEL001</t>
  </si>
  <si>
    <t xml:space="preserve">HABILITATION ELECTRIQUE </t>
  </si>
  <si>
    <t>ARRETE LA PRESENTE FACTURE A LA SOMME DE : CEPT CENT QUATORZE  DINARS ET 600 MILLIMES</t>
  </si>
  <si>
    <t>FACTURE  N°2021-029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</si>
</sst>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77</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70</v>
      </c>
      <c r="F23" s="181"/>
      <c r="G23" s="181"/>
      <c r="H23" s="181"/>
      <c r="I23" s="181"/>
      <c r="J23" s="181"/>
      <c r="K23" s="122" t="s">
        <v>56</v>
      </c>
      <c r="L23" s="107">
        <v>44410</v>
      </c>
      <c r="M23" s="109"/>
      <c r="N23" s="55"/>
      <c r="O23" s="9"/>
    </row>
    <row r="24" spans="1:15" ht="27" x14ac:dyDescent="0.35">
      <c r="B24" s="7"/>
      <c r="C24" s="3"/>
      <c r="D24" s="125" t="s">
        <v>53</v>
      </c>
      <c r="E24" s="188"/>
      <c r="F24" s="188"/>
      <c r="G24" s="188"/>
      <c r="H24" s="189"/>
      <c r="I24" s="189"/>
      <c r="J24" s="189"/>
      <c r="K24" s="201" t="s">
        <v>71</v>
      </c>
      <c r="L24" s="201"/>
      <c r="M24" s="201"/>
      <c r="N24" s="56"/>
      <c r="O24" s="9"/>
    </row>
    <row r="25" spans="1:15" ht="27.75" x14ac:dyDescent="0.4">
      <c r="B25" s="7"/>
      <c r="C25" s="3"/>
      <c r="D25" s="125" t="s">
        <v>58</v>
      </c>
      <c r="E25" s="146"/>
      <c r="F25" s="110" t="s">
        <v>51</v>
      </c>
      <c r="G25" s="182"/>
      <c r="H25" s="182"/>
      <c r="I25" s="117" t="s">
        <v>55</v>
      </c>
      <c r="J25" s="111"/>
      <c r="K25" s="122" t="s">
        <v>72</v>
      </c>
      <c r="L25" s="137"/>
      <c r="M25" s="138"/>
      <c r="N25" s="3"/>
      <c r="O25" s="9"/>
    </row>
    <row r="26" spans="1:15" ht="27.75" customHeight="1" x14ac:dyDescent="0.4">
      <c r="A26">
        <v>71</v>
      </c>
      <c r="B26" s="7"/>
      <c r="C26" s="3"/>
      <c r="D26" s="125" t="s">
        <v>54</v>
      </c>
      <c r="E26" s="186"/>
      <c r="F26" s="187"/>
      <c r="G26" s="187"/>
      <c r="H26" s="187"/>
      <c r="I26" s="187"/>
      <c r="J26" s="187"/>
      <c r="K26" s="122" t="s">
        <v>62</v>
      </c>
      <c r="L26" s="190" t="s">
        <v>73</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57</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68</v>
      </c>
      <c r="E35" s="100">
        <v>2</v>
      </c>
      <c r="F35" s="168" t="s">
        <v>67</v>
      </c>
      <c r="G35" s="169"/>
      <c r="H35" s="169"/>
      <c r="I35" s="169"/>
      <c r="J35" s="169"/>
      <c r="K35" s="170"/>
      <c r="L35" s="101">
        <v>200</v>
      </c>
      <c r="M35" s="102">
        <f t="shared" ref="M35:M43" si="0">IF(E35&lt;&gt;"",E35*L35,"")</f>
        <v>400</v>
      </c>
      <c r="N35" s="57"/>
      <c r="O35" s="9"/>
    </row>
    <row r="36" spans="2:15" ht="26.25" x14ac:dyDescent="0.4">
      <c r="B36" s="7"/>
      <c r="C36" s="3"/>
      <c r="D36" s="132"/>
      <c r="E36" s="100"/>
      <c r="F36" s="168" t="s">
        <v>69</v>
      </c>
      <c r="G36" s="169"/>
      <c r="H36" s="169"/>
      <c r="I36" s="169"/>
      <c r="J36" s="169"/>
      <c r="K36" s="170"/>
      <c r="L36" s="101"/>
      <c r="M36" s="102" t="str">
        <f t="shared" si="0"/>
        <v/>
      </c>
      <c r="N36" s="57"/>
      <c r="O36" s="9"/>
    </row>
    <row r="37" spans="2:15" ht="26.25" x14ac:dyDescent="0.4">
      <c r="B37" s="7"/>
      <c r="C37" s="3"/>
      <c r="D37" s="132"/>
      <c r="E37" s="100"/>
      <c r="F37" s="168"/>
      <c r="G37" s="169"/>
      <c r="H37" s="169"/>
      <c r="I37" s="169"/>
      <c r="J37" s="169"/>
      <c r="K37" s="170"/>
      <c r="L37" s="101"/>
      <c r="M37" s="102" t="str">
        <f t="shared" si="0"/>
        <v/>
      </c>
      <c r="N37" s="57"/>
      <c r="O37" s="9"/>
    </row>
    <row r="38" spans="2:15" ht="26.25" x14ac:dyDescent="0.4">
      <c r="B38" s="7"/>
      <c r="C38" s="3"/>
      <c r="D38" s="132" t="s">
        <v>74</v>
      </c>
      <c r="E38" s="100">
        <v>1</v>
      </c>
      <c r="F38" s="168" t="s">
        <v>75</v>
      </c>
      <c r="G38" s="169"/>
      <c r="H38" s="169"/>
      <c r="I38" s="169"/>
      <c r="J38" s="169"/>
      <c r="K38" s="170"/>
      <c r="L38" s="101">
        <v>200</v>
      </c>
      <c r="M38" s="102">
        <f t="shared" si="0"/>
        <v>200</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1"/>
      <c r="G40" s="172"/>
      <c r="H40" s="172"/>
      <c r="I40" s="172"/>
      <c r="J40" s="172"/>
      <c r="K40" s="173"/>
      <c r="L40" s="139"/>
      <c r="M40" s="102" t="str">
        <f t="shared" si="0"/>
        <v/>
      </c>
      <c r="N40" s="57"/>
      <c r="O40" s="9"/>
    </row>
    <row r="41" spans="2:15" ht="26.25" x14ac:dyDescent="0.4">
      <c r="B41" s="7"/>
      <c r="C41" s="3"/>
      <c r="D41" s="132"/>
      <c r="E41" s="100"/>
      <c r="F41" s="171"/>
      <c r="G41" s="172"/>
      <c r="H41" s="172"/>
      <c r="I41" s="172"/>
      <c r="J41" s="172"/>
      <c r="K41" s="17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64</v>
      </c>
      <c r="G45" s="83"/>
      <c r="H45" s="83"/>
      <c r="I45" s="83"/>
      <c r="J45" s="77"/>
      <c r="K45" s="112"/>
      <c r="L45" s="127" t="s">
        <v>45</v>
      </c>
      <c r="M45" s="131">
        <v>0.6</v>
      </c>
      <c r="N45" s="57"/>
      <c r="O45" s="9"/>
    </row>
    <row r="46" spans="2:15" ht="30" x14ac:dyDescent="0.4">
      <c r="B46" s="7"/>
      <c r="C46" s="3"/>
      <c r="D46" s="3"/>
      <c r="E46" s="84"/>
      <c r="F46" s="108" t="s">
        <v>61</v>
      </c>
      <c r="G46" s="83"/>
      <c r="H46" s="83"/>
      <c r="I46" s="83"/>
      <c r="J46" s="78"/>
      <c r="K46" s="113"/>
      <c r="L46" s="128" t="s">
        <v>59</v>
      </c>
      <c r="M46" s="119">
        <f>M44*0.19</f>
        <v>114</v>
      </c>
      <c r="N46" s="57"/>
      <c r="O46" s="9"/>
    </row>
    <row r="47" spans="2:15" ht="30" x14ac:dyDescent="0.4">
      <c r="B47" s="7"/>
      <c r="C47" s="3"/>
      <c r="D47" s="3"/>
      <c r="E47" s="86"/>
      <c r="F47" s="152" t="s">
        <v>66</v>
      </c>
      <c r="G47" s="153"/>
      <c r="H47" s="154"/>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60</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63</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44410</v>
      </c>
      <c r="D8" s="72" t="str">
        <f>Facture!$E$23</f>
        <v xml:space="preserve">BOUSSAADA TRAVAUX </v>
      </c>
      <c r="E8" s="69">
        <f>Facture!$E$24</f>
        <v>0</v>
      </c>
      <c r="F8" s="69">
        <f>Facture!$E$25</f>
        <v>0</v>
      </c>
      <c r="G8" s="72">
        <f>Facture!$G$25</f>
        <v>0</v>
      </c>
      <c r="H8" s="72">
        <f>Facture!$J$25</f>
        <v>0</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2021-04-12T10:39:00Z</cp:lastPrinted>
  <dcterms:created xsi:type="dcterms:W3CDTF">1995-05-29T15:50:39Z</dcterms:created>
  <dcterms:modified xsi:type="dcterms:W3CDTF">2021-08-04T10:52:12Z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BOUSSAADA TRAVAUX </vt:lpwstr>
  </property>
  <property fmtid="{D5CDD505-2E9C-101B-9397-08002B2CF9AE}" pid="11" name="Montant de la facture" linkTarget="TOT">
    <vt:r8>714.6</vt:r8>
  </property>
</Properties>
</file>