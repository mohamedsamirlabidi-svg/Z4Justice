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<sst xmlns="http://schemas.openxmlformats.org/spreadsheetml/2006/main" count="86" uniqueCount="78">
  <si>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</si>
  <si>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</si>
  <si>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</si>
  <si>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</si>
  <si>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</si>
  <si>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</si>
  <si>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</si>
  <si>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</si>
  <si>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</si>
  <si>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</si>
  <si>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</si>
  <si>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</si>
  <si>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</si>
  <si>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</si>
  <si>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</si>
  <si>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</si>
  <si>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</si>
  <si>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</si>
  <si>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</si>
  <si>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</si>
  <si>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</si>
  <si>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</si>
  <si>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</si>
  <si>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</si>
  <si>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</si>
  <si>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</si>
  <si>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</si>
  <si>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</si>
  <si>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</si>
  <si>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</si>
  <si>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</si>
  <si>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</si>
  <si>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</si>
  <si>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</si>
  <si>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</si>
  <si>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</si>
  <si>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</si>
  <si>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</si>
  <si>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</si>
  <si>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</si>
  <si>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</si>
  <si>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</si>
  <si>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</si>
  <si>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</si>
  <si>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</si>
  <si>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</si>
  <si>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</si>
  <si>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</si>
  <si>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</si>
  <si>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</si>
  <si>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</si>
  <si>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</si>
  <si>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</si>
  <si>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</si>
  <si>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</si>
  <si>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</si>
  <si>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</si>
  <si>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</si>
  <si>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</si>
  <si>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</si>
  <si>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</si>
  <si>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</si>
  <si>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</si>
  <si>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</si>
  <si>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</si>
  <si>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</si>
  <si>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</si>
  <si>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COGEF PLUS</t>
  </si>
  <si>
    <t xml:space="preserve">IMMEUBLE YAKOUB  RUE AL KAHINA  </t>
  </si>
  <si>
    <t>GABES</t>
  </si>
  <si>
    <t>75 273 957 FAX 75 273 911</t>
  </si>
  <si>
    <t xml:space="preserve">     Responsable:         AHMED </t>
  </si>
  <si>
    <t>764907H/A/M/000</t>
  </si>
  <si>
    <t xml:space="preserve">FORMATION TRAVAIL EN HAUTEUR </t>
  </si>
  <si>
    <t>FACTURE N°2021-023</t>
  </si>
  <si>
    <t xml:space="preserve">Chèque    </t>
  </si>
  <si>
    <t>ARRETE LA PRESENTE FACTURE LA SOMME DE :SIX CENT DINARS ET 600 MILLIMES</t>
  </si>
  <si>
    <t xml:space="preserve">    COMMANDE N°:000025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</si>
</sst>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74</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67</v>
      </c>
      <c r="F23" s="182"/>
      <c r="G23" s="182"/>
      <c r="H23" s="182"/>
      <c r="I23" s="182"/>
      <c r="J23" s="182"/>
      <c r="K23" s="119" t="s">
        <v>57</v>
      </c>
      <c r="L23" s="104">
        <v>44344</v>
      </c>
      <c r="M23" s="106"/>
      <c r="N23" s="55"/>
      <c r="O23" s="9"/>
    </row>
    <row r="24" spans="1:15" ht="23.25" x14ac:dyDescent="0.35">
      <c r="B24" s="7"/>
      <c r="C24" s="3"/>
      <c r="D24" s="122" t="s">
        <v>53</v>
      </c>
      <c r="E24" s="189" t="s">
        <v>68</v>
      </c>
      <c r="F24" s="189"/>
      <c r="G24" s="189"/>
      <c r="H24" s="190"/>
      <c r="I24" s="190"/>
      <c r="J24" s="190"/>
      <c r="K24" s="162" t="s">
        <v>77</v>
      </c>
      <c r="L24" s="162"/>
      <c r="M24" s="162"/>
      <c r="N24" s="56"/>
      <c r="O24" s="9"/>
    </row>
    <row r="25" spans="1:15" ht="27.75" x14ac:dyDescent="0.4">
      <c r="B25" s="7"/>
      <c r="C25" s="3"/>
      <c r="D25" s="122" t="s">
        <v>58</v>
      </c>
      <c r="E25" s="140">
        <v>489</v>
      </c>
      <c r="F25" s="107" t="s">
        <v>51</v>
      </c>
      <c r="G25" s="183" t="s">
        <v>69</v>
      </c>
      <c r="H25" s="183"/>
      <c r="I25" s="114" t="s">
        <v>55</v>
      </c>
      <c r="J25" s="108" t="s">
        <v>56</v>
      </c>
      <c r="K25" s="119" t="s">
        <v>71</v>
      </c>
      <c r="L25" s="130"/>
      <c r="M25" s="131"/>
      <c r="N25" s="3"/>
      <c r="O25" s="9"/>
    </row>
    <row r="26" spans="1:15" ht="27.75" customHeight="1" x14ac:dyDescent="0.4">
      <c r="A26">
        <v>71</v>
      </c>
      <c r="B26" s="7"/>
      <c r="C26" s="3"/>
      <c r="D26" s="122" t="s">
        <v>54</v>
      </c>
      <c r="E26" s="187" t="s">
        <v>70</v>
      </c>
      <c r="F26" s="188"/>
      <c r="G26" s="188"/>
      <c r="H26" s="188"/>
      <c r="I26" s="188"/>
      <c r="J26" s="188"/>
      <c r="K26" s="119" t="s">
        <v>61</v>
      </c>
      <c r="L26" s="191" t="s">
        <v>72</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66</v>
      </c>
      <c r="E32" s="97">
        <v>3</v>
      </c>
      <c r="F32" s="172" t="s">
        <v>73</v>
      </c>
      <c r="G32" s="173"/>
      <c r="H32" s="173"/>
      <c r="I32" s="173"/>
      <c r="J32" s="173"/>
      <c r="K32" s="174"/>
      <c r="L32" s="98">
        <v>200</v>
      </c>
      <c r="M32" s="99">
        <f>IF(E32&lt;&gt;"",E32*L32,"")</f>
        <v>600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SUM(M32:M44)</f>
        <v>600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c r="N47" s="57"/>
      <c r="O47" s="9"/>
    </row>
    <row r="48" spans="2:15" ht="30" x14ac:dyDescent="0.4">
      <c r="B48" s="7"/>
      <c r="C48" s="3"/>
      <c r="D48" s="3"/>
      <c r="E48" s="86"/>
      <c r="F48" s="105" t="s">
        <v>75</v>
      </c>
      <c r="G48" s="138"/>
      <c r="H48" s="141"/>
      <c r="I48" s="141"/>
      <c r="J48" s="79"/>
      <c r="K48" s="109"/>
      <c r="L48" s="126" t="s">
        <v>26</v>
      </c>
      <c r="M48" s="113">
        <f>M45+M47+M46</f>
        <v>600.6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5" t="s">
        <v>62</v>
      </c>
      <c r="D62" s="175"/>
      <c r="E62" s="175"/>
      <c r="F62" s="175"/>
      <c r="G62" s="175"/>
      <c r="H62" s="175"/>
      <c r="I62" s="175"/>
      <c r="J62" s="175"/>
      <c r="K62" s="175"/>
      <c r="L62" s="175"/>
      <c r="M62" s="175"/>
      <c r="N62" s="175"/>
      <c r="O62" s="139"/>
    </row>
    <row r="63" spans="1:15" ht="12.75" customHeight="1" x14ac:dyDescent="0.2">
      <c r="A63" s="121"/>
      <c r="B63" s="120"/>
      <c r="C63" s="175"/>
      <c r="D63" s="175"/>
      <c r="E63" s="175"/>
      <c r="F63" s="175"/>
      <c r="G63" s="175"/>
      <c r="H63" s="175"/>
      <c r="I63" s="175"/>
      <c r="J63" s="175"/>
      <c r="K63" s="175"/>
      <c r="L63" s="175"/>
      <c r="M63" s="175"/>
      <c r="N63" s="175"/>
      <c r="O63" s="137"/>
    </row>
    <row r="64" spans="1:15" ht="12.75" customHeight="1" x14ac:dyDescent="0.2">
      <c r="A64" s="3"/>
      <c r="B64" s="121"/>
      <c r="C64" s="175"/>
      <c r="D64" s="175"/>
      <c r="E64" s="175"/>
      <c r="F64" s="175"/>
      <c r="G64" s="175"/>
      <c r="H64" s="175"/>
      <c r="I64" s="175"/>
      <c r="J64" s="175"/>
      <c r="K64" s="175"/>
      <c r="L64" s="175"/>
      <c r="M64" s="175"/>
      <c r="N64" s="175"/>
      <c r="O64" s="137"/>
    </row>
    <row r="65" spans="1:15" ht="12.75" customHeight="1" x14ac:dyDescent="0.2">
      <c r="A65" s="3"/>
      <c r="B65" s="3"/>
      <c r="C65" s="175"/>
      <c r="D65" s="175"/>
      <c r="E65" s="175"/>
      <c r="F65" s="175"/>
      <c r="G65" s="175"/>
      <c r="H65" s="175"/>
      <c r="I65" s="175"/>
      <c r="J65" s="175"/>
      <c r="K65" s="175"/>
      <c r="L65" s="175"/>
      <c r="M65" s="175"/>
      <c r="N65" s="175"/>
      <c r="O65" s="137"/>
    </row>
    <row r="66" spans="1:15" ht="12.75" customHeight="1"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44344</v>
      </c>
      <c r="D8" s="72" t="str">
        <f>Facture!$E$23</f>
        <v>COGEF PLUS</v>
      </c>
      <c r="E8" s="69" t="str">
        <f>Facture!$E$24</f>
        <v xml:space="preserve">IMMEUBLE YAKOUB  RUE AL KAHINA  </v>
      </c>
      <c r="F8" s="69">
        <f>Facture!$E$25</f>
        <v>489</v>
      </c>
      <c r="G8" s="72" t="str">
        <f>Facture!$G$25</f>
        <v>GABES</v>
      </c>
      <c r="H8" s="72" t="str">
        <f>Facture!$J$25</f>
        <v>TN</v>
      </c>
      <c r="I8" s="69" t="str">
        <f>Facture!$E$26</f>
        <v>75 273 957 FAX 75 273 911</v>
      </c>
      <c r="J8" s="73">
        <f>Facture!$M$48</f>
        <v>600.6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2021-05-28T10:38:20Z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vt:lpwstr>
  </property>
  <property fmtid="{D5CDD505-2E9C-101B-9397-08002B2CF9AE}" pid="11" name="Montant de la facture" linkTarget="TOT">
    <vt:r8>600.6</vt:r8>
  </property>
</Properties>
</file>