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6" i="3" l="1"/>
  <c r="M41" i="3"/>
  <c r="M42" i="3"/>
  <c r="M45" i="3" l="1"/>
  <c r="M47" i="3"/>
  <c r="M43" i="3" l="1"/>
  <c r="M35" i="3" l="1"/>
  <c r="M31" i="3" l="1"/>
  <c r="M32"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<sst xmlns="http://schemas.openxmlformats.org/spreadsheetml/2006/main" count="83" uniqueCount="75">
  <si>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</si>
  <si>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</si>
  <si>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</si>
  <si>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</si>
  <si>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</si>
  <si>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</si>
  <si>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</si>
  <si>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</si>
  <si>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</si>
  <si>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</si>
  <si>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</si>
  <si>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</si>
  <si>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</si>
  <si>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</si>
  <si>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</si>
  <si>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</si>
  <si>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</si>
  <si>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</si>
  <si>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</si>
  <si>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</si>
  <si>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</si>
  <si>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</si>
  <si>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</si>
  <si>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</si>
  <si>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</si>
  <si>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</si>
  <si>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</si>
  <si>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</si>
  <si>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</si>
  <si>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</si>
  <si>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</si>
  <si>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</si>
  <si>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</si>
  <si>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</si>
  <si>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</si>
  <si>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</si>
  <si>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</si>
  <si>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</si>
  <si>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</si>
  <si>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</si>
  <si>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</si>
  <si>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</si>
  <si>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</si>
  <si>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</si>
  <si>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</si>
  <si>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</si>
  <si>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</si>
  <si>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</si>
  <si>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</si>
  <si>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</si>
  <si>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</si>
  <si>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</si>
  <si>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</si>
  <si>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</si>
  <si>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</si>
  <si>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</si>
  <si>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</si>
  <si>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</si>
  <si>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</si>
  <si>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</si>
  <si>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</si>
  <si>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</si>
  <si>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</si>
  <si>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</si>
  <si>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</si>
  <si>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</si>
  <si>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</si>
  <si>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FORMATION TRAVAIL EN HAUTEUR </t>
  </si>
  <si>
    <t>FTH001</t>
  </si>
  <si>
    <t xml:space="preserve">Chèque   </t>
  </si>
  <si>
    <t xml:space="preserve">    COMMANDE N°:</t>
  </si>
  <si>
    <t>DEVIS N°2021-0523</t>
  </si>
  <si>
    <t xml:space="preserve">     Responsable:         Mr   CHOKRI</t>
  </si>
  <si>
    <t>Ministère de défense nationale</t>
  </si>
  <si>
    <t>ARRETE LA PRESENTE DEVIS A LA SOMME DE :DEUX MILLE HUIT CENT CINQUANTE SIX   DINARS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</si>
</sst>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3" borderId="0" xfId="0" applyFont="1" applyFill="1" applyBorder="1" applyAlignment="1">
      <alignment vertical="top"/>
    </xf>
    <xf numFmtId="167" fontId="48" fillId="3" borderId="0" xfId="0" applyNumberFormat="1" applyFont="1" applyFill="1" applyBorder="1" applyAlignment="1"/>
    <xf numFmtId="0" fontId="43"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2"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7" t="s">
        <v>71</v>
      </c>
      <c r="M15" s="167"/>
      <c r="N15" s="3"/>
      <c r="O15" s="9"/>
    </row>
    <row r="16" spans="2:15" x14ac:dyDescent="0.2">
      <c r="B16" s="7"/>
      <c r="C16" s="3"/>
      <c r="D16" s="3"/>
      <c r="E16" s="3"/>
      <c r="F16" s="3"/>
      <c r="G16" s="3"/>
      <c r="H16" s="3"/>
      <c r="I16" s="3"/>
      <c r="J16" s="3"/>
      <c r="K16" s="105"/>
      <c r="L16" s="167"/>
      <c r="M16" s="167"/>
      <c r="N16" s="3"/>
      <c r="O16" s="9"/>
    </row>
    <row r="17" spans="1:15" ht="12.75" customHeight="1" x14ac:dyDescent="0.2">
      <c r="B17" s="7"/>
      <c r="C17" s="3"/>
      <c r="D17" s="3"/>
      <c r="E17" s="3"/>
      <c r="F17" s="3"/>
      <c r="G17" s="3"/>
      <c r="H17" s="3"/>
      <c r="I17" s="3"/>
      <c r="J17" s="3"/>
      <c r="K17" s="105"/>
      <c r="L17" s="167"/>
      <c r="M17" s="167"/>
      <c r="N17" s="3"/>
      <c r="O17" s="9"/>
    </row>
    <row r="18" spans="1:15" ht="12.75" customHeight="1" x14ac:dyDescent="0.2">
      <c r="B18" s="7"/>
      <c r="C18" s="3"/>
      <c r="D18" s="178"/>
      <c r="E18" s="178"/>
      <c r="F18" s="178"/>
      <c r="G18" s="178"/>
      <c r="H18" s="178"/>
      <c r="I18" s="3"/>
      <c r="J18" s="3"/>
      <c r="K18" s="105"/>
      <c r="L18" s="167"/>
      <c r="M18" s="167"/>
      <c r="N18" s="3"/>
      <c r="O18" s="9"/>
    </row>
    <row r="19" spans="1:15" ht="20.100000000000001" customHeight="1" thickBot="1" x14ac:dyDescent="0.25">
      <c r="B19" s="7"/>
      <c r="C19" s="3"/>
      <c r="D19" s="179"/>
      <c r="E19" s="179"/>
      <c r="F19" s="179"/>
      <c r="G19" s="179"/>
      <c r="H19" s="179"/>
      <c r="I19" s="3"/>
      <c r="J19" s="3"/>
      <c r="K19" s="105"/>
      <c r="L19" s="167"/>
      <c r="M19" s="16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0.75" x14ac:dyDescent="0.45">
      <c r="B23" s="7"/>
      <c r="C23" s="3"/>
      <c r="D23" s="125" t="s">
        <v>52</v>
      </c>
      <c r="E23" s="168" t="s">
        <v>73</v>
      </c>
      <c r="F23" s="168"/>
      <c r="G23" s="168"/>
      <c r="H23" s="168"/>
      <c r="I23" s="168"/>
      <c r="J23" s="168"/>
      <c r="K23" s="122" t="s">
        <v>57</v>
      </c>
      <c r="L23" s="107">
        <v>44323</v>
      </c>
      <c r="M23" s="109"/>
      <c r="N23" s="55"/>
      <c r="O23" s="9"/>
    </row>
    <row r="24" spans="1:15" ht="27" x14ac:dyDescent="0.35">
      <c r="B24" s="7"/>
      <c r="C24" s="3"/>
      <c r="D24" s="125" t="s">
        <v>53</v>
      </c>
      <c r="E24" s="175"/>
      <c r="F24" s="175"/>
      <c r="G24" s="175"/>
      <c r="H24" s="176"/>
      <c r="I24" s="176"/>
      <c r="J24" s="176"/>
      <c r="K24" s="188" t="s">
        <v>70</v>
      </c>
      <c r="L24" s="188"/>
      <c r="M24" s="188"/>
      <c r="N24" s="56"/>
      <c r="O24" s="9"/>
    </row>
    <row r="25" spans="1:15" ht="27.75" x14ac:dyDescent="0.4">
      <c r="B25" s="7"/>
      <c r="C25" s="3"/>
      <c r="D25" s="125" t="s">
        <v>59</v>
      </c>
      <c r="E25" s="146"/>
      <c r="F25" s="110" t="s">
        <v>51</v>
      </c>
      <c r="G25" s="169"/>
      <c r="H25" s="169"/>
      <c r="I25" s="117" t="s">
        <v>55</v>
      </c>
      <c r="J25" s="111" t="s">
        <v>56</v>
      </c>
      <c r="K25" s="122" t="s">
        <v>72</v>
      </c>
      <c r="L25" s="137"/>
      <c r="M25" s="138"/>
      <c r="N25" s="3"/>
      <c r="O25" s="9"/>
    </row>
    <row r="26" spans="1:15" ht="27.75" customHeight="1" x14ac:dyDescent="0.4">
      <c r="A26">
        <v>71</v>
      </c>
      <c r="B26" s="7"/>
      <c r="C26" s="3"/>
      <c r="D26" s="125" t="s">
        <v>54</v>
      </c>
      <c r="E26" s="173">
        <v>29469696</v>
      </c>
      <c r="F26" s="174"/>
      <c r="G26" s="174"/>
      <c r="H26" s="174"/>
      <c r="I26" s="174"/>
      <c r="J26" s="174"/>
      <c r="K26" s="122" t="s">
        <v>63</v>
      </c>
      <c r="L26" s="177"/>
      <c r="M26" s="17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0" t="s">
        <v>21</v>
      </c>
      <c r="G30" s="171"/>
      <c r="H30" s="171"/>
      <c r="I30" s="171"/>
      <c r="J30" s="171"/>
      <c r="K30" s="172"/>
      <c r="L30" s="95" t="s">
        <v>22</v>
      </c>
      <c r="M30" s="96" t="s">
        <v>23</v>
      </c>
      <c r="N30" s="57"/>
      <c r="O30" s="9"/>
    </row>
    <row r="31" spans="1:15" ht="18.75" x14ac:dyDescent="0.3">
      <c r="B31" s="7"/>
      <c r="C31" s="3"/>
      <c r="D31" s="67"/>
      <c r="E31" s="53"/>
      <c r="F31" s="189"/>
      <c r="G31" s="190"/>
      <c r="H31" s="190"/>
      <c r="I31" s="190"/>
      <c r="J31" s="190"/>
      <c r="K31" s="191"/>
      <c r="L31" s="93"/>
      <c r="M31" s="94" t="str">
        <f>IF(E31&lt;&gt;"",E31*L31,"")</f>
        <v/>
      </c>
      <c r="N31" s="57"/>
      <c r="O31" s="9"/>
    </row>
    <row r="32" spans="1:15" ht="26.25" x14ac:dyDescent="0.4">
      <c r="B32" s="7"/>
      <c r="C32" s="3"/>
      <c r="D32" s="136"/>
      <c r="E32" s="97"/>
      <c r="F32" s="192" t="s">
        <v>58</v>
      </c>
      <c r="G32" s="193"/>
      <c r="H32" s="193"/>
      <c r="I32" s="193"/>
      <c r="J32" s="193"/>
      <c r="K32" s="194"/>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68</v>
      </c>
      <c r="E35" s="100">
        <v>12</v>
      </c>
      <c r="F35" s="198" t="s">
        <v>67</v>
      </c>
      <c r="G35" s="199"/>
      <c r="H35" s="199"/>
      <c r="I35" s="199"/>
      <c r="J35" s="199"/>
      <c r="K35" s="200"/>
      <c r="L35" s="101">
        <v>200</v>
      </c>
      <c r="M35" s="102">
        <f t="shared" ref="M35:M47" si="0">IF(E35&lt;&gt;"",E35*L35,"")</f>
        <v>2400</v>
      </c>
      <c r="N35" s="57"/>
      <c r="O35" s="9"/>
    </row>
    <row r="36" spans="2:15" ht="26.25" x14ac:dyDescent="0.4">
      <c r="B36" s="7"/>
      <c r="C36" s="3"/>
      <c r="D36" s="132"/>
      <c r="E36" s="100"/>
      <c r="F36" s="148"/>
      <c r="G36" s="103"/>
      <c r="H36" s="103"/>
      <c r="I36" s="103"/>
      <c r="J36" s="103"/>
      <c r="K36" s="104"/>
      <c r="L36" s="101"/>
      <c r="M36" s="102" t="str">
        <f t="shared" si="0"/>
        <v/>
      </c>
      <c r="N36" s="57"/>
      <c r="O36" s="9"/>
    </row>
    <row r="37" spans="2:15" ht="26.25" x14ac:dyDescent="0.4">
      <c r="B37" s="7"/>
      <c r="C37" s="3"/>
      <c r="D37" s="132"/>
      <c r="E37" s="100"/>
      <c r="F37" s="148"/>
      <c r="G37" s="103"/>
      <c r="H37" s="103"/>
      <c r="I37" s="103"/>
      <c r="J37" s="103"/>
      <c r="K37" s="104"/>
      <c r="L37" s="101"/>
      <c r="M37" s="102"/>
      <c r="N37" s="57"/>
      <c r="O37" s="9"/>
    </row>
    <row r="38" spans="2:15" ht="26.25" x14ac:dyDescent="0.4">
      <c r="B38" s="7"/>
      <c r="C38" s="3"/>
      <c r="D38" s="132"/>
      <c r="E38" s="100"/>
      <c r="F38" s="148"/>
      <c r="G38" s="103"/>
      <c r="H38" s="103"/>
      <c r="I38" s="103"/>
      <c r="J38" s="103"/>
      <c r="K38" s="104"/>
      <c r="L38" s="101"/>
      <c r="M38" s="102"/>
      <c r="N38" s="57"/>
      <c r="O38" s="9"/>
    </row>
    <row r="39" spans="2:15" ht="26.25" x14ac:dyDescent="0.4">
      <c r="B39" s="7"/>
      <c r="C39" s="3"/>
      <c r="D39" s="132"/>
      <c r="E39" s="100"/>
      <c r="F39" s="148"/>
      <c r="G39" s="103"/>
      <c r="H39" s="103"/>
      <c r="I39" s="103"/>
      <c r="J39" s="103"/>
      <c r="K39" s="104"/>
      <c r="L39" s="101"/>
      <c r="M39" s="102"/>
      <c r="N39" s="57"/>
      <c r="O39" s="9"/>
    </row>
    <row r="40" spans="2:15" ht="26.25" x14ac:dyDescent="0.4">
      <c r="B40" s="7"/>
      <c r="C40" s="3"/>
      <c r="D40" s="132"/>
      <c r="E40" s="100"/>
      <c r="F40" s="148"/>
      <c r="G40" s="103"/>
      <c r="H40" s="103"/>
      <c r="I40" s="103"/>
      <c r="J40" s="103"/>
      <c r="K40" s="104"/>
      <c r="L40" s="101"/>
      <c r="M40" s="102"/>
      <c r="N40" s="57"/>
      <c r="O40" s="9"/>
    </row>
    <row r="41" spans="2:15" ht="26.25" x14ac:dyDescent="0.4">
      <c r="B41" s="7"/>
      <c r="C41" s="3"/>
      <c r="D41" s="132"/>
      <c r="E41" s="100"/>
      <c r="F41" s="198"/>
      <c r="G41" s="199"/>
      <c r="H41" s="199"/>
      <c r="I41" s="199"/>
      <c r="J41" s="199"/>
      <c r="K41" s="200"/>
      <c r="L41" s="101"/>
      <c r="M41" s="102" t="str">
        <f t="shared" si="0"/>
        <v/>
      </c>
      <c r="N41" s="57"/>
      <c r="O41" s="9"/>
    </row>
    <row r="42" spans="2:15" ht="26.25" x14ac:dyDescent="0.4">
      <c r="B42" s="7"/>
      <c r="C42" s="3"/>
      <c r="D42" s="132"/>
      <c r="E42" s="100"/>
      <c r="F42" s="195"/>
      <c r="G42" s="196"/>
      <c r="H42" s="196"/>
      <c r="I42" s="196"/>
      <c r="J42" s="196"/>
      <c r="K42" s="197"/>
      <c r="L42" s="101"/>
      <c r="M42" s="102" t="str">
        <f t="shared" si="0"/>
        <v/>
      </c>
      <c r="N42" s="57"/>
      <c r="O42" s="9"/>
    </row>
    <row r="43" spans="2:15" ht="26.25" x14ac:dyDescent="0.4">
      <c r="B43" s="7"/>
      <c r="C43" s="3"/>
      <c r="D43" s="132"/>
      <c r="E43" s="100"/>
      <c r="F43" s="148"/>
      <c r="G43" s="103"/>
      <c r="H43" s="103"/>
      <c r="I43" s="103"/>
      <c r="J43" s="103"/>
      <c r="K43" s="104"/>
      <c r="L43" s="101"/>
      <c r="M43" s="102" t="str">
        <f t="shared" si="0"/>
        <v/>
      </c>
      <c r="N43" s="57"/>
      <c r="O43" s="9"/>
    </row>
    <row r="44" spans="2:15" ht="26.25" x14ac:dyDescent="0.4">
      <c r="B44" s="7"/>
      <c r="C44" s="3"/>
      <c r="D44" s="132"/>
      <c r="E44" s="100"/>
      <c r="F44" s="148"/>
      <c r="G44" s="103"/>
      <c r="H44" s="103"/>
      <c r="I44" s="103"/>
      <c r="J44" s="103"/>
      <c r="K44" s="104"/>
      <c r="L44" s="139"/>
      <c r="M44" s="102"/>
      <c r="N44" s="57"/>
      <c r="O44" s="9"/>
    </row>
    <row r="45" spans="2:15" ht="26.25" x14ac:dyDescent="0.4">
      <c r="B45" s="7"/>
      <c r="C45" s="3"/>
      <c r="D45" s="132"/>
      <c r="E45" s="100"/>
      <c r="F45" s="195"/>
      <c r="G45" s="196"/>
      <c r="H45" s="196"/>
      <c r="I45" s="196"/>
      <c r="J45" s="196"/>
      <c r="K45" s="197"/>
      <c r="L45" s="139"/>
      <c r="M45" s="102" t="str">
        <f>IF(E45&lt;&gt;"",E45*L45,"")</f>
        <v/>
      </c>
      <c r="N45" s="57"/>
      <c r="O45" s="9"/>
    </row>
    <row r="46" spans="2:15" ht="26.25" x14ac:dyDescent="0.4">
      <c r="B46" s="7"/>
      <c r="C46" s="3"/>
      <c r="D46" s="132"/>
      <c r="E46" s="100"/>
      <c r="F46" s="148"/>
      <c r="G46" s="150"/>
      <c r="H46" s="150"/>
      <c r="I46" s="150"/>
      <c r="J46" s="150"/>
      <c r="K46" s="151"/>
      <c r="L46" s="139"/>
      <c r="M46" s="102"/>
      <c r="N46" s="57"/>
      <c r="O46" s="9"/>
    </row>
    <row r="47" spans="2:15" ht="25.5" x14ac:dyDescent="0.35">
      <c r="B47" s="7"/>
      <c r="C47" s="3"/>
      <c r="D47" s="68"/>
      <c r="E47" s="54"/>
      <c r="F47" s="180"/>
      <c r="G47" s="181"/>
      <c r="H47" s="181"/>
      <c r="I47" s="181"/>
      <c r="J47" s="181"/>
      <c r="K47" s="182"/>
      <c r="L47" s="68"/>
      <c r="M47" s="102" t="str">
        <f t="shared" si="0"/>
        <v/>
      </c>
      <c r="N47" s="57"/>
      <c r="O47" s="9"/>
    </row>
    <row r="48" spans="2:15" ht="30" x14ac:dyDescent="0.4">
      <c r="B48" s="7"/>
      <c r="C48" s="3"/>
      <c r="D48" s="118"/>
      <c r="E48" s="83"/>
      <c r="F48" s="83"/>
      <c r="G48" s="83"/>
      <c r="H48" s="83"/>
      <c r="I48" s="83"/>
      <c r="J48" s="77"/>
      <c r="K48" s="112"/>
      <c r="L48" s="130" t="s">
        <v>24</v>
      </c>
      <c r="M48" s="116">
        <f>SUM(M33:M47)</f>
        <v>2400</v>
      </c>
      <c r="N48" s="57"/>
      <c r="O48" s="9"/>
    </row>
    <row r="49" spans="1:15" ht="30" x14ac:dyDescent="0.4">
      <c r="B49" s="7"/>
      <c r="C49" s="3"/>
      <c r="D49" s="3"/>
      <c r="E49" s="84"/>
      <c r="F49" s="108" t="s">
        <v>65</v>
      </c>
      <c r="G49" s="83"/>
      <c r="H49" s="83"/>
      <c r="I49" s="83"/>
      <c r="J49" s="77"/>
      <c r="K49" s="112"/>
      <c r="L49" s="127" t="s">
        <v>45</v>
      </c>
      <c r="M49" s="131">
        <v>0.6</v>
      </c>
      <c r="N49" s="57"/>
      <c r="O49" s="9"/>
    </row>
    <row r="50" spans="1:15" ht="30" x14ac:dyDescent="0.4">
      <c r="B50" s="7"/>
      <c r="C50" s="3"/>
      <c r="D50" s="3"/>
      <c r="E50" s="84"/>
      <c r="F50" s="108" t="s">
        <v>62</v>
      </c>
      <c r="G50" s="83"/>
      <c r="H50" s="83"/>
      <c r="I50" s="83"/>
      <c r="J50" s="78"/>
      <c r="K50" s="113"/>
      <c r="L50" s="128" t="s">
        <v>60</v>
      </c>
      <c r="M50" s="119">
        <f>M48*0.19</f>
        <v>456</v>
      </c>
      <c r="N50" s="57"/>
      <c r="O50" s="9"/>
    </row>
    <row r="51" spans="1:15" ht="30" x14ac:dyDescent="0.4">
      <c r="B51" s="7"/>
      <c r="C51" s="3"/>
      <c r="D51" s="3"/>
      <c r="E51" s="86"/>
      <c r="F51" s="154" t="s">
        <v>69</v>
      </c>
      <c r="G51" s="152"/>
      <c r="H51" s="153"/>
      <c r="I51" s="147"/>
      <c r="J51" s="79"/>
      <c r="K51" s="112"/>
      <c r="L51" s="129" t="s">
        <v>26</v>
      </c>
      <c r="M51" s="116">
        <f>M48+M50+M49</f>
        <v>2856.6</v>
      </c>
      <c r="N51" s="57"/>
      <c r="O51" s="9"/>
    </row>
    <row r="52" spans="1:15" ht="30" x14ac:dyDescent="0.4">
      <c r="B52" s="7"/>
      <c r="C52" s="3"/>
      <c r="D52" s="3"/>
      <c r="E52" s="86"/>
      <c r="F52" s="108"/>
      <c r="G52" s="89"/>
      <c r="H52" s="86"/>
      <c r="I52" s="83"/>
      <c r="J52" s="79"/>
      <c r="K52" s="112"/>
      <c r="L52" s="114"/>
      <c r="M52" s="143"/>
      <c r="N52" s="57"/>
      <c r="O52" s="9"/>
    </row>
    <row r="53" spans="1:15" ht="30" x14ac:dyDescent="0.4">
      <c r="B53" s="7"/>
      <c r="C53" s="140" t="s">
        <v>74</v>
      </c>
      <c r="D53" s="3"/>
      <c r="E53" s="86"/>
      <c r="F53" s="108"/>
      <c r="G53" s="89"/>
      <c r="H53" s="86"/>
      <c r="I53" s="83"/>
      <c r="J53" s="79"/>
      <c r="K53" s="112"/>
      <c r="L53" s="114"/>
      <c r="M53" s="143"/>
      <c r="N53" s="57"/>
      <c r="O53" s="9"/>
    </row>
    <row r="54" spans="1:15" ht="30" x14ac:dyDescent="0.4">
      <c r="B54" s="7"/>
      <c r="C54" s="3"/>
      <c r="D54" s="3"/>
      <c r="E54" s="86">
        <v>2</v>
      </c>
      <c r="F54" s="85"/>
      <c r="G54" s="83"/>
      <c r="H54" s="87"/>
      <c r="I54" s="83"/>
      <c r="J54" s="80" t="s">
        <v>25</v>
      </c>
      <c r="K54" s="112"/>
      <c r="L54" s="187" t="s">
        <v>61</v>
      </c>
      <c r="M54" s="187"/>
      <c r="N54" s="57"/>
      <c r="O54" s="9"/>
    </row>
    <row r="55" spans="1:15" ht="18.75" x14ac:dyDescent="0.3">
      <c r="B55" s="7"/>
      <c r="C55" s="3"/>
      <c r="D55" s="140"/>
      <c r="E55" s="140"/>
      <c r="F55" s="140"/>
      <c r="G55" s="140"/>
      <c r="H55" s="140"/>
      <c r="I55" s="140"/>
      <c r="J55" s="140"/>
      <c r="K55" s="140"/>
      <c r="L55" s="187"/>
      <c r="M55" s="187"/>
      <c r="N55" s="57"/>
      <c r="O55" s="9"/>
    </row>
    <row r="56" spans="1:15" ht="30" x14ac:dyDescent="0.4">
      <c r="B56" s="7"/>
      <c r="C56" s="3"/>
      <c r="D56" s="3"/>
      <c r="E56" s="88"/>
      <c r="F56" s="165"/>
      <c r="G56" s="165"/>
      <c r="H56" s="165"/>
      <c r="I56" s="166"/>
      <c r="J56" s="81"/>
      <c r="K56" s="115"/>
      <c r="L56" s="123"/>
      <c r="M56" s="121"/>
      <c r="N56" s="57"/>
      <c r="O56" s="9"/>
    </row>
    <row r="57" spans="1:15" ht="18.75" thickBot="1" x14ac:dyDescent="0.25">
      <c r="C57" s="123"/>
      <c r="D57" s="3"/>
      <c r="E57" s="88"/>
      <c r="F57" s="183"/>
      <c r="G57" s="184"/>
      <c r="H57" s="184"/>
      <c r="I57" s="184"/>
      <c r="J57" s="77"/>
      <c r="K57" s="77"/>
      <c r="L57" s="121"/>
      <c r="M57" s="121"/>
      <c r="N57" s="57"/>
      <c r="O57" s="9"/>
    </row>
    <row r="58" spans="1:15" ht="18.75" thickTop="1" x14ac:dyDescent="0.2">
      <c r="A58" s="58"/>
      <c r="B58" s="58"/>
      <c r="C58" s="3"/>
      <c r="D58" s="3"/>
      <c r="E58" s="20"/>
      <c r="F58" s="185"/>
      <c r="G58" s="186"/>
      <c r="H58" s="186"/>
      <c r="I58" s="186"/>
      <c r="J58" s="77"/>
      <c r="K58" s="121"/>
      <c r="L58" s="121"/>
      <c r="M58" s="121"/>
      <c r="N58" s="57"/>
      <c r="O58" s="9"/>
    </row>
    <row r="59" spans="1:15" ht="18" x14ac:dyDescent="0.2">
      <c r="A59" s="3"/>
      <c r="B59" s="3"/>
      <c r="C59" s="123"/>
      <c r="D59" s="3"/>
      <c r="E59" s="20"/>
      <c r="F59" s="126"/>
      <c r="G59" s="163"/>
      <c r="H59" s="164"/>
      <c r="I59" s="164"/>
      <c r="J59" s="77"/>
      <c r="K59" s="121"/>
      <c r="L59" s="82"/>
      <c r="M59" s="82"/>
      <c r="N59" s="57"/>
      <c r="O59" s="9"/>
    </row>
    <row r="60" spans="1:15" ht="15" x14ac:dyDescent="0.2">
      <c r="A60" s="124"/>
      <c r="B60" s="124"/>
      <c r="C60" s="105"/>
      <c r="D60" s="3"/>
      <c r="E60" s="3"/>
      <c r="F60" s="120"/>
      <c r="G60" s="120"/>
      <c r="H60" s="120"/>
      <c r="I60" s="120"/>
      <c r="J60" s="120"/>
      <c r="K60" s="120"/>
      <c r="L60" s="120"/>
      <c r="M60" s="77"/>
      <c r="N60" s="57"/>
      <c r="O60" s="9"/>
    </row>
    <row r="61" spans="1:15" ht="13.5" thickBot="1" x14ac:dyDescent="0.25">
      <c r="A61" s="3"/>
      <c r="B61" s="3"/>
      <c r="C61" s="123"/>
      <c r="D61" s="3"/>
      <c r="E61" s="3"/>
      <c r="F61" s="3"/>
      <c r="G61" s="3"/>
      <c r="H61" s="3"/>
      <c r="I61" s="3"/>
      <c r="J61" s="3"/>
      <c r="K61" s="3"/>
      <c r="L61" s="3"/>
      <c r="M61" s="3"/>
      <c r="N61" s="57"/>
      <c r="O61" s="9"/>
    </row>
    <row r="62" spans="1:15" ht="13.5" thickTop="1" x14ac:dyDescent="0.2">
      <c r="A62" s="3"/>
      <c r="B62" s="3"/>
      <c r="C62" s="58"/>
      <c r="D62" s="58"/>
      <c r="E62" s="58"/>
      <c r="F62" s="58"/>
      <c r="G62" s="58"/>
      <c r="H62" s="58"/>
      <c r="I62" s="58"/>
      <c r="J62" s="58"/>
      <c r="K62" s="58"/>
      <c r="L62" s="58"/>
      <c r="M62" s="58"/>
      <c r="N62" s="57"/>
      <c r="O62" s="9"/>
    </row>
    <row r="63" spans="1:15" x14ac:dyDescent="0.2">
      <c r="A63" s="123"/>
      <c r="B63" s="123"/>
      <c r="C63" s="3"/>
      <c r="D63" s="3"/>
      <c r="E63" s="3"/>
      <c r="F63" s="3"/>
      <c r="G63" s="3"/>
      <c r="H63" s="3"/>
      <c r="I63" s="3"/>
      <c r="J63" s="3"/>
      <c r="K63" s="3"/>
      <c r="L63" s="3"/>
      <c r="M63" s="3"/>
      <c r="N63" s="57"/>
      <c r="O63" s="9"/>
    </row>
    <row r="64" spans="1:15" x14ac:dyDescent="0.2">
      <c r="A64" s="124"/>
      <c r="B64" s="124"/>
      <c r="C64" s="124"/>
      <c r="D64" s="124"/>
      <c r="E64" s="124"/>
      <c r="F64" s="124"/>
      <c r="G64" s="124"/>
      <c r="H64" s="124"/>
      <c r="I64" s="124"/>
      <c r="J64" s="124"/>
      <c r="K64" s="124"/>
      <c r="L64" s="124"/>
      <c r="M64" s="124"/>
      <c r="N64" s="144"/>
      <c r="O64" s="145"/>
    </row>
    <row r="65" spans="1:15" x14ac:dyDescent="0.2">
      <c r="A65" s="3"/>
      <c r="B65" s="3"/>
      <c r="C65" s="162" t="s">
        <v>64</v>
      </c>
      <c r="D65" s="162"/>
      <c r="E65" s="162"/>
      <c r="F65" s="162"/>
      <c r="G65" s="162"/>
      <c r="H65" s="162"/>
      <c r="I65" s="162"/>
      <c r="J65" s="162"/>
      <c r="K65" s="162"/>
      <c r="L65" s="162"/>
      <c r="M65" s="162"/>
      <c r="N65" s="162"/>
      <c r="O65" s="145"/>
    </row>
    <row r="66" spans="1:15" x14ac:dyDescent="0.2">
      <c r="A66" s="3"/>
      <c r="B66" s="3"/>
      <c r="C66" s="162"/>
      <c r="D66" s="162"/>
      <c r="E66" s="162"/>
      <c r="F66" s="162"/>
      <c r="G66" s="162"/>
      <c r="H66" s="162"/>
      <c r="I66" s="162"/>
      <c r="J66" s="162"/>
      <c r="K66" s="162"/>
      <c r="L66" s="162"/>
      <c r="M66" s="162"/>
      <c r="N66" s="162"/>
      <c r="O66" s="144"/>
    </row>
    <row r="67" spans="1:15" ht="13.5" thickBot="1" x14ac:dyDescent="0.25">
      <c r="B67" s="141"/>
      <c r="C67" s="162"/>
      <c r="D67" s="162"/>
      <c r="E67" s="162"/>
      <c r="F67" s="162"/>
      <c r="G67" s="162"/>
      <c r="H67" s="162"/>
      <c r="I67" s="162"/>
      <c r="J67" s="162"/>
      <c r="K67" s="162"/>
      <c r="L67" s="162"/>
      <c r="M67" s="162"/>
      <c r="N67" s="162"/>
      <c r="O67" s="144"/>
    </row>
    <row r="68" spans="1:15" ht="24.95" customHeight="1" thickTop="1" x14ac:dyDescent="0.2">
      <c r="C68" s="162"/>
      <c r="D68" s="162"/>
      <c r="E68" s="162"/>
      <c r="F68" s="162"/>
      <c r="G68" s="162"/>
      <c r="H68" s="162"/>
      <c r="I68" s="162"/>
      <c r="J68" s="162"/>
      <c r="K68" s="162"/>
      <c r="L68" s="162"/>
      <c r="M68" s="162"/>
      <c r="N68" s="162"/>
      <c r="O68" s="144"/>
    </row>
    <row r="69" spans="1:15" ht="24.95" customHeight="1" x14ac:dyDescent="0.2">
      <c r="C69" s="162"/>
      <c r="D69" s="162"/>
      <c r="E69" s="162"/>
      <c r="F69" s="162"/>
      <c r="G69" s="162"/>
      <c r="H69" s="162"/>
      <c r="I69" s="162"/>
      <c r="J69" s="162"/>
      <c r="K69" s="162"/>
      <c r="L69" s="162"/>
      <c r="M69" s="162"/>
      <c r="N69" s="162"/>
      <c r="O69" s="123"/>
    </row>
    <row r="70" spans="1:15" ht="12.75" customHeight="1" x14ac:dyDescent="0.2">
      <c r="C70" s="105"/>
      <c r="D70" s="123"/>
      <c r="E70" s="123"/>
      <c r="F70" s="123"/>
      <c r="G70" s="123"/>
      <c r="H70" s="123"/>
      <c r="I70" s="123"/>
      <c r="J70" s="123"/>
      <c r="K70" s="123"/>
      <c r="L70" s="123"/>
      <c r="M70" s="123"/>
      <c r="N70" s="123"/>
      <c r="O70" s="123"/>
    </row>
    <row r="71" spans="1:15" ht="12.75" customHeight="1" thickBot="1" x14ac:dyDescent="0.25">
      <c r="C71" s="142"/>
      <c r="D71" s="123"/>
      <c r="E71" s="123"/>
      <c r="F71" s="123"/>
      <c r="G71" s="123"/>
      <c r="H71" s="123"/>
      <c r="I71" s="123"/>
      <c r="J71" s="123"/>
      <c r="K71" s="123"/>
      <c r="L71" s="123"/>
      <c r="M71" s="123"/>
      <c r="N71" s="123"/>
    </row>
    <row r="72" spans="1:15" ht="12.75" customHeight="1" thickTop="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31:K31"/>
    <mergeCell ref="F32:K32"/>
    <mergeCell ref="F42:K42"/>
    <mergeCell ref="F35:K35"/>
    <mergeCell ref="F45:K45"/>
    <mergeCell ref="F41:K41"/>
    <mergeCell ref="C65:N69"/>
    <mergeCell ref="G59:I59"/>
    <mergeCell ref="F56:I56"/>
    <mergeCell ref="L15:M19"/>
    <mergeCell ref="E23:J23"/>
    <mergeCell ref="G25:H25"/>
    <mergeCell ref="F30:K30"/>
    <mergeCell ref="E26:J26"/>
    <mergeCell ref="E24:J24"/>
    <mergeCell ref="L26:M26"/>
    <mergeCell ref="D18:H19"/>
    <mergeCell ref="F47:K47"/>
    <mergeCell ref="F57:I57"/>
    <mergeCell ref="F58:I58"/>
    <mergeCell ref="L54:M55"/>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44323</v>
      </c>
      <c r="D8" s="72" t="str">
        <f>Facture!$E$23</f>
        <v>Ministère de défense nationale</v>
      </c>
      <c r="E8" s="69">
        <f>Facture!$E$24</f>
        <v>0</v>
      </c>
      <c r="F8" s="69">
        <f>Facture!$E$25</f>
        <v>0</v>
      </c>
      <c r="G8" s="72">
        <f>Facture!$G$25</f>
        <v>0</v>
      </c>
      <c r="H8" s="72" t="str">
        <f>Facture!$J$25</f>
        <v>TN</v>
      </c>
      <c r="I8" s="69">
        <f>Facture!$E$26</f>
        <v>29469696</v>
      </c>
      <c r="J8" s="73">
        <f>Facture!$M$51</f>
        <v>2856.6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2020-02-24T08:27:14Z</cp:lastPrinted>
  <dcterms:created xsi:type="dcterms:W3CDTF">1995-05-29T15:50:39Z</dcterms:created>
  <dcterms:modified xsi:type="dcterms:W3CDTF">2021-05-07T10:53:44Z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Ministère de défense nationale</vt:lpwstr>
  </property>
  <property fmtid="{D5CDD505-2E9C-101B-9397-08002B2CF9AE}" pid="11" name="Montant de la facture" linkTarget="TOT">
    <vt:r8>2856.6</vt:r8>
  </property>
</Properties>
</file>