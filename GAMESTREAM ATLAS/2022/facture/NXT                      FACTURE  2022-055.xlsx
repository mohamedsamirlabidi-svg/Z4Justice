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36" i="3"/>
  <c r="M41" i="3"/>
  <c r="M43" i="3"/>
  <c r="M47" i="3" l="1"/>
  <c r="M32" i="3"/>
  <c r="M37" i="3"/>
  <c r="M38" i="3"/>
  <c r="M40" i="3" l="1"/>
  <c r="M39"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<sst xmlns="http://schemas.openxmlformats.org/spreadsheetml/2006/main" count="87" uniqueCount="79">
  <si>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</si>
  <si>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</si>
  <si>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</si>
  <si>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</si>
  <si>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</si>
  <si>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</si>
  <si>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</si>
  <si>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</si>
  <si>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</si>
  <si>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</si>
  <si>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</si>
  <si>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</si>
  <si>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</si>
  <si>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</si>
  <si>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</si>
  <si>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</si>
  <si>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</si>
  <si>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</si>
  <si>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</si>
  <si>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</si>
  <si>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</si>
  <si>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</si>
  <si>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</si>
  <si>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</si>
  <si>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</si>
  <si>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</si>
  <si>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</si>
  <si>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</si>
  <si>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</si>
  <si>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</si>
  <si>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</si>
  <si>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</si>
  <si>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</si>
  <si>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</si>
  <si>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</si>
  <si>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</si>
  <si>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</si>
  <si>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</si>
  <si>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</si>
  <si>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</si>
  <si>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</si>
  <si>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</si>
  <si>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</si>
  <si>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</si>
  <si>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</si>
  <si>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</si>
  <si>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</si>
  <si>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</si>
  <si>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</si>
  <si>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</si>
  <si>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</si>
  <si>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</si>
  <si>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</si>
  <si>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</si>
  <si>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</si>
  <si>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</si>
  <si>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</si>
  <si>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</si>
  <si>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</si>
  <si>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</si>
  <si>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</si>
  <si>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</si>
  <si>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</si>
  <si>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</si>
  <si>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</si>
  <si>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</si>
  <si>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</si>
  <si>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</si>
  <si>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</si>
  <si>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</si>
  <si>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</si>
  <si>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</si>
  <si>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</si>
  <si>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</si>
  <si>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</si>
  <si>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 xml:space="preserve">    COMMANDE N°:  FR-2022155</t>
  </si>
  <si>
    <t>FACTURE  N°2022-055</t>
  </si>
  <si>
    <t>808707S/A/M/000</t>
  </si>
  <si>
    <t xml:space="preserve">NETWORK EXPERTISE TUNISIA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</si>
</sst>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0" fontId="49"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76</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0"/>
      <c r="E18" s="180"/>
      <c r="F18" s="180"/>
      <c r="G18" s="180"/>
      <c r="H18" s="180"/>
      <c r="I18" s="3"/>
      <c r="J18" s="3"/>
      <c r="K18" s="105"/>
      <c r="L18" s="169"/>
      <c r="M18" s="169"/>
      <c r="N18" s="3"/>
      <c r="O18" s="9"/>
    </row>
    <row r="19" spans="1:15" ht="20.100000000000001" customHeight="1" thickBot="1" x14ac:dyDescent="0.25">
      <c r="B19" s="7"/>
      <c r="C19" s="3"/>
      <c r="D19" s="181"/>
      <c r="E19" s="181"/>
      <c r="F19" s="181"/>
      <c r="G19" s="181"/>
      <c r="H19" s="181"/>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75" x14ac:dyDescent="0.45">
      <c r="B23" s="7"/>
      <c r="C23" s="3"/>
      <c r="D23" s="125" t="s">
        <v>52</v>
      </c>
      <c r="E23" s="170" t="s">
        <v>78</v>
      </c>
      <c r="F23" s="170"/>
      <c r="G23" s="170"/>
      <c r="H23" s="170"/>
      <c r="I23" s="170"/>
      <c r="J23" s="170"/>
      <c r="K23" s="122" t="s">
        <v>57</v>
      </c>
      <c r="L23" s="107">
        <v>44818</v>
      </c>
      <c r="M23" s="109"/>
      <c r="N23" s="55"/>
      <c r="O23" s="9"/>
    </row>
    <row r="24" spans="1:15" ht="27" x14ac:dyDescent="0.35">
      <c r="B24" s="7"/>
      <c r="C24" s="3"/>
      <c r="D24" s="125" t="s">
        <v>53</v>
      </c>
      <c r="E24" s="177" t="s">
        <v>67</v>
      </c>
      <c r="F24" s="177"/>
      <c r="G24" s="177"/>
      <c r="H24" s="178"/>
      <c r="I24" s="178"/>
      <c r="J24" s="178"/>
      <c r="K24" s="188" t="s">
        <v>75</v>
      </c>
      <c r="L24" s="188"/>
      <c r="M24" s="188"/>
      <c r="N24" s="56"/>
      <c r="O24" s="9"/>
    </row>
    <row r="25" spans="1:15" ht="27.75" x14ac:dyDescent="0.4">
      <c r="B25" s="7"/>
      <c r="C25" s="3"/>
      <c r="D25" s="125" t="s">
        <v>59</v>
      </c>
      <c r="E25" s="146">
        <v>2092</v>
      </c>
      <c r="F25" s="110" t="s">
        <v>51</v>
      </c>
      <c r="G25" s="171"/>
      <c r="H25" s="171"/>
      <c r="I25" s="117" t="s">
        <v>55</v>
      </c>
      <c r="J25" s="111" t="s">
        <v>56</v>
      </c>
      <c r="K25" s="122" t="s">
        <v>68</v>
      </c>
      <c r="L25" s="137"/>
      <c r="M25" s="138"/>
      <c r="N25" s="3"/>
      <c r="O25" s="9"/>
    </row>
    <row r="26" spans="1:15" ht="27.75" customHeight="1" x14ac:dyDescent="0.4">
      <c r="A26">
        <v>71</v>
      </c>
      <c r="B26" s="7"/>
      <c r="C26" s="3"/>
      <c r="D26" s="125" t="s">
        <v>54</v>
      </c>
      <c r="E26" s="175"/>
      <c r="F26" s="176"/>
      <c r="G26" s="176"/>
      <c r="H26" s="176"/>
      <c r="I26" s="176"/>
      <c r="J26" s="176"/>
      <c r="K26" s="122" t="s">
        <v>63</v>
      </c>
      <c r="L26" s="179" t="s">
        <v>77</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2" t="s">
        <v>21</v>
      </c>
      <c r="G30" s="173"/>
      <c r="H30" s="173"/>
      <c r="I30" s="173"/>
      <c r="J30" s="173"/>
      <c r="K30" s="174"/>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4</v>
      </c>
      <c r="F35" s="199" t="s">
        <v>69</v>
      </c>
      <c r="G35" s="200"/>
      <c r="H35" s="200"/>
      <c r="I35" s="200"/>
      <c r="J35" s="200"/>
      <c r="K35" s="201"/>
      <c r="L35" s="101">
        <v>200</v>
      </c>
      <c r="M35" s="102">
        <f t="shared" ref="M35:M43" si="0">IF(E35&lt;&gt;"",E35*L35,"")</f>
        <v>800</v>
      </c>
      <c r="N35" s="57"/>
      <c r="O35" s="9"/>
    </row>
    <row r="36" spans="2:15" ht="26.25" x14ac:dyDescent="0.4">
      <c r="B36" s="7"/>
      <c r="C36" s="3"/>
      <c r="D36" s="132"/>
      <c r="E36" s="100"/>
      <c r="F36" s="199" t="s">
        <v>71</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2"/>
      <c r="G43" s="183"/>
      <c r="H43" s="183"/>
      <c r="I43" s="183"/>
      <c r="J43" s="183"/>
      <c r="K43" s="184"/>
      <c r="L43" s="68"/>
      <c r="M43" s="102" t="str">
        <f t="shared" si="0"/>
        <v/>
      </c>
      <c r="N43" s="57"/>
      <c r="O43" s="9"/>
    </row>
    <row r="44" spans="2:15" ht="30" x14ac:dyDescent="0.4">
      <c r="B44" s="7"/>
      <c r="C44" s="3"/>
      <c r="D44" s="118"/>
      <c r="E44" s="83"/>
      <c r="F44" s="83"/>
      <c r="G44" s="83"/>
      <c r="H44" s="83"/>
      <c r="I44" s="83"/>
      <c r="J44" s="77"/>
      <c r="K44" s="112"/>
      <c r="L44" s="130" t="s">
        <v>24</v>
      </c>
      <c r="M44" s="116">
        <f>SUM(M33:M43)</f>
        <v>800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152</v>
      </c>
      <c r="N46" s="57"/>
      <c r="O46" s="9"/>
    </row>
    <row r="47" spans="2:15" ht="30" x14ac:dyDescent="0.4">
      <c r="B47" s="7"/>
      <c r="C47" s="3"/>
      <c r="D47" s="3"/>
      <c r="E47" s="86"/>
      <c r="F47" s="154" t="s">
        <v>72</v>
      </c>
      <c r="G47" s="152"/>
      <c r="H47" s="153"/>
      <c r="I47" s="147"/>
      <c r="J47" s="79"/>
      <c r="K47" s="112"/>
      <c r="L47" s="129" t="s">
        <v>26</v>
      </c>
      <c r="M47" s="116">
        <f>M44+M46+M45</f>
        <v>952.6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7" t="s">
        <v>61</v>
      </c>
      <c r="M50" s="187"/>
      <c r="N50" s="57"/>
      <c r="O50" s="9"/>
    </row>
    <row r="51" spans="1:15" ht="18.75" x14ac:dyDescent="0.3">
      <c r="B51" s="7"/>
      <c r="C51" s="3"/>
      <c r="D51" s="140"/>
      <c r="E51" s="140"/>
      <c r="F51" s="140"/>
      <c r="G51" s="140"/>
      <c r="H51" s="140"/>
      <c r="I51" s="140"/>
      <c r="J51" s="140"/>
      <c r="K51" s="140"/>
      <c r="L51" s="187"/>
      <c r="M51" s="187"/>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89" t="s">
        <v>73</v>
      </c>
      <c r="D53" s="189"/>
      <c r="E53" s="189"/>
      <c r="F53" s="189"/>
      <c r="G53" s="189"/>
      <c r="H53" s="189"/>
      <c r="I53" s="189"/>
      <c r="J53" s="77"/>
      <c r="K53" s="77"/>
      <c r="L53" s="121"/>
      <c r="M53" s="121"/>
      <c r="N53" s="57"/>
      <c r="O53" s="9"/>
    </row>
    <row r="54" spans="1:15" ht="27.75" x14ac:dyDescent="0.4">
      <c r="B54" s="7"/>
      <c r="C54" s="155" t="s">
        <v>74</v>
      </c>
      <c r="D54" s="3"/>
      <c r="E54" s="156"/>
      <c r="F54" s="185"/>
      <c r="G54" s="186"/>
      <c r="H54" s="186"/>
      <c r="I54" s="186"/>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44818</v>
      </c>
      <c r="D8" s="72" t="str">
        <f>Facture!$E$23</f>
        <v xml:space="preserve">NETWORK EXPERTISE TUNISIA </v>
      </c>
      <c r="E8" s="69" t="str">
        <f>Facture!$E$24</f>
        <v>AV MOSBAH JARBOU EL MANAR II</v>
      </c>
      <c r="F8" s="69">
        <f>Facture!$E$25</f>
        <v>2092</v>
      </c>
      <c r="G8" s="72">
        <f>Facture!$G$25</f>
        <v>0</v>
      </c>
      <c r="H8" s="72" t="str">
        <f>Facture!$J$25</f>
        <v>TN</v>
      </c>
      <c r="I8" s="69">
        <f>Facture!$E$26</f>
        <v>0</v>
      </c>
      <c r="J8" s="73">
        <f>Facture!$M$47</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2022-09-14T08:59:40Z</cp:lastPrinted>
  <dcterms:created xsi:type="dcterms:W3CDTF">1995-05-29T15:50:39Z</dcterms:created>
  <dcterms:modified xsi:type="dcterms:W3CDTF">2022-09-14T08:59:45Z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952.6</vt:r8>
  </property>
</Properties>
</file>