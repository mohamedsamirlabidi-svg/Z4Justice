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39" i="3"/>
  <c r="M40" i="3"/>
  <c r="M44" i="3" s="1"/>
  <c r="M46" i="3" l="1"/>
  <c r="M47" i="3"/>
  <c r="M32"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<sst xmlns="http://schemas.openxmlformats.org/spreadsheetml/2006/main" count="86" uniqueCount="78">
  <si>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</si>
  <si>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</si>
  <si>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</si>
  <si>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</si>
  <si>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</si>
  <si>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</si>
  <si>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</si>
  <si>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</si>
  <si>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</si>
  <si>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</si>
  <si>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</si>
  <si>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</si>
  <si>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</si>
  <si>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</si>
  <si>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</si>
  <si>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</si>
  <si>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</si>
  <si>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</si>
  <si>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</si>
  <si>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</si>
  <si>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</si>
  <si>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</si>
  <si>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</si>
  <si>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</si>
  <si>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</si>
  <si>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</si>
  <si>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</si>
  <si>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</si>
  <si>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</si>
  <si>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</si>
  <si>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</si>
  <si>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</si>
  <si>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</si>
  <si>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</si>
  <si>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</si>
  <si>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</si>
  <si>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</si>
  <si>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</si>
  <si>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</si>
  <si>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</si>
  <si>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</si>
  <si>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</si>
  <si>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</si>
  <si>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</si>
  <si>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</si>
  <si>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</si>
  <si>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</si>
  <si>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</si>
  <si>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</si>
  <si>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</si>
  <si>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</si>
  <si>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</si>
  <si>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</si>
  <si>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</si>
  <si>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</si>
  <si>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</si>
  <si>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</si>
  <si>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</si>
  <si>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</si>
  <si>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</si>
  <si>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</si>
  <si>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</si>
  <si>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</si>
  <si>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</si>
  <si>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</si>
  <si>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</si>
  <si>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</si>
  <si>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Chèque   </t>
  </si>
  <si>
    <t>RIB : 10 000 000 081951 8 78890</t>
  </si>
  <si>
    <t xml:space="preserve">STB THAMEUR </t>
  </si>
  <si>
    <t xml:space="preserve"> Formation sur les dispositifs d'ancrage</t>
  </si>
  <si>
    <t>selon la norme EN795.</t>
  </si>
  <si>
    <t>dans le cadre du projet NOKIA/OOREDOO</t>
  </si>
  <si>
    <t>1737632D/A/M/000</t>
  </si>
  <si>
    <t xml:space="preserve">    COMMANDE N°: </t>
  </si>
  <si>
    <t xml:space="preserve">B2 SERVICE </t>
  </si>
  <si>
    <t xml:space="preserve">     Responsable:         Mr  Belhasan Belkhir </t>
  </si>
  <si>
    <t>FactureN°2022-76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</si>
</sst>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0" fontId="40" fillId="2" borderId="0" xfId="0" applyFont="1" applyAlignment="1"/>
    <xf numFmtId="0" fontId="40"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15" sqref="L15:M1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77</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81"/>
      <c r="E18" s="181"/>
      <c r="F18" s="181"/>
      <c r="G18" s="181"/>
      <c r="H18" s="181"/>
      <c r="I18" s="3"/>
      <c r="J18" s="3"/>
      <c r="K18" s="105"/>
      <c r="L18" s="169"/>
      <c r="M18" s="169"/>
      <c r="N18" s="3"/>
      <c r="O18" s="9"/>
    </row>
    <row r="19" spans="1:15" ht="20.100000000000001" customHeight="1" thickBot="1" x14ac:dyDescent="0.25">
      <c r="B19" s="7"/>
      <c r="C19" s="3"/>
      <c r="D19" s="182"/>
      <c r="E19" s="182"/>
      <c r="F19" s="182"/>
      <c r="G19" s="182"/>
      <c r="H19" s="182"/>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0" t="s">
        <v>75</v>
      </c>
      <c r="F23" s="171"/>
      <c r="G23" s="171"/>
      <c r="H23" s="171"/>
      <c r="I23" s="171"/>
      <c r="J23" s="171"/>
      <c r="K23" s="122" t="s">
        <v>57</v>
      </c>
      <c r="L23" s="107">
        <v>44918</v>
      </c>
      <c r="M23" s="109"/>
      <c r="N23" s="55"/>
      <c r="O23" s="9"/>
    </row>
    <row r="24" spans="1:15" ht="27" x14ac:dyDescent="0.35">
      <c r="B24" s="7"/>
      <c r="C24" s="3"/>
      <c r="D24" s="125" t="s">
        <v>53</v>
      </c>
      <c r="E24" s="178"/>
      <c r="F24" s="178"/>
      <c r="G24" s="178"/>
      <c r="H24" s="179"/>
      <c r="I24" s="179"/>
      <c r="J24" s="179"/>
      <c r="K24" s="189" t="s">
        <v>74</v>
      </c>
      <c r="L24" s="189"/>
      <c r="M24" s="189"/>
      <c r="N24" s="56"/>
      <c r="O24" s="9"/>
    </row>
    <row r="25" spans="1:15" ht="27.75" x14ac:dyDescent="0.4">
      <c r="B25" s="7"/>
      <c r="C25" s="3"/>
      <c r="D25" s="125" t="s">
        <v>59</v>
      </c>
      <c r="E25" s="146"/>
      <c r="F25" s="110" t="s">
        <v>51</v>
      </c>
      <c r="G25" s="172"/>
      <c r="H25" s="172"/>
      <c r="I25" s="117" t="s">
        <v>55</v>
      </c>
      <c r="J25" s="111" t="s">
        <v>56</v>
      </c>
      <c r="K25" s="122" t="s">
        <v>76</v>
      </c>
      <c r="L25" s="137"/>
      <c r="M25" s="138"/>
      <c r="N25" s="3"/>
      <c r="O25" s="9"/>
    </row>
    <row r="26" spans="1:15" ht="27.75" customHeight="1" x14ac:dyDescent="0.4">
      <c r="A26">
        <v>71</v>
      </c>
      <c r="B26" s="7"/>
      <c r="C26" s="3"/>
      <c r="D26" s="125" t="s">
        <v>54</v>
      </c>
      <c r="E26" s="176"/>
      <c r="F26" s="177"/>
      <c r="G26" s="177"/>
      <c r="H26" s="177"/>
      <c r="I26" s="177"/>
      <c r="J26" s="177"/>
      <c r="K26" s="122" t="s">
        <v>63</v>
      </c>
      <c r="L26" s="180" t="s">
        <v>73</v>
      </c>
      <c r="M26" s="18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3" t="s">
        <v>21</v>
      </c>
      <c r="G30" s="174"/>
      <c r="H30" s="174"/>
      <c r="I30" s="174"/>
      <c r="J30" s="174"/>
      <c r="K30" s="175"/>
      <c r="L30" s="95" t="s">
        <v>22</v>
      </c>
      <c r="M30" s="96" t="s">
        <v>23</v>
      </c>
      <c r="N30" s="57"/>
      <c r="O30" s="9"/>
    </row>
    <row r="31" spans="1:15" ht="18.75" x14ac:dyDescent="0.3">
      <c r="B31" s="7"/>
      <c r="C31" s="3"/>
      <c r="D31" s="67"/>
      <c r="E31" s="53"/>
      <c r="F31" s="191"/>
      <c r="G31" s="192"/>
      <c r="H31" s="192"/>
      <c r="I31" s="192"/>
      <c r="J31" s="192"/>
      <c r="K31" s="193"/>
      <c r="L31" s="93"/>
      <c r="M31" s="94" t="str">
        <f>IF(E31&lt;&gt;"",E31*L31,"")</f>
        <v/>
      </c>
      <c r="N31" s="57"/>
      <c r="O31" s="9"/>
    </row>
    <row r="32" spans="1:15" ht="26.25" x14ac:dyDescent="0.4">
      <c r="B32" s="7"/>
      <c r="C32" s="3"/>
      <c r="D32" s="136"/>
      <c r="E32" s="97"/>
      <c r="F32" s="194" t="s">
        <v>58</v>
      </c>
      <c r="G32" s="195"/>
      <c r="H32" s="195"/>
      <c r="I32" s="195"/>
      <c r="J32" s="195"/>
      <c r="K32" s="196"/>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30.75" x14ac:dyDescent="0.45">
      <c r="B35" s="7"/>
      <c r="C35" s="3"/>
      <c r="D35" s="132"/>
      <c r="E35" s="100">
        <v>2</v>
      </c>
      <c r="F35" s="200" t="s">
        <v>70</v>
      </c>
      <c r="G35" s="201"/>
      <c r="H35" s="201"/>
      <c r="I35" s="201"/>
      <c r="J35" s="201"/>
      <c r="K35" s="202"/>
      <c r="L35" s="101">
        <v>250</v>
      </c>
      <c r="M35" s="101">
        <f>L35*E35</f>
        <v>500</v>
      </c>
      <c r="N35" s="57"/>
      <c r="O35" s="9"/>
    </row>
    <row r="36" spans="2:15" ht="30.75" x14ac:dyDescent="0.45">
      <c r="B36" s="7"/>
      <c r="C36" s="3"/>
      <c r="D36" s="132"/>
      <c r="E36" s="100"/>
      <c r="F36" s="200" t="s">
        <v>71</v>
      </c>
      <c r="G36" s="205"/>
      <c r="H36" s="205"/>
      <c r="I36" s="205"/>
      <c r="J36" s="205"/>
      <c r="K36" s="206"/>
      <c r="L36" s="101"/>
      <c r="M36" s="102"/>
      <c r="N36" s="57"/>
      <c r="O36" s="9"/>
    </row>
    <row r="37" spans="2:15" ht="25.5" x14ac:dyDescent="0.35">
      <c r="B37" s="7"/>
      <c r="C37" s="3"/>
      <c r="D37" s="132"/>
      <c r="E37" s="100"/>
      <c r="F37" s="194" t="s">
        <v>72</v>
      </c>
      <c r="G37" s="203"/>
      <c r="H37" s="203"/>
      <c r="I37" s="203"/>
      <c r="J37" s="203"/>
      <c r="K37" s="204"/>
      <c r="L37" s="101"/>
      <c r="M37" s="102"/>
      <c r="N37" s="57"/>
      <c r="O37" s="9"/>
    </row>
    <row r="38" spans="2:15" ht="26.25" x14ac:dyDescent="0.4">
      <c r="B38" s="7"/>
      <c r="C38" s="3"/>
      <c r="D38" s="132"/>
      <c r="E38" s="100"/>
      <c r="F38" s="197"/>
      <c r="G38" s="198"/>
      <c r="H38" s="198"/>
      <c r="I38" s="198"/>
      <c r="J38" s="198"/>
      <c r="K38" s="199"/>
      <c r="L38" s="101"/>
      <c r="M38" s="102"/>
      <c r="N38" s="57"/>
      <c r="O38" s="9"/>
    </row>
    <row r="39" spans="2:15" ht="26.25" x14ac:dyDescent="0.4">
      <c r="B39" s="7"/>
      <c r="C39" s="3"/>
      <c r="D39" s="132"/>
      <c r="E39" s="100"/>
      <c r="F39" s="148"/>
      <c r="G39" s="103"/>
      <c r="H39" s="103"/>
      <c r="I39" s="103"/>
      <c r="J39" s="103"/>
      <c r="K39" s="104"/>
      <c r="L39" s="101"/>
      <c r="M39" s="102" t="str">
        <f t="shared" ref="M39:M40" si="0">IF(E39&lt;&gt;"",E39*L39,"")</f>
        <v/>
      </c>
      <c r="N39" s="57"/>
      <c r="O39" s="9"/>
    </row>
    <row r="40" spans="2:15" ht="26.25" x14ac:dyDescent="0.4">
      <c r="B40" s="7"/>
      <c r="C40" s="3"/>
      <c r="D40" s="132"/>
      <c r="E40" s="100"/>
      <c r="F40" s="197"/>
      <c r="G40" s="198"/>
      <c r="H40" s="198"/>
      <c r="I40" s="198"/>
      <c r="J40" s="198"/>
      <c r="K40" s="199"/>
      <c r="L40" s="139"/>
      <c r="M40" s="102" t="str">
        <f t="shared" si="0"/>
        <v/>
      </c>
      <c r="N40" s="57"/>
      <c r="O40" s="9"/>
    </row>
    <row r="41" spans="2:15" ht="26.25" x14ac:dyDescent="0.4">
      <c r="B41" s="7"/>
      <c r="C41" s="3"/>
      <c r="D41" s="132"/>
      <c r="E41" s="100"/>
      <c r="F41" s="197"/>
      <c r="G41" s="198"/>
      <c r="H41" s="198"/>
      <c r="I41" s="198"/>
      <c r="J41" s="198"/>
      <c r="K41" s="199"/>
      <c r="L41" s="139"/>
      <c r="M41" s="102"/>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3"/>
      <c r="G43" s="184"/>
      <c r="H43" s="184"/>
      <c r="I43" s="184"/>
      <c r="J43" s="184"/>
      <c r="K43" s="185"/>
      <c r="L43" s="68"/>
      <c r="M43" s="102"/>
      <c r="N43" s="57"/>
      <c r="O43" s="9"/>
    </row>
    <row r="44" spans="2:15" ht="30" x14ac:dyDescent="0.4">
      <c r="B44" s="7"/>
      <c r="C44" s="3"/>
      <c r="D44" s="118"/>
      <c r="E44" s="83"/>
      <c r="F44" s="83"/>
      <c r="G44" s="83"/>
      <c r="H44" s="83"/>
      <c r="I44" s="83"/>
      <c r="J44" s="77"/>
      <c r="K44" s="112"/>
      <c r="L44" s="130" t="s">
        <v>24</v>
      </c>
      <c r="M44" s="116">
        <f>SUM(M35:M43)</f>
        <v>500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95</v>
      </c>
      <c r="N46" s="57"/>
      <c r="O46" s="9"/>
    </row>
    <row r="47" spans="2:15" ht="30" x14ac:dyDescent="0.4">
      <c r="B47" s="7"/>
      <c r="C47" s="3"/>
      <c r="D47" s="3"/>
      <c r="E47" s="86"/>
      <c r="F47" s="154" t="s">
        <v>67</v>
      </c>
      <c r="G47" s="152"/>
      <c r="H47" s="153"/>
      <c r="I47" s="147"/>
      <c r="J47" s="79"/>
      <c r="K47" s="112"/>
      <c r="L47" s="129" t="s">
        <v>26</v>
      </c>
      <c r="M47" s="116">
        <f>SUM(M44:M46)</f>
        <v>595.6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90" t="s">
        <v>68</v>
      </c>
      <c r="D53" s="190"/>
      <c r="E53" s="190"/>
      <c r="F53" s="190"/>
      <c r="G53" s="190"/>
      <c r="H53" s="190"/>
      <c r="I53" s="190"/>
      <c r="J53" s="77"/>
      <c r="K53" s="77"/>
      <c r="L53" s="121"/>
      <c r="M53" s="121"/>
      <c r="N53" s="57"/>
      <c r="O53" s="9"/>
    </row>
    <row r="54" spans="1:15" ht="27.75" x14ac:dyDescent="0.4">
      <c r="B54" s="7"/>
      <c r="C54" s="155" t="s">
        <v>69</v>
      </c>
      <c r="D54" s="3"/>
      <c r="E54" s="156"/>
      <c r="F54" s="186"/>
      <c r="G54" s="187"/>
      <c r="H54" s="187"/>
      <c r="I54" s="187"/>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M3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4 M36: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44918</v>
      </c>
      <c r="D8" s="72" t="str">
        <f>Facture!$E$23</f>
        <v xml:space="preserve">B2 SERVICE </v>
      </c>
      <c r="E8" s="69">
        <f>Facture!$E$24</f>
        <v>0</v>
      </c>
      <c r="F8" s="69">
        <f>Facture!$E$25</f>
        <v>0</v>
      </c>
      <c r="G8" s="72">
        <f>Facture!$G$25</f>
        <v>0</v>
      </c>
      <c r="H8" s="72" t="str">
        <f>Facture!$J$25</f>
        <v>TN</v>
      </c>
      <c r="I8" s="69">
        <f>Facture!$E$26</f>
        <v>0</v>
      </c>
      <c r="J8" s="73">
        <f>Facture!$M$47</f>
        <v>595.6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2022-12-23T08:15:59Z</cp:lastPrinted>
  <dcterms:created xsi:type="dcterms:W3CDTF">1995-05-29T15:50:39Z</dcterms:created>
  <dcterms:modified xsi:type="dcterms:W3CDTF">2022-12-23T08:16:18Z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B2 SERVICE </vt:lpwstr>
  </property>
  <property fmtid="{D5CDD505-2E9C-101B-9397-08002B2CF9AE}" pid="11" name="Montant de la facture" linkTarget="TOT">
    <vt:r8>595.6</vt:r8>
  </property>
</Properties>
</file>