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minimized="1"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Facture!$L$38</definedName>
    <definedName name="_Tax2">Facture!#REF!</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Facture!$L$16</definedName>
    <definedName name="data10">Facture!$F$19</definedName>
    <definedName name="data11">Facture!$E$24</definedName>
    <definedName name="data12">Facture!$F$24</definedName>
    <definedName name="data13">Facture!$L$24</definedName>
    <definedName name="data14">Facture!$E$25</definedName>
    <definedName name="data15">Facture!$F$25</definedName>
    <definedName name="data16">Facture!$L$25</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Facture!$E$16</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Facture!$E$35</definedName>
    <definedName name="data6">Facture!$F$17</definedName>
    <definedName name="data60">Facture!#REF!</definedName>
    <definedName name="data61">Facture!$L$35</definedName>
    <definedName name="data62">Facture!$E$38</definedName>
    <definedName name="data63">Facture!$E$39</definedName>
    <definedName name="data64">Facture!$E$46</definedName>
    <definedName name="data65">Facture!$H$46</definedName>
    <definedName name="data66">Facture!$F$48</definedName>
    <definedName name="data67">Facture!#REF!</definedName>
    <definedName name="data68">Facture!#REF!</definedName>
    <definedName name="data69">Facture!#REF!</definedName>
    <definedName name="data7">Facture!$H$18</definedName>
    <definedName name="data70">Facture!#REF!</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Facture!$C$3:$N$48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Facture!$E$16:$J$16</definedName>
    <definedName name="qzqzqz10">Facture!$F$25:$K$25</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Facture!#REF!</definedName>
    <definedName name="qzqzqz21">Facture!#REF!</definedName>
    <definedName name="qzqzqz22">Facture!#REF!</definedName>
    <definedName name="qzqzqz23">Facture!#REF!</definedName>
    <definedName name="qzqzqz24">Facture!#REF!</definedName>
    <definedName name="qzqzqz25">Facture!$F$36:$K$36</definedName>
    <definedName name="qzqzqz26">Facture!#REF!</definedName>
    <definedName name="qzqzqz27">Facture!#REF!</definedName>
    <definedName name="qzqzqz28">Facture!#REF!</definedName>
    <definedName name="qzqzqz29">Facture!#REF!</definedName>
    <definedName name="qzqzqz3">Facture!$E$17:$J$17</definedName>
    <definedName name="qzqzqz30">Facture!#REF!</definedName>
    <definedName name="qzqzqz31">Facture!#REF!</definedName>
    <definedName name="qzqzqz32">Facture!#REF!</definedName>
    <definedName name="qzqzqz4">Facture!$G$18:$H$18</definedName>
    <definedName name="qzqzqz5">Facture!$L$18:$M$18</definedName>
    <definedName name="qzqzqz6">Facture!$E$19:$J$19</definedName>
    <definedName name="qzqzqz7">Facture!$L$19:$M$19</definedName>
    <definedName name="qzqzqz8">Facture!$F$23:$K$23</definedName>
    <definedName name="qzqzqz9">Facture!$F$24:$K$24</definedName>
    <definedName name="SS">'Personnaliser votre facture'!$E$48</definedName>
    <definedName name="TOT">Facture!$M$39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Facture!$C$3:$N$48</definedName>
  </definedNames>
  <calcPr calcId="152511"/>
</workbook>
</file>

<file path=xl/calcChain.xml><?xml version="1.0" encoding="utf-8"?>
<calcChain xmlns="http://schemas.openxmlformats.org/spreadsheetml/2006/main">
  <c r="M27" i="3" l="1"/>
  <c r="M36" i="3" s="1"/>
  <c r="M28" i="3"/>
  <c r="M35" i="3"/>
  <c r="M38" i="3" l="1"/>
  <c r="M39" i="3" s="1"/>
  <c r="M24" i="3"/>
  <c r="M2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<sst xmlns="http://schemas.openxmlformats.org/spreadsheetml/2006/main" count="86" uniqueCount="78">
  <si>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</si>
  <si>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</si>
  <si>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</si>
  <si>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</si>
  <si>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</si>
  <si>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</si>
  <si>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</si>
  <si>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</si>
  <si>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</si>
  <si>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</si>
  <si>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</si>
  <si>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</si>
  <si>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</si>
  <si>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</si>
  <si>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</si>
  <si>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</si>
  <si>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</si>
  <si>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</si>
  <si>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</si>
  <si>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</si>
  <si>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</si>
  <si>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</si>
  <si>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</si>
  <si>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</si>
  <si>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</si>
  <si>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</si>
  <si>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</si>
  <si>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</si>
  <si>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</si>
  <si>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</si>
  <si>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</si>
  <si>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</si>
  <si>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</si>
  <si>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</si>
  <si>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</si>
  <si>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</si>
  <si>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</si>
  <si>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</si>
  <si>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</si>
  <si>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</si>
  <si>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</si>
  <si>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</si>
  <si>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</si>
  <si>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</si>
  <si>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</si>
  <si>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</si>
  <si>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</si>
  <si>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</si>
  <si>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</si>
  <si>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</si>
  <si>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</si>
  <si>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</si>
  <si>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</si>
  <si>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</si>
  <si>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</si>
  <si>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</si>
  <si>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</si>
  <si>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</si>
  <si>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</si>
  <si>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</si>
  <si>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</si>
  <si>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</si>
  <si>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</si>
  <si>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</si>
  <si>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</si>
  <si>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</si>
  <si>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</si>
  <si>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</si>
  <si>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</si>
  <si>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</si>
  <si>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</si>
  <si>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MONTAGE DEMONTAGE  ECHAFAUDAGE  </t>
  </si>
  <si>
    <t>CARTHAGE TRAVAUX</t>
  </si>
  <si>
    <t>MNT003</t>
  </si>
  <si>
    <t xml:space="preserve">     Responsable: Mme Mariem Hajri  </t>
  </si>
  <si>
    <t>818341M/A/M/000</t>
  </si>
  <si>
    <t>Facture  N° 2022-016</t>
  </si>
  <si>
    <t xml:space="preserve">    Bon Commande n°1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</si>
</sst>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23" fillId="6" borderId="0" xfId="0" applyFont="1" applyFill="1" applyBorder="1" applyAlignment="1">
      <alignment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3" fillId="6" borderId="49" xfId="0" applyFont="1" applyFill="1" applyBorder="1" applyAlignment="1">
      <alignment horizontal="center" vertical="center" wrapText="1"/>
    </xf>
    <xf numFmtId="0" fontId="23" fillId="6" borderId="0" xfId="0" applyFont="1" applyFill="1" applyBorder="1" applyAlignment="1">
      <alignment horizontal="center" vertical="center" wrapText="1"/>
    </xf>
    <xf numFmtId="0" fontId="25" fillId="0" borderId="0" xfId="0" applyFont="1" applyFill="1" applyBorder="1" applyAlignment="1">
      <alignment horizontal="center" vertical="center"/>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14</xdr:row>
      <xdr:rowOff>123825</xdr:rowOff>
    </xdr:from>
    <xdr:to>
      <xdr:col>9</xdr:col>
      <xdr:colOff>1028700</xdr:colOff>
      <xdr:row>19</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14</xdr:row>
      <xdr:rowOff>57150</xdr:rowOff>
    </xdr:from>
    <xdr:to>
      <xdr:col>13</xdr:col>
      <xdr:colOff>114300</xdr:colOff>
      <xdr:row>19</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5</xdr:row>
      <xdr:rowOff>114300</xdr:rowOff>
    </xdr:from>
    <xdr:to>
      <xdr:col>9</xdr:col>
      <xdr:colOff>171450</xdr:colOff>
      <xdr:row>11</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6</xdr:row>
      <xdr:rowOff>238125</xdr:rowOff>
    </xdr:from>
    <xdr:to>
      <xdr:col>13</xdr:col>
      <xdr:colOff>1</xdr:colOff>
      <xdr:row>11</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37</xdr:row>
          <xdr:rowOff>9525</xdr:rowOff>
        </xdr:from>
        <xdr:to>
          <xdr:col>4</xdr:col>
          <xdr:colOff>571500</xdr:colOff>
          <xdr:row>37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38</xdr:row>
          <xdr:rowOff>0</xdr:rowOff>
        </xdr:from>
        <xdr:to>
          <xdr:col>4</xdr:col>
          <xdr:colOff>552450</xdr:colOff>
          <xdr:row>38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38100</xdr:colOff>
      <xdr:row>2</xdr:row>
      <xdr:rowOff>19050</xdr:rowOff>
    </xdr:from>
    <xdr:to>
      <xdr:col>9</xdr:col>
      <xdr:colOff>933450</xdr:colOff>
      <xdr:row>12</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143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36</xdr:row>
          <xdr:rowOff>9525</xdr:rowOff>
        </xdr:from>
        <xdr:to>
          <xdr:col>4</xdr:col>
          <xdr:colOff>571500</xdr:colOff>
          <xdr:row>36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43</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50" zoomScaleNormal="50" workbookViewId="0">
      <selection activeCell="F28" sqref="F28:K2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ht="20.25" x14ac:dyDescent="0.3">
      <c r="B4" s="7"/>
      <c r="C4" s="3"/>
      <c r="D4" s="3"/>
      <c r="E4" s="3"/>
      <c r="F4" s="3"/>
      <c r="G4" s="3"/>
      <c r="H4" s="3"/>
      <c r="I4" s="3"/>
      <c r="J4" s="3"/>
      <c r="K4" s="8"/>
      <c r="L4" s="73"/>
      <c r="M4" s="73" t="s">
        <v>49</v>
      </c>
      <c r="N4" s="19"/>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ht="26.25" x14ac:dyDescent="0.2">
      <c r="B7" s="7"/>
      <c r="C7" s="3"/>
      <c r="D7" s="3"/>
      <c r="E7" s="3"/>
      <c r="F7" s="3"/>
      <c r="G7" s="3"/>
      <c r="H7" s="3"/>
      <c r="I7" s="3"/>
      <c r="J7" s="3"/>
      <c r="K7" s="87"/>
      <c r="L7" s="88"/>
      <c r="M7" s="88"/>
      <c r="N7" s="3"/>
      <c r="O7" s="9"/>
    </row>
    <row r="8" spans="2:15" x14ac:dyDescent="0.2">
      <c r="B8" s="7"/>
      <c r="C8" s="3"/>
      <c r="D8" s="3"/>
      <c r="E8" s="3"/>
      <c r="F8" s="3"/>
      <c r="G8" s="3"/>
      <c r="H8" s="3"/>
      <c r="I8" s="3"/>
      <c r="J8" s="3"/>
      <c r="K8" s="87"/>
      <c r="L8" s="185" t="s">
        <v>76</v>
      </c>
      <c r="M8" s="185"/>
      <c r="N8" s="3"/>
      <c r="O8" s="9"/>
    </row>
    <row r="9" spans="2:15" x14ac:dyDescent="0.2">
      <c r="B9" s="7"/>
      <c r="C9" s="3"/>
      <c r="D9" s="3"/>
      <c r="E9" s="3"/>
      <c r="F9" s="3"/>
      <c r="G9" s="3"/>
      <c r="H9" s="3"/>
      <c r="I9" s="3"/>
      <c r="J9" s="3"/>
      <c r="K9" s="87"/>
      <c r="L9" s="185"/>
      <c r="M9" s="185"/>
      <c r="N9" s="3"/>
      <c r="O9" s="9"/>
    </row>
    <row r="10" spans="2:15" ht="12.75" customHeight="1" x14ac:dyDescent="0.2">
      <c r="B10" s="7"/>
      <c r="C10" s="3"/>
      <c r="D10" s="3"/>
      <c r="E10" s="3"/>
      <c r="F10" s="3"/>
      <c r="G10" s="3"/>
      <c r="H10" s="3"/>
      <c r="I10" s="3"/>
      <c r="J10" s="3"/>
      <c r="K10" s="87"/>
      <c r="L10" s="185"/>
      <c r="M10" s="185"/>
      <c r="N10" s="3"/>
      <c r="O10" s="9"/>
    </row>
    <row r="11" spans="2:15" ht="12.75" customHeight="1" x14ac:dyDescent="0.2">
      <c r="B11" s="7"/>
      <c r="C11" s="3"/>
      <c r="D11" s="195"/>
      <c r="E11" s="195"/>
      <c r="F11" s="195"/>
      <c r="G11" s="195"/>
      <c r="H11" s="195"/>
      <c r="I11" s="3"/>
      <c r="J11" s="3"/>
      <c r="K11" s="87"/>
      <c r="L11" s="185"/>
      <c r="M11" s="185"/>
      <c r="N11" s="3"/>
      <c r="O11" s="9"/>
    </row>
    <row r="12" spans="2:15" ht="20.100000000000001" customHeight="1" thickBot="1" x14ac:dyDescent="0.25">
      <c r="B12" s="7"/>
      <c r="C12" s="3"/>
      <c r="D12" s="196"/>
      <c r="E12" s="196"/>
      <c r="F12" s="196"/>
      <c r="G12" s="196"/>
      <c r="H12" s="196"/>
      <c r="I12" s="3"/>
      <c r="J12" s="3"/>
      <c r="K12" s="87"/>
      <c r="L12" s="185"/>
      <c r="M12" s="185"/>
      <c r="N12" s="3"/>
      <c r="O12" s="9"/>
    </row>
    <row r="13" spans="2:15" ht="3" customHeight="1" thickTop="1" x14ac:dyDescent="0.3">
      <c r="B13" s="7"/>
      <c r="C13" s="3"/>
      <c r="D13" s="55"/>
      <c r="E13" s="55"/>
      <c r="F13" s="55"/>
      <c r="G13" s="55"/>
      <c r="H13" s="55"/>
      <c r="I13" s="55"/>
      <c r="J13" s="56"/>
      <c r="K13" s="56"/>
      <c r="L13" s="80"/>
      <c r="M13" s="81"/>
      <c r="N13" s="20"/>
      <c r="O13" s="9"/>
    </row>
    <row r="14" spans="2:15" ht="14.1" customHeight="1" x14ac:dyDescent="0.2">
      <c r="B14" s="7"/>
      <c r="C14" s="3"/>
      <c r="D14" s="3"/>
      <c r="E14" s="3"/>
      <c r="F14" s="3"/>
      <c r="G14" s="3"/>
      <c r="H14" s="3"/>
      <c r="I14" s="3"/>
      <c r="J14" s="3"/>
      <c r="K14" s="3"/>
      <c r="L14" s="3"/>
      <c r="M14" s="3"/>
      <c r="N14" s="3"/>
      <c r="O14" s="9"/>
    </row>
    <row r="15" spans="2:15" x14ac:dyDescent="0.2">
      <c r="B15" s="7"/>
      <c r="C15" s="3"/>
      <c r="D15" s="3"/>
      <c r="E15" s="3"/>
      <c r="F15" s="3"/>
      <c r="G15" s="3"/>
      <c r="H15" s="3"/>
      <c r="I15" s="3"/>
      <c r="J15" s="3"/>
      <c r="K15" s="3"/>
      <c r="L15" s="3"/>
      <c r="M15" s="3"/>
      <c r="N15" s="3"/>
      <c r="O15" s="9"/>
    </row>
    <row r="16" spans="2:15" ht="35.25" x14ac:dyDescent="0.35">
      <c r="B16" s="7"/>
      <c r="C16" s="3"/>
      <c r="D16" s="103" t="s">
        <v>51</v>
      </c>
      <c r="E16" s="186" t="s">
        <v>72</v>
      </c>
      <c r="F16" s="186"/>
      <c r="G16" s="186"/>
      <c r="H16" s="186"/>
      <c r="I16" s="186"/>
      <c r="J16" s="186"/>
      <c r="K16" s="100" t="s">
        <v>56</v>
      </c>
      <c r="L16" s="89">
        <v>44635</v>
      </c>
      <c r="M16" s="91"/>
      <c r="N16" s="52"/>
      <c r="O16" s="9"/>
    </row>
    <row r="17" spans="1:15" ht="23.25" customHeight="1" x14ac:dyDescent="0.4">
      <c r="B17" s="7"/>
      <c r="C17" s="3"/>
      <c r="D17" s="103" t="s">
        <v>52</v>
      </c>
      <c r="E17" s="193"/>
      <c r="F17" s="193"/>
      <c r="G17" s="193"/>
      <c r="H17" s="194"/>
      <c r="I17" s="194"/>
      <c r="J17" s="194"/>
      <c r="K17" s="197" t="s">
        <v>77</v>
      </c>
      <c r="L17" s="197"/>
      <c r="M17" s="156"/>
      <c r="N17" s="53"/>
      <c r="O17" s="9"/>
    </row>
    <row r="18" spans="1:15" ht="27.75" x14ac:dyDescent="0.4">
      <c r="B18" s="7"/>
      <c r="C18" s="3"/>
      <c r="D18" s="103" t="s">
        <v>58</v>
      </c>
      <c r="E18" s="113"/>
      <c r="F18" s="92" t="s">
        <v>50</v>
      </c>
      <c r="G18" s="187"/>
      <c r="H18" s="187"/>
      <c r="I18" s="97" t="s">
        <v>54</v>
      </c>
      <c r="J18" s="93" t="s">
        <v>55</v>
      </c>
      <c r="K18" s="100" t="s">
        <v>74</v>
      </c>
      <c r="L18" s="111"/>
      <c r="M18" s="112"/>
      <c r="N18" s="3"/>
      <c r="O18" s="9"/>
    </row>
    <row r="19" spans="1:15" ht="27.75" customHeight="1" x14ac:dyDescent="0.4">
      <c r="A19">
        <v>71</v>
      </c>
      <c r="B19" s="7"/>
      <c r="C19" s="3"/>
      <c r="D19" s="103" t="s">
        <v>53</v>
      </c>
      <c r="E19" s="191">
        <v>98744593</v>
      </c>
      <c r="F19" s="192"/>
      <c r="G19" s="192"/>
      <c r="H19" s="192"/>
      <c r="I19" s="192"/>
      <c r="J19" s="192"/>
      <c r="K19" s="147" t="s">
        <v>69</v>
      </c>
      <c r="L19" s="146" t="s">
        <v>75</v>
      </c>
      <c r="M19" s="116"/>
      <c r="N19" s="3"/>
      <c r="O19" s="9"/>
    </row>
    <row r="20" spans="1:15" x14ac:dyDescent="0.2">
      <c r="B20" s="7"/>
      <c r="C20" s="3"/>
      <c r="D20" s="76"/>
      <c r="E20" s="76"/>
      <c r="F20" s="76"/>
      <c r="G20" s="76"/>
      <c r="H20" s="76"/>
      <c r="I20" s="76"/>
      <c r="J20" s="76"/>
      <c r="K20" s="76"/>
      <c r="L20" s="76"/>
      <c r="M20" s="76"/>
      <c r="N20" s="3"/>
      <c r="O20" s="9"/>
    </row>
    <row r="21" spans="1:15" x14ac:dyDescent="0.2">
      <c r="B21" s="7"/>
      <c r="C21" s="3"/>
      <c r="D21" s="76"/>
      <c r="E21" s="76"/>
      <c r="F21" s="76"/>
      <c r="G21" s="76"/>
      <c r="H21" s="76"/>
      <c r="I21" s="76"/>
      <c r="J21" s="76"/>
      <c r="K21" s="76"/>
      <c r="L21" s="76"/>
      <c r="M21" s="76"/>
      <c r="N21" s="3"/>
      <c r="O21" s="9"/>
    </row>
    <row r="22" spans="1:15" x14ac:dyDescent="0.2">
      <c r="B22" s="7"/>
      <c r="C22" s="3"/>
      <c r="D22" s="76"/>
      <c r="E22" s="76"/>
      <c r="F22" s="76"/>
      <c r="G22" s="76"/>
      <c r="H22" s="76"/>
      <c r="I22" s="76"/>
      <c r="J22" s="76"/>
      <c r="K22" s="76"/>
      <c r="L22" s="76"/>
      <c r="M22" s="76"/>
      <c r="N22" s="3"/>
      <c r="O22" s="9"/>
    </row>
    <row r="23" spans="1:15" ht="18" x14ac:dyDescent="0.25">
      <c r="B23" s="7"/>
      <c r="C23" s="3"/>
      <c r="D23" s="83" t="s">
        <v>32</v>
      </c>
      <c r="E23" s="114" t="s">
        <v>63</v>
      </c>
      <c r="F23" s="188" t="s">
        <v>21</v>
      </c>
      <c r="G23" s="189"/>
      <c r="H23" s="189"/>
      <c r="I23" s="189"/>
      <c r="J23" s="189"/>
      <c r="K23" s="190"/>
      <c r="L23" s="83" t="s">
        <v>22</v>
      </c>
      <c r="M23" s="84" t="s">
        <v>23</v>
      </c>
      <c r="N23" s="54"/>
      <c r="O23" s="9"/>
    </row>
    <row r="24" spans="1:15" ht="18.75" x14ac:dyDescent="0.3">
      <c r="B24" s="7"/>
      <c r="C24" s="3"/>
      <c r="D24" s="64"/>
      <c r="E24" s="135"/>
      <c r="F24" s="167"/>
      <c r="G24" s="168"/>
      <c r="H24" s="168"/>
      <c r="I24" s="168"/>
      <c r="J24" s="168"/>
      <c r="K24" s="169"/>
      <c r="L24" s="140"/>
      <c r="M24" s="82" t="str">
        <f>IF(E24&lt;&gt;"",E24*L24,"")</f>
        <v/>
      </c>
      <c r="N24" s="54"/>
      <c r="O24" s="9"/>
    </row>
    <row r="25" spans="1:15" ht="26.25" x14ac:dyDescent="0.4">
      <c r="B25" s="7"/>
      <c r="C25" s="3"/>
      <c r="D25" s="110"/>
      <c r="E25" s="136"/>
      <c r="F25" s="170" t="s">
        <v>57</v>
      </c>
      <c r="G25" s="171"/>
      <c r="H25" s="171"/>
      <c r="I25" s="171"/>
      <c r="J25" s="171"/>
      <c r="K25" s="172"/>
      <c r="L25" s="141"/>
      <c r="M25" s="85" t="str">
        <f>IF(E25&lt;&gt;"",E25*L25,"")</f>
        <v/>
      </c>
      <c r="N25" s="54"/>
      <c r="O25" s="9"/>
    </row>
    <row r="26" spans="1:15" ht="26.25" x14ac:dyDescent="0.4">
      <c r="B26" s="7"/>
      <c r="C26" s="3"/>
      <c r="D26" s="109"/>
      <c r="E26" s="137"/>
      <c r="F26" s="173"/>
      <c r="G26" s="174"/>
      <c r="H26" s="174"/>
      <c r="I26" s="174"/>
      <c r="J26" s="174"/>
      <c r="K26" s="175"/>
      <c r="L26" s="142"/>
      <c r="M26" s="86"/>
      <c r="N26" s="54"/>
      <c r="O26" s="9"/>
    </row>
    <row r="27" spans="1:15" ht="25.5" x14ac:dyDescent="0.35">
      <c r="B27" s="7"/>
      <c r="C27" s="3"/>
      <c r="D27" s="109" t="s">
        <v>64</v>
      </c>
      <c r="E27" s="137">
        <v>5</v>
      </c>
      <c r="F27" s="176" t="s">
        <v>70</v>
      </c>
      <c r="G27" s="177"/>
      <c r="H27" s="177"/>
      <c r="I27" s="177"/>
      <c r="J27" s="177"/>
      <c r="K27" s="178"/>
      <c r="L27" s="142">
        <v>250</v>
      </c>
      <c r="M27" s="86">
        <f t="shared" ref="M27:M35" si="0">IF(E27&lt;&gt;"",E27*L27,"")</f>
        <v>1250</v>
      </c>
      <c r="N27" s="54"/>
      <c r="O27" s="9"/>
    </row>
    <row r="28" spans="1:15" ht="26.25" customHeight="1" x14ac:dyDescent="0.35">
      <c r="B28" s="7"/>
      <c r="C28" s="3"/>
      <c r="D28" s="109" t="s">
        <v>73</v>
      </c>
      <c r="E28" s="138">
        <v>5</v>
      </c>
      <c r="F28" s="179" t="s">
        <v>71</v>
      </c>
      <c r="G28" s="180"/>
      <c r="H28" s="180"/>
      <c r="I28" s="180"/>
      <c r="J28" s="180"/>
      <c r="K28" s="181"/>
      <c r="L28" s="142">
        <v>250</v>
      </c>
      <c r="M28" s="86">
        <f t="shared" si="0"/>
        <v>1250</v>
      </c>
      <c r="N28" s="54"/>
      <c r="O28" s="9"/>
    </row>
    <row r="29" spans="1:15" ht="25.5" x14ac:dyDescent="0.35">
      <c r="B29" s="7"/>
      <c r="C29" s="3"/>
      <c r="D29" s="109"/>
      <c r="E29" s="137"/>
      <c r="F29" s="123"/>
      <c r="G29" s="124"/>
      <c r="H29" s="124"/>
      <c r="I29" s="124"/>
      <c r="J29" s="124"/>
      <c r="K29" s="125"/>
      <c r="L29" s="142"/>
      <c r="M29" s="86"/>
      <c r="N29" s="54"/>
      <c r="O29" s="9"/>
    </row>
    <row r="30" spans="1:15" ht="25.5" x14ac:dyDescent="0.35">
      <c r="B30" s="7"/>
      <c r="C30" s="3"/>
      <c r="D30" s="126"/>
      <c r="E30" s="137"/>
      <c r="F30" s="123"/>
      <c r="G30" s="124"/>
      <c r="H30" s="124"/>
      <c r="I30" s="124"/>
      <c r="J30" s="124"/>
      <c r="K30" s="125"/>
      <c r="L30" s="142"/>
      <c r="M30" s="86"/>
      <c r="N30" s="54"/>
      <c r="O30" s="9"/>
    </row>
    <row r="31" spans="1:15" ht="25.5" x14ac:dyDescent="0.35">
      <c r="B31" s="7"/>
      <c r="C31" s="3"/>
      <c r="D31" s="109"/>
      <c r="E31" s="137"/>
      <c r="F31" s="127"/>
      <c r="G31" s="128"/>
      <c r="H31" s="128"/>
      <c r="I31" s="128"/>
      <c r="J31" s="128"/>
      <c r="K31" s="129"/>
      <c r="L31" s="142"/>
      <c r="M31" s="86"/>
      <c r="N31" s="54"/>
      <c r="O31" s="9"/>
    </row>
    <row r="32" spans="1:15" ht="25.5" x14ac:dyDescent="0.35">
      <c r="B32" s="7"/>
      <c r="C32" s="3"/>
      <c r="D32" s="109"/>
      <c r="E32" s="137"/>
      <c r="F32" s="150"/>
      <c r="G32" s="151"/>
      <c r="H32" s="151"/>
      <c r="I32" s="151"/>
      <c r="J32" s="151"/>
      <c r="K32" s="152"/>
      <c r="L32" s="142"/>
      <c r="M32" s="86"/>
      <c r="N32" s="54"/>
      <c r="O32" s="9"/>
    </row>
    <row r="33" spans="2:15" ht="25.5" x14ac:dyDescent="0.35">
      <c r="B33" s="7"/>
      <c r="C33" s="3"/>
      <c r="D33" s="109"/>
      <c r="E33" s="137"/>
      <c r="F33" s="182"/>
      <c r="G33" s="183"/>
      <c r="H33" s="183"/>
      <c r="I33" s="183"/>
      <c r="J33" s="183"/>
      <c r="K33" s="184"/>
      <c r="L33" s="142"/>
      <c r="M33" s="86"/>
      <c r="N33" s="54"/>
      <c r="O33" s="9"/>
    </row>
    <row r="34" spans="2:15" ht="25.5" x14ac:dyDescent="0.35">
      <c r="B34" s="7"/>
      <c r="C34" s="3"/>
      <c r="D34" s="109"/>
      <c r="E34" s="137"/>
      <c r="F34" s="153"/>
      <c r="G34" s="120"/>
      <c r="H34" s="120"/>
      <c r="I34" s="120"/>
      <c r="J34" s="120"/>
      <c r="K34" s="121"/>
      <c r="L34" s="142"/>
      <c r="M34" s="86"/>
      <c r="N34" s="54"/>
      <c r="O34" s="9"/>
    </row>
    <row r="35" spans="2:15" ht="27.75" x14ac:dyDescent="0.4">
      <c r="B35" s="7"/>
      <c r="C35" s="3"/>
      <c r="D35" s="65"/>
      <c r="E35" s="139"/>
      <c r="F35" s="154"/>
      <c r="G35" s="144"/>
      <c r="H35" s="144"/>
      <c r="I35" s="144"/>
      <c r="J35" s="144"/>
      <c r="K35" s="145"/>
      <c r="L35" s="143"/>
      <c r="M35" s="86" t="str">
        <f t="shared" si="0"/>
        <v/>
      </c>
      <c r="N35" s="54"/>
      <c r="O35" s="9"/>
    </row>
    <row r="36" spans="2:15" ht="30" x14ac:dyDescent="0.4">
      <c r="B36" s="7"/>
      <c r="C36" s="3"/>
      <c r="D36" s="98"/>
      <c r="E36" s="76"/>
      <c r="F36" s="76"/>
      <c r="G36" s="118"/>
      <c r="H36" s="118"/>
      <c r="I36" s="118"/>
      <c r="J36" s="118"/>
      <c r="K36" s="119"/>
      <c r="L36" s="107" t="s">
        <v>24</v>
      </c>
      <c r="M36" s="96">
        <f>SUM(M27:M35)</f>
        <v>2500</v>
      </c>
      <c r="N36" s="54"/>
      <c r="O36" s="9"/>
    </row>
    <row r="37" spans="2:15" ht="30" x14ac:dyDescent="0.4">
      <c r="B37" s="7"/>
      <c r="C37" s="3"/>
      <c r="D37" s="3"/>
      <c r="E37" s="77"/>
      <c r="F37" s="90" t="s">
        <v>62</v>
      </c>
      <c r="G37" s="76"/>
      <c r="H37" s="76"/>
      <c r="I37" s="76"/>
      <c r="J37" s="74"/>
      <c r="K37" s="94"/>
      <c r="L37" s="104" t="s">
        <v>44</v>
      </c>
      <c r="M37" s="108">
        <v>0.6</v>
      </c>
      <c r="N37" s="54"/>
      <c r="O37" s="9"/>
    </row>
    <row r="38" spans="2:15" ht="30" x14ac:dyDescent="0.4">
      <c r="B38" s="7"/>
      <c r="C38" s="3"/>
      <c r="D38" s="3"/>
      <c r="E38" s="77"/>
      <c r="F38" s="90" t="s">
        <v>61</v>
      </c>
      <c r="G38" s="76"/>
      <c r="H38" s="76"/>
      <c r="I38" s="76"/>
      <c r="J38" s="74"/>
      <c r="K38" s="94"/>
      <c r="L38" s="105" t="s">
        <v>59</v>
      </c>
      <c r="M38" s="99">
        <f>M36*0.19</f>
        <v>475</v>
      </c>
      <c r="N38" s="54"/>
      <c r="O38" s="9"/>
    </row>
    <row r="39" spans="2:15" ht="30" x14ac:dyDescent="0.4">
      <c r="C39" s="101"/>
      <c r="D39" s="3"/>
      <c r="E39" s="78"/>
      <c r="F39" s="115" t="s">
        <v>65</v>
      </c>
      <c r="G39" s="76"/>
      <c r="H39" s="76"/>
      <c r="I39" s="76"/>
      <c r="J39" s="75"/>
      <c r="K39" s="95"/>
      <c r="L39" s="106" t="s">
        <v>25</v>
      </c>
      <c r="M39" s="96">
        <f>M36+M38+M37</f>
        <v>2975.6</v>
      </c>
      <c r="N39" s="54"/>
      <c r="O39" s="9"/>
    </row>
    <row r="40" spans="2:15" ht="30" x14ac:dyDescent="0.4">
      <c r="C40" s="101"/>
      <c r="D40" s="3"/>
      <c r="E40" s="78"/>
      <c r="F40" s="115"/>
      <c r="G40" s="76"/>
      <c r="H40" s="76"/>
      <c r="I40" s="76"/>
      <c r="J40" s="75"/>
      <c r="K40" s="95"/>
      <c r="L40" s="130"/>
      <c r="M40" s="131"/>
      <c r="N40" s="54"/>
      <c r="O40" s="9"/>
    </row>
    <row r="41" spans="2:15" ht="30" x14ac:dyDescent="0.4">
      <c r="C41" s="101"/>
      <c r="D41" s="122" t="s">
        <v>66</v>
      </c>
      <c r="E41" s="78"/>
      <c r="F41" s="115"/>
      <c r="G41" s="76"/>
      <c r="H41" s="76"/>
      <c r="I41" s="76"/>
      <c r="J41" s="75"/>
      <c r="K41" s="95"/>
      <c r="L41" s="166" t="s">
        <v>60</v>
      </c>
      <c r="M41" s="166"/>
      <c r="N41" s="54"/>
      <c r="O41" s="9"/>
    </row>
    <row r="42" spans="2:15" ht="30" x14ac:dyDescent="0.4">
      <c r="C42" s="101"/>
      <c r="D42" s="117" t="s">
        <v>67</v>
      </c>
      <c r="E42" s="78"/>
      <c r="F42" s="115"/>
      <c r="G42" s="76"/>
      <c r="H42" s="76"/>
      <c r="I42" s="76"/>
      <c r="J42" s="75"/>
      <c r="K42" s="95"/>
      <c r="L42" s="166"/>
      <c r="M42" s="166"/>
      <c r="N42" s="54"/>
      <c r="O42" s="9"/>
    </row>
    <row r="43" spans="2:15" ht="24" thickBot="1" x14ac:dyDescent="0.4">
      <c r="C43" s="132"/>
      <c r="D43" s="132"/>
      <c r="E43" s="148"/>
      <c r="F43" s="148"/>
      <c r="G43" s="148"/>
      <c r="H43" s="148"/>
      <c r="I43" s="148"/>
      <c r="J43" s="148"/>
      <c r="K43" s="148"/>
      <c r="L43" s="148"/>
      <c r="M43" s="148"/>
      <c r="N43" s="149"/>
      <c r="O43" s="9"/>
    </row>
    <row r="44" spans="2:15" ht="24" customHeight="1" thickTop="1" x14ac:dyDescent="0.2">
      <c r="C44" s="164" t="s">
        <v>68</v>
      </c>
      <c r="D44" s="164"/>
      <c r="E44" s="164"/>
      <c r="F44" s="164"/>
      <c r="G44" s="164"/>
      <c r="H44" s="164"/>
      <c r="I44" s="164"/>
      <c r="J44" s="164"/>
      <c r="K44" s="164"/>
      <c r="L44" s="164"/>
      <c r="M44" s="164"/>
      <c r="N44" s="164"/>
      <c r="O44" s="9"/>
    </row>
    <row r="45" spans="2:15" ht="13.5" customHeight="1" thickBot="1" x14ac:dyDescent="0.25">
      <c r="C45" s="165"/>
      <c r="D45" s="165"/>
      <c r="E45" s="165"/>
      <c r="F45" s="165"/>
      <c r="G45" s="165"/>
      <c r="H45" s="165"/>
      <c r="I45" s="165"/>
      <c r="J45" s="165"/>
      <c r="K45" s="165"/>
      <c r="L45" s="165"/>
      <c r="M45" s="165"/>
      <c r="N45" s="165"/>
      <c r="O45" s="9"/>
    </row>
    <row r="46" spans="2:15" ht="13.5" customHeight="1" thickTop="1" x14ac:dyDescent="0.2">
      <c r="B46" s="55"/>
      <c r="C46" s="165"/>
      <c r="D46" s="165"/>
      <c r="E46" s="165"/>
      <c r="F46" s="165"/>
      <c r="G46" s="165"/>
      <c r="H46" s="165"/>
      <c r="I46" s="165"/>
      <c r="J46" s="165"/>
      <c r="K46" s="165"/>
      <c r="L46" s="165"/>
      <c r="M46" s="165"/>
      <c r="N46" s="165"/>
      <c r="O46" s="9"/>
    </row>
    <row r="47" spans="2:15" ht="12.75" customHeight="1" x14ac:dyDescent="0.2">
      <c r="B47" s="3"/>
      <c r="C47" s="165"/>
      <c r="D47" s="165"/>
      <c r="E47" s="165"/>
      <c r="F47" s="165"/>
      <c r="G47" s="165"/>
      <c r="H47" s="165"/>
      <c r="I47" s="165"/>
      <c r="J47" s="165"/>
      <c r="K47" s="165"/>
      <c r="L47" s="165"/>
      <c r="M47" s="165"/>
      <c r="N47" s="165"/>
      <c r="O47" s="9"/>
    </row>
    <row r="48" spans="2:15" ht="12.75" customHeight="1" x14ac:dyDescent="0.2">
      <c r="B48" s="102"/>
      <c r="C48" s="165"/>
      <c r="D48" s="165"/>
      <c r="E48" s="165"/>
      <c r="F48" s="165"/>
      <c r="G48" s="165"/>
      <c r="H48" s="165"/>
      <c r="I48" s="165"/>
      <c r="J48" s="165"/>
      <c r="K48" s="165"/>
      <c r="L48" s="165"/>
      <c r="M48" s="165"/>
      <c r="N48" s="165"/>
      <c r="O48" s="9"/>
    </row>
    <row r="49" spans="3:14" ht="12.75" customHeight="1" x14ac:dyDescent="0.2">
      <c r="C49" s="165"/>
      <c r="D49" s="165"/>
      <c r="E49" s="165"/>
      <c r="F49" s="165"/>
      <c r="G49" s="165"/>
      <c r="H49" s="165"/>
      <c r="I49" s="165"/>
      <c r="J49" s="165"/>
      <c r="K49" s="165"/>
      <c r="L49" s="165"/>
      <c r="M49" s="165"/>
      <c r="N49" s="165"/>
    </row>
    <row r="50" spans="3:14" ht="12.75" customHeight="1" x14ac:dyDescent="0.2">
      <c r="C50" s="155"/>
      <c r="D50" s="155"/>
      <c r="E50" s="155"/>
      <c r="F50" s="155"/>
      <c r="G50" s="155"/>
      <c r="H50" s="155"/>
      <c r="I50" s="155"/>
      <c r="J50" s="155"/>
      <c r="K50" s="155"/>
      <c r="L50" s="155"/>
      <c r="M50" s="155"/>
      <c r="N50" s="155"/>
    </row>
    <row r="51" spans="3:14" ht="23.25" customHeight="1" x14ac:dyDescent="0.35">
      <c r="C51" s="133"/>
      <c r="D51" s="134"/>
      <c r="E51" s="134"/>
      <c r="F51" s="134"/>
      <c r="G51" s="134"/>
      <c r="H51" s="134"/>
      <c r="I51" s="134"/>
      <c r="J51" s="134"/>
      <c r="K51" s="134"/>
      <c r="L51" s="134"/>
      <c r="M51" s="134"/>
      <c r="N51" s="134"/>
    </row>
    <row r="54" spans="3:14" ht="12.75" customHeight="1" x14ac:dyDescent="0.2"/>
    <row r="55" spans="3:14" ht="12.75" customHeight="1" x14ac:dyDescent="0.2"/>
    <row r="56" spans="3:14" ht="13.5" customHeight="1" x14ac:dyDescent="0.2"/>
    <row r="57" spans="3:14" ht="24.95" customHeight="1" x14ac:dyDescent="0.2"/>
    <row r="58" spans="3:14" ht="24.95" customHeight="1" x14ac:dyDescent="0.2"/>
    <row r="59" spans="3:14" ht="12.75" customHeight="1" x14ac:dyDescent="0.2"/>
    <row r="60" spans="3:14" ht="12.75" customHeight="1" x14ac:dyDescent="0.2"/>
    <row r="61" spans="3:14" ht="12.75" customHeight="1" x14ac:dyDescent="0.2"/>
    <row r="62" spans="3:14" ht="12.75" customHeight="1" x14ac:dyDescent="0.2"/>
    <row r="63" spans="3:14" ht="3" customHeight="1" x14ac:dyDescent="0.2"/>
    <row r="64" spans="3:14" ht="12.75" customHeight="1" x14ac:dyDescent="0.2"/>
    <row r="65" ht="13.5" customHeight="1" x14ac:dyDescent="0.2"/>
    <row r="67" ht="0.95" customHeight="1" x14ac:dyDescent="0.2"/>
    <row r="68" ht="6" customHeight="1" x14ac:dyDescent="0.2"/>
  </sheetData>
  <scenarios current="0">
    <scenario name="sample1" locked="1" count="10" user="Nickte" comment="Created by Nickte on 23/10/96">
      <inputCells r="E16" val="M. Antoine CIVAUX"/>
      <inputCells r="E17" val="34, route de Marseille"/>
      <inputCells r="E18" val="84000"/>
      <inputCells r="E19" val="04.90.26.45.78"/>
      <inputCells r="G18" val="Avignon"/>
      <inputCells r="J18" val="France"/>
      <inputCells r="L16" val="35343" numFmtId="14"/>
      <inputCells r="L17" val="452"/>
      <inputCells r="L18" val="T. Farot"/>
      <inputCells r="L19"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8:M12"/>
    <mergeCell ref="E16:J16"/>
    <mergeCell ref="G18:H18"/>
    <mergeCell ref="F23:K23"/>
    <mergeCell ref="E19:J19"/>
    <mergeCell ref="E17:J17"/>
    <mergeCell ref="D11:H12"/>
    <mergeCell ref="K17:L17"/>
    <mergeCell ref="C44:N49"/>
    <mergeCell ref="L41:M42"/>
    <mergeCell ref="F24:K24"/>
    <mergeCell ref="F25:K25"/>
    <mergeCell ref="F26:K26"/>
    <mergeCell ref="F27:K27"/>
    <mergeCell ref="F28:K28"/>
    <mergeCell ref="F33:K3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1"/>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allowBlank="1" showErrorMessage="1" sqref="G18:H18"/>
    <dataValidation type="textLength" errorStyle="warning" allowBlank="1" showErrorMessage="1" errorTitle="T.V.A." error="Les cellules ombrées contiennent des formules et sont calculées automatiquement par Excel. N'y tapez aucune information." promptTitle="T.V.A." sqref="L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39: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3"/>
    <dataValidation type="whole" errorStyle="warning" allowBlank="1" showErrorMessage="1" errorTitle="Quantité" error="Tapez un nombre dans cette cellule." promptTitle="Quantité" sqref="E24:E35">
      <formula1>0</formula1>
      <formula2>1000000000</formula2>
    </dataValidation>
    <dataValidation type="decimal" allowBlank="1" showErrorMessage="1" errorTitle="Prix unitaire" error="Tapez un nombre dans cette cellule." promptTitle="Prix unitaire" sqref="L24: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4:M35">
      <formula1>0</formula1>
      <formula2>0</formula2>
    </dataValidation>
  </dataValidations>
  <printOptions horizontalCentered="1"/>
  <pageMargins left="0.25" right="0.25" top="0.75" bottom="0.75" header="0.3" footer="0.3"/>
  <pageSetup paperSize="9" scale="55"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37</xdr:row>
                    <xdr:rowOff>9525</xdr:rowOff>
                  </from>
                  <to>
                    <xdr:col>4</xdr:col>
                    <xdr:colOff>571500</xdr:colOff>
                    <xdr:row>37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38</xdr:row>
                    <xdr:rowOff>0</xdr:rowOff>
                  </from>
                  <to>
                    <xdr:col>4</xdr:col>
                    <xdr:colOff>552450</xdr:colOff>
                    <xdr:row>38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36</xdr:row>
                    <xdr:rowOff>9525</xdr:rowOff>
                  </from>
                  <to>
                    <xdr:col>4</xdr:col>
                    <xdr:colOff>571500</xdr:colOff>
                    <xdr:row>36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Facture!$M$4</f>
        <v/>
      </c>
      <c r="C8" s="68">
        <f>Facture!$L$16</f>
        <v>44635</v>
      </c>
      <c r="D8" s="69" t="str">
        <f>Facture!$E$16</f>
        <v>CARTHAGE TRAVAUX</v>
      </c>
      <c r="E8" s="66">
        <f>Facture!$E$17</f>
        <v>0</v>
      </c>
      <c r="F8" s="66">
        <f>Facture!$E$18</f>
        <v>0</v>
      </c>
      <c r="G8" s="69">
        <f>Facture!$G$18</f>
        <v>0</v>
      </c>
      <c r="H8" s="69" t="str">
        <f>Facture!$J$18</f>
        <v>TN</v>
      </c>
      <c r="I8" s="66">
        <f>Facture!$E$19</f>
        <v>98744593</v>
      </c>
      <c r="J8" s="70">
        <f>Facture!$M$39</f>
        <v>2975.6</v>
      </c>
      <c r="K8" s="66">
        <f>Facture!$L$18</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2022-03-15T15:35:32Z</cp:lastPrinted>
  <dcterms:created xsi:type="dcterms:W3CDTF">1995-05-29T15:50:39Z</dcterms:created>
  <dcterms:modified xsi:type="dcterms:W3CDTF">2022-12-20T15:51:11Z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TRAVAUX</vt:lpwstr>
  </property>
  <property fmtid="{D5CDD505-2E9C-101B-9397-08002B2CF9AE}" pid="11" name="Montant de la facture" linkTarget="TOT">
    <vt:r8>2975.6</vt:r8>
  </property>
</Properties>
</file>