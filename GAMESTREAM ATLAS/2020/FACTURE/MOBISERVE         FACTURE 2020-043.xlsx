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<sst xmlns="http://schemas.openxmlformats.org/spreadsheetml/2006/main" count="84" uniqueCount="76">
  <si>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</si>
  <si>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</si>
  <si>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</si>
  <si>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</si>
  <si>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</si>
  <si>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</si>
  <si>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</si>
  <si>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</si>
  <si>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</si>
  <si>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</si>
  <si>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</si>
  <si>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</si>
  <si>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</si>
  <si>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</si>
  <si>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</si>
  <si>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</si>
  <si>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</si>
  <si>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</si>
  <si>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</si>
  <si>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</si>
  <si>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</si>
  <si>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</si>
  <si>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</si>
  <si>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</si>
  <si>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</si>
  <si>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</si>
  <si>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</si>
  <si>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</si>
  <si>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</si>
  <si>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</si>
  <si>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</si>
  <si>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</si>
  <si>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</si>
  <si>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</si>
  <si>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</si>
  <si>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</si>
  <si>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</si>
  <si>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</si>
  <si>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</si>
  <si>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</si>
  <si>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</si>
  <si>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</si>
  <si>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</si>
  <si>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</si>
  <si>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</si>
  <si>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</si>
  <si>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</si>
  <si>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</si>
  <si>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</si>
  <si>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</si>
  <si>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</si>
  <si>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</si>
  <si>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</si>
  <si>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</si>
  <si>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</si>
  <si>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</si>
  <si>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</si>
  <si>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</si>
  <si>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</si>
  <si>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</si>
  <si>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</si>
  <si>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</si>
  <si>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</si>
  <si>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</si>
  <si>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</si>
  <si>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</si>
  <si>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</si>
  <si>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</si>
  <si>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</si>
  <si>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</si>
  <si>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FORMATION TRAVAIL EN HAUTEUR </t>
  </si>
  <si>
    <t>TH001</t>
  </si>
  <si>
    <t xml:space="preserve">Virement   </t>
  </si>
  <si>
    <t xml:space="preserve">    COMMANDE N°: 6845</t>
  </si>
  <si>
    <t>FACTURE N°2020-043</t>
  </si>
  <si>
    <t>ARRETE LA PRESENTE FACTURE LA SOMME DE :DEUX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</si>
</sst>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K24" sqref="K24:M2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74</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68</v>
      </c>
      <c r="F23" s="182"/>
      <c r="G23" s="182"/>
      <c r="H23" s="182"/>
      <c r="I23" s="182"/>
      <c r="J23" s="182"/>
      <c r="K23" s="119" t="s">
        <v>57</v>
      </c>
      <c r="L23" s="104">
        <v>44028</v>
      </c>
      <c r="M23" s="106"/>
      <c r="N23" s="55"/>
      <c r="O23" s="9"/>
    </row>
    <row r="24" spans="1:15" ht="23.25" x14ac:dyDescent="0.35">
      <c r="B24" s="7"/>
      <c r="C24" s="3"/>
      <c r="D24" s="122" t="s">
        <v>53</v>
      </c>
      <c r="E24" s="189" t="s">
        <v>69</v>
      </c>
      <c r="F24" s="189"/>
      <c r="G24" s="189"/>
      <c r="H24" s="190"/>
      <c r="I24" s="190"/>
      <c r="J24" s="190"/>
      <c r="K24" s="162" t="s">
        <v>73</v>
      </c>
      <c r="L24" s="162"/>
      <c r="M24" s="162"/>
      <c r="N24" s="56"/>
      <c r="O24" s="9"/>
    </row>
    <row r="25" spans="1:15" ht="27.75" x14ac:dyDescent="0.4">
      <c r="B25" s="7"/>
      <c r="C25" s="3"/>
      <c r="D25" s="122" t="s">
        <v>58</v>
      </c>
      <c r="E25" s="140">
        <v>1053</v>
      </c>
      <c r="F25" s="107" t="s">
        <v>51</v>
      </c>
      <c r="G25" s="183"/>
      <c r="H25" s="183"/>
      <c r="I25" s="114" t="s">
        <v>55</v>
      </c>
      <c r="J25" s="108" t="s">
        <v>56</v>
      </c>
      <c r="K25" s="119" t="s">
        <v>66</v>
      </c>
      <c r="L25" s="130"/>
      <c r="M25" s="131"/>
      <c r="N25" s="3"/>
      <c r="O25" s="9"/>
    </row>
    <row r="26" spans="1:15" ht="27.75" customHeight="1" x14ac:dyDescent="0.4">
      <c r="A26">
        <v>71</v>
      </c>
      <c r="B26" s="7"/>
      <c r="C26" s="3"/>
      <c r="D26" s="122" t="s">
        <v>54</v>
      </c>
      <c r="E26" s="187"/>
      <c r="F26" s="188"/>
      <c r="G26" s="188"/>
      <c r="H26" s="188"/>
      <c r="I26" s="188"/>
      <c r="J26" s="188"/>
      <c r="K26" s="119" t="s">
        <v>61</v>
      </c>
      <c r="L26" s="191" t="s">
        <v>67</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71</v>
      </c>
      <c r="E32" s="97">
        <v>1</v>
      </c>
      <c r="F32" s="172" t="s">
        <v>70</v>
      </c>
      <c r="G32" s="173"/>
      <c r="H32" s="173"/>
      <c r="I32" s="173"/>
      <c r="J32" s="173"/>
      <c r="K32" s="174"/>
      <c r="L32" s="98">
        <v>200</v>
      </c>
      <c r="M32" s="99">
        <f>IF(E32&lt;&gt;"",E32*L32,"")</f>
        <v>200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72"/>
      <c r="G34" s="173"/>
      <c r="H34" s="173"/>
      <c r="I34" s="173"/>
      <c r="J34" s="173"/>
      <c r="K34" s="174"/>
      <c r="L34" s="98"/>
      <c r="M34" s="99" t="str">
        <f>IF(E34&lt;&gt;"",E34*L34,"")</f>
        <v/>
      </c>
      <c r="N34" s="57"/>
      <c r="O34" s="9"/>
    </row>
    <row r="35" spans="2:15" ht="25.5" x14ac:dyDescent="0.35">
      <c r="B35" s="7"/>
      <c r="C35" s="3"/>
      <c r="D35" s="146"/>
      <c r="E35" s="97"/>
      <c r="F35" s="169"/>
      <c r="G35" s="170"/>
      <c r="H35" s="170"/>
      <c r="I35" s="170"/>
      <c r="J35" s="170"/>
      <c r="K35" s="171"/>
      <c r="L35" s="98"/>
      <c r="M35" s="99" t="str">
        <f>IF(E35&lt;&gt;"",E35*L35,"")</f>
        <v/>
      </c>
      <c r="N35" s="57"/>
      <c r="O35" s="9"/>
    </row>
    <row r="36" spans="2:15" ht="25.5" x14ac:dyDescent="0.35">
      <c r="B36" s="7"/>
      <c r="C36" s="3"/>
      <c r="D36" s="129"/>
      <c r="E36" s="97"/>
      <c r="F36" s="169"/>
      <c r="G36" s="170"/>
      <c r="H36" s="170"/>
      <c r="I36" s="170"/>
      <c r="J36" s="170"/>
      <c r="K36" s="171"/>
      <c r="L36" s="98"/>
      <c r="M36" s="99" t="str">
        <f>IF(E36&lt;&gt;"",E36*L36,"")</f>
        <v/>
      </c>
      <c r="N36" s="57"/>
      <c r="O36" s="9"/>
    </row>
    <row r="37" spans="2:15" ht="26.25" x14ac:dyDescent="0.4">
      <c r="B37" s="7"/>
      <c r="C37" s="3"/>
      <c r="D37" s="129"/>
      <c r="E37" s="97"/>
      <c r="F37" s="172"/>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f>SUM(M32:M44)</f>
        <v>200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72</v>
      </c>
      <c r="G47" s="83"/>
      <c r="H47" s="83"/>
      <c r="I47" s="83"/>
      <c r="J47" s="78"/>
      <c r="K47" s="110"/>
      <c r="L47" s="125" t="s">
        <v>59</v>
      </c>
      <c r="M47" s="116">
        <f>M45*0.19</f>
        <v>38</v>
      </c>
      <c r="N47" s="57"/>
      <c r="O47" s="9"/>
    </row>
    <row r="48" spans="2:15" ht="30" x14ac:dyDescent="0.4">
      <c r="B48" s="7"/>
      <c r="C48" s="3"/>
      <c r="D48" s="3"/>
      <c r="E48" s="86"/>
      <c r="F48" s="105" t="s">
        <v>64</v>
      </c>
      <c r="G48" s="138"/>
      <c r="H48" s="141"/>
      <c r="I48" s="141"/>
      <c r="J48" s="79"/>
      <c r="K48" s="109"/>
      <c r="L48" s="126" t="s">
        <v>26</v>
      </c>
      <c r="M48" s="113">
        <f>M45+M47+M46</f>
        <v>238.6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75</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75" t="s">
        <v>62</v>
      </c>
      <c r="D62" s="175"/>
      <c r="E62" s="175"/>
      <c r="F62" s="175"/>
      <c r="G62" s="175"/>
      <c r="H62" s="175"/>
      <c r="I62" s="175"/>
      <c r="J62" s="175"/>
      <c r="K62" s="175"/>
      <c r="L62" s="175"/>
      <c r="M62" s="175"/>
      <c r="N62" s="175"/>
      <c r="O62" s="139"/>
    </row>
    <row r="63" spans="1:15" x14ac:dyDescent="0.2">
      <c r="A63" s="121"/>
      <c r="B63" s="120"/>
      <c r="C63" s="175"/>
      <c r="D63" s="175"/>
      <c r="E63" s="175"/>
      <c r="F63" s="175"/>
      <c r="G63" s="175"/>
      <c r="H63" s="175"/>
      <c r="I63" s="175"/>
      <c r="J63" s="175"/>
      <c r="K63" s="175"/>
      <c r="L63" s="175"/>
      <c r="M63" s="175"/>
      <c r="N63" s="175"/>
      <c r="O63" s="137"/>
    </row>
    <row r="64" spans="1:15" x14ac:dyDescent="0.2">
      <c r="A64" s="3"/>
      <c r="B64" s="121"/>
      <c r="C64" s="175"/>
      <c r="D64" s="175"/>
      <c r="E64" s="175"/>
      <c r="F64" s="175"/>
      <c r="G64" s="175"/>
      <c r="H64" s="175"/>
      <c r="I64" s="175"/>
      <c r="J64" s="175"/>
      <c r="K64" s="175"/>
      <c r="L64" s="175"/>
      <c r="M64" s="175"/>
      <c r="N64" s="175"/>
      <c r="O64" s="137"/>
    </row>
    <row r="65" spans="1:15" x14ac:dyDescent="0.2">
      <c r="A65" s="3"/>
      <c r="B65" s="3"/>
      <c r="C65" s="175"/>
      <c r="D65" s="175"/>
      <c r="E65" s="175"/>
      <c r="F65" s="175"/>
      <c r="G65" s="175"/>
      <c r="H65" s="175"/>
      <c r="I65" s="175"/>
      <c r="J65" s="175"/>
      <c r="K65" s="175"/>
      <c r="L65" s="175"/>
      <c r="M65" s="175"/>
      <c r="N65" s="175"/>
      <c r="O65" s="137"/>
    </row>
    <row r="66" spans="1:15"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44028</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2020-07-16T07:49:08Z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238.6</vt:r8>
  </property>
</Properties>
</file>