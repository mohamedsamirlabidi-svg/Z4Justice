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<sst xmlns="http://schemas.openxmlformats.org/spreadsheetml/2006/main" count="85" uniqueCount="77">
  <si>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</si>
  <si>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</si>
  <si>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</si>
  <si>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</si>
  <si>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</si>
  <si>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</si>
  <si>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</si>
  <si>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</si>
  <si>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</si>
  <si>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</si>
  <si>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</si>
  <si>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</si>
  <si>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</si>
  <si>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</si>
  <si>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</si>
  <si>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</si>
  <si>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</si>
  <si>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</si>
  <si>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</si>
  <si>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</si>
  <si>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</si>
  <si>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</si>
  <si>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</si>
  <si>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</si>
  <si>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</si>
  <si>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</si>
  <si>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</si>
  <si>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</si>
  <si>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</si>
  <si>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</si>
  <si>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</si>
  <si>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</si>
  <si>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</si>
  <si>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</si>
  <si>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</si>
  <si>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</si>
  <si>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</si>
  <si>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</si>
  <si>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</si>
  <si>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</si>
  <si>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</si>
  <si>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</si>
  <si>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</si>
  <si>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</si>
  <si>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</si>
  <si>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</si>
  <si>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</si>
  <si>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</si>
  <si>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</si>
  <si>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</si>
  <si>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</si>
  <si>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</si>
  <si>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</si>
  <si>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</si>
  <si>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</si>
  <si>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</si>
  <si>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</si>
  <si>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</si>
  <si>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</si>
  <si>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</si>
  <si>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</si>
  <si>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</si>
  <si>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</si>
  <si>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</si>
  <si>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</si>
  <si>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</si>
  <si>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</si>
  <si>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</si>
  <si>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</si>
  <si>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</si>
  <si>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</si>
  <si>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</si>
  <si>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</si>
  <si>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FACTURE N°2020-059</t>
  </si>
  <si>
    <t xml:space="preserve">    COMMANDE N°: 7158-7212-7288</t>
  </si>
  <si>
    <t xml:space="preserve">SUR PYLONE DE TELECOMMUNICATION </t>
  </si>
  <si>
    <t>ARRETE LA PRESENTE FACTURE LA SOMME DE :MILLE CENT QUATRE VINGT DIX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</si>
</sst>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55" sqref="L5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73</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44145</v>
      </c>
      <c r="M23" s="106"/>
      <c r="N23" s="55"/>
      <c r="O23" s="9"/>
    </row>
    <row r="24" spans="1:15" ht="23.25" x14ac:dyDescent="0.35">
      <c r="B24" s="7"/>
      <c r="C24" s="3"/>
      <c r="D24" s="122" t="s">
        <v>53</v>
      </c>
      <c r="E24" s="189" t="s">
        <v>69</v>
      </c>
      <c r="F24" s="189"/>
      <c r="G24" s="189"/>
      <c r="H24" s="190"/>
      <c r="I24" s="190"/>
      <c r="J24" s="190"/>
      <c r="K24" s="162" t="s">
        <v>74</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71</v>
      </c>
      <c r="E32" s="97">
        <v>5</v>
      </c>
      <c r="F32" s="172" t="s">
        <v>70</v>
      </c>
      <c r="G32" s="173"/>
      <c r="H32" s="173"/>
      <c r="I32" s="173"/>
      <c r="J32" s="173"/>
      <c r="K32" s="174"/>
      <c r="L32" s="98">
        <v>200</v>
      </c>
      <c r="M32" s="99">
        <f>IF(E32&lt;&gt;"",E32*L32,"")</f>
        <v>1000</v>
      </c>
      <c r="N32" s="57"/>
      <c r="O32" s="9"/>
    </row>
    <row r="33" spans="2:15" ht="25.5" x14ac:dyDescent="0.35">
      <c r="B33" s="7"/>
      <c r="C33" s="3"/>
      <c r="D33" s="67"/>
      <c r="E33" s="97"/>
      <c r="F33" s="151" t="s">
        <v>75</v>
      </c>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1000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190</v>
      </c>
      <c r="N47" s="57"/>
      <c r="O47" s="9"/>
    </row>
    <row r="48" spans="2:15" ht="30" x14ac:dyDescent="0.4">
      <c r="B48" s="7"/>
      <c r="C48" s="3"/>
      <c r="D48" s="3"/>
      <c r="E48" s="86"/>
      <c r="F48" s="105" t="s">
        <v>64</v>
      </c>
      <c r="G48" s="138"/>
      <c r="H48" s="141"/>
      <c r="I48" s="141"/>
      <c r="J48" s="79"/>
      <c r="K48" s="109"/>
      <c r="L48" s="126" t="s">
        <v>26</v>
      </c>
      <c r="M48" s="113">
        <f>M45+M47+M46</f>
        <v>1190.5999999999999</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75" t="s">
        <v>62</v>
      </c>
      <c r="D62" s="175"/>
      <c r="E62" s="175"/>
      <c r="F62" s="175"/>
      <c r="G62" s="175"/>
      <c r="H62" s="175"/>
      <c r="I62" s="175"/>
      <c r="J62" s="175"/>
      <c r="K62" s="175"/>
      <c r="L62" s="175"/>
      <c r="M62" s="175"/>
      <c r="N62" s="175"/>
      <c r="O62" s="139"/>
    </row>
    <row r="63" spans="1:15" x14ac:dyDescent="0.2">
      <c r="A63" s="121"/>
      <c r="B63" s="120"/>
      <c r="C63" s="175"/>
      <c r="D63" s="175"/>
      <c r="E63" s="175"/>
      <c r="F63" s="175"/>
      <c r="G63" s="175"/>
      <c r="H63" s="175"/>
      <c r="I63" s="175"/>
      <c r="J63" s="175"/>
      <c r="K63" s="175"/>
      <c r="L63" s="175"/>
      <c r="M63" s="175"/>
      <c r="N63" s="175"/>
      <c r="O63" s="137"/>
    </row>
    <row r="64" spans="1:15" x14ac:dyDescent="0.2">
      <c r="A64" s="3"/>
      <c r="B64" s="121"/>
      <c r="C64" s="175"/>
      <c r="D64" s="175"/>
      <c r="E64" s="175"/>
      <c r="F64" s="175"/>
      <c r="G64" s="175"/>
      <c r="H64" s="175"/>
      <c r="I64" s="175"/>
      <c r="J64" s="175"/>
      <c r="K64" s="175"/>
      <c r="L64" s="175"/>
      <c r="M64" s="175"/>
      <c r="N64" s="175"/>
      <c r="O64" s="137"/>
    </row>
    <row r="65" spans="1:15" x14ac:dyDescent="0.2">
      <c r="A65" s="3"/>
      <c r="B65" s="3"/>
      <c r="C65" s="175"/>
      <c r="D65" s="175"/>
      <c r="E65" s="175"/>
      <c r="F65" s="175"/>
      <c r="G65" s="175"/>
      <c r="H65" s="175"/>
      <c r="I65" s="175"/>
      <c r="J65" s="175"/>
      <c r="K65" s="175"/>
      <c r="L65" s="175"/>
      <c r="M65" s="175"/>
      <c r="N65" s="175"/>
      <c r="O65" s="137"/>
    </row>
    <row r="66" spans="1:15"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44145</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1190.5999999999999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2020-11-10T09:11:30Z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1190.6</vt:r8>
  </property>
</Properties>
</file>