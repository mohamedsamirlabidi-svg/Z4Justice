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6" i="3" l="1"/>
  <c r="M37" i="3"/>
  <c r="M38" i="3"/>
  <c r="M41" i="3" l="1"/>
  <c r="M43" i="3"/>
  <c r="M39" i="3" l="1"/>
  <c r="M35" i="3" l="1"/>
  <c r="M31" i="3" l="1"/>
  <c r="M32"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<sst xmlns="http://schemas.openxmlformats.org/spreadsheetml/2006/main" count="90" uniqueCount="82">
  <si>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</si>
  <si>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</si>
  <si>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</si>
  <si>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</si>
  <si>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</si>
  <si>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</si>
  <si>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</si>
  <si>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</si>
  <si>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</si>
  <si>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</si>
  <si>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</si>
  <si>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</si>
  <si>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</si>
  <si>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</si>
  <si>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</si>
  <si>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</si>
  <si>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</si>
  <si>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</si>
  <si>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</si>
  <si>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</si>
  <si>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</si>
  <si>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</si>
  <si>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</si>
  <si>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</si>
  <si>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</si>
  <si>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</si>
  <si>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</si>
  <si>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</si>
  <si>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</si>
  <si>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</si>
  <si>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</si>
  <si>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</si>
  <si>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</si>
  <si>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</si>
  <si>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</si>
  <si>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</si>
  <si>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</si>
  <si>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</si>
  <si>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</si>
  <si>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</si>
  <si>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</si>
  <si>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</si>
  <si>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</si>
  <si>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</si>
  <si>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</si>
  <si>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</si>
  <si>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</si>
  <si>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</si>
  <si>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</si>
  <si>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</si>
  <si>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</si>
  <si>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</si>
  <si>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</si>
  <si>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</si>
  <si>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</si>
  <si>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</si>
  <si>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</si>
  <si>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</si>
  <si>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</si>
  <si>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</si>
  <si>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</si>
  <si>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</si>
  <si>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</si>
  <si>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</si>
  <si>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</si>
  <si>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</si>
  <si>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</si>
  <si>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</si>
  <si>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</si>
  <si>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 xml:space="preserve">POLE TECHNOLOGIQUE DE LA COMMUNICATION ROUTE DE RAOUED </t>
  </si>
  <si>
    <t>ARIANA</t>
  </si>
  <si>
    <t>719218H/A/M/000</t>
  </si>
  <si>
    <t xml:space="preserve">Chèque   30JOURS </t>
  </si>
  <si>
    <t>FACTURE  N°2020-024</t>
  </si>
  <si>
    <t xml:space="preserve">    COMMANDE N°:  724</t>
  </si>
  <si>
    <t>FORMATION SERCOURISME</t>
  </si>
  <si>
    <t>FORMATION INCENDIE</t>
  </si>
  <si>
    <t>FIC001</t>
  </si>
  <si>
    <t>FAR001</t>
  </si>
  <si>
    <t>FS001</t>
  </si>
  <si>
    <t>EVALUATION DES RISQUES</t>
  </si>
  <si>
    <t>ARRETE LA PRESENTE FACTURE A LA SOMME DE : DEUX MILLE SIX CENT DIX HUIT DINARS DINARS 900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</si>
</sst>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Q36" sqref="Q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73</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43909</v>
      </c>
      <c r="M23" s="109"/>
      <c r="N23" s="55"/>
      <c r="O23" s="9"/>
    </row>
    <row r="24" spans="1:15" ht="27" x14ac:dyDescent="0.35">
      <c r="B24" s="7"/>
      <c r="C24" s="3"/>
      <c r="D24" s="125" t="s">
        <v>53</v>
      </c>
      <c r="E24" s="188" t="s">
        <v>69</v>
      </c>
      <c r="F24" s="188"/>
      <c r="G24" s="188"/>
      <c r="H24" s="189"/>
      <c r="I24" s="189"/>
      <c r="J24" s="189"/>
      <c r="K24" s="201" t="s">
        <v>74</v>
      </c>
      <c r="L24" s="201"/>
      <c r="M24" s="201"/>
      <c r="N24" s="56"/>
      <c r="O24" s="9"/>
    </row>
    <row r="25" spans="1:15" ht="27.75" x14ac:dyDescent="0.4">
      <c r="B25" s="7"/>
      <c r="C25" s="3"/>
      <c r="D25" s="125" t="s">
        <v>59</v>
      </c>
      <c r="E25" s="146">
        <v>2088</v>
      </c>
      <c r="F25" s="110" t="s">
        <v>51</v>
      </c>
      <c r="G25" s="182" t="s">
        <v>70</v>
      </c>
      <c r="H25" s="182"/>
      <c r="I25" s="117" t="s">
        <v>55</v>
      </c>
      <c r="J25" s="111" t="s">
        <v>56</v>
      </c>
      <c r="K25" s="122" t="s">
        <v>67</v>
      </c>
      <c r="L25" s="137"/>
      <c r="M25" s="138"/>
      <c r="N25" s="3"/>
      <c r="O25" s="9"/>
    </row>
    <row r="26" spans="1:15" ht="27.75" customHeight="1" x14ac:dyDescent="0.4">
      <c r="A26">
        <v>71</v>
      </c>
      <c r="B26" s="7"/>
      <c r="C26" s="3"/>
      <c r="D26" s="125" t="s">
        <v>54</v>
      </c>
      <c r="E26" s="186">
        <v>71857740</v>
      </c>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79</v>
      </c>
      <c r="E35" s="100">
        <v>3</v>
      </c>
      <c r="F35" s="171" t="s">
        <v>75</v>
      </c>
      <c r="G35" s="172"/>
      <c r="H35" s="172"/>
      <c r="I35" s="172"/>
      <c r="J35" s="172"/>
      <c r="K35" s="173"/>
      <c r="L35" s="101">
        <v>200</v>
      </c>
      <c r="M35" s="102">
        <f t="shared" ref="M35:M43" si="0">IF(E35&lt;&gt;"",E35*L35,"")</f>
        <v>600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t="s">
        <v>77</v>
      </c>
      <c r="E37" s="100">
        <v>3</v>
      </c>
      <c r="F37" s="171" t="s">
        <v>76</v>
      </c>
      <c r="G37" s="172"/>
      <c r="H37" s="172"/>
      <c r="I37" s="172"/>
      <c r="J37" s="172"/>
      <c r="K37" s="173"/>
      <c r="L37" s="101">
        <v>200</v>
      </c>
      <c r="M37" s="102">
        <f t="shared" si="0"/>
        <v>600</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t="s">
        <v>78</v>
      </c>
      <c r="E39" s="100">
        <v>5</v>
      </c>
      <c r="F39" s="171" t="s">
        <v>80</v>
      </c>
      <c r="G39" s="172"/>
      <c r="H39" s="172"/>
      <c r="I39" s="172"/>
      <c r="J39" s="172"/>
      <c r="K39" s="173"/>
      <c r="L39" s="101">
        <v>200</v>
      </c>
      <c r="M39" s="102">
        <f t="shared" si="0"/>
        <v>1000</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c r="E41" s="100"/>
      <c r="F41" s="168"/>
      <c r="G41" s="169"/>
      <c r="H41" s="169"/>
      <c r="I41" s="169"/>
      <c r="J41" s="169"/>
      <c r="K41" s="170"/>
      <c r="L41" s="139"/>
      <c r="M41" s="102" t="str">
        <f>IF(E41&lt;&gt;"",E41*L41,"")</f>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2200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418</v>
      </c>
      <c r="N46" s="57"/>
      <c r="O46" s="9"/>
    </row>
    <row r="47" spans="2:15" ht="30" x14ac:dyDescent="0.4">
      <c r="B47" s="7"/>
      <c r="C47" s="3"/>
      <c r="D47" s="3"/>
      <c r="E47" s="86"/>
      <c r="F47" s="152" t="s">
        <v>72</v>
      </c>
      <c r="G47" s="153"/>
      <c r="H47" s="154"/>
      <c r="I47" s="147"/>
      <c r="J47" s="79"/>
      <c r="K47" s="112"/>
      <c r="L47" s="129" t="s">
        <v>26</v>
      </c>
      <c r="M47" s="116">
        <f>M44+M46+M45</f>
        <v>2618.6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81</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43909</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Facture!$M$47</f>
        <v>2618.6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2020-02-20T11:56:31Z</cp:lastPrinted>
  <dcterms:created xsi:type="dcterms:W3CDTF">1995-05-29T15:50:39Z</dcterms:created>
  <dcterms:modified xsi:type="dcterms:W3CDTF">2020-03-19T12:05:08Z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2618.6</vt:r8>
  </property>
</Properties>
</file>