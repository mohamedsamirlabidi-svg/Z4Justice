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6" i="3" l="1"/>
  <c r="M37" i="3"/>
  <c r="M38" i="3"/>
  <c r="M41" i="3" l="1"/>
  <c r="M43" i="3"/>
  <c r="M39" i="3" l="1"/>
  <c r="M35" i="3" l="1"/>
  <c r="M31" i="3" l="1"/>
  <c r="M32"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<sst xmlns="http://schemas.openxmlformats.org/spreadsheetml/2006/main" count="86" uniqueCount="78">
  <si>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</si>
  <si>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</si>
  <si>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</si>
  <si>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</si>
  <si>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</si>
  <si>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</si>
  <si>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</si>
  <si>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</si>
  <si>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</si>
  <si>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</si>
  <si>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</si>
  <si>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</si>
  <si>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</si>
  <si>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</si>
  <si>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</si>
  <si>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</si>
  <si>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</si>
  <si>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</si>
  <si>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</si>
  <si>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</si>
  <si>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</si>
  <si>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</si>
  <si>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</si>
  <si>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</si>
  <si>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</si>
  <si>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</si>
  <si>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</si>
  <si>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</si>
  <si>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</si>
  <si>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</si>
  <si>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</si>
  <si>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</si>
  <si>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</si>
  <si>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</si>
  <si>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</si>
  <si>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</si>
  <si>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</si>
  <si>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</si>
  <si>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</si>
  <si>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</si>
  <si>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</si>
  <si>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</si>
  <si>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</si>
  <si>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</si>
  <si>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</si>
  <si>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</si>
  <si>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</si>
  <si>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</si>
  <si>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</si>
  <si>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</si>
  <si>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</si>
  <si>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</si>
  <si>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</si>
  <si>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</si>
  <si>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</si>
  <si>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</si>
  <si>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</si>
  <si>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</si>
  <si>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</si>
  <si>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</si>
  <si>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</si>
  <si>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</si>
  <si>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</si>
  <si>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</si>
  <si>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</si>
  <si>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</si>
  <si>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</si>
  <si>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</si>
  <si>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</si>
  <si>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</si>
  <si>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</si>
  <si>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</si>
  <si>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</si>
  <si>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</si>
  <si>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ARRETE LA PRESENTE FACTURE A LA SOMME DE :QUATRE CENT SOIXANTE SEIZE DINARS 600 MILLIMES</t>
  </si>
  <si>
    <t>FACTURE  N°2020-019</t>
  </si>
  <si>
    <t xml:space="preserve">    COMMANDE N°:  </t>
  </si>
  <si>
    <t xml:space="preserve">SUR PYLONE DE TELECOMMUNICATION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</si>
</sst>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38" sqref="F38:K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75</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43900</v>
      </c>
      <c r="M23" s="109"/>
      <c r="N23" s="55"/>
      <c r="O23" s="9"/>
    </row>
    <row r="24" spans="1:15" ht="27" x14ac:dyDescent="0.35">
      <c r="B24" s="7"/>
      <c r="C24" s="3"/>
      <c r="D24" s="125" t="s">
        <v>53</v>
      </c>
      <c r="E24" s="188" t="s">
        <v>69</v>
      </c>
      <c r="F24" s="188"/>
      <c r="G24" s="188"/>
      <c r="H24" s="189"/>
      <c r="I24" s="189"/>
      <c r="J24" s="189"/>
      <c r="K24" s="201" t="s">
        <v>76</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2</v>
      </c>
      <c r="F35" s="171" t="s">
        <v>72</v>
      </c>
      <c r="G35" s="172"/>
      <c r="H35" s="172"/>
      <c r="I35" s="172"/>
      <c r="J35" s="172"/>
      <c r="K35" s="173"/>
      <c r="L35" s="101">
        <v>200</v>
      </c>
      <c r="M35" s="102">
        <f t="shared" ref="M35:M43" si="0">IF(E35&lt;&gt;"",E35*L35,"")</f>
        <v>400</v>
      </c>
      <c r="N35" s="57"/>
      <c r="O35" s="9"/>
    </row>
    <row r="36" spans="2:15" ht="26.25" x14ac:dyDescent="0.4">
      <c r="B36" s="7"/>
      <c r="C36" s="3"/>
      <c r="D36" s="132"/>
      <c r="E36" s="100"/>
      <c r="F36" s="171" t="s">
        <v>77</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c r="E41" s="100"/>
      <c r="F41" s="168"/>
      <c r="G41" s="169"/>
      <c r="H41" s="169"/>
      <c r="I41" s="169"/>
      <c r="J41" s="169"/>
      <c r="K41" s="170"/>
      <c r="L41" s="139"/>
      <c r="M41" s="102" t="str">
        <f>IF(E41&lt;&gt;"",E41*L41,"")</f>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76</v>
      </c>
      <c r="N46" s="57"/>
      <c r="O46" s="9"/>
    </row>
    <row r="47" spans="2:15" ht="30" x14ac:dyDescent="0.4">
      <c r="B47" s="7"/>
      <c r="C47" s="3"/>
      <c r="D47" s="3"/>
      <c r="E47" s="86"/>
      <c r="F47" s="152" t="s">
        <v>67</v>
      </c>
      <c r="G47" s="153"/>
      <c r="H47" s="154"/>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74</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43900</v>
      </c>
      <c r="D8" s="72" t="str">
        <f>Facture!$E$23</f>
        <v xml:space="preserve">NXT </v>
      </c>
      <c r="E8" s="69" t="str">
        <f>Facture!$E$24</f>
        <v>AV MOSBAH JARBOU EL MANAR II</v>
      </c>
      <c r="F8" s="69">
        <f>Facture!$E$25</f>
        <v>2092</v>
      </c>
      <c r="G8" s="72">
        <f>Facture!$G$25</f>
        <v>0</v>
      </c>
      <c r="H8" s="72" t="str">
        <f>Facture!$J$25</f>
        <v>TN</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2020-02-24T08:27:14Z</cp:lastPrinted>
  <dcterms:created xsi:type="dcterms:W3CDTF">1995-05-29T15:50:39Z</dcterms:created>
  <dcterms:modified xsi:type="dcterms:W3CDTF">2020-03-10T13:51:28Z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