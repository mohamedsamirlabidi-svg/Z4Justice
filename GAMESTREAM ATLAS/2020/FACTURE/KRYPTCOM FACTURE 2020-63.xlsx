
<file path=[Content_Types].xml><?xml version="1.0" encoding="utf-8"?>
<Types xmlns="http://schemas.openxmlformats.org/package/2006/content-types">
  <Default Extension="bin" ContentType="application/vnd.openxmlformats-officedocument.spreadsheetml.printerSettings"/>
  <Default Extension="png" ContentType="image/pn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GAMESTREAM ATLAS\2020\FACTURE\"/>
    </mc:Choice>
  </mc:AlternateContent>
  <bookViews>
    <workbookView xWindow="0" yWindow="0" windowWidth="19200" windowHeight="127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 r:id="rId11"/>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Facture!$L$51</definedName>
    <definedName name="_Tax2">Facture!#REF!</definedName>
    <definedName name="_Tax3">Facture!#REF!</definedName>
    <definedName name="_tax4">Facture!#REF!</definedName>
    <definedName name="_xlnm.Auto_Open21">'AutoOpen Stub Data'!$A$1</definedName>
    <definedName name="boxes">Facture!$E$51:$E$52</definedName>
    <definedName name="CC">'Personnaliser votre facture'!$G$22:$G$25</definedName>
    <definedName name="CCT">Facture!$H$55</definedName>
    <definedName name="CDB">'Personnaliser votre facture'!$E$50</definedName>
    <definedName name="Country">33</definedName>
    <definedName name="CS">'Personnaliser votre facture'!$E$51</definedName>
    <definedName name="data1">Facture!$L$23</definedName>
    <definedName name="data10">Facture!$F$26</definedName>
    <definedName name="data11">Facture!$E$31</definedName>
    <definedName name="data12">Facture!$F$31</definedName>
    <definedName name="data13">Facture!$L$31</definedName>
    <definedName name="data14">Facture!$E$32</definedName>
    <definedName name="data15">Facture!$F$32</definedName>
    <definedName name="data16">Facture!$L$32</definedName>
    <definedName name="data17">Facture!#REF!</definedName>
    <definedName name="data18">Facture!#REF!</definedName>
    <definedName name="data19">Facture!#REF!</definedName>
    <definedName name="data2">Facture!$M$24</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Facture!$M$25</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Facture!$M$26</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Facture!$E$23</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Facture!$E$39</definedName>
    <definedName name="data57">Facture!$F$43</definedName>
    <definedName name="data58">Facture!$L$39</definedName>
    <definedName name="data59">Facture!$E$48</definedName>
    <definedName name="data6">Facture!$F$24</definedName>
    <definedName name="data60">Facture!#REF!</definedName>
    <definedName name="data61">Facture!$L$48</definedName>
    <definedName name="data62">Facture!$E$51</definedName>
    <definedName name="data63">Facture!$E$52</definedName>
    <definedName name="data64">Facture!$E$55</definedName>
    <definedName name="data65">Facture!$H$52</definedName>
    <definedName name="data66">Facture!$F$57</definedName>
    <definedName name="data67">Facture!$F$59</definedName>
    <definedName name="data68">Facture!$G$60</definedName>
    <definedName name="data69">Facture!$K$60</definedName>
    <definedName name="data7">Facture!$H$25</definedName>
    <definedName name="data70">Facture!#REF!</definedName>
    <definedName name="data8">Facture!$J$25</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Facture!$C$3:$N$71</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Facture!$M$11</definedName>
    <definedName name="NS">'Personnaliser votre facture'!$E$49</definedName>
    <definedName name="qzqzqz1">Facture!$E$23:$J$23</definedName>
    <definedName name="qzqzqz10">Facture!$F$32:$K$32</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Facture!$L$23:$M$23</definedName>
    <definedName name="qzqzqz20">Facture!#REF!</definedName>
    <definedName name="qzqzqz21">Facture!#REF!</definedName>
    <definedName name="qzqzqz22">Facture!#REF!</definedName>
    <definedName name="qzqzqz23">Facture!#REF!</definedName>
    <definedName name="qzqzqz24">Facture!$F$43:$K$43</definedName>
    <definedName name="qzqzqz25">Facture!#REF!</definedName>
    <definedName name="qzqzqz26">Facture!$F$57:$I$57</definedName>
    <definedName name="qzqzqz27">Facture!$F$58:$I$58</definedName>
    <definedName name="qzqzqz28">Facture!$F$59:$I$59</definedName>
    <definedName name="qzqzqz29">Facture!$K$59:$M$60</definedName>
    <definedName name="qzqzqz3">Facture!$E$24:$J$24</definedName>
    <definedName name="qzqzqz30">Facture!$G$60:$I$60</definedName>
    <definedName name="qzqzqz31">Facture!$G$60:$H$60</definedName>
    <definedName name="qzqzqz32">Facture!$K$58:$M$60</definedName>
    <definedName name="qzqzqz4">Facture!$G$25:$H$25</definedName>
    <definedName name="qzqzqz5">Facture!$L$25:$M$25</definedName>
    <definedName name="qzqzqz6">Facture!$E$26:$J$26</definedName>
    <definedName name="qzqzqz7">Facture!$L$26:$M$26</definedName>
    <definedName name="qzqzqz8">Facture!$F$30:$K$30</definedName>
    <definedName name="qzqzqz9">Facture!$F$31:$K$31</definedName>
    <definedName name="SS">'Personnaliser votre facture'!$E$48</definedName>
    <definedName name="TOT">Facture!$M$52</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Facture!$C$3:$N$71</definedName>
  </definedNames>
  <calcPr calcId="152511"/>
</workbook>
</file>

<file path=xl/calcChain.xml><?xml version="1.0" encoding="utf-8"?>
<calcChain xmlns="http://schemas.openxmlformats.org/spreadsheetml/2006/main">
  <c r="M37" i="3" l="1"/>
  <c r="M38" i="3"/>
  <c r="M39" i="3"/>
  <c r="M40" i="3"/>
  <c r="M41" i="3" l="1"/>
  <c r="M31" i="3" l="1"/>
  <c r="M32" i="3"/>
  <c r="M34" i="3"/>
  <c r="M35" i="3"/>
  <c r="M36" i="3"/>
  <c r="M48" i="3"/>
  <c r="M49" i="3" l="1"/>
  <c r="M51" i="3" s="1"/>
  <c r="F33" i="2"/>
  <c r="K8" i="8"/>
  <c r="I8" i="8"/>
  <c r="H8" i="8"/>
  <c r="G8" i="8"/>
  <c r="F8" i="8"/>
  <c r="E8" i="8"/>
  <c r="D8" i="8"/>
  <c r="C8" i="8"/>
  <c r="B8" i="8"/>
  <c r="M52" i="3" l="1"/>
  <c r="J8" i="8" s="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C3" authorId="0" shapeId="0">
      <text>
        <r>
          <rPr>
            <sz val="8"/>
            <color indexed="81"/>
            <rFont val="Tahoma"/>
            <family val="2"/>
          </rPr>
          <t>Si vous n'avez pas inséré de logo dans votre modèle de facture personnalisé, cette zone n'apparaîtra pas sur vos documents imprimés.</t>
        </r>
      </text>
    </comment>
  </commentList>
</comments>
</file>

<file path=xl/sharedStrings.xml><?xml version="1.0" encoding="utf-8"?>
<sst xmlns="http://schemas.openxmlformats.org/spreadsheetml/2006/main" count="88" uniqueCount="80">
  <si>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</si>
  <si>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</si>
  <si>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</si>
  <si>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</si>
  <si>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</si>
  <si>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</si>
  <si>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</si>
  <si>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</si>
  <si>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</si>
  <si>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</si>
  <si>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</si>
  <si>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</si>
  <si>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</si>
  <si>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</si>
  <si>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</si>
  <si>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</si>
  <si>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</si>
  <si>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</si>
  <si>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</si>
  <si>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</si>
  <si>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</si>
  <si>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Quantité</t>
  </si>
  <si>
    <t>Description</t>
  </si>
  <si>
    <t>P.U.</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</si>
  <si>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</si>
  <si>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</si>
  <si>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</si>
  <si>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</si>
  <si>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</si>
  <si>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</si>
  <si>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</si>
  <si>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</si>
  <si>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</si>
  <si>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</si>
  <si>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</si>
  <si>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</si>
  <si>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</si>
  <si>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</si>
  <si>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</si>
  <si>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</si>
  <si>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</si>
  <si>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</si>
  <si>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</si>
  <si>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</si>
  <si>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</si>
  <si>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</si>
  <si>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</si>
  <si>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</si>
  <si>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TEL:  71 258108</t>
  </si>
  <si>
    <t>FAX : 71 259346</t>
  </si>
  <si>
    <t xml:space="preserve">GAMESTREAM ATLAS  ORGANISME DE FORMATION N° D'AGREMENT : 01 069 11 </t>
  </si>
  <si>
    <t/>
  </si>
  <si>
    <t>Ville:</t>
  </si>
  <si>
    <t>Nom:</t>
  </si>
  <si>
    <t>Adresse:</t>
  </si>
  <si>
    <t xml:space="preserve">Téléphone: </t>
  </si>
  <si>
    <t>PAYS</t>
  </si>
  <si>
    <t>TN</t>
  </si>
  <si>
    <t xml:space="preserve">     Date:</t>
  </si>
  <si>
    <t>FORMATION THEORIQUE ET PRATIQUE :</t>
  </si>
  <si>
    <t xml:space="preserve">Code postal: </t>
  </si>
  <si>
    <t>T.V.A 19%</t>
  </si>
  <si>
    <t xml:space="preserve">SIGNATURE &amp; CACHET </t>
  </si>
  <si>
    <t xml:space="preserve">      MF:                 </t>
  </si>
  <si>
    <r>
      <t xml:space="preserve">4,RUE DU CAIRE 1001 TUNIS- Tunisie     Tél : (216).71 258 108 Fax : (216).71 259 346
</t>
    </r>
    <r>
      <rPr>
        <b/>
        <sz val="18"/>
        <rFont val="Arial"/>
        <family val="2"/>
      </rPr>
      <t>RDC:B159472001 / MF:778013 ZMA 000</t>
    </r>
    <r>
      <rPr>
        <b/>
        <sz val="16"/>
        <rFont val="Arial"/>
        <family val="2"/>
      </rPr>
      <t xml:space="preserve">
Mail:gamestream@planet.tn//gamestream.formation@gmail.com</t>
    </r>
  </si>
  <si>
    <t xml:space="preserve">    COMMANDE N°: </t>
  </si>
  <si>
    <t>HABILITATION TRAVAIL EN HAUTEUR</t>
  </si>
  <si>
    <t>HTH 001</t>
  </si>
  <si>
    <t>KRYPTCOM</t>
  </si>
  <si>
    <t xml:space="preserve">     Responsable: Mr.Imed Benchamekh</t>
  </si>
  <si>
    <t xml:space="preserve">SUR PYLONE ET MAT </t>
  </si>
  <si>
    <t xml:space="preserve">DE TELECOMMUNICATION </t>
  </si>
  <si>
    <t xml:space="preserve">Virement </t>
  </si>
  <si>
    <t>Chèque</t>
  </si>
  <si>
    <t>Espèces</t>
  </si>
  <si>
    <t>arreter la presente facture ala somme de mille quatre cent vingt huite dinars et 600 millimes</t>
  </si>
  <si>
    <t>1421927Q/A/M/000</t>
  </si>
  <si>
    <t>50 RUE DE L'ARTISANAT ZI CHARGUIA 2</t>
  </si>
  <si>
    <t>31 403 263 FAX: 32 403 263</t>
  </si>
  <si>
    <t>FACTURE N°2020-063</t>
  </si>
</sst>
</file>

<file path=xl/styles.xml><?xml version="1.0" encoding="utf-8"?>
<styleSheet xmlns="http://schemas.openxmlformats.org/spreadsheetml/2006/main" xmlns:mc="http://schemas.openxmlformats.org/markup-compatibility/2006" xmlns:x14ac="http://schemas.microsoft.com/office/spreadsheetml/2009/9/ac" mc:Ignorable="x14ac">
  <numFmts count="8">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 numFmtId="170" formatCode="0.000_ ;[Red]\-0.000\ "/>
  </numFmts>
  <fonts count="50"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sz val="12"/>
      <name val="Arial"/>
      <family val="2"/>
    </font>
    <font>
      <b/>
      <sz val="12"/>
      <name val="Arial"/>
      <family val="2"/>
    </font>
    <font>
      <i/>
      <sz val="12"/>
      <name val="Arial"/>
      <family val="2"/>
    </font>
    <font>
      <i/>
      <sz val="10"/>
      <color indexed="63"/>
      <name val="Times New Roman CE"/>
      <family val="1"/>
      <charset val="238"/>
    </font>
    <font>
      <b/>
      <sz val="14"/>
      <name val="Arial"/>
      <family val="2"/>
    </font>
    <font>
      <b/>
      <i/>
      <sz val="9"/>
      <name val="Lucida Sans"/>
      <family val="2"/>
    </font>
    <font>
      <i/>
      <u/>
      <sz val="14"/>
      <name val="Arial"/>
      <family val="2"/>
    </font>
    <font>
      <sz val="14"/>
      <name val="Arial"/>
      <family val="2"/>
    </font>
    <font>
      <sz val="16"/>
      <name val="Arial"/>
      <family val="2"/>
    </font>
    <font>
      <b/>
      <sz val="18"/>
      <name val="Arial"/>
      <family val="2"/>
    </font>
    <font>
      <sz val="18"/>
      <name val="Arial"/>
      <family val="2"/>
    </font>
    <font>
      <b/>
      <sz val="20"/>
      <name val="Arial"/>
      <family val="2"/>
    </font>
    <font>
      <sz val="20"/>
      <name val="Arial"/>
      <family val="2"/>
    </font>
    <font>
      <b/>
      <sz val="24"/>
      <name val="Arial"/>
      <family val="2"/>
    </font>
    <font>
      <b/>
      <sz val="26"/>
      <name val="Arial"/>
      <family val="2"/>
    </font>
    <font>
      <sz val="20"/>
      <name val="Times New Roman"/>
      <family val="1"/>
    </font>
    <font>
      <sz val="24"/>
      <name val="Arial"/>
      <family val="2"/>
    </font>
    <font>
      <sz val="22"/>
      <name val="Arial"/>
      <family val="2"/>
    </font>
    <font>
      <b/>
      <sz val="22"/>
      <name val="Arial"/>
      <family val="2"/>
    </font>
    <font>
      <b/>
      <sz val="24"/>
      <color indexed="8"/>
      <name val="Arial"/>
      <family val="2"/>
    </font>
    <font>
      <sz val="24"/>
      <color indexed="8"/>
      <name val="Arial"/>
      <family val="2"/>
    </font>
    <font>
      <sz val="18"/>
      <name val="Times New Roman"/>
      <family val="1"/>
    </font>
    <font>
      <sz val="10"/>
      <color rgb="FF000000"/>
      <name val="Arial"/>
      <family val="2"/>
    </font>
    <font>
      <b/>
      <sz val="20"/>
      <name val="Times New Roman"/>
      <family val="1"/>
    </font>
    <font>
      <sz val="14"/>
      <name val="Times New Roman"/>
      <family val="1"/>
    </font>
    <font>
      <sz val="10"/>
      <color rgb="FFFF0000"/>
      <name val="Arial"/>
      <family val="2"/>
    </font>
    <font>
      <b/>
      <sz val="16"/>
      <name val="Arial"/>
      <family val="2"/>
    </font>
    <font>
      <b/>
      <sz val="28"/>
      <name val="Aharoni"/>
      <charset val="177"/>
    </font>
    <font>
      <b/>
      <sz val="24"/>
      <name val="Aharoni"/>
      <charset val="177"/>
    </font>
    <font>
      <sz val="11"/>
      <color rgb="FFFF0000"/>
      <name val="Arial"/>
      <family val="2"/>
    </font>
    <font>
      <sz val="16"/>
      <name val="Times New Roman"/>
      <family val="1"/>
    </font>
    <font>
      <b/>
      <sz val="20"/>
      <color rgb="FFFF0000"/>
      <name val="Times New Roman"/>
      <family val="1"/>
    </font>
    <font>
      <b/>
      <sz val="9"/>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0">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style="hair">
        <color indexed="64"/>
      </right>
      <top style="hair">
        <color indexed="64"/>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style="hair">
        <color indexed="64"/>
      </right>
      <top/>
      <bottom style="hair">
        <color indexed="64"/>
      </bottom>
      <diagonal/>
    </border>
    <border>
      <left/>
      <right/>
      <top/>
      <bottom style="thin">
        <color indexed="32"/>
      </bottom>
      <diagonal/>
    </border>
    <border>
      <left style="hair">
        <color indexed="64"/>
      </left>
      <right style="hair">
        <color indexed="64"/>
      </right>
      <top/>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style="hair">
        <color indexed="64"/>
      </top>
      <bottom style="hair">
        <color indexed="64"/>
      </bottom>
      <diagonal/>
    </border>
    <border>
      <left/>
      <right/>
      <top/>
      <bottom style="hair">
        <color indexed="64"/>
      </bottom>
      <diagonal/>
    </border>
    <border>
      <left/>
      <right/>
      <top style="hair">
        <color indexed="22"/>
      </top>
      <bottom style="hair">
        <color indexed="22"/>
      </bottom>
      <diagonal/>
    </border>
    <border>
      <left/>
      <right/>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style="hair">
        <color indexed="64"/>
      </top>
      <bottom style="hair">
        <color indexed="64"/>
      </bottom>
      <diagonal/>
    </border>
    <border>
      <left style="hair">
        <color indexed="64"/>
      </left>
      <right/>
      <top style="hair">
        <color indexed="64"/>
      </top>
      <bottom/>
      <diagonal/>
    </border>
    <border>
      <left/>
      <right/>
      <top style="hair">
        <color indexed="64"/>
      </top>
      <bottom/>
      <diagonal/>
    </border>
    <border>
      <left/>
      <right style="hair">
        <color indexed="64"/>
      </right>
      <top style="hair">
        <color indexed="64"/>
      </top>
      <bottom/>
      <diagonal/>
    </border>
    <border>
      <left/>
      <right/>
      <top style="hair">
        <color indexed="22"/>
      </top>
      <bottom/>
      <diagonal/>
    </border>
  </borders>
  <cellStyleXfs count="5">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cellStyleXfs>
  <cellXfs count="210">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0" fillId="3" borderId="0" xfId="0" quotePrefix="1" applyFill="1" applyBorder="1" applyAlignment="1">
      <alignment horizontal="right"/>
    </xf>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0" fontId="0" fillId="3" borderId="25" xfId="0" applyFill="1" applyBorder="1" applyAlignment="1">
      <alignment horizontal="center"/>
    </xf>
    <xf numFmtId="0" fontId="0" fillId="3" borderId="26"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7" xfId="0" applyFill="1" applyBorder="1"/>
    <xf numFmtId="0" fontId="3" fillId="3" borderId="27" xfId="0" applyFont="1" applyFill="1" applyBorder="1"/>
    <xf numFmtId="0" fontId="9" fillId="3" borderId="0" xfId="0" applyFont="1" applyFill="1" applyBorder="1" applyAlignment="1"/>
    <xf numFmtId="0" fontId="0" fillId="3" borderId="28" xfId="0" applyNumberFormat="1" applyFill="1" applyBorder="1" applyAlignment="1">
      <alignment horizontal="left"/>
    </xf>
    <xf numFmtId="10" fontId="0" fillId="3" borderId="29"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0" fillId="3" borderId="30" xfId="0" applyFill="1" applyBorder="1"/>
    <xf numFmtId="0" fontId="0" fillId="3" borderId="31" xfId="0" applyFill="1" applyBorder="1"/>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8" xfId="0" applyNumberFormat="1" applyFill="1" applyBorder="1" applyAlignment="1">
      <alignment horizontal="left"/>
    </xf>
    <xf numFmtId="0" fontId="16" fillId="3" borderId="0" xfId="0" applyFont="1" applyFill="1" applyBorder="1" applyAlignment="1">
      <alignment horizontal="right"/>
    </xf>
    <xf numFmtId="0" fontId="17" fillId="3" borderId="0" xfId="0" applyFont="1" applyFill="1" applyBorder="1"/>
    <xf numFmtId="0" fontId="17" fillId="3" borderId="0" xfId="0" applyFont="1" applyFill="1"/>
    <xf numFmtId="9" fontId="18" fillId="3" borderId="0" xfId="0" applyNumberFormat="1" applyFont="1" applyFill="1" applyBorder="1"/>
    <xf numFmtId="0" fontId="17" fillId="3" borderId="0" xfId="0" quotePrefix="1" applyFont="1" applyFill="1" applyBorder="1"/>
    <xf numFmtId="0" fontId="17" fillId="3" borderId="0" xfId="0" applyFont="1" applyFill="1" applyBorder="1" applyAlignment="1"/>
    <xf numFmtId="0" fontId="17" fillId="3" borderId="0" xfId="0" applyFont="1" applyFill="1" applyBorder="1" applyAlignment="1">
      <alignment vertical="top"/>
    </xf>
    <xf numFmtId="0" fontId="4" fillId="3" borderId="0" xfId="0" applyFont="1" applyFill="1" applyBorder="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0" fontId="4" fillId="3" borderId="0" xfId="0" quotePrefix="1" applyFont="1" applyFill="1" applyBorder="1" applyAlignment="1">
      <alignment horizontal="right"/>
    </xf>
    <xf numFmtId="0" fontId="4" fillId="3" borderId="0" xfId="0" applyFont="1" applyFill="1" applyBorder="1" applyAlignment="1">
      <alignment vertical="top"/>
    </xf>
    <xf numFmtId="0" fontId="20" fillId="4" borderId="0" xfId="0" applyFont="1" applyFill="1" applyBorder="1" applyAlignment="1"/>
    <xf numFmtId="0" fontId="0" fillId="3" borderId="34" xfId="0" applyFill="1" applyBorder="1"/>
    <xf numFmtId="0" fontId="3" fillId="3" borderId="34" xfId="0" applyFont="1" applyFill="1" applyBorder="1"/>
    <xf numFmtId="168" fontId="0" fillId="0" borderId="35" xfId="0" applyNumberFormat="1" applyFill="1" applyBorder="1" applyAlignment="1"/>
    <xf numFmtId="168" fontId="0" fillId="0" borderId="25" xfId="0" applyNumberFormat="1" applyFill="1" applyBorder="1"/>
    <xf numFmtId="0" fontId="21" fillId="3" borderId="36" xfId="0" applyFont="1" applyFill="1" applyBorder="1" applyAlignment="1">
      <alignment horizontal="center"/>
    </xf>
    <xf numFmtId="0" fontId="21" fillId="3" borderId="37" xfId="0" applyFont="1" applyFill="1" applyBorder="1" applyAlignment="1">
      <alignment horizontal="center"/>
    </xf>
    <xf numFmtId="0" fontId="28" fillId="3" borderId="35" xfId="0" applyFont="1" applyFill="1" applyBorder="1" applyAlignment="1">
      <alignment horizontal="center"/>
    </xf>
    <xf numFmtId="168" fontId="28" fillId="0" borderId="35" xfId="0" applyNumberFormat="1" applyFont="1" applyFill="1" applyBorder="1" applyAlignment="1"/>
    <xf numFmtId="168" fontId="28" fillId="0" borderId="35" xfId="0" applyNumberFormat="1" applyFont="1" applyFill="1" applyBorder="1"/>
    <xf numFmtId="0" fontId="29" fillId="3" borderId="35" xfId="0" applyFont="1" applyFill="1" applyBorder="1" applyAlignment="1">
      <alignment horizontal="center"/>
    </xf>
    <xf numFmtId="168" fontId="29" fillId="0" borderId="35" xfId="0" applyNumberFormat="1" applyFont="1" applyFill="1" applyBorder="1" applyAlignment="1"/>
    <xf numFmtId="168" fontId="29" fillId="0" borderId="35" xfId="0" applyNumberFormat="1" applyFont="1" applyFill="1" applyBorder="1"/>
    <xf numFmtId="49" fontId="32" fillId="3" borderId="0" xfId="0" quotePrefix="1" applyNumberFormat="1" applyFont="1" applyFill="1" applyBorder="1" applyAlignment="1"/>
    <xf numFmtId="49" fontId="32" fillId="3" borderId="32" xfId="0" quotePrefix="1" applyNumberFormat="1" applyFont="1" applyFill="1" applyBorder="1" applyAlignment="1"/>
    <xf numFmtId="0" fontId="0" fillId="6" borderId="0" xfId="0" applyFill="1" applyBorder="1"/>
    <xf numFmtId="0" fontId="28" fillId="6" borderId="0" xfId="0" applyFont="1" applyFill="1" applyAlignment="1">
      <alignment horizontal="center" vertical="center"/>
    </xf>
    <xf numFmtId="14" fontId="34" fillId="6" borderId="39" xfId="0" applyNumberFormat="1" applyFont="1" applyFill="1" applyBorder="1" applyAlignment="1"/>
    <xf numFmtId="0" fontId="25" fillId="3" borderId="0" xfId="0" applyFont="1" applyFill="1" applyBorder="1" applyAlignment="1">
      <alignment horizontal="left"/>
    </xf>
    <xf numFmtId="0" fontId="34" fillId="6" borderId="39" xfId="0" applyFont="1" applyFill="1" applyBorder="1" applyAlignment="1"/>
    <xf numFmtId="0" fontId="35" fillId="3" borderId="0" xfId="0" applyFont="1" applyFill="1" applyBorder="1" applyAlignment="1">
      <alignment horizontal="right"/>
    </xf>
    <xf numFmtId="49" fontId="34" fillId="3" borderId="41" xfId="0" applyNumberFormat="1" applyFont="1" applyFill="1" applyBorder="1" applyAlignment="1">
      <alignment horizontal="left"/>
    </xf>
    <xf numFmtId="0" fontId="33" fillId="3" borderId="0" xfId="0" applyFont="1" applyFill="1" applyBorder="1"/>
    <xf numFmtId="0" fontId="33" fillId="3" borderId="0" xfId="0" applyFont="1" applyFill="1"/>
    <xf numFmtId="0" fontId="30" fillId="0" borderId="0" xfId="0" applyFont="1" applyFill="1" applyBorder="1" applyAlignment="1">
      <alignment horizontal="right"/>
    </xf>
    <xf numFmtId="0" fontId="33" fillId="3" borderId="0" xfId="0" applyFont="1" applyFill="1" applyBorder="1" applyAlignment="1"/>
    <xf numFmtId="168" fontId="36" fillId="0" borderId="37" xfId="0" applyNumberFormat="1" applyFont="1" applyFill="1" applyBorder="1" applyAlignment="1">
      <alignment shrinkToFit="1"/>
    </xf>
    <xf numFmtId="49" fontId="35" fillId="3" borderId="0" xfId="0" applyNumberFormat="1" applyFont="1" applyFill="1" applyBorder="1" applyAlignment="1">
      <alignment horizontal="left"/>
    </xf>
    <xf numFmtId="170" fontId="37" fillId="0" borderId="37" xfId="0" applyNumberFormat="1" applyFont="1" applyFill="1" applyBorder="1" applyAlignment="1">
      <alignment shrinkToFit="1"/>
    </xf>
    <xf numFmtId="0" fontId="19" fillId="3" borderId="0" xfId="0" applyFont="1" applyFill="1" applyBorder="1" applyAlignment="1">
      <alignment horizontal="center" vertical="center" wrapText="1"/>
    </xf>
    <xf numFmtId="0" fontId="21" fillId="6" borderId="0" xfId="0" applyFont="1" applyFill="1" applyBorder="1" applyAlignment="1">
      <alignment horizontal="center" vertical="center" wrapText="1"/>
    </xf>
    <xf numFmtId="49" fontId="32" fillId="3" borderId="0" xfId="0" applyNumberFormat="1" applyFont="1" applyFill="1" applyBorder="1" applyAlignment="1">
      <alignment horizontal="left"/>
    </xf>
    <xf numFmtId="49" fontId="32" fillId="3" borderId="32" xfId="0" applyNumberFormat="1" applyFont="1" applyFill="1" applyBorder="1" applyAlignment="1">
      <alignment horizontal="left"/>
    </xf>
    <xf numFmtId="0" fontId="26" fillId="6" borderId="0" xfId="0" applyFont="1" applyFill="1" applyBorder="1" applyAlignment="1">
      <alignment horizontal="left"/>
    </xf>
    <xf numFmtId="0" fontId="0" fillId="6" borderId="0" xfId="0" applyFill="1"/>
    <xf numFmtId="0" fontId="5" fillId="6" borderId="0" xfId="0" applyFont="1" applyFill="1" applyAlignment="1">
      <alignment horizontal="center" vertical="center"/>
    </xf>
    <xf numFmtId="49" fontId="40" fillId="3" borderId="30" xfId="0" applyNumberFormat="1" applyFont="1" applyFill="1" applyBorder="1" applyAlignment="1">
      <alignment horizontal="left"/>
    </xf>
    <xf numFmtId="49" fontId="40" fillId="3" borderId="0" xfId="0" applyNumberFormat="1" applyFont="1" applyFill="1" applyBorder="1" applyAlignment="1">
      <alignment horizontal="left"/>
    </xf>
    <xf numFmtId="0" fontId="26" fillId="3" borderId="0" xfId="0" applyFont="1" applyFill="1" applyBorder="1"/>
    <xf numFmtId="0" fontId="17" fillId="3" borderId="0" xfId="0" quotePrefix="1" applyFont="1" applyFill="1" applyBorder="1" applyAlignment="1">
      <alignment horizontal="right"/>
    </xf>
    <xf numFmtId="0" fontId="34" fillId="0" borderId="37" xfId="0" applyFont="1" applyFill="1" applyBorder="1" applyAlignment="1">
      <alignment horizontal="right"/>
    </xf>
    <xf numFmtId="10" fontId="33" fillId="0" borderId="37" xfId="0" quotePrefix="1" applyNumberFormat="1" applyFont="1" applyFill="1" applyBorder="1" applyAlignment="1">
      <alignment horizontal="center"/>
    </xf>
    <xf numFmtId="0" fontId="30" fillId="0" borderId="37" xfId="0" applyFont="1" applyFill="1" applyBorder="1" applyAlignment="1">
      <alignment horizontal="right"/>
    </xf>
    <xf numFmtId="0" fontId="33" fillId="0" borderId="36" xfId="0" quotePrefix="1" applyFont="1" applyFill="1" applyBorder="1" applyAlignment="1">
      <alignment horizontal="right"/>
    </xf>
    <xf numFmtId="168" fontId="37" fillId="0" borderId="26" xfId="0" applyNumberFormat="1" applyFont="1" applyFill="1" applyBorder="1" applyAlignment="1">
      <alignment shrinkToFit="1"/>
    </xf>
    <xf numFmtId="0" fontId="0" fillId="3" borderId="26" xfId="0" applyFill="1" applyBorder="1"/>
    <xf numFmtId="0" fontId="24" fillId="3" borderId="30" xfId="0" applyFont="1" applyFill="1" applyBorder="1" applyAlignment="1">
      <alignment horizontal="center"/>
    </xf>
    <xf numFmtId="49" fontId="38" fillId="3" borderId="30" xfId="0" applyNumberFormat="1" applyFont="1" applyFill="1" applyBorder="1" applyAlignment="1"/>
    <xf numFmtId="49" fontId="38" fillId="3" borderId="0" xfId="0" applyNumberFormat="1" applyFont="1" applyFill="1" applyBorder="1" applyAlignment="1"/>
    <xf numFmtId="49" fontId="38" fillId="3" borderId="32" xfId="0" applyNumberFormat="1" applyFont="1" applyFill="1" applyBorder="1" applyAlignment="1"/>
    <xf numFmtId="0" fontId="0" fillId="6" borderId="35" xfId="0" applyFill="1" applyBorder="1"/>
    <xf numFmtId="0" fontId="0" fillId="6" borderId="38" xfId="0" applyFill="1" applyBorder="1" applyAlignment="1"/>
    <xf numFmtId="168" fontId="29" fillId="0" borderId="30" xfId="0" applyNumberFormat="1" applyFont="1" applyFill="1" applyBorder="1" applyAlignment="1"/>
    <xf numFmtId="0" fontId="41" fillId="3" borderId="0" xfId="0" applyFont="1" applyFill="1" applyBorder="1" applyAlignment="1">
      <alignment horizontal="left"/>
    </xf>
    <xf numFmtId="0" fontId="0" fillId="6" borderId="8" xfId="0" applyFill="1" applyBorder="1"/>
    <xf numFmtId="0" fontId="0" fillId="6" borderId="9" xfId="0" applyFill="1" applyBorder="1"/>
    <xf numFmtId="168" fontId="36" fillId="0" borderId="0" xfId="0" applyNumberFormat="1" applyFont="1" applyFill="1" applyBorder="1" applyAlignment="1">
      <alignment shrinkToFit="1"/>
    </xf>
    <xf numFmtId="0" fontId="0" fillId="6" borderId="0" xfId="0" applyNumberFormat="1" applyFont="1" applyFill="1" applyBorder="1" applyAlignment="1"/>
    <xf numFmtId="0" fontId="42" fillId="3" borderId="0" xfId="0" applyFont="1" applyFill="1" applyBorder="1" applyAlignment="1">
      <alignment vertical="top"/>
    </xf>
    <xf numFmtId="0" fontId="0" fillId="6" borderId="7" xfId="0" applyFill="1" applyBorder="1"/>
    <xf numFmtId="0" fontId="25" fillId="3" borderId="40" xfId="0" applyFont="1" applyFill="1" applyBorder="1"/>
    <xf numFmtId="167" fontId="46" fillId="3" borderId="0" xfId="0" applyNumberFormat="1" applyFont="1" applyFill="1" applyBorder="1" applyAlignment="1"/>
    <xf numFmtId="0" fontId="43" fillId="3" borderId="0" xfId="0" applyFont="1" applyFill="1" applyBorder="1" applyAlignment="1">
      <alignment horizontal="left"/>
    </xf>
    <xf numFmtId="49" fontId="32" fillId="3" borderId="30" xfId="0" applyNumberFormat="1" applyFont="1" applyFill="1" applyBorder="1" applyAlignment="1">
      <alignment horizontal="left"/>
    </xf>
    <xf numFmtId="49" fontId="32" fillId="3" borderId="0" xfId="0" applyNumberFormat="1" applyFont="1" applyFill="1" applyBorder="1" applyAlignment="1">
      <alignment horizontal="left"/>
    </xf>
    <xf numFmtId="49" fontId="32" fillId="3" borderId="32" xfId="0" applyNumberFormat="1" applyFont="1" applyFill="1" applyBorder="1" applyAlignment="1">
      <alignment horizontal="left"/>
    </xf>
    <xf numFmtId="0" fontId="47" fillId="6" borderId="38" xfId="0" applyFont="1" applyFill="1" applyBorder="1" applyAlignment="1">
      <alignment vertical="center"/>
    </xf>
    <xf numFmtId="49" fontId="40" fillId="3" borderId="30" xfId="0" applyNumberFormat="1" applyFont="1" applyFill="1" applyBorder="1" applyAlignment="1"/>
    <xf numFmtId="49" fontId="48" fillId="3" borderId="30" xfId="0" applyNumberFormat="1" applyFont="1" applyFill="1" applyBorder="1" applyAlignment="1"/>
    <xf numFmtId="49" fontId="27" fillId="3" borderId="31" xfId="0" applyNumberFormat="1" applyFont="1" applyFill="1" applyBorder="1" applyAlignment="1">
      <alignment horizontal="left"/>
    </xf>
    <xf numFmtId="49" fontId="27" fillId="3" borderId="39" xfId="0" applyNumberFormat="1" applyFont="1" applyFill="1" applyBorder="1" applyAlignment="1">
      <alignment horizontal="left"/>
    </xf>
    <xf numFmtId="49" fontId="27" fillId="3" borderId="33" xfId="0" applyNumberFormat="1" applyFont="1" applyFill="1" applyBorder="1" applyAlignment="1">
      <alignment horizontal="left"/>
    </xf>
    <xf numFmtId="49" fontId="48" fillId="6" borderId="30" xfId="0" applyNumberFormat="1" applyFont="1" applyFill="1" applyBorder="1" applyAlignment="1"/>
    <xf numFmtId="49" fontId="32" fillId="6" borderId="0" xfId="0" quotePrefix="1" applyNumberFormat="1" applyFont="1" applyFill="1" applyBorder="1" applyAlignment="1"/>
    <xf numFmtId="49" fontId="32" fillId="6" borderId="32" xfId="0" quotePrefix="1" applyNumberFormat="1" applyFont="1" applyFill="1" applyBorder="1" applyAlignment="1"/>
    <xf numFmtId="0" fontId="49" fillId="3" borderId="0" xfId="0" applyFont="1" applyFill="1" applyBorder="1"/>
    <xf numFmtId="0" fontId="13" fillId="3" borderId="42" xfId="0" applyFont="1" applyFill="1" applyBorder="1" applyAlignment="1"/>
    <xf numFmtId="0" fontId="0" fillId="2" borderId="42"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43" xfId="0" applyNumberFormat="1" applyFill="1" applyBorder="1" applyAlignment="1"/>
    <xf numFmtId="0" fontId="0" fillId="2" borderId="44" xfId="0" applyBorder="1" applyAlignment="1"/>
    <xf numFmtId="0" fontId="28" fillId="0" borderId="0" xfId="0" applyFont="1" applyFill="1" applyBorder="1" applyAlignment="1">
      <alignment horizontal="center" vertical="center"/>
    </xf>
    <xf numFmtId="0" fontId="26" fillId="6" borderId="0" xfId="0" applyFont="1" applyFill="1" applyBorder="1" applyAlignment="1">
      <alignment horizontal="left"/>
    </xf>
    <xf numFmtId="49" fontId="23" fillId="3" borderId="46" xfId="0" applyNumberFormat="1" applyFont="1" applyFill="1" applyBorder="1" applyAlignment="1"/>
    <xf numFmtId="49" fontId="23" fillId="3" borderId="47" xfId="0" applyNumberFormat="1" applyFont="1" applyFill="1" applyBorder="1" applyAlignment="1"/>
    <xf numFmtId="49" fontId="23" fillId="3" borderId="48" xfId="0" applyNumberFormat="1" applyFont="1" applyFill="1" applyBorder="1" applyAlignment="1"/>
    <xf numFmtId="49" fontId="40" fillId="3" borderId="30" xfId="0" applyNumberFormat="1" applyFont="1" applyFill="1" applyBorder="1" applyAlignment="1"/>
    <xf numFmtId="49" fontId="40" fillId="3" borderId="0" xfId="0" applyNumberFormat="1" applyFont="1" applyFill="1" applyBorder="1" applyAlignment="1"/>
    <xf numFmtId="49" fontId="40" fillId="3" borderId="32" xfId="0" applyNumberFormat="1" applyFont="1" applyFill="1" applyBorder="1" applyAlignment="1"/>
    <xf numFmtId="49" fontId="32" fillId="3" borderId="30" xfId="0" applyNumberFormat="1" applyFont="1" applyFill="1" applyBorder="1" applyAlignment="1"/>
    <xf numFmtId="49" fontId="32" fillId="3" borderId="0" xfId="0" applyNumberFormat="1" applyFont="1" applyFill="1" applyBorder="1" applyAlignment="1"/>
    <xf numFmtId="49" fontId="32" fillId="3" borderId="32" xfId="0" applyNumberFormat="1" applyFont="1" applyFill="1" applyBorder="1" applyAlignment="1"/>
    <xf numFmtId="0" fontId="43" fillId="6" borderId="0" xfId="0" applyFont="1" applyFill="1" applyBorder="1" applyAlignment="1">
      <alignment horizontal="center" vertical="center" wrapText="1"/>
    </xf>
    <xf numFmtId="14" fontId="17" fillId="3" borderId="0" xfId="0" applyNumberFormat="1" applyFont="1" applyFill="1" applyBorder="1" applyAlignment="1"/>
    <xf numFmtId="14" fontId="17" fillId="2" borderId="0" xfId="0" applyNumberFormat="1" applyFont="1" applyBorder="1" applyAlignment="1"/>
    <xf numFmtId="0" fontId="22" fillId="3" borderId="0" xfId="0" applyFont="1" applyFill="1" applyBorder="1" applyAlignment="1"/>
    <xf numFmtId="0" fontId="22" fillId="2" borderId="0" xfId="0" applyFont="1" applyBorder="1" applyAlignment="1"/>
    <xf numFmtId="0" fontId="31" fillId="6" borderId="0" xfId="0" applyFont="1" applyFill="1" applyAlignment="1">
      <alignment horizontal="center" vertical="center"/>
    </xf>
    <xf numFmtId="49" fontId="44" fillId="3" borderId="41" xfId="0" applyNumberFormat="1" applyFont="1" applyFill="1" applyBorder="1" applyAlignment="1"/>
    <xf numFmtId="49" fontId="45" fillId="3" borderId="41" xfId="0" applyNumberFormat="1" applyFont="1" applyFill="1" applyBorder="1" applyAlignment="1"/>
    <xf numFmtId="49" fontId="34" fillId="3" borderId="40" xfId="0" applyNumberFormat="1" applyFont="1" applyFill="1" applyBorder="1" applyAlignment="1">
      <alignment horizontal="left"/>
    </xf>
    <xf numFmtId="0" fontId="21" fillId="3" borderId="36" xfId="0" applyFont="1" applyFill="1" applyBorder="1" applyAlignment="1"/>
    <xf numFmtId="0" fontId="21" fillId="3" borderId="38" xfId="0" applyFont="1" applyFill="1" applyBorder="1" applyAlignment="1"/>
    <xf numFmtId="0" fontId="21" fillId="3" borderId="45" xfId="0" applyFont="1" applyFill="1" applyBorder="1" applyAlignment="1"/>
    <xf numFmtId="3" fontId="27" fillId="3" borderId="41" xfId="0" applyNumberFormat="1" applyFont="1" applyFill="1" applyBorder="1" applyAlignment="1">
      <alignment horizontal="left" wrapText="1"/>
    </xf>
    <xf numFmtId="0" fontId="35" fillId="2" borderId="41" xfId="0" applyFont="1" applyBorder="1" applyAlignment="1">
      <alignment horizontal="left"/>
    </xf>
    <xf numFmtId="0" fontId="24" fillId="3" borderId="49" xfId="0" applyFont="1" applyFill="1" applyBorder="1" applyAlignment="1">
      <alignment horizontal="left"/>
    </xf>
    <xf numFmtId="0" fontId="24" fillId="2" borderId="49" xfId="0" applyFont="1" applyBorder="1" applyAlignment="1">
      <alignment horizontal="left"/>
    </xf>
    <xf numFmtId="0" fontId="26" fillId="6" borderId="0" xfId="0" applyFont="1" applyFill="1" applyBorder="1" applyAlignment="1">
      <alignment horizontal="center"/>
    </xf>
    <xf numFmtId="0" fontId="27" fillId="3" borderId="0" xfId="0" applyFont="1" applyFill="1" applyBorder="1" applyAlignment="1">
      <alignment horizontal="center"/>
    </xf>
    <xf numFmtId="0" fontId="27" fillId="3" borderId="42" xfId="0" applyFont="1" applyFill="1" applyBorder="1" applyAlignment="1">
      <alignment horizontal="center"/>
    </xf>
    <xf numFmtId="0" fontId="4" fillId="3" borderId="0" xfId="0" applyFont="1" applyFill="1" applyBorder="1" applyAlignment="1"/>
    <xf numFmtId="0" fontId="4" fillId="2" borderId="0" xfId="0" applyFont="1" applyBorder="1" applyAlignment="1"/>
    <xf numFmtId="49" fontId="48" fillId="6" borderId="30" xfId="0" applyNumberFormat="1" applyFont="1" applyFill="1" applyBorder="1" applyAlignment="1">
      <alignment horizontal="left"/>
    </xf>
    <xf numFmtId="49" fontId="32" fillId="6" borderId="0" xfId="0" applyNumberFormat="1" applyFont="1" applyFill="1" applyBorder="1" applyAlignment="1">
      <alignment horizontal="left"/>
    </xf>
    <xf numFmtId="49" fontId="32" fillId="6" borderId="32" xfId="0" applyNumberFormat="1" applyFont="1" applyFill="1" applyBorder="1" applyAlignment="1">
      <alignment horizontal="left"/>
    </xf>
    <xf numFmtId="49" fontId="17" fillId="3" borderId="0" xfId="0" applyNumberFormat="1" applyFont="1" applyFill="1" applyBorder="1" applyAlignment="1"/>
    <xf numFmtId="0" fontId="17" fillId="2" borderId="0" xfId="0" applyFont="1" applyBorder="1" applyAlignment="1"/>
  </cellXfs>
  <cellStyles count="5">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theme" Target="theme/theme1.xml"/><Relationship Id="rId2" Type="http://schemas.openxmlformats.org/officeDocument/2006/relationships/worksheet" Target="worksheets/sheet2.xml"/><Relationship Id="rId16" Type="http://schemas.microsoft.com/office/2006/relationships/attachedToolbars" Target="attachedToolbars.bin"/><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3.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sharedStrings" Target="sharedStrings.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checked="Checked" firstButton="1" lockText="1"/>
</file>

<file path=xl/ctrlProps/ctrlProp6.xml><?xml version="1.0" encoding="utf-8"?>
<formControlPr xmlns="http://schemas.microsoft.com/office/spreadsheetml/2009/9/main" objectType="Radio" lockText="1"/>
</file>

<file path=xl/ctrlProps/ctrlProp7.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strike="noStrike">
              <a:solidFill>
                <a:srgbClr val="424242"/>
              </a:solidFill>
              <a:latin typeface="Times New Roman CE"/>
            </a:rPr>
            <a:t>GAMESTREAM ATLAS  ORGANISME DE FORMATION N° D'AGREMENT : 01 069 11 </a:t>
          </a:r>
          <a:endParaRPr lang="fr-FR" sz="1000" b="0" i="1" strike="noStrike">
            <a:solidFill>
              <a:srgbClr val="424242"/>
            </a:solidFill>
            <a:latin typeface="Times New Roman CE"/>
          </a:endParaRPr>
        </a:p>
        <a:p>
          <a:pPr algn="l" rtl="0">
            <a:defRPr sz="1000"/>
          </a:pPr>
          <a:r>
            <a:rPr lang="fr-FR" sz="1000" b="0" i="1" strike="noStrike">
              <a:solidFill>
                <a:srgbClr val="424242"/>
              </a:solidFill>
              <a:latin typeface="Times New Roman CE"/>
            </a:rPr>
            <a:t>4 RUE DU CAIRE 1001 TUNIS</a:t>
          </a:r>
        </a:p>
        <a:p>
          <a:pPr algn="l" rtl="0">
            <a:defRPr sz="1000"/>
          </a:pPr>
          <a:r>
            <a:rPr lang="fr-FR" sz="1000" b="0" i="1" strike="noStrike">
              <a:solidFill>
                <a:srgbClr val="424242"/>
              </a:solidFill>
              <a:latin typeface="Times New Roman CE"/>
            </a:rPr>
            <a:t>TEL:  71 258108 FAX : 71 259346</a:t>
          </a:r>
        </a:p>
        <a:p>
          <a:pPr algn="l" rtl="0">
            <a:defRPr sz="1000"/>
          </a:pPr>
          <a:endParaRPr lang="fr-FR" sz="1000" b="0" i="1" strike="noStrike">
            <a:solidFill>
              <a:srgbClr val="424242"/>
            </a:solidFill>
            <a:latin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strike="noStrike">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2</xdr:col>
      <xdr:colOff>66675</xdr:colOff>
      <xdr:row>21</xdr:row>
      <xdr:rowOff>123825</xdr:rowOff>
    </xdr:from>
    <xdr:to>
      <xdr:col>9</xdr:col>
      <xdr:colOff>1028700</xdr:colOff>
      <xdr:row>26</xdr:row>
      <xdr:rowOff>114300</xdr:rowOff>
    </xdr:to>
    <xdr:sp macro="" textlink="">
      <xdr:nvSpPr>
        <xdr:cNvPr id="2258" name="INVB1"/>
        <xdr:cNvSpPr>
          <a:spLocks noChangeArrowheads="1"/>
        </xdr:cNvSpPr>
      </xdr:nvSpPr>
      <xdr:spPr bwMode="auto">
        <a:xfrm>
          <a:off x="200025" y="3724275"/>
          <a:ext cx="6753225" cy="1609725"/>
        </a:xfrm>
        <a:prstGeom prst="roundRect">
          <a:avLst>
            <a:gd name="adj" fmla="val 16667"/>
          </a:avLst>
        </a:prstGeom>
        <a:noFill/>
        <a:ln w="9525">
          <a:solidFill>
            <a:srgbClr val="000080"/>
          </a:solidFill>
          <a:round/>
          <a:headEnd/>
          <a:tailEnd/>
        </a:ln>
      </xdr:spPr>
    </xdr:sp>
    <xdr:clientData/>
  </xdr:twoCellAnchor>
  <xdr:twoCellAnchor>
    <xdr:from>
      <xdr:col>10</xdr:col>
      <xdr:colOff>228600</xdr:colOff>
      <xdr:row>21</xdr:row>
      <xdr:rowOff>76200</xdr:rowOff>
    </xdr:from>
    <xdr:to>
      <xdr:col>13</xdr:col>
      <xdr:colOff>114300</xdr:colOff>
      <xdr:row>26</xdr:row>
      <xdr:rowOff>66675</xdr:rowOff>
    </xdr:to>
    <xdr:sp macro="" textlink="">
      <xdr:nvSpPr>
        <xdr:cNvPr id="2259" name="INVB2"/>
        <xdr:cNvSpPr>
          <a:spLocks noChangeArrowheads="1"/>
        </xdr:cNvSpPr>
      </xdr:nvSpPr>
      <xdr:spPr bwMode="auto">
        <a:xfrm>
          <a:off x="7200900" y="3638550"/>
          <a:ext cx="4972050" cy="1685925"/>
        </a:xfrm>
        <a:prstGeom prst="roundRect">
          <a:avLst>
            <a:gd name="adj" fmla="val 16667"/>
          </a:avLst>
        </a:prstGeom>
        <a:noFill/>
        <a:ln w="9525">
          <a:solidFill>
            <a:srgbClr val="000080"/>
          </a:solidFill>
          <a:round/>
          <a:headEnd/>
          <a:tailEnd/>
        </a:ln>
      </xdr:spPr>
    </xdr:sp>
    <xdr:clientData/>
  </xdr:twoCellAnchor>
  <xdr:twoCellAnchor>
    <xdr:from>
      <xdr:col>2</xdr:col>
      <xdr:colOff>113434</xdr:colOff>
      <xdr:row>12</xdr:row>
      <xdr:rowOff>114300</xdr:rowOff>
    </xdr:from>
    <xdr:to>
      <xdr:col>9</xdr:col>
      <xdr:colOff>171450</xdr:colOff>
      <xdr:row>18</xdr:row>
      <xdr:rowOff>171450</xdr:rowOff>
    </xdr:to>
    <xdr:sp macro="[3]!Nada" textlink="">
      <xdr:nvSpPr>
        <xdr:cNvPr id="2112" name="LT"/>
        <xdr:cNvSpPr txBox="1">
          <a:spLocks noChangeArrowheads="1"/>
        </xdr:cNvSpPr>
      </xdr:nvSpPr>
      <xdr:spPr bwMode="auto">
        <a:xfrm>
          <a:off x="246784" y="2019300"/>
          <a:ext cx="5849216" cy="1257300"/>
        </a:xfrm>
        <a:prstGeom prst="rect">
          <a:avLst/>
        </a:prstGeom>
        <a:solidFill>
          <a:srgbClr val="FFFFFF"/>
        </a:solidFill>
        <a:ln w="1">
          <a:noFill/>
          <a:miter lim="800000"/>
          <a:headEnd/>
          <a:tailEnd/>
        </a:ln>
      </xdr:spPr>
      <xdr:txBody>
        <a:bodyPr vertOverflow="clip" wrap="square" lIns="27432" tIns="22860" rIns="27432" bIns="0" anchor="t" upright="1"/>
        <a:lstStyle/>
        <a:p>
          <a:pPr algn="l" rtl="0">
            <a:defRPr sz="1000"/>
          </a:pPr>
          <a:endParaRPr lang="fr-FR" sz="800" b="0" i="0" strike="noStrike">
            <a:solidFill>
              <a:srgbClr val="000000"/>
            </a:solidFill>
            <a:latin typeface="Arial"/>
            <a:cs typeface="Arial"/>
          </a:endParaRPr>
        </a:p>
      </xdr:txBody>
    </xdr:sp>
    <xdr:clientData/>
  </xdr:twoCellAnchor>
  <xdr:twoCellAnchor>
    <xdr:from>
      <xdr:col>10</xdr:col>
      <xdr:colOff>1162051</xdr:colOff>
      <xdr:row>13</xdr:row>
      <xdr:rowOff>238125</xdr:rowOff>
    </xdr:from>
    <xdr:to>
      <xdr:col>13</xdr:col>
      <xdr:colOff>1</xdr:colOff>
      <xdr:row>18</xdr:row>
      <xdr:rowOff>200025</xdr:rowOff>
    </xdr:to>
    <xdr:sp macro="" textlink="">
      <xdr:nvSpPr>
        <xdr:cNvPr id="2261" name="INVB2"/>
        <xdr:cNvSpPr>
          <a:spLocks noChangeArrowheads="1"/>
        </xdr:cNvSpPr>
      </xdr:nvSpPr>
      <xdr:spPr bwMode="auto">
        <a:xfrm>
          <a:off x="8134351" y="2314575"/>
          <a:ext cx="3924300" cy="990600"/>
        </a:xfrm>
        <a:prstGeom prst="roundRect">
          <a:avLst>
            <a:gd name="adj" fmla="val 16667"/>
          </a:avLst>
        </a:prstGeom>
        <a:noFill/>
        <a:ln w="9525">
          <a:solidFill>
            <a:srgbClr val="000080"/>
          </a:solidFill>
          <a:round/>
          <a:headEnd/>
          <a:tailEnd/>
        </a:ln>
      </xdr:spPr>
    </xdr:sp>
    <xdr:clientData/>
  </xdr:twoCellAnchor>
  <mc:AlternateContent xmlns:mc="http://schemas.openxmlformats.org/markup-compatibility/2006">
    <mc:Choice xmlns:a14="http://schemas.microsoft.com/office/drawing/2010/main" Requires="a14">
      <xdr:twoCellAnchor editAs="oneCell">
        <xdr:from>
          <xdr:col>4</xdr:col>
          <xdr:colOff>266700</xdr:colOff>
          <xdr:row>50</xdr:row>
          <xdr:rowOff>9525</xdr:rowOff>
        </xdr:from>
        <xdr:to>
          <xdr:col>4</xdr:col>
          <xdr:colOff>571500</xdr:colOff>
          <xdr:row>50</xdr:row>
          <xdr:rowOff>228600</xdr:rowOff>
        </xdr:to>
        <xdr:sp macro="" textlink="">
          <xdr:nvSpPr>
            <xdr:cNvPr id="2108" name="pd2" hidden="1">
              <a:extLst>
                <a:ext uri="{63B3BB69-23CF-44E3-9099-C40C66FF867C}">
                  <a14:compatExt spid="_x0000_s210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238125</xdr:colOff>
          <xdr:row>51</xdr:row>
          <xdr:rowOff>0</xdr:rowOff>
        </xdr:from>
        <xdr:to>
          <xdr:col>4</xdr:col>
          <xdr:colOff>552450</xdr:colOff>
          <xdr:row>51</xdr:row>
          <xdr:rowOff>228600</xdr:rowOff>
        </xdr:to>
        <xdr:sp macro="" textlink="">
          <xdr:nvSpPr>
            <xdr:cNvPr id="2109" name="Option Button 61" hidden="1">
              <a:extLst>
                <a:ext uri="{63B3BB69-23CF-44E3-9099-C40C66FF867C}">
                  <a14:compatExt spid="_x0000_s2109"/>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2</xdr:col>
      <xdr:colOff>152400</xdr:colOff>
      <xdr:row>5</xdr:row>
      <xdr:rowOff>114300</xdr:rowOff>
    </xdr:from>
    <xdr:to>
      <xdr:col>10</xdr:col>
      <xdr:colOff>0</xdr:colOff>
      <xdr:row>16</xdr:row>
      <xdr:rowOff>0</xdr:rowOff>
    </xdr:to>
    <xdr:pic>
      <xdr:nvPicPr>
        <xdr:cNvPr id="10" name="Image 9"/>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85750" y="723900"/>
          <a:ext cx="6686550" cy="20383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mc:AlternateContent xmlns:mc="http://schemas.openxmlformats.org/markup-compatibility/2006">
    <mc:Choice xmlns:a14="http://schemas.microsoft.com/office/drawing/2010/main" Requires="a14">
      <xdr:twoCellAnchor editAs="oneCell">
        <xdr:from>
          <xdr:col>4</xdr:col>
          <xdr:colOff>266700</xdr:colOff>
          <xdr:row>49</xdr:row>
          <xdr:rowOff>9525</xdr:rowOff>
        </xdr:from>
        <xdr:to>
          <xdr:col>4</xdr:col>
          <xdr:colOff>571500</xdr:colOff>
          <xdr:row>49</xdr:row>
          <xdr:rowOff>228600</xdr:rowOff>
        </xdr:to>
        <xdr:sp macro="" textlink="">
          <xdr:nvSpPr>
            <xdr:cNvPr id="2110" name="pd2" hidden="1">
              <a:extLst>
                <a:ext uri="{63B3BB69-23CF-44E3-9099-C40C66FF867C}">
                  <a14:compatExt spid="_x0000_s211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clients/Clients-system/Express%20Ascenseur/2008/DEVIS%202008/Devis%20N&#176;%2009%20SCADA%2006%2005%2008.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GSYSTEM%202009/DEVIS%202009/DEVIS%202009/DEVIWS%20N&#176;28%20CPC%2023%2003%2009.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 09 SCADA 06 05 08"/>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WS N°28 CPC 23 03 09"/>
    </sheetNames>
    <definedNames>
      <definedName name="Nada"/>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7" Type="http://schemas.openxmlformats.org/officeDocument/2006/relationships/comments" Target="../comments2.x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trlProp" Target="../ctrlProps/ctrlProp7.xml"/><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66" t="s">
        <v>0</v>
      </c>
      <c r="E4" s="167"/>
      <c r="F4" s="167"/>
      <c r="G4" s="3"/>
      <c r="H4" s="3"/>
      <c r="I4" s="3"/>
      <c r="J4" s="9"/>
    </row>
    <row r="5" spans="2:10" ht="3" customHeight="1" thickTop="1" x14ac:dyDescent="0.2">
      <c r="B5" s="2"/>
      <c r="C5" s="58"/>
      <c r="D5" s="58"/>
      <c r="E5" s="58"/>
      <c r="F5" s="58"/>
      <c r="G5" s="58"/>
      <c r="H5" s="58"/>
      <c r="I5" s="58"/>
      <c r="J5" s="1"/>
    </row>
    <row r="6" spans="2:10" ht="12.75" customHeight="1" x14ac:dyDescent="0.3">
      <c r="B6" s="7"/>
      <c r="C6" s="3"/>
      <c r="D6" s="21"/>
      <c r="E6" s="3"/>
      <c r="F6" s="3"/>
      <c r="G6" s="3"/>
      <c r="H6" s="3"/>
      <c r="I6" s="3"/>
      <c r="J6" s="9"/>
    </row>
    <row r="7" spans="2:10" x14ac:dyDescent="0.2">
      <c r="B7" s="7"/>
      <c r="C7" s="3"/>
      <c r="D7" s="3"/>
      <c r="E7" s="3"/>
      <c r="F7" s="3"/>
      <c r="G7" s="64" t="s">
        <v>44</v>
      </c>
      <c r="H7" s="3"/>
      <c r="I7" s="3"/>
      <c r="J7" s="9"/>
    </row>
    <row r="8" spans="2:10" x14ac:dyDescent="0.2">
      <c r="B8" s="7"/>
      <c r="C8" s="3"/>
      <c r="D8" s="3"/>
      <c r="E8" s="3"/>
      <c r="F8" s="3"/>
      <c r="G8" s="64" t="s">
        <v>1</v>
      </c>
      <c r="H8" s="3"/>
      <c r="I8" s="3"/>
      <c r="J8" s="9"/>
    </row>
    <row r="9" spans="2:10" x14ac:dyDescent="0.2">
      <c r="B9" s="7"/>
      <c r="C9" s="3"/>
      <c r="D9" s="22"/>
      <c r="E9" s="3"/>
      <c r="F9" s="3"/>
      <c r="G9" s="44"/>
      <c r="H9" s="3"/>
      <c r="I9" s="3"/>
      <c r="J9" s="9"/>
    </row>
    <row r="10" spans="2:10" ht="13.5" thickBot="1" x14ac:dyDescent="0.25">
      <c r="B10" s="7"/>
      <c r="C10" s="3"/>
      <c r="D10" s="168" t="s">
        <v>2</v>
      </c>
      <c r="E10" s="169"/>
      <c r="F10" s="3"/>
      <c r="G10" s="3"/>
      <c r="H10" s="3"/>
      <c r="I10" s="3"/>
      <c r="J10" s="9"/>
    </row>
    <row r="11" spans="2:10" ht="5.25" customHeight="1" thickBot="1" x14ac:dyDescent="0.25">
      <c r="B11" s="7"/>
      <c r="C11" s="3"/>
      <c r="D11" s="24"/>
      <c r="E11" s="25"/>
      <c r="F11" s="25"/>
      <c r="G11" s="25"/>
      <c r="H11" s="26"/>
      <c r="I11" s="3"/>
      <c r="J11" s="9"/>
    </row>
    <row r="12" spans="2:10" x14ac:dyDescent="0.2">
      <c r="B12" s="7"/>
      <c r="C12" s="3"/>
      <c r="D12" s="34" t="s">
        <v>3</v>
      </c>
      <c r="E12" s="13" t="s">
        <v>50</v>
      </c>
      <c r="F12" s="65" t="s">
        <v>4</v>
      </c>
      <c r="G12" s="17"/>
      <c r="H12" s="27"/>
      <c r="I12" s="3"/>
      <c r="J12" s="9"/>
    </row>
    <row r="13" spans="2:10" ht="13.5" thickBot="1" x14ac:dyDescent="0.25">
      <c r="B13" s="7"/>
      <c r="C13" s="3"/>
      <c r="D13" s="34" t="s">
        <v>5</v>
      </c>
      <c r="E13" s="14" t="s">
        <v>47</v>
      </c>
      <c r="F13" s="65" t="s">
        <v>6</v>
      </c>
      <c r="G13" s="18"/>
      <c r="H13" s="27"/>
      <c r="I13" s="3"/>
      <c r="J13" s="9"/>
    </row>
    <row r="14" spans="2:10" x14ac:dyDescent="0.2">
      <c r="B14" s="7"/>
      <c r="C14" s="3"/>
      <c r="D14" s="34" t="s">
        <v>7</v>
      </c>
      <c r="E14" s="15" t="s">
        <v>48</v>
      </c>
      <c r="F14" s="28"/>
      <c r="G14" s="29"/>
      <c r="H14" s="27"/>
      <c r="I14" s="3"/>
      <c r="J14" s="9"/>
    </row>
    <row r="15" spans="2:10" x14ac:dyDescent="0.2">
      <c r="B15" s="7"/>
      <c r="C15" s="3"/>
      <c r="D15" s="34" t="s">
        <v>8</v>
      </c>
      <c r="E15" s="14" t="s">
        <v>49</v>
      </c>
      <c r="F15" s="41"/>
      <c r="G15" s="29"/>
      <c r="H15" s="27"/>
      <c r="I15" s="3"/>
      <c r="J15" s="9"/>
    </row>
    <row r="16" spans="2:10" ht="13.5" thickBot="1" x14ac:dyDescent="0.25">
      <c r="B16" s="7"/>
      <c r="C16" s="3"/>
      <c r="D16" s="34" t="s">
        <v>9</v>
      </c>
      <c r="E16" s="16"/>
      <c r="F16" s="41"/>
      <c r="G16" s="29"/>
      <c r="H16" s="27"/>
      <c r="I16" s="3"/>
      <c r="J16" s="9"/>
    </row>
    <row r="17" spans="2:10" ht="6" customHeight="1" thickBot="1" x14ac:dyDescent="0.25">
      <c r="B17" s="7"/>
      <c r="C17" s="3"/>
      <c r="D17" s="30"/>
      <c r="E17" s="31"/>
      <c r="F17" s="31"/>
      <c r="G17" s="31"/>
      <c r="H17" s="32"/>
      <c r="I17" s="3"/>
      <c r="J17" s="9"/>
    </row>
    <row r="18" spans="2:10" ht="6" customHeight="1" x14ac:dyDescent="0.2">
      <c r="B18" s="7"/>
      <c r="C18" s="3"/>
      <c r="D18" s="3"/>
      <c r="E18" s="3"/>
      <c r="F18" s="3"/>
      <c r="G18" s="3"/>
      <c r="H18" s="3"/>
      <c r="I18" s="3"/>
      <c r="J18" s="9"/>
    </row>
    <row r="19" spans="2:10" ht="13.5" thickBot="1" x14ac:dyDescent="0.25">
      <c r="B19" s="7"/>
      <c r="C19" s="3"/>
      <c r="D19" s="170" t="s">
        <v>45</v>
      </c>
      <c r="E19" s="169"/>
      <c r="F19" s="3"/>
      <c r="G19" s="3"/>
      <c r="H19" s="3"/>
      <c r="I19" s="3"/>
      <c r="J19" s="9"/>
    </row>
    <row r="20" spans="2:10" ht="5.25" customHeight="1" x14ac:dyDescent="0.2">
      <c r="B20" s="7"/>
      <c r="C20" s="3"/>
      <c r="D20" s="33"/>
      <c r="E20" s="25"/>
      <c r="F20" s="25"/>
      <c r="G20" s="25"/>
      <c r="H20" s="26"/>
      <c r="I20" s="3"/>
      <c r="J20" s="9"/>
    </row>
    <row r="21" spans="2:10" ht="13.5" thickBot="1" x14ac:dyDescent="0.25">
      <c r="B21" s="7"/>
      <c r="C21" s="3"/>
      <c r="D21" s="42"/>
      <c r="E21" s="41" t="s">
        <v>33</v>
      </c>
      <c r="F21" s="35"/>
      <c r="G21" s="43" t="s">
        <v>10</v>
      </c>
      <c r="H21" s="27"/>
      <c r="I21" s="3"/>
      <c r="J21" s="9"/>
    </row>
    <row r="22" spans="2:10" x14ac:dyDescent="0.2">
      <c r="B22" s="7"/>
      <c r="C22" s="3"/>
      <c r="D22" s="34">
        <v>1</v>
      </c>
      <c r="E22" s="74">
        <v>0.1</v>
      </c>
      <c r="F22" s="35"/>
      <c r="G22" s="38"/>
      <c r="H22" s="27"/>
      <c r="I22" s="3"/>
      <c r="J22" s="9"/>
    </row>
    <row r="23" spans="2:10" x14ac:dyDescent="0.2">
      <c r="B23" s="7"/>
      <c r="C23" s="3"/>
      <c r="D23" s="36">
        <v>2</v>
      </c>
      <c r="E23" s="66">
        <v>0.18</v>
      </c>
      <c r="F23" s="35"/>
      <c r="G23" s="39"/>
      <c r="H23" s="27"/>
      <c r="I23" s="3"/>
      <c r="J23" s="9"/>
    </row>
    <row r="24" spans="2:10" ht="13.5" thickBot="1" x14ac:dyDescent="0.25">
      <c r="B24" s="7"/>
      <c r="C24" s="3"/>
      <c r="D24" s="36">
        <v>3</v>
      </c>
      <c r="E24" s="62">
        <v>0.28999999999999998</v>
      </c>
      <c r="F24" s="35"/>
      <c r="G24" s="37"/>
      <c r="H24" s="27"/>
      <c r="I24" s="3"/>
      <c r="J24" s="9"/>
    </row>
    <row r="25" spans="2:10" ht="13.5" thickBot="1" x14ac:dyDescent="0.25">
      <c r="B25" s="7"/>
      <c r="C25" s="3"/>
      <c r="D25" s="42"/>
      <c r="E25" s="41"/>
      <c r="F25" s="35"/>
      <c r="G25" s="40"/>
      <c r="H25" s="27"/>
      <c r="I25" s="3"/>
      <c r="J25" s="9"/>
    </row>
    <row r="26" spans="2:10" ht="13.5" thickBot="1" x14ac:dyDescent="0.25">
      <c r="B26" s="7"/>
      <c r="C26" s="3"/>
      <c r="D26" s="36"/>
      <c r="E26" s="41"/>
      <c r="F26" s="35"/>
      <c r="G26" s="35"/>
      <c r="H26" s="27"/>
      <c r="I26" s="3"/>
      <c r="J26" s="9"/>
    </row>
    <row r="27" spans="2:10" ht="13.5" thickBot="1" x14ac:dyDescent="0.25">
      <c r="B27" s="7"/>
      <c r="C27" s="3"/>
      <c r="D27" s="36"/>
      <c r="E27" s="29"/>
      <c r="F27" s="28" t="s">
        <v>46</v>
      </c>
      <c r="G27" s="75">
        <v>0.2</v>
      </c>
      <c r="H27" s="27"/>
      <c r="I27" s="3"/>
      <c r="J27" s="9"/>
    </row>
    <row r="28" spans="2:10" x14ac:dyDescent="0.2">
      <c r="B28" s="7"/>
      <c r="C28" s="3"/>
      <c r="D28" s="45"/>
      <c r="E28" s="41"/>
      <c r="F28" s="35"/>
      <c r="G28" s="35"/>
      <c r="H28" s="27"/>
      <c r="I28" s="3"/>
      <c r="J28" s="9"/>
    </row>
    <row r="29" spans="2:10" ht="13.5" thickBot="1" x14ac:dyDescent="0.25">
      <c r="B29" s="7"/>
      <c r="C29" s="3"/>
      <c r="D29" s="45"/>
      <c r="E29" s="41"/>
      <c r="F29" s="35"/>
      <c r="G29" s="35"/>
      <c r="H29" s="27"/>
      <c r="I29" s="3"/>
      <c r="J29" s="9"/>
    </row>
    <row r="30" spans="2:10" ht="13.5" thickBot="1" x14ac:dyDescent="0.25">
      <c r="B30" s="7"/>
      <c r="C30" s="3"/>
      <c r="D30" s="45" t="b">
        <v>0</v>
      </c>
      <c r="E30" s="41" t="s">
        <v>11</v>
      </c>
      <c r="F30" s="28" t="s">
        <v>12</v>
      </c>
      <c r="G30" s="61"/>
      <c r="H30" s="27"/>
      <c r="I30" s="3"/>
      <c r="J30" s="9"/>
    </row>
    <row r="31" spans="2:10" x14ac:dyDescent="0.2">
      <c r="B31" s="7"/>
      <c r="C31" s="3"/>
      <c r="D31" s="45"/>
      <c r="E31" s="41" t="s">
        <v>13</v>
      </c>
      <c r="F31" s="28" t="s">
        <v>14</v>
      </c>
      <c r="G31" s="41"/>
      <c r="H31" s="27"/>
      <c r="I31" s="3"/>
      <c r="J31" s="9"/>
    </row>
    <row r="32" spans="2:10" ht="13.5" thickBot="1" x14ac:dyDescent="0.25">
      <c r="B32" s="7"/>
      <c r="C32" s="3"/>
      <c r="D32" s="45"/>
      <c r="E32" s="41"/>
      <c r="F32" s="28"/>
      <c r="G32" s="41"/>
      <c r="H32" s="27"/>
      <c r="I32" s="3"/>
      <c r="J32" s="9"/>
    </row>
    <row r="33" spans="2:10" ht="13.5" thickBot="1" x14ac:dyDescent="0.25">
      <c r="B33" s="7"/>
      <c r="C33" s="3"/>
      <c r="D33" s="45"/>
      <c r="E33" s="28" t="s">
        <v>15</v>
      </c>
      <c r="F33" s="171" t="str">
        <f>LOWER(TemplateInformation!B3)</f>
        <v>c:\program files\microsoft office\office\macrolib\factbd.xls</v>
      </c>
      <c r="G33" s="172"/>
      <c r="H33" s="27"/>
      <c r="I33" s="3"/>
      <c r="J33" s="9"/>
    </row>
    <row r="34" spans="2:10" ht="13.5" thickBot="1" x14ac:dyDescent="0.25">
      <c r="B34" s="7"/>
      <c r="C34" s="3"/>
      <c r="D34" s="30"/>
      <c r="E34" s="31"/>
      <c r="F34" s="31"/>
      <c r="G34" s="31"/>
      <c r="H34" s="32"/>
      <c r="I34" s="3"/>
      <c r="J34" s="9"/>
    </row>
    <row r="35" spans="2:10" ht="6" customHeight="1" x14ac:dyDescent="0.2">
      <c r="B35" s="7"/>
      <c r="C35" s="3"/>
      <c r="D35" s="3"/>
      <c r="E35" s="3"/>
      <c r="F35" s="3"/>
      <c r="G35" s="3"/>
      <c r="H35" s="3"/>
      <c r="I35" s="3"/>
      <c r="J35" s="9"/>
    </row>
    <row r="36" spans="2:10" ht="13.5" thickBot="1" x14ac:dyDescent="0.25">
      <c r="B36" s="7"/>
      <c r="C36" s="3"/>
      <c r="D36" s="168" t="s">
        <v>16</v>
      </c>
      <c r="E36" s="169"/>
      <c r="F36" s="3"/>
      <c r="G36" s="3"/>
      <c r="H36" s="3"/>
      <c r="I36" s="3"/>
      <c r="J36" s="9"/>
    </row>
    <row r="37" spans="2:10" ht="14.25" x14ac:dyDescent="0.2">
      <c r="B37" s="7"/>
      <c r="C37" s="3"/>
      <c r="D37" s="24"/>
      <c r="E37" s="25"/>
      <c r="F37" s="25"/>
      <c r="G37" s="25"/>
      <c r="H37" s="26"/>
      <c r="I37" s="3"/>
      <c r="J37" s="9"/>
    </row>
    <row r="38" spans="2:10" ht="14.25" x14ac:dyDescent="0.2">
      <c r="B38" s="7"/>
      <c r="C38" s="3"/>
      <c r="D38" s="46"/>
      <c r="E38" s="47"/>
      <c r="F38" s="90"/>
      <c r="G38" s="47"/>
      <c r="H38" s="48"/>
      <c r="I38" s="60"/>
      <c r="J38" s="23"/>
    </row>
    <row r="39" spans="2:10" ht="14.25" x14ac:dyDescent="0.2">
      <c r="B39" s="7"/>
      <c r="C39" s="3"/>
      <c r="D39" s="46"/>
      <c r="E39" s="47"/>
      <c r="F39" s="49"/>
      <c r="G39" s="47"/>
      <c r="H39" s="48"/>
      <c r="I39" s="60"/>
      <c r="J39" s="23"/>
    </row>
    <row r="40" spans="2:10" ht="14.25" x14ac:dyDescent="0.2">
      <c r="B40" s="7"/>
      <c r="C40" s="3"/>
      <c r="D40" s="46"/>
      <c r="E40" s="47"/>
      <c r="F40" s="47"/>
      <c r="G40" s="47"/>
      <c r="H40" s="48"/>
      <c r="I40" s="60"/>
      <c r="J40" s="23"/>
    </row>
    <row r="41" spans="2:10" ht="14.25" x14ac:dyDescent="0.2">
      <c r="B41" s="7"/>
      <c r="C41" s="3"/>
      <c r="D41" s="46"/>
      <c r="E41" s="47"/>
      <c r="F41" s="47"/>
      <c r="G41" s="47"/>
      <c r="H41" s="48"/>
      <c r="I41" s="60"/>
      <c r="J41" s="23"/>
    </row>
    <row r="42" spans="2:10" ht="20.100000000000001" customHeight="1" x14ac:dyDescent="0.2">
      <c r="B42" s="7"/>
      <c r="C42" s="3"/>
      <c r="D42" s="46"/>
      <c r="E42" s="47"/>
      <c r="F42" s="47"/>
      <c r="G42" s="47"/>
      <c r="H42" s="48"/>
      <c r="I42" s="60"/>
      <c r="J42" s="23"/>
    </row>
    <row r="43" spans="2:10" ht="14.25" x14ac:dyDescent="0.2">
      <c r="B43" s="7"/>
      <c r="C43" s="3"/>
      <c r="D43" s="46"/>
      <c r="E43" s="47"/>
      <c r="F43" s="47"/>
      <c r="G43" s="47"/>
      <c r="H43" s="48"/>
      <c r="I43" s="60"/>
      <c r="J43" s="23"/>
    </row>
    <row r="44" spans="2:10" ht="26.25" customHeight="1" thickBot="1" x14ac:dyDescent="0.25">
      <c r="B44" s="7"/>
      <c r="C44" s="3"/>
      <c r="D44" s="50"/>
      <c r="E44" s="51"/>
      <c r="F44" s="51"/>
      <c r="G44" s="51"/>
      <c r="H44" s="52"/>
      <c r="I44" s="60"/>
      <c r="J44" s="23"/>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3">
        <v>0</v>
      </c>
    </row>
    <row r="49" spans="5:5" x14ac:dyDescent="0.2">
      <c r="E49" s="63" t="b">
        <v>0</v>
      </c>
    </row>
    <row r="50" spans="5:5" x14ac:dyDescent="0.2">
      <c r="E50" s="63" t="b">
        <v>0</v>
      </c>
    </row>
    <row r="51" spans="5:5" x14ac:dyDescent="0.2">
      <c r="E51" s="63" t="s">
        <v>17</v>
      </c>
    </row>
    <row r="52" spans="5:5" x14ac:dyDescent="0.2">
      <c r="E52" s="63"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O79"/>
  <sheetViews>
    <sheetView showGridLines="0" showRowColHeaders="0" tabSelected="1" topLeftCell="A10" zoomScale="50" zoomScaleNormal="50" workbookViewId="0">
      <selection activeCell="L20" sqref="L20"/>
    </sheetView>
  </sheetViews>
  <sheetFormatPr baseColWidth="10" defaultColWidth="9.140625" defaultRowHeight="12.75" x14ac:dyDescent="0.2"/>
  <cols>
    <col min="1" max="1" width="1.28515625" customWidth="1"/>
    <col min="2" max="2" width="0.42578125" customWidth="1"/>
    <col min="3" max="3" width="3.7109375" customWidth="1"/>
    <col min="4" max="4" width="24.7109375" customWidth="1"/>
    <col min="5" max="5" width="12.42578125" customWidth="1"/>
    <col min="6" max="6" width="11.140625" customWidth="1"/>
    <col min="7" max="7" width="9.140625" customWidth="1"/>
    <col min="8" max="8" width="13.7109375" customWidth="1"/>
    <col min="9" max="9" width="11.7109375" customWidth="1"/>
    <col min="10" max="10" width="15.7109375" customWidth="1"/>
    <col min="11" max="11" width="17.7109375" customWidth="1"/>
    <col min="12" max="12" width="32.28515625" customWidth="1"/>
    <col min="13" max="13" width="26.28515625" customWidth="1"/>
    <col min="14" max="14" width="3.7109375" customWidth="1"/>
    <col min="15" max="15" width="0.42578125" customWidth="1"/>
    <col min="16" max="16" width="1.7109375" customWidth="1"/>
  </cols>
  <sheetData>
    <row r="1" spans="2:15" ht="6" customHeight="1" thickBot="1" x14ac:dyDescent="0.25"/>
    <row r="2" spans="2:15" ht="0.95" customHeight="1" thickTop="1" x14ac:dyDescent="0.2">
      <c r="B2" s="4"/>
      <c r="C2" s="5"/>
      <c r="D2" s="5"/>
      <c r="E2" s="5"/>
      <c r="F2" s="5"/>
      <c r="G2" s="5"/>
      <c r="H2" s="5"/>
      <c r="I2" s="5"/>
      <c r="J2" s="5"/>
      <c r="K2" s="5"/>
      <c r="L2" s="5"/>
      <c r="M2" s="5"/>
      <c r="N2" s="5"/>
      <c r="O2" s="6"/>
    </row>
    <row r="3" spans="2:15" x14ac:dyDescent="0.2">
      <c r="B3" s="7"/>
      <c r="C3" s="3"/>
      <c r="D3" s="3"/>
      <c r="E3" s="3"/>
      <c r="F3" s="3"/>
      <c r="G3" s="3"/>
      <c r="H3" s="3"/>
      <c r="I3" s="3"/>
      <c r="J3" s="3"/>
      <c r="K3" s="3"/>
      <c r="L3" s="3"/>
      <c r="M3" s="3"/>
      <c r="N3" s="3"/>
      <c r="O3" s="9"/>
    </row>
    <row r="4" spans="2:15" x14ac:dyDescent="0.2">
      <c r="B4" s="7"/>
      <c r="C4" s="3"/>
      <c r="D4" s="3"/>
      <c r="E4" s="3"/>
      <c r="F4" s="3"/>
      <c r="G4" s="3"/>
      <c r="H4" s="3"/>
      <c r="I4" s="3"/>
      <c r="J4" s="3"/>
      <c r="K4" s="3"/>
      <c r="L4" s="3"/>
      <c r="M4" s="3"/>
      <c r="N4" s="3"/>
      <c r="O4" s="9"/>
    </row>
    <row r="5" spans="2:15" x14ac:dyDescent="0.2">
      <c r="B5" s="7"/>
      <c r="C5" s="3"/>
      <c r="D5" s="3"/>
      <c r="E5" s="3"/>
      <c r="F5" s="3"/>
      <c r="G5" s="3"/>
      <c r="H5" s="3"/>
      <c r="I5" s="3"/>
      <c r="J5" s="3"/>
      <c r="K5" s="3"/>
      <c r="L5" s="3"/>
      <c r="M5" s="3"/>
      <c r="N5" s="3"/>
      <c r="O5" s="9"/>
    </row>
    <row r="6" spans="2:15" x14ac:dyDescent="0.2">
      <c r="B6" s="7"/>
      <c r="C6" s="3"/>
      <c r="D6" s="3"/>
      <c r="E6" s="3"/>
      <c r="F6" s="3"/>
      <c r="G6" s="3"/>
      <c r="H6" s="3"/>
      <c r="I6" s="3"/>
      <c r="J6" s="3"/>
      <c r="K6" s="3"/>
      <c r="L6" s="3"/>
      <c r="M6" s="3"/>
      <c r="N6" s="3"/>
      <c r="O6" s="9"/>
    </row>
    <row r="7" spans="2:15" x14ac:dyDescent="0.2">
      <c r="B7" s="7"/>
      <c r="C7" s="3"/>
      <c r="D7" s="3"/>
      <c r="E7" s="3"/>
      <c r="F7" s="3"/>
      <c r="G7" s="3"/>
      <c r="H7" s="3"/>
      <c r="I7" s="3"/>
      <c r="J7" s="3"/>
      <c r="K7" s="3"/>
      <c r="L7" s="3"/>
      <c r="M7" s="3"/>
      <c r="N7" s="3"/>
      <c r="O7" s="9"/>
    </row>
    <row r="8" spans="2:15" x14ac:dyDescent="0.2">
      <c r="B8" s="7"/>
      <c r="C8" s="3"/>
      <c r="D8" s="3"/>
      <c r="E8" s="3"/>
      <c r="F8" s="3"/>
      <c r="G8" s="3"/>
      <c r="H8" s="3"/>
      <c r="I8" s="3"/>
      <c r="J8" s="3"/>
      <c r="K8" s="3"/>
      <c r="L8" s="3"/>
      <c r="M8" s="3"/>
      <c r="N8" s="3"/>
      <c r="O8" s="9"/>
    </row>
    <row r="9" spans="2:15" x14ac:dyDescent="0.2">
      <c r="B9" s="7"/>
      <c r="C9" s="3"/>
      <c r="D9" s="3"/>
      <c r="E9" s="3"/>
      <c r="F9" s="3"/>
      <c r="G9" s="3"/>
      <c r="H9" s="3"/>
      <c r="I9" s="3"/>
      <c r="J9" s="3"/>
      <c r="K9" s="3"/>
      <c r="L9" s="3"/>
      <c r="M9" s="3"/>
      <c r="N9" s="3"/>
      <c r="O9" s="9"/>
    </row>
    <row r="10" spans="2:15" x14ac:dyDescent="0.2">
      <c r="B10" s="7"/>
      <c r="C10" s="3"/>
      <c r="D10" s="3"/>
      <c r="E10" s="3"/>
      <c r="F10" s="3"/>
      <c r="G10" s="3"/>
      <c r="H10" s="3"/>
      <c r="I10" s="3"/>
      <c r="J10" s="3"/>
      <c r="K10" s="3"/>
      <c r="L10" s="3"/>
      <c r="M10" s="3"/>
      <c r="N10" s="3"/>
      <c r="O10" s="9"/>
    </row>
    <row r="11" spans="2:15" ht="20.25" x14ac:dyDescent="0.3">
      <c r="B11" s="7"/>
      <c r="C11" s="3"/>
      <c r="D11" s="3"/>
      <c r="E11" s="3"/>
      <c r="F11" s="3"/>
      <c r="G11" s="3"/>
      <c r="H11" s="3"/>
      <c r="I11" s="3"/>
      <c r="J11" s="3"/>
      <c r="K11" s="8"/>
      <c r="L11" s="76"/>
      <c r="M11" s="76" t="s">
        <v>51</v>
      </c>
      <c r="N11" s="19"/>
      <c r="O11" s="9"/>
    </row>
    <row r="12" spans="2:15" x14ac:dyDescent="0.2">
      <c r="B12" s="7"/>
      <c r="C12" s="3"/>
      <c r="D12" s="3"/>
      <c r="E12" s="3"/>
      <c r="F12" s="3"/>
      <c r="G12" s="3"/>
      <c r="H12" s="3"/>
      <c r="I12" s="3"/>
      <c r="J12" s="3"/>
      <c r="K12" s="3"/>
      <c r="L12" s="3"/>
      <c r="M12" s="3"/>
      <c r="N12" s="3"/>
      <c r="O12" s="9"/>
    </row>
    <row r="13" spans="2:15" x14ac:dyDescent="0.2">
      <c r="B13" s="7"/>
      <c r="C13" s="3"/>
      <c r="D13" s="3"/>
      <c r="E13" s="3"/>
      <c r="F13" s="3"/>
      <c r="G13" s="3"/>
      <c r="H13" s="3"/>
      <c r="I13" s="3"/>
      <c r="J13" s="3"/>
      <c r="K13" s="3"/>
      <c r="L13" s="3"/>
      <c r="M13" s="3"/>
      <c r="N13" s="3"/>
      <c r="O13" s="9"/>
    </row>
    <row r="14" spans="2:15" ht="26.25" x14ac:dyDescent="0.2">
      <c r="B14" s="7"/>
      <c r="C14" s="3"/>
      <c r="D14" s="3"/>
      <c r="E14" s="3"/>
      <c r="F14" s="3"/>
      <c r="G14" s="3"/>
      <c r="H14" s="3"/>
      <c r="I14" s="3"/>
      <c r="J14" s="3"/>
      <c r="K14" s="105"/>
      <c r="L14" s="106"/>
      <c r="M14" s="106"/>
      <c r="N14" s="3"/>
      <c r="O14" s="9"/>
    </row>
    <row r="15" spans="2:15" x14ac:dyDescent="0.2">
      <c r="B15" s="7"/>
      <c r="C15" s="3"/>
      <c r="D15" s="3"/>
      <c r="E15" s="3"/>
      <c r="F15" s="3"/>
      <c r="G15" s="3"/>
      <c r="H15" s="3"/>
      <c r="I15" s="3"/>
      <c r="J15" s="3"/>
      <c r="K15" s="105"/>
      <c r="L15" s="189" t="s">
        <v>79</v>
      </c>
      <c r="M15" s="189"/>
      <c r="N15" s="3"/>
      <c r="O15" s="9"/>
    </row>
    <row r="16" spans="2:15" x14ac:dyDescent="0.2">
      <c r="B16" s="7"/>
      <c r="C16" s="3"/>
      <c r="D16" s="3"/>
      <c r="E16" s="3"/>
      <c r="F16" s="3"/>
      <c r="G16" s="3"/>
      <c r="H16" s="3"/>
      <c r="I16" s="3"/>
      <c r="J16" s="3"/>
      <c r="K16" s="105"/>
      <c r="L16" s="189"/>
      <c r="M16" s="189"/>
      <c r="N16" s="3"/>
      <c r="O16" s="9"/>
    </row>
    <row r="17" spans="1:15" ht="12.75" customHeight="1" x14ac:dyDescent="0.2">
      <c r="B17" s="7"/>
      <c r="C17" s="3"/>
      <c r="D17" s="3"/>
      <c r="E17" s="3"/>
      <c r="F17" s="3"/>
      <c r="G17" s="3"/>
      <c r="H17" s="3"/>
      <c r="I17" s="3"/>
      <c r="J17" s="3"/>
      <c r="K17" s="105"/>
      <c r="L17" s="189"/>
      <c r="M17" s="189"/>
      <c r="N17" s="3"/>
      <c r="O17" s="9"/>
    </row>
    <row r="18" spans="1:15" ht="12.75" customHeight="1" x14ac:dyDescent="0.2">
      <c r="B18" s="7"/>
      <c r="C18" s="3"/>
      <c r="D18" s="201"/>
      <c r="E18" s="201"/>
      <c r="F18" s="201"/>
      <c r="G18" s="201"/>
      <c r="H18" s="201"/>
      <c r="I18" s="3"/>
      <c r="J18" s="3"/>
      <c r="K18" s="105"/>
      <c r="L18" s="189"/>
      <c r="M18" s="189"/>
      <c r="N18" s="3"/>
      <c r="O18" s="9"/>
    </row>
    <row r="19" spans="1:15" ht="20.100000000000001" customHeight="1" thickBot="1" x14ac:dyDescent="0.25">
      <c r="B19" s="7"/>
      <c r="C19" s="3"/>
      <c r="D19" s="202"/>
      <c r="E19" s="202"/>
      <c r="F19" s="202"/>
      <c r="G19" s="202"/>
      <c r="H19" s="202"/>
      <c r="I19" s="3"/>
      <c r="J19" s="3"/>
      <c r="K19" s="105"/>
      <c r="L19" s="189"/>
      <c r="M19" s="189"/>
      <c r="N19" s="3"/>
      <c r="O19" s="9"/>
    </row>
    <row r="20" spans="1:15" ht="3" customHeight="1" thickTop="1" x14ac:dyDescent="0.3">
      <c r="B20" s="7"/>
      <c r="C20" s="3"/>
      <c r="D20" s="58"/>
      <c r="E20" s="58"/>
      <c r="F20" s="58"/>
      <c r="G20" s="58"/>
      <c r="H20" s="58"/>
      <c r="I20" s="58"/>
      <c r="J20" s="59"/>
      <c r="K20" s="59"/>
      <c r="L20" s="91"/>
      <c r="M20" s="92"/>
      <c r="N20" s="21"/>
      <c r="O20" s="9"/>
    </row>
    <row r="21" spans="1:15" ht="14.1" customHeight="1" x14ac:dyDescent="0.2">
      <c r="B21" s="7"/>
      <c r="C21" s="3"/>
      <c r="D21" s="3"/>
      <c r="E21" s="3"/>
      <c r="F21" s="3"/>
      <c r="G21" s="3"/>
      <c r="H21" s="3"/>
      <c r="I21" s="3"/>
      <c r="J21" s="3"/>
      <c r="K21" s="3"/>
      <c r="L21" s="3"/>
      <c r="M21" s="3"/>
      <c r="N21" s="3"/>
      <c r="O21" s="9"/>
    </row>
    <row r="22" spans="1:15" x14ac:dyDescent="0.2">
      <c r="B22" s="7"/>
      <c r="C22" s="3"/>
      <c r="D22" s="3"/>
      <c r="E22" s="3"/>
      <c r="F22" s="3"/>
      <c r="G22" s="3"/>
      <c r="H22" s="3"/>
      <c r="I22" s="3"/>
      <c r="J22" s="3"/>
      <c r="K22" s="3"/>
      <c r="L22" s="3"/>
      <c r="M22" s="3"/>
      <c r="N22" s="3"/>
      <c r="O22" s="9"/>
    </row>
    <row r="23" spans="1:15" ht="35.25" x14ac:dyDescent="0.5">
      <c r="B23" s="7"/>
      <c r="C23" s="3"/>
      <c r="D23" s="128" t="s">
        <v>53</v>
      </c>
      <c r="E23" s="190" t="s">
        <v>68</v>
      </c>
      <c r="F23" s="191"/>
      <c r="G23" s="191"/>
      <c r="H23" s="191"/>
      <c r="I23" s="191"/>
      <c r="J23" s="191"/>
      <c r="K23" s="123" t="s">
        <v>58</v>
      </c>
      <c r="L23" s="107">
        <v>44166</v>
      </c>
      <c r="M23" s="109"/>
      <c r="N23" s="55"/>
      <c r="O23" s="9"/>
    </row>
    <row r="24" spans="1:15" ht="23.25" x14ac:dyDescent="0.35">
      <c r="B24" s="7"/>
      <c r="C24" s="3"/>
      <c r="D24" s="128" t="s">
        <v>54</v>
      </c>
      <c r="E24" s="198" t="s">
        <v>77</v>
      </c>
      <c r="F24" s="198"/>
      <c r="G24" s="198"/>
      <c r="H24" s="199"/>
      <c r="I24" s="199"/>
      <c r="J24" s="199"/>
      <c r="K24" s="174" t="s">
        <v>65</v>
      </c>
      <c r="L24" s="174"/>
      <c r="M24" s="174"/>
      <c r="N24" s="56"/>
      <c r="O24" s="9"/>
    </row>
    <row r="25" spans="1:15" ht="27.75" x14ac:dyDescent="0.4">
      <c r="B25" s="7"/>
      <c r="C25" s="3"/>
      <c r="D25" s="128" t="s">
        <v>60</v>
      </c>
      <c r="E25" s="150"/>
      <c r="F25" s="110" t="s">
        <v>52</v>
      </c>
      <c r="G25" s="192"/>
      <c r="H25" s="192"/>
      <c r="I25" s="117" t="s">
        <v>56</v>
      </c>
      <c r="J25" s="111" t="s">
        <v>57</v>
      </c>
      <c r="K25" s="123" t="s">
        <v>69</v>
      </c>
      <c r="L25" s="156"/>
      <c r="M25" s="141"/>
      <c r="N25" s="3"/>
      <c r="O25" s="9"/>
    </row>
    <row r="26" spans="1:15" ht="27.75" customHeight="1" x14ac:dyDescent="0.4">
      <c r="A26">
        <v>71</v>
      </c>
      <c r="B26" s="7"/>
      <c r="C26" s="3"/>
      <c r="D26" s="128" t="s">
        <v>55</v>
      </c>
      <c r="E26" s="196" t="s">
        <v>78</v>
      </c>
      <c r="F26" s="197"/>
      <c r="G26" s="197"/>
      <c r="H26" s="197"/>
      <c r="I26" s="197"/>
      <c r="J26" s="197"/>
      <c r="K26" s="123" t="s">
        <v>63</v>
      </c>
      <c r="L26" s="200" t="s">
        <v>76</v>
      </c>
      <c r="M26" s="200"/>
      <c r="N26" s="3"/>
      <c r="O26" s="9"/>
    </row>
    <row r="27" spans="1:15" x14ac:dyDescent="0.2">
      <c r="B27" s="7"/>
      <c r="C27" s="3"/>
      <c r="D27" s="83"/>
      <c r="E27" s="83"/>
      <c r="F27" s="83"/>
      <c r="G27" s="83"/>
      <c r="H27" s="83"/>
      <c r="I27" s="83"/>
      <c r="J27" s="83"/>
      <c r="K27" s="83"/>
      <c r="L27" s="83"/>
      <c r="M27" s="83"/>
      <c r="N27" s="3"/>
      <c r="O27" s="9"/>
    </row>
    <row r="28" spans="1:15" x14ac:dyDescent="0.2">
      <c r="B28" s="7"/>
      <c r="C28" s="3"/>
      <c r="D28" s="83"/>
      <c r="E28" s="83"/>
      <c r="F28" s="83"/>
      <c r="G28" s="83"/>
      <c r="H28" s="83"/>
      <c r="I28" s="83"/>
      <c r="J28" s="83"/>
      <c r="K28" s="83"/>
      <c r="L28" s="83"/>
      <c r="M28" s="83"/>
      <c r="N28" s="3"/>
      <c r="O28" s="9"/>
    </row>
    <row r="29" spans="1:15" x14ac:dyDescent="0.2">
      <c r="B29" s="7"/>
      <c r="C29" s="3"/>
      <c r="D29" s="83"/>
      <c r="E29" s="83"/>
      <c r="F29" s="83"/>
      <c r="G29" s="83"/>
      <c r="H29" s="83"/>
      <c r="I29" s="83"/>
      <c r="J29" s="83"/>
      <c r="K29" s="83"/>
      <c r="L29" s="83"/>
      <c r="M29" s="83"/>
      <c r="N29" s="3"/>
      <c r="O29" s="9"/>
    </row>
    <row r="30" spans="1:15" ht="18" x14ac:dyDescent="0.25">
      <c r="B30" s="7"/>
      <c r="C30" s="3"/>
      <c r="D30" s="95" t="s">
        <v>34</v>
      </c>
      <c r="E30" s="95" t="s">
        <v>21</v>
      </c>
      <c r="F30" s="193" t="s">
        <v>22</v>
      </c>
      <c r="G30" s="194"/>
      <c r="H30" s="194"/>
      <c r="I30" s="194"/>
      <c r="J30" s="194"/>
      <c r="K30" s="195"/>
      <c r="L30" s="95" t="s">
        <v>23</v>
      </c>
      <c r="M30" s="96" t="s">
        <v>24</v>
      </c>
      <c r="N30" s="57"/>
      <c r="O30" s="9"/>
    </row>
    <row r="31" spans="1:15" ht="18.75" x14ac:dyDescent="0.3">
      <c r="B31" s="7"/>
      <c r="C31" s="3"/>
      <c r="D31" s="67"/>
      <c r="E31" s="53"/>
      <c r="F31" s="175"/>
      <c r="G31" s="176"/>
      <c r="H31" s="176"/>
      <c r="I31" s="176"/>
      <c r="J31" s="176"/>
      <c r="K31" s="177"/>
      <c r="L31" s="93"/>
      <c r="M31" s="94" t="str">
        <f>IF(E31&lt;&gt;"",E31*L31,"")</f>
        <v/>
      </c>
      <c r="N31" s="57"/>
      <c r="O31" s="9"/>
    </row>
    <row r="32" spans="1:15" ht="26.25" x14ac:dyDescent="0.4">
      <c r="B32" s="7"/>
      <c r="C32" s="3"/>
      <c r="D32" s="140"/>
      <c r="E32" s="97"/>
      <c r="F32" s="178" t="s">
        <v>59</v>
      </c>
      <c r="G32" s="179"/>
      <c r="H32" s="179"/>
      <c r="I32" s="179"/>
      <c r="J32" s="179"/>
      <c r="K32" s="180"/>
      <c r="L32" s="98"/>
      <c r="M32" s="99" t="str">
        <f>IF(E32&lt;&gt;"",E32*L32,"")</f>
        <v/>
      </c>
      <c r="N32" s="57"/>
      <c r="O32" s="9"/>
    </row>
    <row r="33" spans="2:15" ht="25.5" x14ac:dyDescent="0.35">
      <c r="B33" s="7"/>
      <c r="C33" s="3"/>
      <c r="D33" s="67"/>
      <c r="E33" s="100"/>
      <c r="F33" s="137"/>
      <c r="G33" s="138"/>
      <c r="H33" s="138"/>
      <c r="I33" s="138"/>
      <c r="J33" s="138"/>
      <c r="K33" s="139"/>
      <c r="L33" s="101"/>
      <c r="M33" s="102"/>
      <c r="N33" s="57"/>
      <c r="O33" s="9"/>
    </row>
    <row r="34" spans="2:15" ht="26.25" x14ac:dyDescent="0.4">
      <c r="B34" s="7"/>
      <c r="C34" s="3"/>
      <c r="D34" s="136" t="s">
        <v>67</v>
      </c>
      <c r="E34" s="100">
        <v>6</v>
      </c>
      <c r="F34" s="181" t="s">
        <v>66</v>
      </c>
      <c r="G34" s="182"/>
      <c r="H34" s="182"/>
      <c r="I34" s="182"/>
      <c r="J34" s="182"/>
      <c r="K34" s="183"/>
      <c r="L34" s="101">
        <v>200</v>
      </c>
      <c r="M34" s="102">
        <f>IF(E34&lt;&gt;"",E34*L34,"")</f>
        <v>1200</v>
      </c>
      <c r="N34" s="57"/>
      <c r="O34" s="9"/>
    </row>
    <row r="35" spans="2:15" ht="26.25" x14ac:dyDescent="0.4">
      <c r="B35" s="7"/>
      <c r="C35" s="3"/>
      <c r="D35" s="67"/>
      <c r="E35" s="100"/>
      <c r="F35" s="181" t="s">
        <v>70</v>
      </c>
      <c r="G35" s="182"/>
      <c r="H35" s="182"/>
      <c r="I35" s="182"/>
      <c r="J35" s="182"/>
      <c r="K35" s="183"/>
      <c r="L35" s="101"/>
      <c r="M35" s="102" t="str">
        <f>IF(E35&lt;&gt;"",E35*L35,"")</f>
        <v/>
      </c>
      <c r="N35" s="57"/>
      <c r="O35" s="9"/>
    </row>
    <row r="36" spans="2:15" ht="26.25" x14ac:dyDescent="0.4">
      <c r="B36" s="7"/>
      <c r="C36" s="3"/>
      <c r="D36" s="136"/>
      <c r="E36" s="100"/>
      <c r="F36" s="181" t="s">
        <v>71</v>
      </c>
      <c r="G36" s="182"/>
      <c r="H36" s="182"/>
      <c r="I36" s="182"/>
      <c r="J36" s="182"/>
      <c r="K36" s="183"/>
      <c r="L36" s="101"/>
      <c r="M36" s="102" t="str">
        <f>IF(E36&lt;&gt;"",E36*L36,"")</f>
        <v/>
      </c>
      <c r="N36" s="57"/>
      <c r="O36" s="9"/>
    </row>
    <row r="37" spans="2:15" ht="26.25" x14ac:dyDescent="0.4">
      <c r="B37" s="7"/>
      <c r="C37" s="3"/>
      <c r="D37" s="67"/>
      <c r="E37" s="100"/>
      <c r="F37" s="126"/>
      <c r="G37" s="127"/>
      <c r="H37" s="127"/>
      <c r="I37" s="121"/>
      <c r="J37" s="121"/>
      <c r="K37" s="122"/>
      <c r="L37" s="101"/>
      <c r="M37" s="102" t="str">
        <f t="shared" ref="M37:M40" si="0">IF(E37&lt;&gt;"",E37*L37,"")</f>
        <v/>
      </c>
      <c r="N37" s="57"/>
      <c r="O37" s="9"/>
    </row>
    <row r="38" spans="2:15" ht="25.5" x14ac:dyDescent="0.35">
      <c r="B38" s="7"/>
      <c r="C38" s="3"/>
      <c r="D38" s="136"/>
      <c r="E38" s="100"/>
      <c r="F38" s="124"/>
      <c r="G38" s="124"/>
      <c r="H38" s="124"/>
      <c r="I38" s="124"/>
      <c r="J38" s="124"/>
      <c r="K38" s="124"/>
      <c r="L38" s="101"/>
      <c r="M38" s="102" t="str">
        <f t="shared" si="0"/>
        <v/>
      </c>
      <c r="N38" s="57"/>
      <c r="O38" s="9"/>
    </row>
    <row r="39" spans="2:15" ht="25.5" x14ac:dyDescent="0.35">
      <c r="B39" s="7"/>
      <c r="C39" s="3"/>
      <c r="D39" s="67"/>
      <c r="E39" s="100"/>
      <c r="F39" s="124"/>
      <c r="G39" s="124"/>
      <c r="H39" s="124"/>
      <c r="I39" s="124"/>
      <c r="J39" s="124"/>
      <c r="K39" s="124"/>
      <c r="L39" s="101"/>
      <c r="M39" s="102" t="str">
        <f t="shared" si="0"/>
        <v/>
      </c>
      <c r="N39" s="57"/>
      <c r="O39" s="9"/>
    </row>
    <row r="40" spans="2:15" ht="25.5" x14ac:dyDescent="0.35">
      <c r="B40" s="7"/>
      <c r="C40" s="3"/>
      <c r="D40" s="67"/>
      <c r="E40" s="100"/>
      <c r="F40" s="124"/>
      <c r="G40" s="124"/>
      <c r="H40" s="124"/>
      <c r="I40" s="124"/>
      <c r="J40" s="124"/>
      <c r="K40" s="124"/>
      <c r="L40" s="101"/>
      <c r="M40" s="102" t="str">
        <f t="shared" si="0"/>
        <v/>
      </c>
      <c r="N40" s="57"/>
      <c r="O40" s="9"/>
    </row>
    <row r="41" spans="2:15" ht="25.5" x14ac:dyDescent="0.35">
      <c r="B41" s="7"/>
      <c r="C41" s="3"/>
      <c r="D41" s="67"/>
      <c r="E41" s="100"/>
      <c r="F41" s="124"/>
      <c r="G41" s="124"/>
      <c r="H41" s="124"/>
      <c r="I41" s="124"/>
      <c r="J41" s="124"/>
      <c r="K41" s="124"/>
      <c r="L41" s="101"/>
      <c r="M41" s="102" t="str">
        <f>IF(E41&lt;&gt;"",E41*L41,"")</f>
        <v/>
      </c>
      <c r="N41" s="57"/>
      <c r="O41" s="9"/>
    </row>
    <row r="42" spans="2:15" ht="26.25" x14ac:dyDescent="0.4">
      <c r="B42" s="7"/>
      <c r="C42" s="3"/>
      <c r="D42" s="67"/>
      <c r="E42" s="100"/>
      <c r="F42" s="162"/>
      <c r="G42" s="163"/>
      <c r="H42" s="163"/>
      <c r="I42" s="163"/>
      <c r="J42" s="163"/>
      <c r="K42" s="164"/>
      <c r="L42" s="101"/>
      <c r="M42" s="102"/>
      <c r="N42" s="57"/>
      <c r="O42" s="9"/>
    </row>
    <row r="43" spans="2:15" ht="26.25" x14ac:dyDescent="0.4">
      <c r="B43" s="7"/>
      <c r="C43" s="3"/>
      <c r="D43" s="67"/>
      <c r="E43" s="100"/>
      <c r="F43" s="205"/>
      <c r="G43" s="206"/>
      <c r="H43" s="206"/>
      <c r="I43" s="206"/>
      <c r="J43" s="206"/>
      <c r="K43" s="207"/>
      <c r="L43" s="101"/>
      <c r="M43" s="102"/>
      <c r="N43" s="57"/>
      <c r="O43" s="9"/>
    </row>
    <row r="44" spans="2:15" ht="26.25" x14ac:dyDescent="0.4">
      <c r="B44" s="7"/>
      <c r="C44" s="3"/>
      <c r="D44" s="67"/>
      <c r="E44" s="100"/>
      <c r="F44" s="153"/>
      <c r="G44" s="154"/>
      <c r="H44" s="154"/>
      <c r="I44" s="154"/>
      <c r="J44" s="154"/>
      <c r="K44" s="155"/>
      <c r="L44" s="101"/>
      <c r="M44" s="102"/>
      <c r="N44" s="57"/>
      <c r="O44" s="9"/>
    </row>
    <row r="45" spans="2:15" ht="26.25" x14ac:dyDescent="0.4">
      <c r="B45" s="7"/>
      <c r="C45" s="3"/>
      <c r="D45" s="67"/>
      <c r="E45" s="100"/>
      <c r="F45" s="153"/>
      <c r="G45" s="154"/>
      <c r="H45" s="154"/>
      <c r="I45" s="154"/>
      <c r="J45" s="154"/>
      <c r="K45" s="155"/>
      <c r="L45" s="101"/>
      <c r="M45" s="102"/>
      <c r="N45" s="57"/>
      <c r="O45" s="9"/>
    </row>
    <row r="46" spans="2:15" ht="26.25" x14ac:dyDescent="0.4">
      <c r="B46" s="7"/>
      <c r="C46" s="3"/>
      <c r="D46" s="67"/>
      <c r="E46" s="100"/>
      <c r="F46" s="158"/>
      <c r="G46" s="154"/>
      <c r="H46" s="154"/>
      <c r="I46" s="154"/>
      <c r="J46" s="154"/>
      <c r="K46" s="155"/>
      <c r="L46" s="101"/>
      <c r="M46" s="102"/>
      <c r="N46" s="57"/>
      <c r="O46" s="9"/>
    </row>
    <row r="47" spans="2:15" ht="26.25" x14ac:dyDescent="0.4">
      <c r="B47" s="7"/>
      <c r="C47" s="3"/>
      <c r="D47" s="67"/>
      <c r="E47" s="100"/>
      <c r="F47" s="157"/>
      <c r="G47" s="103"/>
      <c r="H47" s="103"/>
      <c r="I47" s="103"/>
      <c r="J47" s="103"/>
      <c r="K47" s="104"/>
      <c r="L47" s="142"/>
      <c r="M47" s="102"/>
      <c r="N47" s="57"/>
      <c r="O47" s="9"/>
    </row>
    <row r="48" spans="2:15" ht="23.25" x14ac:dyDescent="0.35">
      <c r="B48" s="7"/>
      <c r="C48" s="3"/>
      <c r="D48" s="68"/>
      <c r="E48" s="54"/>
      <c r="F48" s="159"/>
      <c r="G48" s="160"/>
      <c r="H48" s="160"/>
      <c r="I48" s="160"/>
      <c r="J48" s="160"/>
      <c r="K48" s="161"/>
      <c r="L48" s="68"/>
      <c r="M48" s="135" t="str">
        <f>IF(E48&lt;&gt;"",E48*L48,"")</f>
        <v/>
      </c>
      <c r="N48" s="57"/>
      <c r="O48" s="9"/>
    </row>
    <row r="49" spans="1:15" ht="30" x14ac:dyDescent="0.4">
      <c r="B49" s="7"/>
      <c r="C49" s="3"/>
      <c r="D49" s="165"/>
      <c r="E49" s="83"/>
      <c r="F49" s="83"/>
      <c r="G49" s="83"/>
      <c r="H49" s="83"/>
      <c r="I49" s="83"/>
      <c r="J49" s="77"/>
      <c r="K49" s="112"/>
      <c r="L49" s="133" t="s">
        <v>25</v>
      </c>
      <c r="M49" s="116">
        <f>SUM(M33:M48)</f>
        <v>1200</v>
      </c>
      <c r="N49" s="57"/>
      <c r="O49" s="9"/>
    </row>
    <row r="50" spans="1:15" ht="30" x14ac:dyDescent="0.4">
      <c r="B50" s="7"/>
      <c r="C50" s="3"/>
      <c r="D50" s="3"/>
      <c r="E50" s="84"/>
      <c r="F50" s="152" t="s">
        <v>74</v>
      </c>
      <c r="G50" s="83"/>
      <c r="H50" s="83"/>
      <c r="I50" s="83"/>
      <c r="J50" s="77"/>
      <c r="K50" s="112"/>
      <c r="L50" s="130" t="s">
        <v>46</v>
      </c>
      <c r="M50" s="134">
        <v>0.6</v>
      </c>
      <c r="N50" s="57"/>
      <c r="O50" s="9"/>
    </row>
    <row r="51" spans="1:15" ht="30" x14ac:dyDescent="0.4">
      <c r="B51" s="7"/>
      <c r="C51" s="3"/>
      <c r="D51" s="3"/>
      <c r="E51" s="84"/>
      <c r="F51" s="152" t="s">
        <v>73</v>
      </c>
      <c r="G51" s="83"/>
      <c r="H51" s="83"/>
      <c r="I51" s="83"/>
      <c r="J51" s="78"/>
      <c r="K51" s="113"/>
      <c r="L51" s="131" t="s">
        <v>61</v>
      </c>
      <c r="M51" s="118">
        <f>M49*0.19</f>
        <v>228</v>
      </c>
      <c r="N51" s="57"/>
      <c r="O51" s="9"/>
    </row>
    <row r="52" spans="1:15" ht="30" x14ac:dyDescent="0.4">
      <c r="B52" s="7"/>
      <c r="C52" s="3"/>
      <c r="D52" s="3"/>
      <c r="E52" s="86"/>
      <c r="F52" s="152" t="s">
        <v>72</v>
      </c>
      <c r="G52" s="148"/>
      <c r="H52" s="151"/>
      <c r="I52" s="151"/>
      <c r="J52" s="79"/>
      <c r="K52" s="112"/>
      <c r="L52" s="132" t="s">
        <v>27</v>
      </c>
      <c r="M52" s="116">
        <f>M49+M51+M50</f>
        <v>1428.6</v>
      </c>
      <c r="N52" s="57"/>
      <c r="O52" s="9"/>
    </row>
    <row r="53" spans="1:15" ht="30" x14ac:dyDescent="0.4">
      <c r="B53" s="7"/>
      <c r="C53" s="3"/>
      <c r="D53" s="3"/>
      <c r="E53" s="86"/>
      <c r="F53" s="108"/>
      <c r="G53" s="89"/>
      <c r="H53" s="86"/>
      <c r="I53" s="83"/>
      <c r="J53" s="79"/>
      <c r="K53" s="112"/>
      <c r="L53" s="114"/>
      <c r="M53" s="146"/>
      <c r="N53" s="57"/>
      <c r="O53" s="9"/>
    </row>
    <row r="54" spans="1:15" ht="30" x14ac:dyDescent="0.4">
      <c r="B54" s="7"/>
      <c r="C54" s="143" t="s">
        <v>75</v>
      </c>
      <c r="D54" s="3"/>
      <c r="E54" s="86"/>
      <c r="F54" s="108"/>
      <c r="G54" s="89"/>
      <c r="H54" s="86"/>
      <c r="I54" s="83"/>
      <c r="J54" s="79"/>
      <c r="K54" s="112"/>
      <c r="L54" s="114"/>
      <c r="M54" s="146"/>
      <c r="N54" s="57"/>
      <c r="O54" s="9"/>
    </row>
    <row r="55" spans="1:15" ht="30" x14ac:dyDescent="0.4">
      <c r="B55" s="7"/>
      <c r="C55" s="3"/>
      <c r="D55" s="3"/>
      <c r="E55" s="86">
        <v>2</v>
      </c>
      <c r="F55" s="85"/>
      <c r="G55" s="83"/>
      <c r="H55" s="87"/>
      <c r="I55" s="83"/>
      <c r="J55" s="80" t="s">
        <v>26</v>
      </c>
      <c r="K55" s="112"/>
      <c r="L55" s="173" t="s">
        <v>62</v>
      </c>
      <c r="M55" s="173"/>
      <c r="N55" s="57"/>
      <c r="O55" s="9"/>
    </row>
    <row r="56" spans="1:15" ht="18.75" x14ac:dyDescent="0.3">
      <c r="B56" s="7"/>
      <c r="C56" s="3"/>
      <c r="D56" s="143"/>
      <c r="E56" s="143"/>
      <c r="F56" s="143"/>
      <c r="G56" s="143"/>
      <c r="H56" s="143"/>
      <c r="I56" s="143"/>
      <c r="J56" s="143"/>
      <c r="K56" s="143"/>
      <c r="L56" s="173"/>
      <c r="M56" s="173"/>
      <c r="N56" s="57"/>
      <c r="O56" s="9"/>
    </row>
    <row r="57" spans="1:15" ht="30" x14ac:dyDescent="0.4">
      <c r="B57" s="7"/>
      <c r="C57" s="3"/>
      <c r="D57" s="3"/>
      <c r="E57" s="88"/>
      <c r="F57" s="187"/>
      <c r="G57" s="187"/>
      <c r="H57" s="187"/>
      <c r="I57" s="188"/>
      <c r="J57" s="81"/>
      <c r="K57" s="115"/>
      <c r="L57" s="124"/>
      <c r="M57" s="120"/>
      <c r="N57" s="57"/>
      <c r="O57" s="9"/>
    </row>
    <row r="58" spans="1:15" ht="18" x14ac:dyDescent="0.2">
      <c r="B58" s="7"/>
      <c r="C58" s="124"/>
      <c r="D58" s="3"/>
      <c r="E58" s="88"/>
      <c r="F58" s="203"/>
      <c r="G58" s="204"/>
      <c r="H58" s="204"/>
      <c r="I58" s="204"/>
      <c r="J58" s="77"/>
      <c r="K58" s="77"/>
      <c r="L58" s="120"/>
      <c r="M58" s="120"/>
      <c r="N58" s="57"/>
      <c r="O58" s="9"/>
    </row>
    <row r="59" spans="1:15" ht="18" x14ac:dyDescent="0.2">
      <c r="B59" s="7"/>
      <c r="C59" s="3"/>
      <c r="D59" s="3"/>
      <c r="E59" s="20"/>
      <c r="F59" s="208"/>
      <c r="G59" s="209"/>
      <c r="H59" s="209"/>
      <c r="I59" s="209"/>
      <c r="J59" s="77"/>
      <c r="K59" s="120"/>
      <c r="L59" s="120"/>
      <c r="M59" s="120"/>
      <c r="N59" s="57"/>
      <c r="O59" s="9"/>
    </row>
    <row r="60" spans="1:15" ht="18" x14ac:dyDescent="0.2">
      <c r="B60" s="7"/>
      <c r="C60" s="124"/>
      <c r="D60" s="3"/>
      <c r="E60" s="20"/>
      <c r="F60" s="129"/>
      <c r="G60" s="185"/>
      <c r="H60" s="186"/>
      <c r="I60" s="186"/>
      <c r="J60" s="77"/>
      <c r="K60" s="120"/>
      <c r="L60" s="82"/>
      <c r="M60" s="82"/>
      <c r="N60" s="57"/>
      <c r="O60" s="9"/>
    </row>
    <row r="61" spans="1:15" ht="15" x14ac:dyDescent="0.2">
      <c r="B61" s="7"/>
      <c r="C61" s="105"/>
      <c r="D61" s="3"/>
      <c r="E61" s="3"/>
      <c r="F61" s="119"/>
      <c r="G61" s="119"/>
      <c r="H61" s="119"/>
      <c r="I61" s="119"/>
      <c r="J61" s="119"/>
      <c r="K61" s="119"/>
      <c r="L61" s="119"/>
      <c r="M61" s="77"/>
      <c r="N61" s="57"/>
      <c r="O61" s="9"/>
    </row>
    <row r="62" spans="1:15" ht="13.5" thickBot="1" x14ac:dyDescent="0.25">
      <c r="C62" s="124"/>
      <c r="D62" s="3"/>
      <c r="E62" s="3"/>
      <c r="F62" s="3"/>
      <c r="G62" s="3"/>
      <c r="H62" s="3"/>
      <c r="I62" s="3"/>
      <c r="J62" s="3"/>
      <c r="K62" s="3"/>
      <c r="L62" s="3"/>
      <c r="M62" s="3"/>
      <c r="N62" s="57"/>
      <c r="O62" s="9"/>
    </row>
    <row r="63" spans="1:15" ht="13.5" thickTop="1" x14ac:dyDescent="0.2">
      <c r="A63" s="58"/>
      <c r="B63" s="58"/>
      <c r="C63" s="58"/>
      <c r="D63" s="58"/>
      <c r="E63" s="58"/>
      <c r="F63" s="58"/>
      <c r="G63" s="58"/>
      <c r="H63" s="58"/>
      <c r="I63" s="58"/>
      <c r="J63" s="58"/>
      <c r="K63" s="58"/>
      <c r="L63" s="58"/>
      <c r="M63" s="58"/>
      <c r="N63" s="57"/>
      <c r="O63" s="9"/>
    </row>
    <row r="64" spans="1:15" x14ac:dyDescent="0.2">
      <c r="A64" s="3"/>
      <c r="B64" s="3"/>
      <c r="C64" s="3"/>
      <c r="D64" s="3"/>
      <c r="E64" s="3"/>
      <c r="F64" s="3"/>
      <c r="G64" s="3"/>
      <c r="H64" s="3"/>
      <c r="I64" s="3"/>
      <c r="J64" s="3"/>
      <c r="K64" s="3"/>
      <c r="L64" s="3"/>
      <c r="M64" s="3"/>
      <c r="N64" s="57"/>
      <c r="O64" s="9"/>
    </row>
    <row r="65" spans="1:15" x14ac:dyDescent="0.2">
      <c r="A65" s="125"/>
      <c r="B65" s="125"/>
      <c r="C65" s="125"/>
      <c r="D65" s="125"/>
      <c r="E65" s="125"/>
      <c r="F65" s="125"/>
      <c r="G65" s="125"/>
      <c r="H65" s="125"/>
      <c r="I65" s="125"/>
      <c r="J65" s="125"/>
      <c r="K65" s="125"/>
      <c r="L65" s="125"/>
      <c r="M65" s="125"/>
      <c r="N65" s="147"/>
      <c r="O65" s="149"/>
    </row>
    <row r="66" spans="1:15" x14ac:dyDescent="0.2">
      <c r="A66" s="3"/>
      <c r="B66" s="3"/>
      <c r="C66" s="184" t="s">
        <v>64</v>
      </c>
      <c r="D66" s="184"/>
      <c r="E66" s="184"/>
      <c r="F66" s="184"/>
      <c r="G66" s="184"/>
      <c r="H66" s="184"/>
      <c r="I66" s="184"/>
      <c r="J66" s="184"/>
      <c r="K66" s="184"/>
      <c r="L66" s="184"/>
      <c r="M66" s="184"/>
      <c r="N66" s="184"/>
      <c r="O66" s="149"/>
    </row>
    <row r="67" spans="1:15" x14ac:dyDescent="0.2">
      <c r="A67" s="3"/>
      <c r="B67" s="3"/>
      <c r="C67" s="184"/>
      <c r="D67" s="184"/>
      <c r="E67" s="184"/>
      <c r="F67" s="184"/>
      <c r="G67" s="184"/>
      <c r="H67" s="184"/>
      <c r="I67" s="184"/>
      <c r="J67" s="184"/>
      <c r="K67" s="184"/>
      <c r="L67" s="184"/>
      <c r="M67" s="184"/>
      <c r="N67" s="184"/>
      <c r="O67" s="147"/>
    </row>
    <row r="68" spans="1:15" ht="24.95" customHeight="1" x14ac:dyDescent="0.2">
      <c r="A68" s="124"/>
      <c r="B68" s="124"/>
      <c r="C68" s="184"/>
      <c r="D68" s="184"/>
      <c r="E68" s="184"/>
      <c r="F68" s="184"/>
      <c r="G68" s="184"/>
      <c r="H68" s="184"/>
      <c r="I68" s="184"/>
      <c r="J68" s="184"/>
      <c r="K68" s="184"/>
      <c r="L68" s="184"/>
      <c r="M68" s="184"/>
      <c r="N68" s="184"/>
      <c r="O68" s="147"/>
    </row>
    <row r="69" spans="1:15" ht="24.95" customHeight="1" x14ac:dyDescent="0.2">
      <c r="A69" s="125"/>
      <c r="B69" s="125"/>
      <c r="C69" s="184"/>
      <c r="D69" s="184"/>
      <c r="E69" s="184"/>
      <c r="F69" s="184"/>
      <c r="G69" s="184"/>
      <c r="H69" s="184"/>
      <c r="I69" s="184"/>
      <c r="J69" s="184"/>
      <c r="K69" s="184"/>
      <c r="L69" s="184"/>
      <c r="M69" s="184"/>
      <c r="N69" s="184"/>
      <c r="O69" s="147"/>
    </row>
    <row r="70" spans="1:15" ht="12.75" customHeight="1" x14ac:dyDescent="0.2">
      <c r="A70" s="3"/>
      <c r="B70" s="3"/>
      <c r="C70" s="184"/>
      <c r="D70" s="184"/>
      <c r="E70" s="184"/>
      <c r="F70" s="184"/>
      <c r="G70" s="184"/>
      <c r="H70" s="184"/>
      <c r="I70" s="184"/>
      <c r="J70" s="184"/>
      <c r="K70" s="184"/>
      <c r="L70" s="184"/>
      <c r="M70" s="184"/>
      <c r="N70" s="184"/>
      <c r="O70" s="124"/>
    </row>
    <row r="71" spans="1:15" ht="12.75" customHeight="1" x14ac:dyDescent="0.2">
      <c r="A71" s="3"/>
      <c r="B71" s="3"/>
      <c r="C71" s="105"/>
      <c r="D71" s="124"/>
      <c r="E71" s="124"/>
      <c r="F71" s="124"/>
      <c r="G71" s="124"/>
      <c r="H71" s="124"/>
      <c r="I71" s="124"/>
      <c r="J71" s="124"/>
      <c r="K71" s="124"/>
      <c r="L71" s="124"/>
      <c r="M71" s="124"/>
      <c r="N71" s="124"/>
      <c r="O71" s="124"/>
    </row>
    <row r="72" spans="1:15" ht="12.75" customHeight="1" thickBot="1" x14ac:dyDescent="0.25">
      <c r="B72" s="144"/>
      <c r="C72" s="145"/>
      <c r="D72" s="124"/>
      <c r="E72" s="124"/>
      <c r="F72" s="124"/>
      <c r="G72" s="124"/>
      <c r="H72" s="124"/>
      <c r="I72" s="124"/>
      <c r="J72" s="124"/>
      <c r="K72" s="124"/>
      <c r="L72" s="124"/>
      <c r="M72" s="124"/>
    </row>
    <row r="73" spans="1:15" ht="13.5" thickTop="1" x14ac:dyDescent="0.2"/>
    <row r="74" spans="1:15" ht="3" customHeight="1" x14ac:dyDescent="0.2"/>
    <row r="78" spans="1:15" ht="0.95" customHeight="1" x14ac:dyDescent="0.2"/>
    <row r="79" spans="1:15" ht="6" customHeight="1" x14ac:dyDescent="0.2"/>
  </sheetData>
  <scenarios current="0">
    <scenario name="sample1" locked="1" count="10" user="Nickte" comment="Created by Nickte on 23/10/96">
      <inputCells r="E23" val="M. Antoine CIVAUX"/>
      <inputCells r="E24" val="34, route de Marseille"/>
      <inputCells r="E25" val="84000"/>
      <inputCells r="E26" val="04.90.26.45.78"/>
      <inputCells r="G25" val="Avignon"/>
      <inputCells r="J25" val="France"/>
      <inputCells r="L23" val="35343" numFmtId="14"/>
      <inputCells r="L24" val="452"/>
      <inputCells r="L25" val="T. Farot"/>
      <inputCells r="L26" val="Le Havre"/>
    </scenario>
    <scenario name="sample2" locked="1" count="10" user="Nickte" comment="Created by Nickte on 23/10/96">
      <inputCells r="M32" undone="1" val="1300" numFmtId="8"/>
      <inputCells r="L32" undone="1" val="2"/>
      <inputCells r="M31" undone="1" val="2300" numFmtId="8"/>
      <inputCells r="L31" undone="1" val="2"/>
      <inputCells r="F32" undone="1" val="Fauteuil ergonomique"/>
      <inputCells r="E32" undone="1" val="1"/>
      <inputCells r="D32" undone="1" val="RF458"/>
      <inputCells r="F31" undone="1" val="Bureau métal"/>
      <inputCells r="E31" undone="1" val="1"/>
      <inputCells r="D31" undone="1" val="FV451"/>
    </scenario>
  </scenarios>
  <mergeCells count="21">
    <mergeCell ref="C66:N70"/>
    <mergeCell ref="G60:I60"/>
    <mergeCell ref="F57:I57"/>
    <mergeCell ref="L15:M19"/>
    <mergeCell ref="E23:J23"/>
    <mergeCell ref="G25:H25"/>
    <mergeCell ref="F30:K30"/>
    <mergeCell ref="E26:J26"/>
    <mergeCell ref="E24:J24"/>
    <mergeCell ref="L26:M26"/>
    <mergeCell ref="D18:H19"/>
    <mergeCell ref="F58:I58"/>
    <mergeCell ref="F43:K43"/>
    <mergeCell ref="F34:K34"/>
    <mergeCell ref="F35:K35"/>
    <mergeCell ref="F59:I59"/>
    <mergeCell ref="L55:M56"/>
    <mergeCell ref="K24:M24"/>
    <mergeCell ref="F31:K31"/>
    <mergeCell ref="F32:K32"/>
    <mergeCell ref="F36:K36"/>
  </mergeCells>
  <phoneticPr fontId="0" type="noConversion"/>
  <dataValidations xWindow="258" yWindow="385" count="12">
    <dataValidation errorStyle="warning" allowBlank="1" showInputMessage="1" errorTitle="Numéro de carte de crédit" promptTitle="Numéro de carte de crédit" prompt="Tapez ici le numéro de carte de crédit du client" sqref="F59"/>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58:K60 L55"/>
    <dataValidation type="textLength" errorStyle="warning" allowBlank="1" showErrorMessage="1" errorTitle="Sous-total" error="Les cellules ombrées contiennent des formules et sont calculées automatiquement par Excel. N'y tapez aucune information." promptTitle="Sous-total" sqref="M49">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50">
      <formula1>0</formula1>
      <formula2>0</formula2>
    </dataValidation>
    <dataValidation allowBlank="1" showErrorMessage="1" sqref="G25:H25"/>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L64 F65:K65"/>
    <dataValidation type="textLength" errorStyle="warning" allowBlank="1" showErrorMessage="1" errorTitle="T.V.A." error="Les cellules ombrées contiennent des formules et sont calculées automatiquement par Excel. N'y tapez aucune information." promptTitle="T.V.A." sqref="L51">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51">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M52:M54">
      <formula1>0</formula1>
      <formula2>0</formula2>
    </dataValidation>
    <dataValidation type="whole" errorStyle="warning" allowBlank="1" showErrorMessage="1" errorTitle="Quantité" error="Tapez un nombre dans cette cellule." promptTitle="Quantité" sqref="E31:E48">
      <formula1>0</formula1>
      <formula2>1000000000</formula2>
    </dataValidation>
    <dataValidation type="decimal" allowBlank="1" showErrorMessage="1" errorTitle="Prix unitaire" error="Tapez un nombre dans cette cellule." promptTitle="Prix unitaire" sqref="L31:L48">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31:M48">
      <formula1>0</formula1>
      <formula2>0</formula2>
    </dataValidation>
  </dataValidations>
  <printOptions horizontalCentered="1"/>
  <pageMargins left="0.51181102362204722" right="0.51181102362204722" top="0.51181102362204722" bottom="0.51181102362204722" header="0.51181102362204722" footer="0.51181102362204722"/>
  <pageSetup paperSize="9" scale="51" orientation="portrait"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08" r:id="rId4" name="pd2">
              <controlPr defaultSize="0" autoFill="0" autoLine="0" autoPict="0" macro="[2]!INV_Payments">
                <anchor moveWithCells="1">
                  <from>
                    <xdr:col>4</xdr:col>
                    <xdr:colOff>266700</xdr:colOff>
                    <xdr:row>50</xdr:row>
                    <xdr:rowOff>9525</xdr:rowOff>
                  </from>
                  <to>
                    <xdr:col>4</xdr:col>
                    <xdr:colOff>571500</xdr:colOff>
                    <xdr:row>50</xdr:row>
                    <xdr:rowOff>228600</xdr:rowOff>
                  </to>
                </anchor>
              </controlPr>
            </control>
          </mc:Choice>
        </mc:AlternateContent>
        <mc:AlternateContent xmlns:mc="http://schemas.openxmlformats.org/markup-compatibility/2006">
          <mc:Choice Requires="x14">
            <control shapeId="2109" r:id="rId5" name="Option Button 61">
              <controlPr defaultSize="0" autoFill="0" autoLine="0" autoPict="0" macro="[2]!INV_Payments">
                <anchor moveWithCells="1">
                  <from>
                    <xdr:col>4</xdr:col>
                    <xdr:colOff>238125</xdr:colOff>
                    <xdr:row>51</xdr:row>
                    <xdr:rowOff>0</xdr:rowOff>
                  </from>
                  <to>
                    <xdr:col>4</xdr:col>
                    <xdr:colOff>552450</xdr:colOff>
                    <xdr:row>51</xdr:row>
                    <xdr:rowOff>228600</xdr:rowOff>
                  </to>
                </anchor>
              </controlPr>
            </control>
          </mc:Choice>
        </mc:AlternateContent>
        <mc:AlternateContent xmlns:mc="http://schemas.openxmlformats.org/markup-compatibility/2006">
          <mc:Choice Requires="x14">
            <control shapeId="2110" r:id="rId6" name="Option Button 62">
              <controlPr defaultSize="0" autoFill="0" autoLine="0" autoPict="0" macro="[2]!INV_Payments">
                <anchor moveWithCells="1">
                  <from>
                    <xdr:col>4</xdr:col>
                    <xdr:colOff>266700</xdr:colOff>
                    <xdr:row>49</xdr:row>
                    <xdr:rowOff>9525</xdr:rowOff>
                  </from>
                  <to>
                    <xdr:col>4</xdr:col>
                    <xdr:colOff>571500</xdr:colOff>
                    <xdr:row>49</xdr:row>
                    <xdr:rowOff>228600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69"/>
  </cols>
  <sheetData>
    <row r="1" spans="1:11" x14ac:dyDescent="0.2">
      <c r="A1" s="69" t="s">
        <v>28</v>
      </c>
    </row>
    <row r="2" spans="1:11" x14ac:dyDescent="0.2">
      <c r="A2" s="69" t="s">
        <v>35</v>
      </c>
      <c r="B2" s="69" t="s">
        <v>29</v>
      </c>
    </row>
    <row r="3" spans="1:11" x14ac:dyDescent="0.2">
      <c r="A3" s="69" t="s">
        <v>36</v>
      </c>
      <c r="B3" s="69" t="s">
        <v>43</v>
      </c>
    </row>
    <row r="4" spans="1:11" x14ac:dyDescent="0.2">
      <c r="A4" s="69" t="s">
        <v>30</v>
      </c>
    </row>
    <row r="5" spans="1:11" x14ac:dyDescent="0.2">
      <c r="A5" s="69" t="s">
        <v>37</v>
      </c>
      <c r="B5" s="69">
        <v>1</v>
      </c>
    </row>
    <row r="6" spans="1:11" x14ac:dyDescent="0.2">
      <c r="A6" s="69">
        <v>1</v>
      </c>
      <c r="B6" s="69" t="s">
        <v>38</v>
      </c>
      <c r="C6" s="69" t="s">
        <v>42</v>
      </c>
      <c r="D6" s="69" t="s">
        <v>39</v>
      </c>
      <c r="E6" s="69">
        <v>10</v>
      </c>
      <c r="G6" s="69">
        <v>-727923968</v>
      </c>
    </row>
    <row r="7" spans="1:11" x14ac:dyDescent="0.2">
      <c r="A7" s="69" t="s">
        <v>40</v>
      </c>
      <c r="B7" s="69" t="s">
        <v>31</v>
      </c>
      <c r="C7" s="69" t="s">
        <v>18</v>
      </c>
      <c r="D7" s="69" t="s">
        <v>3</v>
      </c>
      <c r="E7" s="69" t="s">
        <v>5</v>
      </c>
      <c r="F7" s="69" t="s">
        <v>7</v>
      </c>
      <c r="G7" s="69" t="s">
        <v>8</v>
      </c>
      <c r="H7" s="69" t="s">
        <v>9</v>
      </c>
      <c r="I7" s="69" t="s">
        <v>20</v>
      </c>
      <c r="J7" s="69" t="s">
        <v>32</v>
      </c>
      <c r="K7" s="69" t="s">
        <v>19</v>
      </c>
    </row>
    <row r="8" spans="1:11" x14ac:dyDescent="0.2">
      <c r="A8" s="69" t="s">
        <v>41</v>
      </c>
      <c r="B8" s="70" t="str">
        <f>Facture!$M$11</f>
        <v/>
      </c>
      <c r="C8" s="71">
        <f>Facture!$L$23</f>
        <v>44166</v>
      </c>
      <c r="D8" s="72" t="str">
        <f>Facture!$E$23</f>
        <v>KRYPTCOM</v>
      </c>
      <c r="E8" s="69" t="str">
        <f>Facture!$E$24</f>
        <v>50 RUE DE L'ARTISANAT ZI CHARGUIA 2</v>
      </c>
      <c r="F8" s="69">
        <f>Facture!$E$25</f>
        <v>0</v>
      </c>
      <c r="G8" s="72">
        <f>Facture!$G$25</f>
        <v>0</v>
      </c>
      <c r="H8" s="72" t="str">
        <f>Facture!$J$25</f>
        <v>TN</v>
      </c>
      <c r="I8" s="69" t="str">
        <f>Facture!$E$26</f>
        <v>31 403 263 FAX: 32 403 263</v>
      </c>
      <c r="J8" s="73">
        <f>Facture!$M$52</f>
        <v>1428.6</v>
      </c>
      <c r="K8" s="69">
        <f>Facture!$L$25</f>
        <v>0</v>
      </c>
    </row>
    <row r="9" spans="1:11" x14ac:dyDescent="0.2">
      <c r="A9" s="69" t="s">
        <v>30</v>
      </c>
    </row>
    <row r="10" spans="1:11" x14ac:dyDescent="0.2">
      <c r="G10" s="69">
        <v>324499967</v>
      </c>
    </row>
    <row r="14" spans="1:11" x14ac:dyDescent="0.2">
      <c r="G14" s="69">
        <v>1194546431</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78</vt:i4>
      </vt:variant>
    </vt:vector>
  </HeadingPairs>
  <TitlesOfParts>
    <vt:vector size="82" baseType="lpstr">
      <vt:lpstr>Personnaliser votre facture</vt:lpstr>
      <vt:lpstr>Facture</vt:lpstr>
      <vt:lpstr>Patientez un instant...</vt:lpstr>
      <vt:lpstr>TemplateInformation</vt:lpstr>
      <vt:lpstr>_SHR1</vt:lpstr>
      <vt:lpstr>_SHR2</vt:lpstr>
      <vt:lpstr>_Tax1</vt:lpstr>
      <vt:lpstr>Auto_ouvrir21</vt:lpstr>
      <vt:lpstr>boxes</vt:lpstr>
      <vt:lpstr>CC</vt:lpstr>
      <vt:lpstr>CCT</vt:lpstr>
      <vt:lpstr>CDB</vt:lpstr>
      <vt:lpstr>CS</vt:lpstr>
      <vt:lpstr>data1</vt:lpstr>
      <vt:lpstr>data10</vt:lpstr>
      <vt:lpstr>data11</vt:lpstr>
      <vt:lpstr>data12</vt:lpstr>
      <vt:lpstr>data13</vt:lpstr>
      <vt:lpstr>data14</vt:lpstr>
      <vt:lpstr>data15</vt:lpstr>
      <vt:lpstr>data16</vt:lpstr>
      <vt:lpstr>data2</vt:lpstr>
      <vt:lpstr>data3</vt:lpstr>
      <vt:lpstr>data4</vt:lpstr>
      <vt:lpstr>data5</vt:lpstr>
      <vt:lpstr>data56</vt:lpstr>
      <vt:lpstr>data57</vt:lpstr>
      <vt:lpstr>data58</vt:lpstr>
      <vt:lpstr>data59</vt:lpstr>
      <vt:lpstr>data6</vt:lpstr>
      <vt:lpstr>data61</vt:lpstr>
      <vt:lpstr>data62</vt:lpstr>
      <vt:lpstr>data63</vt:lpstr>
      <vt:lpstr>data64</vt:lpstr>
      <vt:lpstr>data65</vt:lpstr>
      <vt:lpstr>data66</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qzqzqz10</vt:lpstr>
      <vt:lpstr>qzqzqz2</vt:lpstr>
      <vt:lpstr>qzqzqz24</vt:lpstr>
      <vt:lpstr>qzqzqz26</vt:lpstr>
      <vt:lpstr>qzqzqz27</vt:lpstr>
      <vt:lpstr>qzqzqz28</vt:lpstr>
      <vt:lpstr>qzqzqz29</vt:lpstr>
      <vt:lpstr>qzqzqz3</vt:lpstr>
      <vt:lpstr>qzqzqz30</vt:lpstr>
      <vt:lpstr>qzqzqz31</vt:lpstr>
      <vt:lpstr>qzqzqz32</vt:lpstr>
      <vt:lpstr>qzqzqz4</vt:lpstr>
      <vt:lpstr>qzqzqz5</vt:lpstr>
      <vt:lpstr>qzqzqz6</vt:lpstr>
      <vt:lpstr>qzqzqz7</vt:lpstr>
      <vt:lpstr>qzqzqz8</vt:lpstr>
      <vt:lpstr>qzqzqz9</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2020-12-01T08:56:41Z</cp:lastPrinted>
  <dcterms:created xsi:type="dcterms:W3CDTF">1995-05-29T15:50:39Z</dcterms:created>
  <dcterms:modified xsi:type="dcterms:W3CDTF">2020-12-01T08:57:41Z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KRYPTCOM</vt:lpwstr>
  </property>
  <property fmtid="{D5CDD505-2E9C-101B-9397-08002B2CF9AE}" pid="11" name="Montant de la facture" linkTarget="TOT">
    <vt:r8>1428.6</vt:r8>
  </property>
</Properties>
</file>