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<sst xmlns="http://schemas.openxmlformats.org/spreadsheetml/2006/main" count="88" uniqueCount="80">
  <si>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</si>
  <si>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</si>
  <si>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</si>
  <si>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</si>
  <si>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</si>
  <si>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</si>
  <si>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</si>
  <si>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</si>
  <si>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</si>
  <si>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</si>
  <si>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</si>
  <si>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</si>
  <si>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</si>
  <si>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</si>
  <si>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</si>
  <si>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</si>
  <si>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</si>
  <si>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</si>
  <si>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</si>
  <si>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</si>
  <si>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</si>
  <si>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</si>
  <si>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</si>
  <si>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</si>
  <si>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</si>
  <si>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</si>
  <si>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</si>
  <si>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</si>
  <si>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</si>
  <si>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</si>
  <si>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</si>
  <si>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</si>
  <si>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</si>
  <si>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</si>
  <si>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</si>
  <si>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</si>
  <si>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</si>
  <si>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</si>
  <si>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</si>
  <si>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</si>
  <si>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</si>
  <si>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</si>
  <si>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</si>
  <si>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</si>
  <si>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</si>
  <si>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</si>
  <si>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</si>
  <si>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</si>
  <si>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</si>
  <si>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</si>
  <si>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</si>
  <si>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</si>
  <si>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</si>
  <si>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</si>
  <si>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</si>
  <si>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</si>
  <si>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</si>
  <si>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</si>
  <si>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</si>
  <si>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</si>
  <si>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</si>
  <si>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</si>
  <si>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</si>
  <si>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</si>
  <si>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</si>
  <si>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</si>
  <si>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</si>
  <si>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</si>
  <si>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</si>
  <si>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</si>
  <si>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</si>
  <si>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</si>
  <si>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</si>
  <si>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</si>
  <si>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</si>
  <si>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FR-2020434</t>
  </si>
  <si>
    <t>I_B</t>
  </si>
  <si>
    <t>BADGE HAMZA RAYES</t>
  </si>
  <si>
    <t>FACTURE  N°2020-041</t>
  </si>
  <si>
    <t>ARRETE LA PRESENTE FACTURE A LA SOMME DE :DEUX CENT SOIXANTE DEUX DINARS 400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</si>
</sst>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1" zoomScale="50" zoomScaleNormal="50" workbookViewId="0">
      <selection activeCell="F41" sqref="F41:K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78</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44025</v>
      </c>
      <c r="M23" s="109"/>
      <c r="N23" s="55"/>
      <c r="O23" s="9"/>
    </row>
    <row r="24" spans="1:15" ht="27" x14ac:dyDescent="0.35">
      <c r="B24" s="7"/>
      <c r="C24" s="3"/>
      <c r="D24" s="125" t="s">
        <v>53</v>
      </c>
      <c r="E24" s="188" t="s">
        <v>69</v>
      </c>
      <c r="F24" s="188"/>
      <c r="G24" s="188"/>
      <c r="H24" s="189"/>
      <c r="I24" s="189"/>
      <c r="J24" s="189"/>
      <c r="K24" s="201" t="s">
        <v>75</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1</v>
      </c>
      <c r="F35" s="171" t="s">
        <v>72</v>
      </c>
      <c r="G35" s="172"/>
      <c r="H35" s="172"/>
      <c r="I35" s="172"/>
      <c r="J35" s="172"/>
      <c r="K35" s="173"/>
      <c r="L35" s="101">
        <v>200</v>
      </c>
      <c r="M35" s="102">
        <f t="shared" ref="M35:M43" si="0">IF(E35&lt;&gt;"",E35*L35,"")</f>
        <v>200</v>
      </c>
      <c r="N35" s="57"/>
      <c r="O35" s="9"/>
    </row>
    <row r="36" spans="2:15" ht="26.25" x14ac:dyDescent="0.4">
      <c r="B36" s="7"/>
      <c r="C36" s="3"/>
      <c r="D36" s="132"/>
      <c r="E36" s="100"/>
      <c r="F36" s="171" t="s">
        <v>74</v>
      </c>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t="s">
        <v>76</v>
      </c>
      <c r="E38" s="100">
        <v>1</v>
      </c>
      <c r="F38" s="168" t="s">
        <v>77</v>
      </c>
      <c r="G38" s="169"/>
      <c r="H38" s="169"/>
      <c r="I38" s="169"/>
      <c r="J38" s="169"/>
      <c r="K38" s="170"/>
      <c r="L38" s="101">
        <v>20</v>
      </c>
      <c r="M38" s="102">
        <f t="shared" si="0"/>
        <v>20</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68"/>
      <c r="G40" s="169"/>
      <c r="H40" s="169"/>
      <c r="I40" s="169"/>
      <c r="J40" s="169"/>
      <c r="K40" s="170"/>
      <c r="L40" s="139"/>
      <c r="M40" s="102" t="str">
        <f t="shared" si="0"/>
        <v/>
      </c>
      <c r="N40" s="57"/>
      <c r="O40" s="9"/>
    </row>
    <row r="41" spans="2:15" ht="26.25" x14ac:dyDescent="0.4">
      <c r="B41" s="7"/>
      <c r="C41" s="3"/>
      <c r="D41" s="132"/>
      <c r="E41" s="100"/>
      <c r="F41" s="168"/>
      <c r="G41" s="169"/>
      <c r="H41" s="169"/>
      <c r="I41" s="169"/>
      <c r="J41" s="169"/>
      <c r="K41" s="17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220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41.8</v>
      </c>
      <c r="N46" s="57"/>
      <c r="O46" s="9"/>
    </row>
    <row r="47" spans="2:15" ht="30" x14ac:dyDescent="0.4">
      <c r="B47" s="7"/>
      <c r="C47" s="3"/>
      <c r="D47" s="3"/>
      <c r="E47" s="86"/>
      <c r="F47" s="152" t="s">
        <v>67</v>
      </c>
      <c r="G47" s="153"/>
      <c r="H47" s="154"/>
      <c r="I47" s="147"/>
      <c r="J47" s="79"/>
      <c r="K47" s="112"/>
      <c r="L47" s="129" t="s">
        <v>26</v>
      </c>
      <c r="M47" s="116">
        <f>M44+M46+M45</f>
        <v>262.40000000000003</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79</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44025</v>
      </c>
      <c r="D8" s="72" t="str">
        <f>Facture!$E$23</f>
        <v xml:space="preserve">NXT </v>
      </c>
      <c r="E8" s="69" t="str">
        <f>Facture!$E$24</f>
        <v>AV MOSBAH JARBOU EL MANAR II</v>
      </c>
      <c r="F8" s="69">
        <f>Facture!$E$25</f>
        <v>2092</v>
      </c>
      <c r="G8" s="72">
        <f>Facture!$G$25</f>
        <v>0</v>
      </c>
      <c r="H8" s="72" t="str">
        <f>Facture!$J$25</f>
        <v>TN</v>
      </c>
      <c r="I8" s="69">
        <f>Facture!$E$26</f>
        <v>0</v>
      </c>
      <c r="J8" s="73">
        <f>Facture!$M$47</f>
        <v>262.40000000000003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2020-05-27T07:34:50Z</cp:lastPrinted>
  <dcterms:created xsi:type="dcterms:W3CDTF">1995-05-29T15:50:39Z</dcterms:created>
  <dcterms:modified xsi:type="dcterms:W3CDTF">2020-07-13T10:27:36Z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262.4</vt:r8>
  </property>
</Properties>
</file>