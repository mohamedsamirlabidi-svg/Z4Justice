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<sst xmlns="http://schemas.openxmlformats.org/spreadsheetml/2006/main" count="88" uniqueCount="80">
  <si>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</si>
  <si>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</si>
  <si>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</si>
  <si>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</si>
  <si>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</si>
  <si>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</si>
  <si>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</si>
  <si>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</si>
  <si>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</si>
  <si>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</si>
  <si>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</si>
  <si>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</si>
  <si>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</si>
  <si>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</si>
  <si>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</si>
  <si>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</si>
  <si>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</si>
  <si>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</si>
  <si>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</si>
  <si>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</si>
  <si>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</si>
  <si>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</si>
  <si>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</si>
  <si>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</si>
  <si>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</si>
  <si>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</si>
  <si>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</si>
  <si>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</si>
  <si>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</si>
  <si>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</si>
  <si>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</si>
  <si>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</si>
  <si>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</si>
  <si>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</si>
  <si>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</si>
  <si>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</si>
  <si>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</si>
  <si>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</si>
  <si>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</si>
  <si>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</si>
  <si>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</si>
  <si>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</si>
  <si>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</si>
  <si>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</si>
  <si>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</si>
  <si>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</si>
  <si>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</si>
  <si>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</si>
  <si>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</si>
  <si>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</si>
  <si>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</si>
  <si>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</si>
  <si>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</si>
  <si>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</si>
  <si>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</si>
  <si>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</si>
  <si>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</si>
  <si>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</si>
  <si>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</si>
  <si>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</si>
  <si>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</si>
  <si>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</si>
  <si>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</si>
  <si>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</si>
  <si>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</si>
  <si>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</si>
  <si>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</si>
  <si>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</si>
  <si>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FACTURE N°2020-004</t>
  </si>
  <si>
    <t xml:space="preserve">     Responsable:         Mr zahi</t>
  </si>
  <si>
    <t>39 AVENUE DU JAPON IMMEUBLE SAFSAF A2-2</t>
  </si>
  <si>
    <t>SMTT</t>
  </si>
  <si>
    <t>1004295G/A/M/000</t>
  </si>
  <si>
    <t xml:space="preserve">   71 906 788             Fax: 71 906 849    </t>
  </si>
  <si>
    <t>FS001</t>
  </si>
  <si>
    <t>HABILITATION ELECTRIQUE B1-B1V</t>
  </si>
  <si>
    <t>HE001</t>
  </si>
  <si>
    <t xml:space="preserve">SECOURISME EN MILIEU DU TRAVAIL </t>
  </si>
  <si>
    <t xml:space="preserve">Chèque   </t>
  </si>
  <si>
    <t>ARRETE LA PRESENTE FACTURE A LA SOMME DE :MILLE NEUF CENT QUATRE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</si>
</sst>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horizontal="left"/>
    </xf>
    <xf numFmtId="0" fontId="47" fillId="3" borderId="0" xfId="0" applyFont="1" applyFill="1" applyBorder="1" applyAlignment="1">
      <alignment vertical="top"/>
    </xf>
    <xf numFmtId="0" fontId="0" fillId="6" borderId="7" xfId="0" applyFill="1" applyBorder="1"/>
    <xf numFmtId="0" fontId="25" fillId="3" borderId="40" xfId="0" applyFont="1" applyFill="1" applyBorder="1"/>
    <xf numFmtId="167" fontId="51"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8"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50"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3" fontId="27" fillId="3" borderId="41" xfId="0" applyNumberFormat="1" applyFont="1" applyFill="1" applyBorder="1" applyAlignment="1"/>
    <xf numFmtId="0" fontId="27" fillId="2" borderId="41" xfId="0" applyFont="1" applyBorder="1" applyAlignment="1"/>
    <xf numFmtId="0" fontId="25" fillId="3" borderId="49" xfId="0" applyFont="1" applyFill="1" applyBorder="1" applyAlignment="1">
      <alignment horizontal="left"/>
    </xf>
    <xf numFmtId="0" fontId="25"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9</xdr:col>
      <xdr:colOff>742950</xdr:colOff>
      <xdr:row>15</xdr:row>
      <xdr:rowOff>78534</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381750" cy="1945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oneCellAnchor>
        <xdr:from>
          <xdr:col>4</xdr:col>
          <xdr:colOff>266700</xdr:colOff>
          <xdr:row>48</xdr:row>
          <xdr:rowOff>9525</xdr:rowOff>
        </xdr:from>
        <xdr:ext cx="304800" cy="219075"/>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J40" sqref="J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68</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88"/>
      <c r="E18" s="188"/>
      <c r="F18" s="188"/>
      <c r="G18" s="188"/>
      <c r="H18" s="188"/>
      <c r="I18" s="3"/>
      <c r="J18" s="3"/>
      <c r="K18" s="111"/>
      <c r="L18" s="180"/>
      <c r="M18" s="180"/>
      <c r="N18" s="3"/>
      <c r="O18" s="9"/>
    </row>
    <row r="19" spans="1:15" ht="20.100000000000001" customHeight="1" thickBot="1" x14ac:dyDescent="0.25">
      <c r="B19" s="7"/>
      <c r="C19" s="3"/>
      <c r="D19" s="189"/>
      <c r="E19" s="189"/>
      <c r="F19" s="189"/>
      <c r="G19" s="189"/>
      <c r="H19" s="189"/>
      <c r="I19" s="3"/>
      <c r="J19" s="3"/>
      <c r="K19" s="111"/>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1" t="s">
        <v>71</v>
      </c>
      <c r="F23" s="182"/>
      <c r="G23" s="182"/>
      <c r="H23" s="182"/>
      <c r="I23" s="182"/>
      <c r="J23" s="182"/>
      <c r="K23" s="132" t="s">
        <v>58</v>
      </c>
      <c r="L23" s="113">
        <v>43847</v>
      </c>
      <c r="M23" s="115"/>
      <c r="N23" s="55"/>
      <c r="O23" s="9"/>
    </row>
    <row r="24" spans="1:15" ht="23.25" x14ac:dyDescent="0.35">
      <c r="B24" s="7"/>
      <c r="C24" s="3"/>
      <c r="D24" s="137" t="s">
        <v>54</v>
      </c>
      <c r="E24" s="210" t="s">
        <v>70</v>
      </c>
      <c r="F24" s="210"/>
      <c r="G24" s="210"/>
      <c r="H24" s="211"/>
      <c r="I24" s="211"/>
      <c r="J24" s="211"/>
      <c r="K24" s="201" t="s">
        <v>67</v>
      </c>
      <c r="L24" s="201"/>
      <c r="M24" s="201"/>
      <c r="N24" s="56"/>
      <c r="O24" s="9"/>
    </row>
    <row r="25" spans="1:15" ht="27.75" x14ac:dyDescent="0.4">
      <c r="B25" s="7"/>
      <c r="C25" s="3"/>
      <c r="D25" s="137" t="s">
        <v>60</v>
      </c>
      <c r="E25" s="163"/>
      <c r="F25" s="116" t="s">
        <v>52</v>
      </c>
      <c r="G25" s="183"/>
      <c r="H25" s="183"/>
      <c r="I25" s="123" t="s">
        <v>56</v>
      </c>
      <c r="J25" s="117" t="s">
        <v>57</v>
      </c>
      <c r="K25" s="132" t="s">
        <v>69</v>
      </c>
      <c r="L25" s="152"/>
      <c r="M25" s="153"/>
      <c r="N25" s="3"/>
      <c r="O25" s="9"/>
    </row>
    <row r="26" spans="1:15" ht="27.75" customHeight="1" x14ac:dyDescent="0.35">
      <c r="A26">
        <v>71</v>
      </c>
      <c r="B26" s="7"/>
      <c r="C26" s="3"/>
      <c r="D26" s="137" t="s">
        <v>55</v>
      </c>
      <c r="E26" s="208" t="s">
        <v>73</v>
      </c>
      <c r="F26" s="209"/>
      <c r="G26" s="209"/>
      <c r="H26" s="209"/>
      <c r="I26" s="209"/>
      <c r="J26" s="209"/>
      <c r="K26" s="132" t="s">
        <v>64</v>
      </c>
      <c r="L26" s="187" t="s">
        <v>72</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4" t="s">
        <v>22</v>
      </c>
      <c r="G30" s="185"/>
      <c r="H30" s="185"/>
      <c r="I30" s="185"/>
      <c r="J30" s="185"/>
      <c r="K30" s="186"/>
      <c r="L30" s="95" t="s">
        <v>23</v>
      </c>
      <c r="M30" s="96" t="s">
        <v>24</v>
      </c>
      <c r="N30" s="57"/>
      <c r="O30" s="9"/>
    </row>
    <row r="31" spans="1:15" ht="18.75" x14ac:dyDescent="0.3">
      <c r="B31" s="7"/>
      <c r="C31" s="3"/>
      <c r="D31" s="67"/>
      <c r="E31" s="53"/>
      <c r="F31" s="202"/>
      <c r="G31" s="203"/>
      <c r="H31" s="203"/>
      <c r="I31" s="203"/>
      <c r="J31" s="203"/>
      <c r="K31" s="204"/>
      <c r="L31" s="93"/>
      <c r="M31" s="94" t="str">
        <f>IF(E31&lt;&gt;"",E31*L31,"")</f>
        <v/>
      </c>
      <c r="N31" s="57"/>
      <c r="O31" s="9"/>
    </row>
    <row r="32" spans="1:15" ht="26.25" x14ac:dyDescent="0.4">
      <c r="B32" s="7"/>
      <c r="C32" s="3"/>
      <c r="D32" s="149"/>
      <c r="E32" s="97"/>
      <c r="F32" s="205" t="s">
        <v>59</v>
      </c>
      <c r="G32" s="206"/>
      <c r="H32" s="206"/>
      <c r="I32" s="206"/>
      <c r="J32" s="206"/>
      <c r="K32" s="207"/>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74</v>
      </c>
      <c r="E34" s="101">
        <v>4</v>
      </c>
      <c r="F34" s="195" t="s">
        <v>77</v>
      </c>
      <c r="G34" s="196"/>
      <c r="H34" s="196"/>
      <c r="I34" s="196"/>
      <c r="J34" s="196"/>
      <c r="K34" s="197"/>
      <c r="L34" s="102">
        <v>200</v>
      </c>
      <c r="M34" s="103">
        <f>IF(E34&lt;&gt;"",E34*L34,"")</f>
        <v>800</v>
      </c>
      <c r="N34" s="57"/>
      <c r="O34" s="9"/>
    </row>
    <row r="35" spans="2:15" ht="26.25" x14ac:dyDescent="0.4">
      <c r="B35" s="7"/>
      <c r="C35" s="3"/>
      <c r="D35" s="67"/>
      <c r="E35" s="101"/>
      <c r="F35" s="195"/>
      <c r="G35" s="196"/>
      <c r="H35" s="196"/>
      <c r="I35" s="196"/>
      <c r="J35" s="196"/>
      <c r="K35" s="197"/>
      <c r="L35" s="102"/>
      <c r="M35" s="103" t="str">
        <f>IF(E35&lt;&gt;"",E35*L35,"")</f>
        <v/>
      </c>
      <c r="N35" s="57"/>
      <c r="O35" s="9"/>
    </row>
    <row r="36" spans="2:15" ht="26.25" x14ac:dyDescent="0.4">
      <c r="B36" s="7"/>
      <c r="C36" s="3"/>
      <c r="D36" s="145" t="s">
        <v>76</v>
      </c>
      <c r="E36" s="101">
        <v>4</v>
      </c>
      <c r="F36" s="195" t="s">
        <v>75</v>
      </c>
      <c r="G36" s="196"/>
      <c r="H36" s="196"/>
      <c r="I36" s="196"/>
      <c r="J36" s="196"/>
      <c r="K36" s="197"/>
      <c r="L36" s="102">
        <v>200</v>
      </c>
      <c r="M36" s="103">
        <f>IF(E36&lt;&gt;"",E36*L36,"")</f>
        <v>800</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5"/>
      <c r="G39" s="196"/>
      <c r="H39" s="196"/>
      <c r="I39" s="196"/>
      <c r="J39" s="196"/>
      <c r="K39" s="197"/>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0"/>
      <c r="G47" s="191"/>
      <c r="H47" s="191"/>
      <c r="I47" s="191"/>
      <c r="J47" s="191"/>
      <c r="K47" s="192"/>
      <c r="L47" s="68"/>
      <c r="M47" s="144" t="str">
        <f>IF(E47&lt;&gt;"",E47*L47,"")</f>
        <v/>
      </c>
      <c r="N47" s="57"/>
      <c r="O47" s="9"/>
    </row>
    <row r="48" spans="2:15" ht="30" x14ac:dyDescent="0.4">
      <c r="B48" s="7"/>
      <c r="C48" s="3"/>
      <c r="D48" s="124"/>
      <c r="E48" s="83"/>
      <c r="F48" s="83"/>
      <c r="G48" s="83"/>
      <c r="H48" s="83"/>
      <c r="I48" s="83"/>
      <c r="J48" s="77"/>
      <c r="K48" s="118"/>
      <c r="L48" s="142" t="s">
        <v>25</v>
      </c>
      <c r="M48" s="122">
        <f>SUM(M33:M47)</f>
        <v>1600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304</v>
      </c>
      <c r="N50" s="57"/>
      <c r="O50" s="9"/>
    </row>
    <row r="51" spans="1:15" ht="30" x14ac:dyDescent="0.4">
      <c r="B51" s="7"/>
      <c r="C51" s="3"/>
      <c r="D51" s="3"/>
      <c r="E51" s="86"/>
      <c r="F51" s="160" t="s">
        <v>78</v>
      </c>
      <c r="G51" s="161"/>
      <c r="H51" s="164"/>
      <c r="I51" s="164"/>
      <c r="J51" s="79"/>
      <c r="K51" s="118"/>
      <c r="L51" s="141" t="s">
        <v>27</v>
      </c>
      <c r="M51" s="122">
        <f>M48+M50+M49</f>
        <v>1904.6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79</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0" t="s">
        <v>62</v>
      </c>
      <c r="M54" s="200"/>
      <c r="N54" s="57"/>
      <c r="O54" s="9"/>
    </row>
    <row r="55" spans="1:15" ht="18.75" x14ac:dyDescent="0.3">
      <c r="B55" s="7"/>
      <c r="C55" s="3"/>
      <c r="D55" s="155"/>
      <c r="E55" s="155"/>
      <c r="F55" s="155"/>
      <c r="G55" s="155"/>
      <c r="H55" s="155"/>
      <c r="I55" s="155"/>
      <c r="J55" s="155"/>
      <c r="K55" s="155"/>
      <c r="L55" s="200"/>
      <c r="M55" s="200"/>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3"/>
      <c r="G57" s="194"/>
      <c r="H57" s="194"/>
      <c r="I57" s="194"/>
      <c r="J57" s="77"/>
      <c r="K57" s="77"/>
      <c r="L57" s="129"/>
      <c r="M57" s="129"/>
      <c r="N57" s="57"/>
      <c r="O57" s="9"/>
    </row>
    <row r="58" spans="1:15" ht="18" x14ac:dyDescent="0.2">
      <c r="B58" s="7"/>
      <c r="C58" s="3"/>
      <c r="D58" s="3"/>
      <c r="E58" s="20"/>
      <c r="F58" s="198"/>
      <c r="G58" s="199"/>
      <c r="H58" s="199"/>
      <c r="I58" s="199"/>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2"/>
    </row>
    <row r="65" spans="1:15" x14ac:dyDescent="0.2">
      <c r="A65" s="3"/>
      <c r="B65" s="3"/>
      <c r="C65" s="172" t="s">
        <v>65</v>
      </c>
      <c r="D65" s="172"/>
      <c r="E65" s="172"/>
      <c r="F65" s="172"/>
      <c r="G65" s="172"/>
      <c r="H65" s="172"/>
      <c r="I65" s="172"/>
      <c r="J65" s="172"/>
      <c r="K65" s="172"/>
      <c r="L65" s="172"/>
      <c r="M65" s="172"/>
      <c r="N65" s="172"/>
      <c r="O65" s="162"/>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43847</v>
      </c>
      <c r="D8" s="72" t="str">
        <f>Facture!$E$23</f>
        <v>SMTT</v>
      </c>
      <c r="E8" s="69" t="str">
        <f>Facture!$E$24</f>
        <v>39 AVENUE DU JAPON IMMEUBLE SAFSAF A2-2</v>
      </c>
      <c r="F8" s="69">
        <f>Facture!$E$25</f>
        <v>0</v>
      </c>
      <c r="G8" s="72">
        <f>Facture!$G$25</f>
        <v>0</v>
      </c>
      <c r="H8" s="72" t="str">
        <f>Facture!$J$25</f>
        <v>TN</v>
      </c>
      <c r="I8" s="69" t="str">
        <f>Facture!$E$26</f>
        <v xml:space="preserve">   71 906 788             Fax: 71 906 849    </v>
      </c>
      <c r="J8" s="73">
        <f>Facture!$M$51</f>
        <v>1904.6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2020-01-09T13:34:14Z</cp:lastPrinted>
  <dcterms:created xsi:type="dcterms:W3CDTF">1995-05-29T15:50:39Z</dcterms:created>
  <dcterms:modified xsi:type="dcterms:W3CDTF">2020-01-17T14:28:01Z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1904.6</vt:r8>
  </property>
</Properties>
</file>