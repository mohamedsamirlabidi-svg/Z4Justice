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3" i="3" l="1"/>
  <c r="M44" i="3"/>
  <c r="M37" i="3" l="1"/>
  <c r="M38" i="3"/>
  <c r="M36" i="3"/>
  <c r="M42" i="3" l="1"/>
  <c r="M45" i="3"/>
  <c r="M41" i="3" l="1"/>
  <c r="M40" i="3" l="1"/>
  <c r="M31" i="3" l="1"/>
  <c r="M32" i="3"/>
  <c r="M46" i="3"/>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<sst xmlns="http://schemas.openxmlformats.org/spreadsheetml/2006/main" count="84" uniqueCount="77">
  <si>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</si>
  <si>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</si>
  <si>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</si>
  <si>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</si>
  <si>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</si>
  <si>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</si>
  <si>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</si>
  <si>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</si>
  <si>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</si>
  <si>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</si>
  <si>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</si>
  <si>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</si>
  <si>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</si>
  <si>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</si>
  <si>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</si>
  <si>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</si>
  <si>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</si>
  <si>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</si>
  <si>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</si>
  <si>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</si>
  <si>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</si>
  <si>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</si>
  <si>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</si>
  <si>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</si>
  <si>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</si>
  <si>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</si>
  <si>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AutoTemplateWizardDONTMESSWITHIT</t>
  </si>
  <si>
    <t>Excel 5.0</t>
  </si>
  <si>
    <t>Reserved</t>
  </si>
  <si>
    <t>Facture N°</t>
  </si>
  <si>
    <t>TOTAL</t>
  </si>
  <si>
    <t>Taux de TVA à appliquer</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</si>
  <si>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</si>
  <si>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</si>
  <si>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</si>
  <si>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</si>
  <si>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</si>
  <si>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</si>
  <si>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</si>
  <si>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</si>
  <si>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</si>
  <si>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</si>
  <si>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</si>
  <si>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</si>
  <si>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</si>
  <si>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</si>
  <si>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</si>
  <si>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</si>
  <si>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</si>
  <si>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</si>
  <si>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</si>
  <si>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</si>
  <si>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</si>
  <si>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</si>
  <si>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</si>
  <si>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</si>
  <si>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</si>
  <si>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</si>
  <si>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</si>
  <si>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</si>
  <si>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</si>
  <si>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</si>
  <si>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</si>
  <si>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</si>
  <si>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</si>
  <si>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</si>
  <si>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</si>
  <si>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</si>
  <si>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</si>
  <si>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FRAIS DE FORMATION POUR L'HABILITATION </t>
  </si>
  <si>
    <t xml:space="preserve">EN HAUTEUR ,ELECTRIQUE,ANALYSE </t>
  </si>
  <si>
    <t>DES RISQUE ,INCENDIE,SECOURISME</t>
  </si>
  <si>
    <t xml:space="preserve">    COMMANDE N°:  2024323</t>
  </si>
  <si>
    <t xml:space="preserve">CODE ARTICLE </t>
  </si>
  <si>
    <t>SCE900000000154</t>
  </si>
  <si>
    <t>CONDUITE DEFENSIVE A</t>
  </si>
  <si>
    <t>BON DE LIVRAISON N°2020-021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</si>
</sst>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9" fillId="3" borderId="36"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1" fillId="6" borderId="0" xfId="0" applyFont="1" applyFill="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41</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47</v>
      </c>
      <c r="F12" s="65" t="s">
        <v>4</v>
      </c>
      <c r="G12" s="17"/>
      <c r="H12" s="27"/>
      <c r="I12" s="3"/>
      <c r="J12" s="9"/>
    </row>
    <row r="13" spans="2:10" ht="13.5" thickBot="1" x14ac:dyDescent="0.25">
      <c r="B13" s="7"/>
      <c r="C13" s="3"/>
      <c r="D13" s="34" t="s">
        <v>5</v>
      </c>
      <c r="E13" s="14" t="s">
        <v>44</v>
      </c>
      <c r="F13" s="65" t="s">
        <v>6</v>
      </c>
      <c r="G13" s="18"/>
      <c r="H13" s="27"/>
      <c r="I13" s="3"/>
      <c r="J13" s="9"/>
    </row>
    <row r="14" spans="2:10" x14ac:dyDescent="0.2">
      <c r="B14" s="7"/>
      <c r="C14" s="3"/>
      <c r="D14" s="34" t="s">
        <v>7</v>
      </c>
      <c r="E14" s="15" t="s">
        <v>45</v>
      </c>
      <c r="F14" s="28"/>
      <c r="G14" s="29"/>
      <c r="H14" s="27"/>
      <c r="I14" s="3"/>
      <c r="J14" s="9"/>
    </row>
    <row r="15" spans="2:10" x14ac:dyDescent="0.2">
      <c r="B15" s="7"/>
      <c r="C15" s="3"/>
      <c r="D15" s="34" t="s">
        <v>8</v>
      </c>
      <c r="E15" s="14" t="s">
        <v>46</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42</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43</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C51" sqref="C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48</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205" t="s">
        <v>76</v>
      </c>
      <c r="M15" s="205"/>
      <c r="N15" s="3"/>
      <c r="O15" s="9"/>
    </row>
    <row r="16" spans="2:15" x14ac:dyDescent="0.2">
      <c r="B16" s="7"/>
      <c r="C16" s="3"/>
      <c r="D16" s="3"/>
      <c r="E16" s="3"/>
      <c r="F16" s="3"/>
      <c r="G16" s="3"/>
      <c r="H16" s="3"/>
      <c r="I16" s="3"/>
      <c r="J16" s="3"/>
      <c r="K16" s="105"/>
      <c r="L16" s="205"/>
      <c r="M16" s="205"/>
      <c r="N16" s="3"/>
      <c r="O16" s="9"/>
    </row>
    <row r="17" spans="1:15" ht="12.75" customHeight="1" x14ac:dyDescent="0.2">
      <c r="B17" s="7"/>
      <c r="C17" s="3"/>
      <c r="D17" s="3"/>
      <c r="E17" s="3"/>
      <c r="F17" s="3"/>
      <c r="G17" s="3"/>
      <c r="H17" s="3"/>
      <c r="I17" s="3"/>
      <c r="J17" s="3"/>
      <c r="K17" s="105"/>
      <c r="L17" s="205"/>
      <c r="M17" s="205"/>
      <c r="N17" s="3"/>
      <c r="O17" s="9"/>
    </row>
    <row r="18" spans="1:15" ht="12.75" customHeight="1" x14ac:dyDescent="0.2">
      <c r="B18" s="7"/>
      <c r="C18" s="3"/>
      <c r="D18" s="182"/>
      <c r="E18" s="182"/>
      <c r="F18" s="182"/>
      <c r="G18" s="182"/>
      <c r="H18" s="182"/>
      <c r="I18" s="3"/>
      <c r="J18" s="3"/>
      <c r="K18" s="105"/>
      <c r="L18" s="205"/>
      <c r="M18" s="205"/>
      <c r="N18" s="3"/>
      <c r="O18" s="9"/>
    </row>
    <row r="19" spans="1:15" ht="20.100000000000001" customHeight="1" thickBot="1" x14ac:dyDescent="0.25">
      <c r="B19" s="7"/>
      <c r="C19" s="3"/>
      <c r="D19" s="183"/>
      <c r="E19" s="183"/>
      <c r="F19" s="183"/>
      <c r="G19" s="183"/>
      <c r="H19" s="183"/>
      <c r="I19" s="3"/>
      <c r="J19" s="3"/>
      <c r="K19" s="105"/>
      <c r="L19" s="205"/>
      <c r="M19" s="20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50</v>
      </c>
      <c r="E23" s="171" t="s">
        <v>64</v>
      </c>
      <c r="F23" s="172"/>
      <c r="G23" s="172"/>
      <c r="H23" s="172"/>
      <c r="I23" s="172"/>
      <c r="J23" s="172"/>
      <c r="K23" s="122" t="s">
        <v>55</v>
      </c>
      <c r="L23" s="107">
        <v>43907</v>
      </c>
      <c r="M23" s="109"/>
      <c r="N23" s="55"/>
      <c r="O23" s="9"/>
    </row>
    <row r="24" spans="1:15" ht="27" x14ac:dyDescent="0.35">
      <c r="B24" s="7"/>
      <c r="C24" s="3"/>
      <c r="D24" s="125" t="s">
        <v>51</v>
      </c>
      <c r="E24" s="179" t="s">
        <v>67</v>
      </c>
      <c r="F24" s="179"/>
      <c r="G24" s="179"/>
      <c r="H24" s="180"/>
      <c r="I24" s="180"/>
      <c r="J24" s="180"/>
      <c r="K24" s="195" t="s">
        <v>72</v>
      </c>
      <c r="L24" s="195"/>
      <c r="M24" s="195"/>
      <c r="N24" s="56"/>
      <c r="O24" s="9"/>
    </row>
    <row r="25" spans="1:15" ht="27.75" x14ac:dyDescent="0.4">
      <c r="B25" s="7"/>
      <c r="C25" s="3"/>
      <c r="D25" s="125" t="s">
        <v>56</v>
      </c>
      <c r="E25" s="147"/>
      <c r="F25" s="110" t="s">
        <v>49</v>
      </c>
      <c r="G25" s="173"/>
      <c r="H25" s="173"/>
      <c r="I25" s="117" t="s">
        <v>53</v>
      </c>
      <c r="J25" s="111" t="s">
        <v>54</v>
      </c>
      <c r="K25" s="122" t="s">
        <v>65</v>
      </c>
      <c r="L25" s="137"/>
      <c r="M25" s="138"/>
      <c r="N25" s="3"/>
      <c r="O25" s="9"/>
    </row>
    <row r="26" spans="1:15" ht="27.75" customHeight="1" x14ac:dyDescent="0.4">
      <c r="A26">
        <v>71</v>
      </c>
      <c r="B26" s="7"/>
      <c r="C26" s="3"/>
      <c r="D26" s="125" t="s">
        <v>52</v>
      </c>
      <c r="E26" s="177" t="s">
        <v>68</v>
      </c>
      <c r="F26" s="178"/>
      <c r="G26" s="178"/>
      <c r="H26" s="178"/>
      <c r="I26" s="178"/>
      <c r="J26" s="178"/>
      <c r="K26" s="122" t="s">
        <v>59</v>
      </c>
      <c r="L26" s="181" t="s">
        <v>66</v>
      </c>
      <c r="M26" s="18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158" t="s">
        <v>73</v>
      </c>
      <c r="E30" s="150" t="s">
        <v>63</v>
      </c>
      <c r="F30" s="174" t="s">
        <v>21</v>
      </c>
      <c r="G30" s="175"/>
      <c r="H30" s="175"/>
      <c r="I30" s="175"/>
      <c r="J30" s="175"/>
      <c r="K30" s="176"/>
      <c r="L30" s="95" t="s">
        <v>22</v>
      </c>
      <c r="M30" s="96" t="s">
        <v>23</v>
      </c>
      <c r="N30" s="57"/>
      <c r="O30" s="9"/>
    </row>
    <row r="31" spans="1:15" ht="18.75" x14ac:dyDescent="0.3">
      <c r="B31" s="7"/>
      <c r="C31" s="3"/>
      <c r="D31" s="67"/>
      <c r="E31" s="53"/>
      <c r="F31" s="196"/>
      <c r="G31" s="197"/>
      <c r="H31" s="197"/>
      <c r="I31" s="197"/>
      <c r="J31" s="197"/>
      <c r="K31" s="198"/>
      <c r="L31" s="93"/>
      <c r="M31" s="94" t="str">
        <f>IF(E31&lt;&gt;"",E31*L31,"")</f>
        <v/>
      </c>
      <c r="N31" s="57"/>
      <c r="O31" s="9"/>
    </row>
    <row r="32" spans="1:15" ht="26.25" x14ac:dyDescent="0.4">
      <c r="B32" s="7"/>
      <c r="C32" s="3"/>
      <c r="D32" s="136"/>
      <c r="E32" s="97"/>
      <c r="F32" s="199"/>
      <c r="G32" s="200"/>
      <c r="H32" s="200"/>
      <c r="I32" s="200"/>
      <c r="J32" s="200"/>
      <c r="K32" s="201"/>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74</v>
      </c>
      <c r="E34" s="100">
        <v>51</v>
      </c>
      <c r="F34" s="189" t="s">
        <v>69</v>
      </c>
      <c r="G34" s="190"/>
      <c r="H34" s="190"/>
      <c r="I34" s="190"/>
      <c r="J34" s="190"/>
      <c r="K34" s="191"/>
      <c r="L34" s="101"/>
      <c r="M34" s="102"/>
      <c r="N34" s="57"/>
      <c r="O34" s="9"/>
    </row>
    <row r="35" spans="2:15" ht="26.25" x14ac:dyDescent="0.4">
      <c r="B35" s="7"/>
      <c r="C35" s="3"/>
      <c r="D35" s="151"/>
      <c r="E35" s="100"/>
      <c r="F35" s="189" t="s">
        <v>70</v>
      </c>
      <c r="G35" s="190"/>
      <c r="H35" s="190"/>
      <c r="I35" s="190"/>
      <c r="J35" s="190"/>
      <c r="K35" s="191"/>
      <c r="L35" s="101"/>
      <c r="M35" s="102" t="str">
        <f>IF(E35&lt;&gt;"",E35*L35,"")</f>
        <v/>
      </c>
      <c r="N35" s="57"/>
      <c r="O35" s="9"/>
    </row>
    <row r="36" spans="2:15" ht="26.25" x14ac:dyDescent="0.4">
      <c r="B36" s="7"/>
      <c r="C36" s="3"/>
      <c r="D36" s="132"/>
      <c r="E36" s="100"/>
      <c r="F36" s="189" t="s">
        <v>71</v>
      </c>
      <c r="G36" s="190"/>
      <c r="H36" s="190"/>
      <c r="I36" s="190"/>
      <c r="J36" s="190"/>
      <c r="K36" s="191"/>
      <c r="L36" s="101"/>
      <c r="M36" s="102" t="str">
        <f>IF(E36&lt;&gt;"",E36*L36,"")</f>
        <v/>
      </c>
      <c r="N36" s="57"/>
      <c r="O36" s="9"/>
    </row>
    <row r="37" spans="2:15" ht="26.25" x14ac:dyDescent="0.4">
      <c r="B37" s="7"/>
      <c r="C37" s="3"/>
      <c r="D37" s="132"/>
      <c r="E37" s="100"/>
      <c r="F37" s="189" t="s">
        <v>75</v>
      </c>
      <c r="G37" s="190"/>
      <c r="H37" s="190"/>
      <c r="I37" s="190"/>
      <c r="J37" s="190"/>
      <c r="K37" s="191"/>
      <c r="L37" s="101"/>
      <c r="M37" s="102" t="str">
        <f t="shared" ref="M37:M38" si="0">IF(E37&lt;&gt;"",E37*L37,"")</f>
        <v/>
      </c>
      <c r="N37" s="57"/>
      <c r="O37" s="9"/>
    </row>
    <row r="38" spans="2:15" ht="26.25" x14ac:dyDescent="0.4">
      <c r="B38" s="7"/>
      <c r="C38" s="3"/>
      <c r="D38" s="132"/>
      <c r="E38" s="100"/>
      <c r="F38" s="189"/>
      <c r="G38" s="190"/>
      <c r="H38" s="190"/>
      <c r="I38" s="190"/>
      <c r="J38" s="190"/>
      <c r="K38" s="191"/>
      <c r="L38" s="101"/>
      <c r="M38" s="102" t="str">
        <f t="shared" si="0"/>
        <v/>
      </c>
      <c r="N38" s="57"/>
      <c r="O38" s="9"/>
    </row>
    <row r="39" spans="2:15" ht="26.25" x14ac:dyDescent="0.4">
      <c r="B39" s="7"/>
      <c r="C39" s="3"/>
      <c r="D39" s="132"/>
      <c r="E39" s="100"/>
      <c r="F39" s="152"/>
      <c r="G39" s="153"/>
      <c r="H39" s="153"/>
      <c r="I39" s="153"/>
      <c r="J39" s="153"/>
      <c r="K39" s="154"/>
      <c r="L39" s="101"/>
      <c r="M39" s="102"/>
      <c r="N39" s="57"/>
      <c r="O39" s="9"/>
    </row>
    <row r="40" spans="2:15" ht="26.25" x14ac:dyDescent="0.4">
      <c r="B40" s="7"/>
      <c r="C40" s="3"/>
      <c r="D40" s="132"/>
      <c r="E40" s="100"/>
      <c r="F40" s="202"/>
      <c r="G40" s="203"/>
      <c r="H40" s="203"/>
      <c r="I40" s="203"/>
      <c r="J40" s="203"/>
      <c r="K40" s="204"/>
      <c r="L40" s="101"/>
      <c r="M40" s="102" t="str">
        <f t="shared" ref="M40:M45" si="1">IF(E40&lt;&gt;"",E40*L40,"")</f>
        <v/>
      </c>
      <c r="N40" s="57"/>
      <c r="O40" s="9"/>
    </row>
    <row r="41" spans="2:15" ht="26.25" x14ac:dyDescent="0.4">
      <c r="B41" s="7"/>
      <c r="C41" s="3"/>
      <c r="D41" s="132"/>
      <c r="E41" s="100"/>
      <c r="F41" s="149"/>
      <c r="G41" s="103"/>
      <c r="H41" s="103"/>
      <c r="I41" s="103"/>
      <c r="J41" s="103"/>
      <c r="K41" s="104"/>
      <c r="L41" s="101"/>
      <c r="M41" s="102" t="str">
        <f t="shared" si="1"/>
        <v/>
      </c>
      <c r="N41" s="57"/>
      <c r="O41" s="9"/>
    </row>
    <row r="42" spans="2:15" ht="26.25" x14ac:dyDescent="0.4">
      <c r="B42" s="7"/>
      <c r="C42" s="3"/>
      <c r="D42" s="132"/>
      <c r="E42" s="100"/>
      <c r="F42" s="202"/>
      <c r="G42" s="203"/>
      <c r="H42" s="203"/>
      <c r="I42" s="203"/>
      <c r="J42" s="203"/>
      <c r="K42" s="204"/>
      <c r="L42" s="139"/>
      <c r="M42" s="102" t="str">
        <f t="shared" si="1"/>
        <v/>
      </c>
      <c r="N42" s="57"/>
      <c r="O42" s="9"/>
    </row>
    <row r="43" spans="2:15" ht="26.25" x14ac:dyDescent="0.4">
      <c r="B43" s="7"/>
      <c r="C43" s="3"/>
      <c r="D43" s="132"/>
      <c r="E43" s="100"/>
      <c r="F43" s="155"/>
      <c r="G43" s="156"/>
      <c r="H43" s="156"/>
      <c r="I43" s="156"/>
      <c r="J43" s="156"/>
      <c r="K43" s="157"/>
      <c r="L43" s="139"/>
      <c r="M43" s="102" t="str">
        <f t="shared" si="1"/>
        <v/>
      </c>
      <c r="N43" s="57"/>
      <c r="O43" s="9"/>
    </row>
    <row r="44" spans="2:15" ht="26.25" x14ac:dyDescent="0.4">
      <c r="B44" s="7"/>
      <c r="C44" s="3"/>
      <c r="D44" s="132"/>
      <c r="E44" s="100"/>
      <c r="F44" s="202"/>
      <c r="G44" s="203"/>
      <c r="H44" s="203"/>
      <c r="I44" s="203"/>
      <c r="J44" s="203"/>
      <c r="K44" s="204"/>
      <c r="L44" s="139"/>
      <c r="M44" s="102" t="str">
        <f t="shared" si="1"/>
        <v/>
      </c>
      <c r="N44" s="57"/>
      <c r="O44" s="9"/>
    </row>
    <row r="45" spans="2:15" ht="25.5" x14ac:dyDescent="0.35">
      <c r="B45" s="7"/>
      <c r="C45" s="3"/>
      <c r="D45" s="68"/>
      <c r="E45" s="54"/>
      <c r="F45" s="184"/>
      <c r="G45" s="185"/>
      <c r="H45" s="185"/>
      <c r="I45" s="185"/>
      <c r="J45" s="185"/>
      <c r="K45" s="186"/>
      <c r="L45" s="68"/>
      <c r="M45" s="102" t="str">
        <f t="shared" si="1"/>
        <v/>
      </c>
      <c r="N45" s="57"/>
      <c r="O45" s="9"/>
    </row>
    <row r="46" spans="2:15" ht="30" x14ac:dyDescent="0.4">
      <c r="B46" s="7"/>
      <c r="C46" s="3"/>
      <c r="D46" s="118"/>
      <c r="E46" s="83"/>
      <c r="F46" s="83"/>
      <c r="G46" s="83"/>
      <c r="H46" s="83"/>
      <c r="I46" s="83"/>
      <c r="J46" s="77"/>
      <c r="K46" s="112"/>
      <c r="L46" s="130" t="s">
        <v>24</v>
      </c>
      <c r="M46" s="116">
        <f>SUM(M33:M45)</f>
        <v>0</v>
      </c>
      <c r="N46" s="57"/>
      <c r="O46" s="9"/>
    </row>
    <row r="47" spans="2:15" ht="30" x14ac:dyDescent="0.4">
      <c r="B47" s="7"/>
      <c r="C47" s="3"/>
      <c r="D47" s="3"/>
      <c r="E47" s="84"/>
      <c r="F47" s="108" t="s">
        <v>61</v>
      </c>
      <c r="G47" s="83"/>
      <c r="H47" s="83"/>
      <c r="I47" s="83"/>
      <c r="J47" s="77"/>
      <c r="K47" s="112"/>
      <c r="L47" s="127"/>
      <c r="M47" s="131"/>
      <c r="N47" s="57"/>
      <c r="O47" s="9"/>
    </row>
    <row r="48" spans="2:15" ht="30" x14ac:dyDescent="0.4">
      <c r="B48" s="7"/>
      <c r="C48" s="3"/>
      <c r="D48" s="3"/>
      <c r="E48" s="84"/>
      <c r="F48" s="108" t="s">
        <v>58</v>
      </c>
      <c r="G48" s="83"/>
      <c r="H48" s="83"/>
      <c r="I48" s="83"/>
      <c r="J48" s="78"/>
      <c r="K48" s="113"/>
      <c r="L48" s="128"/>
      <c r="M48" s="119"/>
      <c r="N48" s="57"/>
      <c r="O48" s="9"/>
    </row>
    <row r="49" spans="1:15" ht="30" x14ac:dyDescent="0.4">
      <c r="B49" s="7"/>
      <c r="C49" s="3"/>
      <c r="D49" s="3"/>
      <c r="E49" s="86"/>
      <c r="F49" s="108" t="s">
        <v>62</v>
      </c>
      <c r="G49" s="145"/>
      <c r="H49" s="148"/>
      <c r="I49" s="148"/>
      <c r="J49" s="79"/>
      <c r="K49" s="112"/>
      <c r="L49" s="129"/>
      <c r="M49" s="116"/>
      <c r="N49" s="57"/>
      <c r="O49" s="9"/>
    </row>
    <row r="50" spans="1:15" ht="30" x14ac:dyDescent="0.4">
      <c r="B50" s="7"/>
      <c r="C50" s="3"/>
      <c r="D50" s="3"/>
      <c r="E50" s="86"/>
      <c r="F50" s="108"/>
      <c r="G50" s="89"/>
      <c r="H50" s="86"/>
      <c r="I50" s="83"/>
      <c r="J50" s="79"/>
      <c r="K50" s="112"/>
      <c r="L50" s="114"/>
      <c r="M50" s="143"/>
      <c r="N50" s="57"/>
      <c r="O50" s="9"/>
    </row>
    <row r="51" spans="1:15" ht="30" x14ac:dyDescent="0.4">
      <c r="B51" s="7"/>
      <c r="C51" s="140"/>
      <c r="D51" s="3"/>
      <c r="E51" s="86"/>
      <c r="F51" s="108"/>
      <c r="G51" s="89"/>
      <c r="H51" s="86"/>
      <c r="I51" s="83"/>
      <c r="J51" s="79"/>
      <c r="K51" s="112"/>
      <c r="L51" s="114"/>
      <c r="M51" s="143"/>
      <c r="N51" s="57"/>
      <c r="O51" s="9"/>
    </row>
    <row r="52" spans="1:15" ht="30" x14ac:dyDescent="0.4">
      <c r="B52" s="7"/>
      <c r="C52" s="3"/>
      <c r="D52" s="3"/>
      <c r="E52" s="86">
        <v>2</v>
      </c>
      <c r="F52" s="85"/>
      <c r="G52" s="83"/>
      <c r="H52" s="87"/>
      <c r="I52" s="83"/>
      <c r="J52" s="80" t="s">
        <v>25</v>
      </c>
      <c r="K52" s="112"/>
      <c r="L52" s="194" t="s">
        <v>57</v>
      </c>
      <c r="M52" s="194"/>
      <c r="N52" s="57"/>
      <c r="O52" s="9"/>
    </row>
    <row r="53" spans="1:15" ht="18.75" x14ac:dyDescent="0.3">
      <c r="B53" s="7"/>
      <c r="C53" s="3"/>
      <c r="D53" s="140"/>
      <c r="E53" s="140"/>
      <c r="F53" s="140"/>
      <c r="G53" s="140"/>
      <c r="H53" s="140"/>
      <c r="I53" s="140"/>
      <c r="J53" s="140"/>
      <c r="K53" s="140"/>
      <c r="L53" s="194"/>
      <c r="M53" s="194"/>
      <c r="N53" s="57"/>
      <c r="O53" s="9"/>
    </row>
    <row r="54" spans="1:15" ht="30" x14ac:dyDescent="0.4">
      <c r="B54" s="7"/>
      <c r="C54" s="3"/>
      <c r="D54" s="3"/>
      <c r="E54" s="88"/>
      <c r="F54" s="169"/>
      <c r="G54" s="169"/>
      <c r="H54" s="169"/>
      <c r="I54" s="170"/>
      <c r="J54" s="81"/>
      <c r="K54" s="115"/>
      <c r="L54" s="123"/>
      <c r="M54" s="121"/>
      <c r="N54" s="57"/>
      <c r="O54" s="9"/>
    </row>
    <row r="55" spans="1:15" ht="18" x14ac:dyDescent="0.2">
      <c r="B55" s="7"/>
      <c r="C55" s="123"/>
      <c r="D55" s="3"/>
      <c r="E55" s="88"/>
      <c r="F55" s="187"/>
      <c r="G55" s="188"/>
      <c r="H55" s="188"/>
      <c r="I55" s="188"/>
      <c r="J55" s="77"/>
      <c r="K55" s="77"/>
      <c r="L55" s="121"/>
      <c r="M55" s="121"/>
      <c r="N55" s="57"/>
      <c r="O55" s="9"/>
    </row>
    <row r="56" spans="1:15" ht="18" x14ac:dyDescent="0.2">
      <c r="B56" s="7"/>
      <c r="C56" s="3"/>
      <c r="D56" s="3"/>
      <c r="E56" s="20"/>
      <c r="F56" s="192"/>
      <c r="G56" s="193"/>
      <c r="H56" s="193"/>
      <c r="I56" s="193"/>
      <c r="J56" s="77"/>
      <c r="K56" s="121"/>
      <c r="L56" s="121"/>
      <c r="M56" s="121"/>
      <c r="N56" s="57"/>
      <c r="O56" s="9"/>
    </row>
    <row r="57" spans="1:15" ht="18" x14ac:dyDescent="0.2">
      <c r="B57" s="7"/>
      <c r="C57" s="123"/>
      <c r="D57" s="3"/>
      <c r="E57" s="20"/>
      <c r="F57" s="126"/>
      <c r="G57" s="167"/>
      <c r="H57" s="168"/>
      <c r="I57" s="168"/>
      <c r="J57" s="77"/>
      <c r="K57" s="121"/>
      <c r="L57" s="82"/>
      <c r="M57" s="82"/>
      <c r="N57" s="57"/>
      <c r="O57" s="9"/>
    </row>
    <row r="58" spans="1:15" ht="15.75" thickBot="1" x14ac:dyDescent="0.25">
      <c r="C58" s="105"/>
      <c r="D58" s="3"/>
      <c r="E58" s="3"/>
      <c r="F58" s="120"/>
      <c r="G58" s="120"/>
      <c r="H58" s="120"/>
      <c r="I58" s="120"/>
      <c r="J58" s="120"/>
      <c r="K58" s="120"/>
      <c r="L58" s="120"/>
      <c r="M58" s="77"/>
      <c r="N58" s="57"/>
      <c r="O58" s="9"/>
    </row>
    <row r="59" spans="1:15" ht="14.25" thickTop="1" thickBot="1" x14ac:dyDescent="0.25">
      <c r="B59" s="58"/>
      <c r="C59" s="123"/>
      <c r="D59" s="3"/>
      <c r="E59" s="3"/>
      <c r="F59" s="3"/>
      <c r="G59" s="3"/>
      <c r="H59" s="3"/>
      <c r="I59" s="3"/>
      <c r="J59" s="3"/>
      <c r="K59" s="3"/>
      <c r="L59" s="3"/>
      <c r="M59" s="3"/>
      <c r="N59" s="57"/>
      <c r="O59" s="9"/>
    </row>
    <row r="60" spans="1:15" ht="13.5" thickTop="1" x14ac:dyDescent="0.2">
      <c r="B60" s="3"/>
      <c r="C60" s="58"/>
      <c r="D60" s="58"/>
      <c r="E60" s="58"/>
      <c r="F60" s="58"/>
      <c r="G60" s="58"/>
      <c r="H60" s="58"/>
      <c r="I60" s="58"/>
      <c r="J60" s="58"/>
      <c r="K60" s="58"/>
      <c r="L60" s="58"/>
      <c r="M60" s="58"/>
      <c r="N60" s="57"/>
      <c r="O60" s="9"/>
    </row>
    <row r="61" spans="1:15" ht="13.5" thickBot="1" x14ac:dyDescent="0.25">
      <c r="B61" s="124"/>
      <c r="C61" s="3"/>
      <c r="D61" s="3"/>
      <c r="E61" s="3"/>
      <c r="F61" s="3"/>
      <c r="G61" s="3"/>
      <c r="H61" s="3"/>
      <c r="I61" s="3"/>
      <c r="J61" s="3"/>
      <c r="K61" s="3"/>
      <c r="L61" s="3"/>
      <c r="M61" s="3"/>
      <c r="N61" s="57"/>
      <c r="O61" s="9"/>
    </row>
    <row r="62" spans="1:15" ht="13.5" thickTop="1" x14ac:dyDescent="0.2">
      <c r="A62" s="58"/>
      <c r="B62" s="3"/>
      <c r="C62" s="124"/>
      <c r="D62" s="124"/>
      <c r="E62" s="124"/>
      <c r="F62" s="124"/>
      <c r="G62" s="124"/>
      <c r="H62" s="124"/>
      <c r="I62" s="124"/>
      <c r="J62" s="124"/>
      <c r="K62" s="124"/>
      <c r="L62" s="124"/>
      <c r="M62" s="124"/>
      <c r="N62" s="144"/>
      <c r="O62" s="146"/>
    </row>
    <row r="63" spans="1:15" x14ac:dyDescent="0.2">
      <c r="A63" s="3"/>
      <c r="B63" s="3"/>
      <c r="C63" s="166" t="s">
        <v>60</v>
      </c>
      <c r="D63" s="166"/>
      <c r="E63" s="166"/>
      <c r="F63" s="166"/>
      <c r="G63" s="166"/>
      <c r="H63" s="166"/>
      <c r="I63" s="166"/>
      <c r="J63" s="166"/>
      <c r="K63" s="166"/>
      <c r="L63" s="166"/>
      <c r="M63" s="166"/>
      <c r="N63" s="166"/>
      <c r="O63" s="146"/>
    </row>
    <row r="64" spans="1:15" x14ac:dyDescent="0.2">
      <c r="A64" s="124"/>
      <c r="B64" s="123"/>
      <c r="C64" s="166"/>
      <c r="D64" s="166"/>
      <c r="E64" s="166"/>
      <c r="F64" s="166"/>
      <c r="G64" s="166"/>
      <c r="H64" s="166"/>
      <c r="I64" s="166"/>
      <c r="J64" s="166"/>
      <c r="K64" s="166"/>
      <c r="L64" s="166"/>
      <c r="M64" s="166"/>
      <c r="N64" s="166"/>
      <c r="O64" s="144"/>
    </row>
    <row r="65" spans="1:15" x14ac:dyDescent="0.2">
      <c r="A65" s="3"/>
      <c r="B65" s="124"/>
      <c r="C65" s="166"/>
      <c r="D65" s="166"/>
      <c r="E65" s="166"/>
      <c r="F65" s="166"/>
      <c r="G65" s="166"/>
      <c r="H65" s="166"/>
      <c r="I65" s="166"/>
      <c r="J65" s="166"/>
      <c r="K65" s="166"/>
      <c r="L65" s="166"/>
      <c r="M65" s="166"/>
      <c r="N65" s="166"/>
      <c r="O65" s="144"/>
    </row>
    <row r="66" spans="1:15" x14ac:dyDescent="0.2">
      <c r="A66" s="3"/>
      <c r="B66" s="3"/>
      <c r="C66" s="166"/>
      <c r="D66" s="166"/>
      <c r="E66" s="166"/>
      <c r="F66" s="166"/>
      <c r="G66" s="166"/>
      <c r="H66" s="166"/>
      <c r="I66" s="166"/>
      <c r="J66" s="166"/>
      <c r="K66" s="166"/>
      <c r="L66" s="166"/>
      <c r="M66" s="166"/>
      <c r="N66" s="166"/>
      <c r="O66" s="144"/>
    </row>
    <row r="67" spans="1:15" x14ac:dyDescent="0.2">
      <c r="A67" s="123"/>
      <c r="B67" s="3"/>
      <c r="C67" s="166"/>
      <c r="D67" s="166"/>
      <c r="E67" s="166"/>
      <c r="F67" s="166"/>
      <c r="G67" s="166"/>
      <c r="H67" s="166"/>
      <c r="I67" s="166"/>
      <c r="J67" s="166"/>
      <c r="K67" s="166"/>
      <c r="L67" s="166"/>
      <c r="M67" s="166"/>
      <c r="N67" s="166"/>
      <c r="O67" s="123"/>
    </row>
    <row r="68" spans="1:15" ht="24.95" customHeight="1" thickBot="1" x14ac:dyDescent="0.25">
      <c r="A68" s="124"/>
      <c r="B68" s="141"/>
      <c r="C68" s="105"/>
      <c r="D68" s="123"/>
      <c r="E68" s="123"/>
      <c r="F68" s="123"/>
      <c r="G68" s="123"/>
      <c r="H68" s="123"/>
      <c r="I68" s="123"/>
      <c r="J68" s="123"/>
      <c r="K68" s="123"/>
      <c r="L68" s="123"/>
      <c r="M68" s="123"/>
      <c r="N68" s="123"/>
      <c r="O68" s="123"/>
    </row>
    <row r="69" spans="1:15" ht="24.95" customHeight="1" thickTop="1" thickBot="1" x14ac:dyDescent="0.25">
      <c r="A69" s="3"/>
      <c r="C69" s="142"/>
      <c r="D69" s="123"/>
      <c r="E69" s="123"/>
      <c r="F69" s="123"/>
      <c r="G69" s="123"/>
      <c r="H69" s="123"/>
      <c r="I69" s="123"/>
      <c r="J69" s="123"/>
      <c r="K69" s="123"/>
      <c r="L69" s="123"/>
      <c r="M69" s="123"/>
    </row>
    <row r="70" spans="1:15" ht="12.75" customHeight="1" thickTop="1" x14ac:dyDescent="0.2">
      <c r="A70" s="3"/>
    </row>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6:I56"/>
    <mergeCell ref="L52:M53"/>
    <mergeCell ref="K24:M24"/>
    <mergeCell ref="F31:K31"/>
    <mergeCell ref="F32:K32"/>
    <mergeCell ref="F40:K40"/>
    <mergeCell ref="F36:K36"/>
    <mergeCell ref="F37:K37"/>
    <mergeCell ref="F42:K42"/>
    <mergeCell ref="F44:K44"/>
    <mergeCell ref="C63:N67"/>
    <mergeCell ref="G57:I57"/>
    <mergeCell ref="F54:I54"/>
    <mergeCell ref="L15:M19"/>
    <mergeCell ref="E23:J23"/>
    <mergeCell ref="G25:H25"/>
    <mergeCell ref="F30:K30"/>
    <mergeCell ref="E26:J26"/>
    <mergeCell ref="E24:J24"/>
    <mergeCell ref="L26:M26"/>
    <mergeCell ref="D18:H19"/>
    <mergeCell ref="F45:K45"/>
    <mergeCell ref="F55:I55"/>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26</v>
      </c>
    </row>
    <row r="2" spans="1:11" x14ac:dyDescent="0.2">
      <c r="A2" s="69" t="s">
        <v>32</v>
      </c>
      <c r="B2" s="69" t="s">
        <v>27</v>
      </c>
    </row>
    <row r="3" spans="1:11" x14ac:dyDescent="0.2">
      <c r="A3" s="69" t="s">
        <v>33</v>
      </c>
      <c r="B3" s="69" t="s">
        <v>40</v>
      </c>
    </row>
    <row r="4" spans="1:11" x14ac:dyDescent="0.2">
      <c r="A4" s="69" t="s">
        <v>28</v>
      </c>
    </row>
    <row r="5" spans="1:11" x14ac:dyDescent="0.2">
      <c r="A5" s="69" t="s">
        <v>34</v>
      </c>
      <c r="B5" s="69">
        <v>1</v>
      </c>
    </row>
    <row r="6" spans="1:11" x14ac:dyDescent="0.2">
      <c r="A6" s="69">
        <v>1</v>
      </c>
      <c r="B6" s="69" t="s">
        <v>35</v>
      </c>
      <c r="C6" s="69" t="s">
        <v>39</v>
      </c>
      <c r="D6" s="69" t="s">
        <v>36</v>
      </c>
      <c r="E6" s="69">
        <v>10</v>
      </c>
      <c r="G6" s="69">
        <v>-727923968</v>
      </c>
    </row>
    <row r="7" spans="1:11" x14ac:dyDescent="0.2">
      <c r="A7" s="69" t="s">
        <v>37</v>
      </c>
      <c r="B7" s="69" t="s">
        <v>29</v>
      </c>
      <c r="C7" s="69" t="s">
        <v>18</v>
      </c>
      <c r="D7" s="69" t="s">
        <v>3</v>
      </c>
      <c r="E7" s="69" t="s">
        <v>5</v>
      </c>
      <c r="F7" s="69" t="s">
        <v>7</v>
      </c>
      <c r="G7" s="69" t="s">
        <v>8</v>
      </c>
      <c r="H7" s="69" t="s">
        <v>9</v>
      </c>
      <c r="I7" s="69" t="s">
        <v>20</v>
      </c>
      <c r="J7" s="69" t="s">
        <v>30</v>
      </c>
      <c r="K7" s="69" t="s">
        <v>19</v>
      </c>
    </row>
    <row r="8" spans="1:11" x14ac:dyDescent="0.2">
      <c r="A8" s="69" t="s">
        <v>38</v>
      </c>
      <c r="B8" s="70" t="str">
        <f>Facture!$M$11</f>
        <v/>
      </c>
      <c r="C8" s="71">
        <f>Facture!$L$23</f>
        <v>43907</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Facture!$M$49</f>
        <v>0</v>
      </c>
      <c r="K8" s="69">
        <f>Facture!$L$25</f>
        <v>0</v>
      </c>
    </row>
    <row r="9" spans="1:11" x14ac:dyDescent="0.2">
      <c r="A9" s="69" t="s">
        <v>28</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2020-03-17T07:56:14Z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