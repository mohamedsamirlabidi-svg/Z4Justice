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<sst xmlns="http://schemas.openxmlformats.org/spreadsheetml/2006/main" count="86" uniqueCount="78">
  <si>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</si>
  <si>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</si>
  <si>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</si>
  <si>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</si>
  <si>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</si>
  <si>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</si>
  <si>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</si>
  <si>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</si>
  <si>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</si>
  <si>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</si>
  <si>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</si>
  <si>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</si>
  <si>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</si>
  <si>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</si>
  <si>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</si>
  <si>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</si>
  <si>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</si>
  <si>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</si>
  <si>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</si>
  <si>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</si>
  <si>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</si>
  <si>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</si>
  <si>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</si>
  <si>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</si>
  <si>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</si>
  <si>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</si>
  <si>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</si>
  <si>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</si>
  <si>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</si>
  <si>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</si>
  <si>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</si>
  <si>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</si>
  <si>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</si>
  <si>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</si>
  <si>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</si>
  <si>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</si>
  <si>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</si>
  <si>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</si>
  <si>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</si>
  <si>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</si>
  <si>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</si>
  <si>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</si>
  <si>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</si>
  <si>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</si>
  <si>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</si>
  <si>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</si>
  <si>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</si>
  <si>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</si>
  <si>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</si>
  <si>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</si>
  <si>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</si>
  <si>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</si>
  <si>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</si>
  <si>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</si>
  <si>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</si>
  <si>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</si>
  <si>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</si>
  <si>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</si>
  <si>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</si>
  <si>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</si>
  <si>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</si>
  <si>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</si>
  <si>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</si>
  <si>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</si>
  <si>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</si>
  <si>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</si>
  <si>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</si>
  <si>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</si>
  <si>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</si>
  <si>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</si>
  <si>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</si>
  <si>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 xml:space="preserve">     Responsable:         Mr Yosr</t>
  </si>
  <si>
    <t>1114374R/A/M/000</t>
  </si>
  <si>
    <t xml:space="preserve">    COMMANDE N°:  </t>
  </si>
  <si>
    <t xml:space="preserve">Habilitation Electrique </t>
  </si>
  <si>
    <t>OFFRE DE PRIX  N°2020-057</t>
  </si>
  <si>
    <t xml:space="preserve">Chèque   </t>
  </si>
  <si>
    <t>ARRETE LA PRESENTE OFFRE DE PRIX A LA SOMME DE :CINQ MILLE DEUX CENT TRENTE SIX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</si>
</sst>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1"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7" fillId="3" borderId="41" xfId="0" applyNumberFormat="1" applyFont="1" applyFill="1" applyBorder="1" applyAlignment="1"/>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8"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323850</xdr:colOff>
      <xdr:row>54</xdr:row>
      <xdr:rowOff>95250</xdr:rowOff>
    </xdr:from>
    <xdr:to>
      <xdr:col>12</xdr:col>
      <xdr:colOff>571501</xdr:colOff>
      <xdr:row>60</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477250" y="14497050"/>
          <a:ext cx="2400301" cy="14852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K56" sqref="K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214" t="s">
        <v>75</v>
      </c>
      <c r="M15" s="214"/>
      <c r="N15" s="3"/>
      <c r="O15" s="9"/>
    </row>
    <row r="16" spans="2:15" x14ac:dyDescent="0.2">
      <c r="B16" s="7"/>
      <c r="C16" s="3"/>
      <c r="D16" s="3"/>
      <c r="E16" s="3"/>
      <c r="F16" s="3"/>
      <c r="G16" s="3"/>
      <c r="H16" s="3"/>
      <c r="I16" s="3"/>
      <c r="J16" s="3"/>
      <c r="K16" s="111"/>
      <c r="L16" s="214"/>
      <c r="M16" s="214"/>
      <c r="N16" s="3"/>
      <c r="O16" s="9"/>
    </row>
    <row r="17" spans="1:15" ht="12.75" customHeight="1" x14ac:dyDescent="0.2">
      <c r="B17" s="7"/>
      <c r="C17" s="3"/>
      <c r="D17" s="3"/>
      <c r="E17" s="3"/>
      <c r="F17" s="3"/>
      <c r="G17" s="3"/>
      <c r="H17" s="3"/>
      <c r="I17" s="3"/>
      <c r="J17" s="3"/>
      <c r="K17" s="111"/>
      <c r="L17" s="214"/>
      <c r="M17" s="214"/>
      <c r="N17" s="3"/>
      <c r="O17" s="9"/>
    </row>
    <row r="18" spans="1:15" ht="12.75" customHeight="1" x14ac:dyDescent="0.2">
      <c r="B18" s="7"/>
      <c r="C18" s="3"/>
      <c r="D18" s="204"/>
      <c r="E18" s="204"/>
      <c r="F18" s="204"/>
      <c r="G18" s="204"/>
      <c r="H18" s="204"/>
      <c r="I18" s="3"/>
      <c r="J18" s="3"/>
      <c r="K18" s="111"/>
      <c r="L18" s="214"/>
      <c r="M18" s="214"/>
      <c r="N18" s="3"/>
      <c r="O18" s="9"/>
    </row>
    <row r="19" spans="1:15" ht="20.100000000000001" customHeight="1" thickBot="1" x14ac:dyDescent="0.25">
      <c r="B19" s="7"/>
      <c r="C19" s="3"/>
      <c r="D19" s="205"/>
      <c r="E19" s="205"/>
      <c r="F19" s="205"/>
      <c r="G19" s="205"/>
      <c r="H19" s="205"/>
      <c r="I19" s="3"/>
      <c r="J19" s="3"/>
      <c r="K19" s="111"/>
      <c r="L19" s="214"/>
      <c r="M19" s="21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3" t="s">
        <v>68</v>
      </c>
      <c r="F23" s="194"/>
      <c r="G23" s="194"/>
      <c r="H23" s="194"/>
      <c r="I23" s="194"/>
      <c r="J23" s="194"/>
      <c r="K23" s="132" t="s">
        <v>58</v>
      </c>
      <c r="L23" s="113">
        <v>43885</v>
      </c>
      <c r="M23" s="115"/>
      <c r="N23" s="55"/>
      <c r="O23" s="9"/>
    </row>
    <row r="24" spans="1:15" ht="27" x14ac:dyDescent="0.35">
      <c r="B24" s="7"/>
      <c r="C24" s="3"/>
      <c r="D24" s="137" t="s">
        <v>54</v>
      </c>
      <c r="E24" s="201" t="s">
        <v>69</v>
      </c>
      <c r="F24" s="201"/>
      <c r="G24" s="201"/>
      <c r="H24" s="202"/>
      <c r="I24" s="202"/>
      <c r="J24" s="202"/>
      <c r="K24" s="178" t="s">
        <v>73</v>
      </c>
      <c r="L24" s="178"/>
      <c r="M24" s="178"/>
      <c r="N24" s="56"/>
      <c r="O24" s="9"/>
    </row>
    <row r="25" spans="1:15" ht="27.75" x14ac:dyDescent="0.4">
      <c r="B25" s="7"/>
      <c r="C25" s="3"/>
      <c r="D25" s="137" t="s">
        <v>60</v>
      </c>
      <c r="E25" s="162">
        <v>2094</v>
      </c>
      <c r="F25" s="116" t="s">
        <v>52</v>
      </c>
      <c r="G25" s="195" t="s">
        <v>70</v>
      </c>
      <c r="H25" s="195"/>
      <c r="I25" s="123" t="s">
        <v>56</v>
      </c>
      <c r="J25" s="117" t="s">
        <v>57</v>
      </c>
      <c r="K25" s="132" t="s">
        <v>71</v>
      </c>
      <c r="L25" s="152"/>
      <c r="M25" s="153"/>
      <c r="N25" s="3"/>
      <c r="O25" s="9"/>
    </row>
    <row r="26" spans="1:15" ht="27.75" customHeight="1" x14ac:dyDescent="0.4">
      <c r="A26">
        <v>71</v>
      </c>
      <c r="B26" s="7"/>
      <c r="C26" s="3"/>
      <c r="D26" s="137" t="s">
        <v>55</v>
      </c>
      <c r="E26" s="199">
        <v>22619085</v>
      </c>
      <c r="F26" s="200"/>
      <c r="G26" s="200"/>
      <c r="H26" s="200"/>
      <c r="I26" s="200"/>
      <c r="J26" s="200"/>
      <c r="K26" s="132" t="s">
        <v>64</v>
      </c>
      <c r="L26" s="203" t="s">
        <v>72</v>
      </c>
      <c r="M26" s="20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6" t="s">
        <v>22</v>
      </c>
      <c r="G30" s="197"/>
      <c r="H30" s="197"/>
      <c r="I30" s="197"/>
      <c r="J30" s="197"/>
      <c r="K30" s="198"/>
      <c r="L30" s="95" t="s">
        <v>23</v>
      </c>
      <c r="M30" s="96" t="s">
        <v>24</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49"/>
      <c r="E32" s="97"/>
      <c r="F32" s="182" t="s">
        <v>59</v>
      </c>
      <c r="G32" s="183"/>
      <c r="H32" s="183"/>
      <c r="I32" s="183"/>
      <c r="J32" s="183"/>
      <c r="K32" s="184"/>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30.75" x14ac:dyDescent="0.45">
      <c r="B34" s="7"/>
      <c r="C34" s="3"/>
      <c r="D34" s="145" t="s">
        <v>67</v>
      </c>
      <c r="E34" s="101">
        <v>22</v>
      </c>
      <c r="F34" s="211" t="s">
        <v>74</v>
      </c>
      <c r="G34" s="212"/>
      <c r="H34" s="212"/>
      <c r="I34" s="212"/>
      <c r="J34" s="212"/>
      <c r="K34" s="213"/>
      <c r="L34" s="102">
        <v>200</v>
      </c>
      <c r="M34" s="103">
        <f>IF(E34&lt;&gt;"",E34*L34,"")</f>
        <v>4400</v>
      </c>
      <c r="N34" s="57"/>
      <c r="O34" s="9"/>
    </row>
    <row r="35" spans="2:15" ht="26.25" x14ac:dyDescent="0.4">
      <c r="B35" s="7"/>
      <c r="C35" s="3"/>
      <c r="D35" s="67"/>
      <c r="E35" s="101"/>
      <c r="F35" s="172"/>
      <c r="G35" s="173"/>
      <c r="H35" s="173"/>
      <c r="I35" s="173"/>
      <c r="J35" s="173"/>
      <c r="K35" s="174"/>
      <c r="L35" s="102"/>
      <c r="M35" s="103" t="str">
        <f>IF(E35&lt;&gt;"",E35*L35,"")</f>
        <v/>
      </c>
      <c r="N35" s="57"/>
      <c r="O35" s="9"/>
    </row>
    <row r="36" spans="2:15" ht="26.25" x14ac:dyDescent="0.4">
      <c r="B36" s="7"/>
      <c r="C36" s="3"/>
      <c r="D36" s="67"/>
      <c r="E36" s="101"/>
      <c r="F36" s="172"/>
      <c r="G36" s="173"/>
      <c r="H36" s="173"/>
      <c r="I36" s="173"/>
      <c r="J36" s="173"/>
      <c r="K36" s="174"/>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2"/>
      <c r="G39" s="173"/>
      <c r="H39" s="173"/>
      <c r="I39" s="173"/>
      <c r="J39" s="173"/>
      <c r="K39" s="174"/>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5"/>
      <c r="G43" s="186"/>
      <c r="H43" s="186"/>
      <c r="I43" s="186"/>
      <c r="J43" s="186"/>
      <c r="K43" s="187"/>
      <c r="L43" s="102"/>
      <c r="M43" s="103"/>
      <c r="N43" s="57"/>
      <c r="O43" s="9"/>
    </row>
    <row r="44" spans="2:15" ht="26.25" x14ac:dyDescent="0.4">
      <c r="B44" s="7"/>
      <c r="C44" s="3"/>
      <c r="D44" s="67"/>
      <c r="E44" s="101"/>
      <c r="F44" s="185"/>
      <c r="G44" s="186"/>
      <c r="H44" s="186"/>
      <c r="I44" s="186"/>
      <c r="J44" s="186"/>
      <c r="K44" s="18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6"/>
      <c r="G47" s="207"/>
      <c r="H47" s="207"/>
      <c r="I47" s="207"/>
      <c r="J47" s="207"/>
      <c r="K47" s="208"/>
      <c r="L47" s="68"/>
      <c r="M47" s="144" t="str">
        <f>IF(E47&lt;&gt;"",E47*L47,"")</f>
        <v/>
      </c>
      <c r="N47" s="57"/>
      <c r="O47" s="9"/>
    </row>
    <row r="48" spans="2:15" ht="30" x14ac:dyDescent="0.4">
      <c r="B48" s="7"/>
      <c r="C48" s="3"/>
      <c r="D48" s="124"/>
      <c r="E48" s="83"/>
      <c r="F48" s="83"/>
      <c r="G48" s="83"/>
      <c r="H48" s="83"/>
      <c r="I48" s="83"/>
      <c r="J48" s="77"/>
      <c r="K48" s="118"/>
      <c r="L48" s="142" t="s">
        <v>25</v>
      </c>
      <c r="M48" s="122">
        <f>SUM(M33:M47)</f>
        <v>4400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836</v>
      </c>
      <c r="N50" s="57"/>
      <c r="O50" s="9"/>
    </row>
    <row r="51" spans="1:15" ht="30" x14ac:dyDescent="0.4">
      <c r="B51" s="7"/>
      <c r="C51" s="3"/>
      <c r="D51" s="3"/>
      <c r="E51" s="86"/>
      <c r="F51" s="164" t="s">
        <v>76</v>
      </c>
      <c r="G51" s="160"/>
      <c r="H51" s="163"/>
      <c r="I51" s="163"/>
      <c r="J51" s="79"/>
      <c r="K51" s="118"/>
      <c r="L51" s="141" t="s">
        <v>27</v>
      </c>
      <c r="M51" s="122">
        <f>M48+M50+M49</f>
        <v>5236.6000000000004</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77</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7" t="s">
        <v>62</v>
      </c>
      <c r="M54" s="177"/>
      <c r="N54" s="57"/>
      <c r="O54" s="9"/>
    </row>
    <row r="55" spans="1:15" ht="18.75" x14ac:dyDescent="0.3">
      <c r="B55" s="7"/>
      <c r="C55" s="3"/>
      <c r="D55" s="155"/>
      <c r="E55" s="155"/>
      <c r="F55" s="155"/>
      <c r="G55" s="155"/>
      <c r="H55" s="155"/>
      <c r="I55" s="155"/>
      <c r="J55" s="155"/>
      <c r="K55" s="155"/>
      <c r="L55" s="177"/>
      <c r="M55" s="177"/>
      <c r="N55" s="57"/>
      <c r="O55" s="9"/>
    </row>
    <row r="56" spans="1:15" ht="30" x14ac:dyDescent="0.4">
      <c r="B56" s="7"/>
      <c r="C56" s="3"/>
      <c r="D56" s="3"/>
      <c r="E56" s="88"/>
      <c r="F56" s="191"/>
      <c r="G56" s="191"/>
      <c r="H56" s="191"/>
      <c r="I56" s="192"/>
      <c r="J56" s="81"/>
      <c r="K56" s="121"/>
      <c r="L56" s="133"/>
      <c r="M56" s="129"/>
      <c r="N56" s="57"/>
      <c r="O56" s="9"/>
    </row>
    <row r="57" spans="1:15" ht="18" x14ac:dyDescent="0.2">
      <c r="B57" s="7"/>
      <c r="C57" s="133"/>
      <c r="D57" s="3"/>
      <c r="E57" s="88"/>
      <c r="F57" s="209"/>
      <c r="G57" s="210"/>
      <c r="H57" s="210"/>
      <c r="I57" s="210"/>
      <c r="J57" s="77"/>
      <c r="K57" s="77"/>
      <c r="L57" s="129"/>
      <c r="M57" s="129"/>
      <c r="N57" s="57"/>
      <c r="O57" s="9"/>
    </row>
    <row r="58" spans="1:15" ht="18" x14ac:dyDescent="0.2">
      <c r="B58" s="7"/>
      <c r="C58" s="3"/>
      <c r="D58" s="3"/>
      <c r="E58" s="20"/>
      <c r="F58" s="175"/>
      <c r="G58" s="176"/>
      <c r="H58" s="176"/>
      <c r="I58" s="176"/>
      <c r="J58" s="77"/>
      <c r="K58" s="129"/>
      <c r="L58" s="129"/>
      <c r="M58" s="129"/>
      <c r="N58" s="57"/>
      <c r="O58" s="9"/>
    </row>
    <row r="59" spans="1:15" ht="18" x14ac:dyDescent="0.2">
      <c r="B59" s="7"/>
      <c r="C59" s="133"/>
      <c r="D59" s="3"/>
      <c r="E59" s="20"/>
      <c r="F59" s="138"/>
      <c r="G59" s="189"/>
      <c r="H59" s="190"/>
      <c r="I59" s="190"/>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88" t="s">
        <v>65</v>
      </c>
      <c r="D65" s="188"/>
      <c r="E65" s="188"/>
      <c r="F65" s="188"/>
      <c r="G65" s="188"/>
      <c r="H65" s="188"/>
      <c r="I65" s="188"/>
      <c r="J65" s="188"/>
      <c r="K65" s="188"/>
      <c r="L65" s="188"/>
      <c r="M65" s="188"/>
      <c r="N65" s="188"/>
      <c r="O65" s="161"/>
    </row>
    <row r="66" spans="1:15" x14ac:dyDescent="0.2">
      <c r="A66" s="3"/>
      <c r="B66" s="3"/>
      <c r="C66" s="188"/>
      <c r="D66" s="188"/>
      <c r="E66" s="188"/>
      <c r="F66" s="188"/>
      <c r="G66" s="188"/>
      <c r="H66" s="188"/>
      <c r="I66" s="188"/>
      <c r="J66" s="188"/>
      <c r="K66" s="188"/>
      <c r="L66" s="188"/>
      <c r="M66" s="188"/>
      <c r="N66" s="188"/>
      <c r="O66" s="159"/>
    </row>
    <row r="67" spans="1:15" x14ac:dyDescent="0.2">
      <c r="A67" s="133"/>
      <c r="B67" s="133"/>
      <c r="C67" s="188"/>
      <c r="D67" s="188"/>
      <c r="E67" s="188"/>
      <c r="F67" s="188"/>
      <c r="G67" s="188"/>
      <c r="H67" s="188"/>
      <c r="I67" s="188"/>
      <c r="J67" s="188"/>
      <c r="K67" s="188"/>
      <c r="L67" s="188"/>
      <c r="M67" s="188"/>
      <c r="N67" s="188"/>
      <c r="O67" s="159"/>
    </row>
    <row r="68" spans="1:15" ht="24.95" customHeight="1" x14ac:dyDescent="0.2">
      <c r="A68" s="134"/>
      <c r="B68" s="134"/>
      <c r="C68" s="188"/>
      <c r="D68" s="188"/>
      <c r="E68" s="188"/>
      <c r="F68" s="188"/>
      <c r="G68" s="188"/>
      <c r="H68" s="188"/>
      <c r="I68" s="188"/>
      <c r="J68" s="188"/>
      <c r="K68" s="188"/>
      <c r="L68" s="188"/>
      <c r="M68" s="188"/>
      <c r="N68" s="188"/>
      <c r="O68" s="159"/>
    </row>
    <row r="69" spans="1:15" ht="24.95" customHeight="1" x14ac:dyDescent="0.2">
      <c r="A69" s="3"/>
      <c r="B69" s="3"/>
      <c r="C69" s="188"/>
      <c r="D69" s="188"/>
      <c r="E69" s="188"/>
      <c r="F69" s="188"/>
      <c r="G69" s="188"/>
      <c r="H69" s="188"/>
      <c r="I69" s="188"/>
      <c r="J69" s="188"/>
      <c r="K69" s="188"/>
      <c r="L69" s="188"/>
      <c r="M69" s="188"/>
      <c r="N69" s="188"/>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43885</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5236.6000000000004</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2020-02-08T07:59:04Z</cp:lastPrinted>
  <dcterms:created xsi:type="dcterms:W3CDTF">1995-05-29T15:50:39Z</dcterms:created>
  <dcterms:modified xsi:type="dcterms:W3CDTF">2020-02-24T07:43:32Z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5236.6</vt:r8>
  </property>
</Properties>
</file>