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5" i="3" l="1"/>
  <c r="M36" i="3"/>
  <c r="M37" i="3"/>
  <c r="M38" i="3"/>
  <c r="M39" i="3"/>
  <c r="M40" i="3"/>
  <c r="M41" i="3" l="1"/>
  <c r="M31" i="3" l="1"/>
  <c r="M32" i="3"/>
  <c r="M34"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<sst xmlns="http://schemas.openxmlformats.org/spreadsheetml/2006/main" count="90" uniqueCount="82">
  <si>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</si>
  <si>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</si>
  <si>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</si>
  <si>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</si>
  <si>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</si>
  <si>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</si>
  <si>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</si>
  <si>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</si>
  <si>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</si>
  <si>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</si>
  <si>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</si>
  <si>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</si>
  <si>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</si>
  <si>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</si>
  <si>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</si>
  <si>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</si>
  <si>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</si>
  <si>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</si>
  <si>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</si>
  <si>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</si>
  <si>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</si>
  <si>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</si>
  <si>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</si>
  <si>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</si>
  <si>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</si>
  <si>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</si>
  <si>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</si>
  <si>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</si>
  <si>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</si>
  <si>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</si>
  <si>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</si>
  <si>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</si>
  <si>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</si>
  <si>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</si>
  <si>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</si>
  <si>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</si>
  <si>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</si>
  <si>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</si>
  <si>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</si>
  <si>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</si>
  <si>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</si>
  <si>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</si>
  <si>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</si>
  <si>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</si>
  <si>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</si>
  <si>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</si>
  <si>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</si>
  <si>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</si>
  <si>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</si>
  <si>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</si>
  <si>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</si>
  <si>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</si>
  <si>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</si>
  <si>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</si>
  <si>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</si>
  <si>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</si>
  <si>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</si>
  <si>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</si>
  <si>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</si>
  <si>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</si>
  <si>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</si>
  <si>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</si>
  <si>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</si>
  <si>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</si>
  <si>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</si>
  <si>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</si>
  <si>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</si>
  <si>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</si>
  <si>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038 ALGER NOUVELLE MEDINA</t>
  </si>
  <si>
    <t xml:space="preserve">      26 11 60 01 </t>
  </si>
  <si>
    <t xml:space="preserve">TUNIS </t>
  </si>
  <si>
    <t>1518353E/A/M/000</t>
  </si>
  <si>
    <t xml:space="preserve">Chèque   </t>
  </si>
  <si>
    <t>Sauvetage secourisme en milieu du travail</t>
  </si>
  <si>
    <t xml:space="preserve"> « LE GESTE QUI SAUVE »</t>
  </si>
  <si>
    <t>FS001</t>
  </si>
  <si>
    <r>
      <t xml:space="preserve">     Responsable:     Mr </t>
    </r>
    <r>
      <rPr>
        <b/>
        <sz val="14"/>
        <rFont val="Arial"/>
        <family val="2"/>
      </rPr>
      <t>Mohamed ALI CHOUACHI</t>
    </r>
  </si>
  <si>
    <t>FIC001</t>
  </si>
  <si>
    <t>Lutte contre l’Incendie</t>
  </si>
  <si>
    <t>DEVIS N°2020-075</t>
  </si>
  <si>
    <t>ARRETE LA PRESENTE DEVIS A LA SOMME DE :NEUF MILLE CINQ CENT VINGT DINARS ET 600 MILLIMES.</t>
  </si>
  <si>
    <t>TARGET TELECOM PLUS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</si>
</sst>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51"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9</xdr:col>
      <xdr:colOff>590550</xdr:colOff>
      <xdr:row>53</xdr:row>
      <xdr:rowOff>114300</xdr:rowOff>
    </xdr:from>
    <xdr:to>
      <xdr:col>11</xdr:col>
      <xdr:colOff>438150</xdr:colOff>
      <xdr:row>60</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6515100" y="14077950"/>
          <a:ext cx="2076450" cy="18281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45</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K6" sqref="K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9" t="s">
        <v>79</v>
      </c>
      <c r="M15" s="189"/>
      <c r="N15" s="3"/>
      <c r="O15" s="9"/>
    </row>
    <row r="16" spans="2:15" x14ac:dyDescent="0.2">
      <c r="B16" s="7"/>
      <c r="C16" s="3"/>
      <c r="D16" s="3"/>
      <c r="E16" s="3"/>
      <c r="F16" s="3"/>
      <c r="G16" s="3"/>
      <c r="H16" s="3"/>
      <c r="I16" s="3"/>
      <c r="J16" s="3"/>
      <c r="K16" s="111"/>
      <c r="L16" s="189"/>
      <c r="M16" s="189"/>
      <c r="N16" s="3"/>
      <c r="O16" s="9"/>
    </row>
    <row r="17" spans="1:15" ht="12.75" customHeight="1" x14ac:dyDescent="0.2">
      <c r="B17" s="7"/>
      <c r="C17" s="3"/>
      <c r="D17" s="3"/>
      <c r="E17" s="3"/>
      <c r="F17" s="3"/>
      <c r="G17" s="3"/>
      <c r="H17" s="3"/>
      <c r="I17" s="3"/>
      <c r="J17" s="3"/>
      <c r="K17" s="111"/>
      <c r="L17" s="189"/>
      <c r="M17" s="189"/>
      <c r="N17" s="3"/>
      <c r="O17" s="9"/>
    </row>
    <row r="18" spans="1:15" ht="12.75" customHeight="1" x14ac:dyDescent="0.2">
      <c r="B18" s="7"/>
      <c r="C18" s="3"/>
      <c r="D18" s="201"/>
      <c r="E18" s="201"/>
      <c r="F18" s="201"/>
      <c r="G18" s="201"/>
      <c r="H18" s="201"/>
      <c r="I18" s="3"/>
      <c r="J18" s="3"/>
      <c r="K18" s="111"/>
      <c r="L18" s="189"/>
      <c r="M18" s="189"/>
      <c r="N18" s="3"/>
      <c r="O18" s="9"/>
    </row>
    <row r="19" spans="1:15" ht="20.100000000000001" customHeight="1" thickBot="1" x14ac:dyDescent="0.25">
      <c r="B19" s="7"/>
      <c r="C19" s="3"/>
      <c r="D19" s="202"/>
      <c r="E19" s="202"/>
      <c r="F19" s="202"/>
      <c r="G19" s="202"/>
      <c r="H19" s="202"/>
      <c r="I19" s="3"/>
      <c r="J19" s="3"/>
      <c r="K19" s="111"/>
      <c r="L19" s="189"/>
      <c r="M19" s="18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3" t="s">
        <v>53</v>
      </c>
      <c r="E23" s="190" t="s">
        <v>81</v>
      </c>
      <c r="F23" s="191"/>
      <c r="G23" s="191"/>
      <c r="H23" s="191"/>
      <c r="I23" s="191"/>
      <c r="J23" s="191"/>
      <c r="K23" s="130" t="s">
        <v>58</v>
      </c>
      <c r="L23" s="113">
        <v>43873</v>
      </c>
      <c r="M23" s="115"/>
      <c r="N23" s="55"/>
      <c r="O23" s="9"/>
    </row>
    <row r="24" spans="1:15" ht="27" x14ac:dyDescent="0.35">
      <c r="B24" s="7"/>
      <c r="C24" s="3"/>
      <c r="D24" s="133" t="s">
        <v>54</v>
      </c>
      <c r="E24" s="198" t="s">
        <v>68</v>
      </c>
      <c r="F24" s="198"/>
      <c r="G24" s="198"/>
      <c r="H24" s="199"/>
      <c r="I24" s="199"/>
      <c r="J24" s="199"/>
      <c r="K24" s="174" t="s">
        <v>67</v>
      </c>
      <c r="L24" s="174"/>
      <c r="M24" s="174"/>
      <c r="N24" s="56"/>
      <c r="O24" s="9"/>
    </row>
    <row r="25" spans="1:15" ht="27.75" x14ac:dyDescent="0.4">
      <c r="B25" s="7"/>
      <c r="C25" s="3"/>
      <c r="D25" s="133" t="s">
        <v>60</v>
      </c>
      <c r="E25" s="158">
        <v>1001</v>
      </c>
      <c r="F25" s="116" t="s">
        <v>52</v>
      </c>
      <c r="G25" s="192" t="s">
        <v>70</v>
      </c>
      <c r="H25" s="192"/>
      <c r="I25" s="123" t="s">
        <v>56</v>
      </c>
      <c r="J25" s="117" t="s">
        <v>57</v>
      </c>
      <c r="K25" s="130" t="s">
        <v>76</v>
      </c>
      <c r="L25" s="148"/>
      <c r="M25" s="149"/>
      <c r="N25" s="3"/>
      <c r="O25" s="9"/>
    </row>
    <row r="26" spans="1:15" ht="27.75" customHeight="1" x14ac:dyDescent="0.4">
      <c r="A26">
        <v>71</v>
      </c>
      <c r="B26" s="7"/>
      <c r="C26" s="3"/>
      <c r="D26" s="133" t="s">
        <v>55</v>
      </c>
      <c r="E26" s="196" t="s">
        <v>69</v>
      </c>
      <c r="F26" s="197"/>
      <c r="G26" s="197"/>
      <c r="H26" s="197"/>
      <c r="I26" s="197"/>
      <c r="J26" s="197"/>
      <c r="K26" s="130" t="s">
        <v>64</v>
      </c>
      <c r="L26" s="200" t="s">
        <v>71</v>
      </c>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3" t="s">
        <v>22</v>
      </c>
      <c r="G30" s="194"/>
      <c r="H30" s="194"/>
      <c r="I30" s="194"/>
      <c r="J30" s="194"/>
      <c r="K30" s="195"/>
      <c r="L30" s="95" t="s">
        <v>23</v>
      </c>
      <c r="M30" s="96" t="s">
        <v>24</v>
      </c>
      <c r="N30" s="57"/>
      <c r="O30" s="9"/>
    </row>
    <row r="31" spans="1:15" ht="18.75" x14ac:dyDescent="0.3">
      <c r="B31" s="7"/>
      <c r="C31" s="3"/>
      <c r="D31" s="67"/>
      <c r="E31" s="53"/>
      <c r="F31" s="175"/>
      <c r="G31" s="176"/>
      <c r="H31" s="176"/>
      <c r="I31" s="176"/>
      <c r="J31" s="176"/>
      <c r="K31" s="177"/>
      <c r="L31" s="93"/>
      <c r="M31" s="94" t="str">
        <f>IF(E31&lt;&gt;"",E31*L31,"")</f>
        <v/>
      </c>
      <c r="N31" s="57"/>
      <c r="O31" s="9"/>
    </row>
    <row r="32" spans="1:15" ht="26.25" x14ac:dyDescent="0.4">
      <c r="B32" s="7"/>
      <c r="C32" s="3"/>
      <c r="D32" s="145"/>
      <c r="E32" s="97"/>
      <c r="F32" s="178" t="s">
        <v>59</v>
      </c>
      <c r="G32" s="179"/>
      <c r="H32" s="179"/>
      <c r="I32" s="179"/>
      <c r="J32" s="179"/>
      <c r="K32" s="180"/>
      <c r="L32" s="99"/>
      <c r="M32" s="100" t="str">
        <f>IF(E32&lt;&gt;"",E32*L32,"")</f>
        <v/>
      </c>
      <c r="N32" s="57"/>
      <c r="O32" s="9"/>
    </row>
    <row r="33" spans="2:15" ht="25.5" x14ac:dyDescent="0.35">
      <c r="B33" s="7"/>
      <c r="C33" s="3"/>
      <c r="D33" s="67"/>
      <c r="E33" s="101"/>
      <c r="F33" s="142"/>
      <c r="G33" s="143"/>
      <c r="H33" s="143"/>
      <c r="I33" s="143"/>
      <c r="J33" s="143"/>
      <c r="K33" s="144"/>
      <c r="L33" s="102"/>
      <c r="M33" s="103"/>
      <c r="N33" s="57"/>
      <c r="O33" s="9"/>
    </row>
    <row r="34" spans="2:15" ht="26.25" x14ac:dyDescent="0.4">
      <c r="B34" s="7"/>
      <c r="C34" s="3"/>
      <c r="D34" s="141" t="s">
        <v>75</v>
      </c>
      <c r="E34" s="101">
        <v>20</v>
      </c>
      <c r="F34" s="168" t="s">
        <v>73</v>
      </c>
      <c r="G34" s="169"/>
      <c r="H34" s="169"/>
      <c r="I34" s="169"/>
      <c r="J34" s="169"/>
      <c r="K34" s="170"/>
      <c r="L34" s="102">
        <v>200</v>
      </c>
      <c r="M34" s="103">
        <f>IF(E34&lt;&gt;"",E34*L34,"")</f>
        <v>4000</v>
      </c>
      <c r="N34" s="57"/>
      <c r="O34" s="9"/>
    </row>
    <row r="35" spans="2:15" ht="26.25" x14ac:dyDescent="0.4">
      <c r="B35" s="7"/>
      <c r="C35" s="3"/>
      <c r="D35" s="67"/>
      <c r="E35" s="101"/>
      <c r="F35" s="168" t="s">
        <v>74</v>
      </c>
      <c r="G35" s="169"/>
      <c r="H35" s="169"/>
      <c r="I35" s="169"/>
      <c r="J35" s="169"/>
      <c r="K35" s="170"/>
      <c r="L35" s="102"/>
      <c r="M35" s="103" t="str">
        <f t="shared" ref="M35:M40" si="0">IF(E35&lt;&gt;"",E35*L35,"")</f>
        <v/>
      </c>
      <c r="N35" s="57"/>
      <c r="O35" s="9"/>
    </row>
    <row r="36" spans="2:15" ht="26.25" x14ac:dyDescent="0.4">
      <c r="B36" s="7"/>
      <c r="C36" s="3"/>
      <c r="D36" s="67"/>
      <c r="E36" s="101"/>
      <c r="F36" s="168"/>
      <c r="G36" s="169"/>
      <c r="H36" s="169"/>
      <c r="I36" s="169"/>
      <c r="J36" s="169"/>
      <c r="K36" s="170"/>
      <c r="L36" s="102"/>
      <c r="M36" s="103" t="str">
        <f t="shared" si="0"/>
        <v/>
      </c>
      <c r="N36" s="57"/>
      <c r="O36" s="9"/>
    </row>
    <row r="37" spans="2:15" ht="26.25" x14ac:dyDescent="0.4">
      <c r="B37" s="7"/>
      <c r="C37" s="3"/>
      <c r="D37" s="141" t="s">
        <v>77</v>
      </c>
      <c r="E37" s="101">
        <v>20</v>
      </c>
      <c r="F37" s="168" t="s">
        <v>78</v>
      </c>
      <c r="G37" s="169"/>
      <c r="H37" s="169"/>
      <c r="I37" s="169"/>
      <c r="J37" s="169"/>
      <c r="K37" s="170"/>
      <c r="L37" s="102">
        <v>200</v>
      </c>
      <c r="M37" s="103">
        <f t="shared" si="0"/>
        <v>4000</v>
      </c>
      <c r="N37" s="57"/>
      <c r="O37" s="9"/>
    </row>
    <row r="38" spans="2:15" ht="26.25" x14ac:dyDescent="0.4">
      <c r="B38" s="7"/>
      <c r="C38" s="3"/>
      <c r="D38" s="67"/>
      <c r="E38" s="101"/>
      <c r="F38" s="98"/>
      <c r="G38" s="106"/>
      <c r="H38" s="106"/>
      <c r="I38" s="106"/>
      <c r="J38" s="106"/>
      <c r="K38" s="107"/>
      <c r="L38" s="102"/>
      <c r="M38" s="103" t="str">
        <f t="shared" si="0"/>
        <v/>
      </c>
      <c r="N38" s="57"/>
      <c r="O38" s="9"/>
    </row>
    <row r="39" spans="2:15" ht="26.25" x14ac:dyDescent="0.4">
      <c r="B39" s="7"/>
      <c r="C39" s="3"/>
      <c r="D39" s="67"/>
      <c r="E39" s="101"/>
      <c r="F39" s="168"/>
      <c r="G39" s="169"/>
      <c r="H39" s="169"/>
      <c r="I39" s="169"/>
      <c r="J39" s="169"/>
      <c r="K39" s="170"/>
      <c r="L39" s="102"/>
      <c r="M39" s="103" t="str">
        <f t="shared" si="0"/>
        <v/>
      </c>
      <c r="N39" s="57"/>
      <c r="O39" s="9"/>
    </row>
    <row r="40" spans="2:15" ht="26.25" x14ac:dyDescent="0.4">
      <c r="B40" s="7"/>
      <c r="C40" s="3"/>
      <c r="D40" s="67"/>
      <c r="E40" s="101"/>
      <c r="F40" s="98"/>
      <c r="G40" s="108"/>
      <c r="H40" s="108"/>
      <c r="I40" s="108"/>
      <c r="J40" s="108"/>
      <c r="K40" s="109"/>
      <c r="L40" s="102"/>
      <c r="M40" s="103" t="str">
        <f t="shared" si="0"/>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1"/>
      <c r="G43" s="182"/>
      <c r="H43" s="182"/>
      <c r="I43" s="182"/>
      <c r="J43" s="182"/>
      <c r="K43" s="183"/>
      <c r="L43" s="102"/>
      <c r="M43" s="103"/>
      <c r="N43" s="57"/>
      <c r="O43" s="9"/>
    </row>
    <row r="44" spans="2:15" ht="26.25" x14ac:dyDescent="0.4">
      <c r="B44" s="7"/>
      <c r="C44" s="3"/>
      <c r="D44" s="67"/>
      <c r="E44" s="101"/>
      <c r="F44" s="181"/>
      <c r="G44" s="182"/>
      <c r="H44" s="182"/>
      <c r="I44" s="182"/>
      <c r="J44" s="182"/>
      <c r="K44" s="183"/>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46"/>
      <c r="H46" s="146"/>
      <c r="I46" s="146"/>
      <c r="J46" s="146"/>
      <c r="K46" s="147"/>
      <c r="L46" s="150"/>
      <c r="M46" s="103"/>
      <c r="N46" s="57"/>
      <c r="O46" s="9"/>
    </row>
    <row r="47" spans="2:15" ht="23.25" x14ac:dyDescent="0.35">
      <c r="B47" s="7"/>
      <c r="C47" s="3"/>
      <c r="D47" s="68"/>
      <c r="E47" s="54"/>
      <c r="F47" s="203"/>
      <c r="G47" s="204"/>
      <c r="H47" s="204"/>
      <c r="I47" s="204"/>
      <c r="J47" s="204"/>
      <c r="K47" s="205"/>
      <c r="L47" s="68"/>
      <c r="M47" s="140" t="str">
        <f>IF(E47&lt;&gt;"",E47*L47,"")</f>
        <v/>
      </c>
      <c r="N47" s="57"/>
      <c r="O47" s="9"/>
    </row>
    <row r="48" spans="2:15" ht="30" x14ac:dyDescent="0.4">
      <c r="B48" s="7"/>
      <c r="C48" s="3"/>
      <c r="D48" s="124"/>
      <c r="E48" s="83"/>
      <c r="F48" s="83"/>
      <c r="G48" s="83"/>
      <c r="H48" s="83"/>
      <c r="I48" s="83"/>
      <c r="J48" s="77"/>
      <c r="K48" s="118"/>
      <c r="L48" s="138" t="s">
        <v>25</v>
      </c>
      <c r="M48" s="122">
        <f>SUM(M33:M47)</f>
        <v>8000</v>
      </c>
      <c r="N48" s="57"/>
      <c r="O48" s="9"/>
    </row>
    <row r="49" spans="1:15" ht="30" x14ac:dyDescent="0.4">
      <c r="B49" s="7"/>
      <c r="C49" s="3"/>
      <c r="D49" s="3"/>
      <c r="E49" s="84"/>
      <c r="F49" s="114" t="s">
        <v>66</v>
      </c>
      <c r="G49" s="83"/>
      <c r="H49" s="83"/>
      <c r="I49" s="83"/>
      <c r="J49" s="77"/>
      <c r="K49" s="118"/>
      <c r="L49" s="135" t="s">
        <v>46</v>
      </c>
      <c r="M49" s="139">
        <v>0.6</v>
      </c>
      <c r="N49" s="57"/>
      <c r="O49" s="9"/>
    </row>
    <row r="50" spans="1:15" ht="30" x14ac:dyDescent="0.4">
      <c r="B50" s="7"/>
      <c r="C50" s="3"/>
      <c r="D50" s="3"/>
      <c r="E50" s="84"/>
      <c r="F50" s="114" t="s">
        <v>63</v>
      </c>
      <c r="G50" s="83"/>
      <c r="H50" s="83"/>
      <c r="I50" s="83"/>
      <c r="J50" s="78"/>
      <c r="K50" s="119"/>
      <c r="L50" s="136" t="s">
        <v>61</v>
      </c>
      <c r="M50" s="125">
        <f>M48*0.19</f>
        <v>1520</v>
      </c>
      <c r="N50" s="57"/>
      <c r="O50" s="9"/>
    </row>
    <row r="51" spans="1:15" ht="30" x14ac:dyDescent="0.4">
      <c r="B51" s="7"/>
      <c r="C51" s="3"/>
      <c r="D51" s="3"/>
      <c r="E51" s="86"/>
      <c r="F51" s="160" t="s">
        <v>72</v>
      </c>
      <c r="G51" s="156"/>
      <c r="H51" s="159"/>
      <c r="I51" s="159"/>
      <c r="J51" s="79"/>
      <c r="K51" s="118"/>
      <c r="L51" s="137" t="s">
        <v>27</v>
      </c>
      <c r="M51" s="122">
        <f>M48+M50+M49</f>
        <v>9520.6</v>
      </c>
      <c r="N51" s="57"/>
      <c r="O51" s="9"/>
    </row>
    <row r="52" spans="1:15" ht="30" x14ac:dyDescent="0.4">
      <c r="B52" s="7"/>
      <c r="C52" s="3"/>
      <c r="D52" s="3"/>
      <c r="E52" s="86"/>
      <c r="F52" s="114"/>
      <c r="G52" s="89"/>
      <c r="H52" s="86"/>
      <c r="I52" s="83"/>
      <c r="J52" s="79"/>
      <c r="K52" s="118"/>
      <c r="L52" s="120"/>
      <c r="M52" s="154"/>
      <c r="N52" s="57"/>
      <c r="O52" s="9"/>
    </row>
    <row r="53" spans="1:15" ht="30" x14ac:dyDescent="0.4">
      <c r="B53" s="7"/>
      <c r="C53" s="151" t="s">
        <v>80</v>
      </c>
      <c r="D53" s="3"/>
      <c r="E53" s="86"/>
      <c r="F53" s="114"/>
      <c r="G53" s="89"/>
      <c r="H53" s="86"/>
      <c r="I53" s="83"/>
      <c r="J53" s="79"/>
      <c r="K53" s="118"/>
      <c r="L53" s="120"/>
      <c r="M53" s="154"/>
      <c r="N53" s="57"/>
      <c r="O53" s="9"/>
    </row>
    <row r="54" spans="1:15" ht="30" x14ac:dyDescent="0.4">
      <c r="B54" s="7"/>
      <c r="C54" s="3"/>
      <c r="D54" s="3"/>
      <c r="E54" s="86">
        <v>2</v>
      </c>
      <c r="F54" s="85"/>
      <c r="G54" s="83"/>
      <c r="H54" s="87"/>
      <c r="I54" s="83"/>
      <c r="J54" s="80" t="s">
        <v>26</v>
      </c>
      <c r="K54" s="118"/>
      <c r="L54" s="173" t="s">
        <v>62</v>
      </c>
      <c r="M54" s="173"/>
      <c r="N54" s="57"/>
      <c r="O54" s="9"/>
    </row>
    <row r="55" spans="1:15" ht="18.75" x14ac:dyDescent="0.3">
      <c r="B55" s="7"/>
      <c r="C55" s="3"/>
      <c r="D55" s="151"/>
      <c r="E55" s="151"/>
      <c r="F55" s="151"/>
      <c r="G55" s="151"/>
      <c r="H55" s="151"/>
      <c r="I55" s="151"/>
      <c r="J55" s="151"/>
      <c r="K55" s="151"/>
      <c r="L55" s="173"/>
      <c r="M55" s="173"/>
      <c r="N55" s="57"/>
      <c r="O55" s="9"/>
    </row>
    <row r="56" spans="1:15" ht="30" x14ac:dyDescent="0.4">
      <c r="B56" s="7"/>
      <c r="C56" s="3"/>
      <c r="D56" s="3"/>
      <c r="E56" s="88"/>
      <c r="F56" s="187"/>
      <c r="G56" s="187"/>
      <c r="H56" s="187"/>
      <c r="I56" s="188"/>
      <c r="J56" s="81"/>
      <c r="K56" s="121"/>
      <c r="L56" s="131"/>
      <c r="M56" s="129"/>
      <c r="N56" s="57"/>
      <c r="O56" s="9"/>
    </row>
    <row r="57" spans="1:15" ht="18" x14ac:dyDescent="0.2">
      <c r="B57" s="7"/>
      <c r="C57" s="131"/>
      <c r="D57" s="3"/>
      <c r="E57" s="88"/>
      <c r="F57" s="206"/>
      <c r="G57" s="207"/>
      <c r="H57" s="207"/>
      <c r="I57" s="207"/>
      <c r="J57" s="77"/>
      <c r="K57" s="77"/>
      <c r="L57" s="129"/>
      <c r="M57" s="129"/>
      <c r="N57" s="57"/>
      <c r="O57" s="9"/>
    </row>
    <row r="58" spans="1:15" ht="18" x14ac:dyDescent="0.2">
      <c r="B58" s="7"/>
      <c r="C58" s="3"/>
      <c r="D58" s="3"/>
      <c r="E58" s="20"/>
      <c r="F58" s="171"/>
      <c r="G58" s="172"/>
      <c r="H58" s="172"/>
      <c r="I58" s="172"/>
      <c r="J58" s="77"/>
      <c r="K58" s="129"/>
      <c r="L58" s="129"/>
      <c r="M58" s="129"/>
      <c r="N58" s="57"/>
      <c r="O58" s="9"/>
    </row>
    <row r="59" spans="1:15" ht="18" x14ac:dyDescent="0.2">
      <c r="B59" s="7"/>
      <c r="C59" s="131"/>
      <c r="D59" s="3"/>
      <c r="E59" s="20"/>
      <c r="F59" s="134"/>
      <c r="G59" s="185"/>
      <c r="H59" s="186"/>
      <c r="I59" s="186"/>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1"/>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2"/>
      <c r="B64" s="132"/>
      <c r="C64" s="132"/>
      <c r="D64" s="132"/>
      <c r="E64" s="132"/>
      <c r="F64" s="132"/>
      <c r="G64" s="132"/>
      <c r="H64" s="132"/>
      <c r="I64" s="132"/>
      <c r="J64" s="132"/>
      <c r="K64" s="132"/>
      <c r="L64" s="132"/>
      <c r="M64" s="132"/>
      <c r="N64" s="155"/>
      <c r="O64" s="157"/>
    </row>
    <row r="65" spans="1:15" x14ac:dyDescent="0.2">
      <c r="A65" s="3"/>
      <c r="B65" s="3"/>
      <c r="C65" s="184" t="s">
        <v>65</v>
      </c>
      <c r="D65" s="184"/>
      <c r="E65" s="184"/>
      <c r="F65" s="184"/>
      <c r="G65" s="184"/>
      <c r="H65" s="184"/>
      <c r="I65" s="184"/>
      <c r="J65" s="184"/>
      <c r="K65" s="184"/>
      <c r="L65" s="184"/>
      <c r="M65" s="184"/>
      <c r="N65" s="184"/>
      <c r="O65" s="157"/>
    </row>
    <row r="66" spans="1:15" x14ac:dyDescent="0.2">
      <c r="A66" s="3"/>
      <c r="B66" s="3"/>
      <c r="C66" s="184"/>
      <c r="D66" s="184"/>
      <c r="E66" s="184"/>
      <c r="F66" s="184"/>
      <c r="G66" s="184"/>
      <c r="H66" s="184"/>
      <c r="I66" s="184"/>
      <c r="J66" s="184"/>
      <c r="K66" s="184"/>
      <c r="L66" s="184"/>
      <c r="M66" s="184"/>
      <c r="N66" s="184"/>
      <c r="O66" s="155"/>
    </row>
    <row r="67" spans="1:15" x14ac:dyDescent="0.2">
      <c r="A67" s="131"/>
      <c r="B67" s="131"/>
      <c r="C67" s="184"/>
      <c r="D67" s="184"/>
      <c r="E67" s="184"/>
      <c r="F67" s="184"/>
      <c r="G67" s="184"/>
      <c r="H67" s="184"/>
      <c r="I67" s="184"/>
      <c r="J67" s="184"/>
      <c r="K67" s="184"/>
      <c r="L67" s="184"/>
      <c r="M67" s="184"/>
      <c r="N67" s="184"/>
      <c r="O67" s="155"/>
    </row>
    <row r="68" spans="1:15" ht="24.95" customHeight="1" x14ac:dyDescent="0.2">
      <c r="A68" s="132"/>
      <c r="B68" s="132"/>
      <c r="C68" s="184"/>
      <c r="D68" s="184"/>
      <c r="E68" s="184"/>
      <c r="F68" s="184"/>
      <c r="G68" s="184"/>
      <c r="H68" s="184"/>
      <c r="I68" s="184"/>
      <c r="J68" s="184"/>
      <c r="K68" s="184"/>
      <c r="L68" s="184"/>
      <c r="M68" s="184"/>
      <c r="N68" s="184"/>
      <c r="O68" s="155"/>
    </row>
    <row r="69" spans="1:15" ht="24.95" customHeight="1" x14ac:dyDescent="0.2">
      <c r="A69" s="3"/>
      <c r="B69" s="3"/>
      <c r="C69" s="184"/>
      <c r="D69" s="184"/>
      <c r="E69" s="184"/>
      <c r="F69" s="184"/>
      <c r="G69" s="184"/>
      <c r="H69" s="184"/>
      <c r="I69" s="184"/>
      <c r="J69" s="184"/>
      <c r="K69" s="184"/>
      <c r="L69" s="184"/>
      <c r="M69" s="184"/>
      <c r="N69" s="184"/>
      <c r="O69" s="131"/>
    </row>
    <row r="70" spans="1:15" ht="12.75" customHeight="1" x14ac:dyDescent="0.2">
      <c r="A70" s="3"/>
      <c r="B70" s="3"/>
      <c r="C70" s="111"/>
      <c r="D70" s="131"/>
      <c r="E70" s="131"/>
      <c r="F70" s="131"/>
      <c r="G70" s="131"/>
      <c r="H70" s="131"/>
      <c r="I70" s="131"/>
      <c r="J70" s="131"/>
      <c r="K70" s="131"/>
      <c r="L70" s="131"/>
      <c r="M70" s="131"/>
      <c r="N70" s="131"/>
      <c r="O70" s="131"/>
    </row>
    <row r="71" spans="1:15" ht="12.75" customHeight="1" thickBot="1" x14ac:dyDescent="0.25">
      <c r="B71" s="152"/>
      <c r="C71" s="153"/>
      <c r="D71" s="131"/>
      <c r="E71" s="131"/>
      <c r="F71" s="131"/>
      <c r="G71" s="131"/>
      <c r="H71" s="131"/>
      <c r="I71" s="131"/>
      <c r="J71" s="131"/>
      <c r="K71" s="131"/>
      <c r="L71" s="131"/>
      <c r="M71" s="131"/>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 ref="F37:K3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43873</v>
      </c>
      <c r="D8" s="72" t="str">
        <f>Facture!$E$23</f>
        <v>TARGET TELECOM PLUS</v>
      </c>
      <c r="E8" s="69" t="str">
        <f>Facture!$E$24</f>
        <v>038 ALGER NOUVELLE MEDINA</v>
      </c>
      <c r="F8" s="69">
        <f>Facture!$E$25</f>
        <v>1001</v>
      </c>
      <c r="G8" s="72" t="str">
        <f>Facture!$G$25</f>
        <v xml:space="preserve">TUNIS </v>
      </c>
      <c r="H8" s="72" t="str">
        <f>Facture!$J$25</f>
        <v>TN</v>
      </c>
      <c r="I8" s="69" t="str">
        <f>Facture!$E$26</f>
        <v xml:space="preserve">      26 11 60 01 </v>
      </c>
      <c r="J8" s="73">
        <f>Facture!$M$51</f>
        <v>9520.6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2020-02-08T07:59:04Z</cp:lastPrinted>
  <dcterms:created xsi:type="dcterms:W3CDTF">1995-05-29T15:50:39Z</dcterms:created>
  <dcterms:modified xsi:type="dcterms:W3CDTF">2020-02-12T09:24:56Z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 PLUS</vt:lpwstr>
  </property>
  <property fmtid="{D5CDD505-2E9C-101B-9397-08002B2CF9AE}" pid="11" name="Montant de la facture" linkTarget="TOT">
    <vt:r8>9520.6</vt:r8>
  </property>
</Properties>
</file>