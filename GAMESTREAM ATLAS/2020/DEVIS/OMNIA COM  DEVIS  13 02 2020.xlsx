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41" i="3" l="1"/>
  <c r="M43" i="3"/>
  <c r="M39" i="3" l="1"/>
  <c r="M35" i="3" l="1"/>
  <c r="M36" i="3"/>
  <c r="M38" i="3"/>
  <c r="M31" i="3" l="1"/>
  <c r="M32"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<sst xmlns="http://schemas.openxmlformats.org/spreadsheetml/2006/main" count="93" uniqueCount="83">
  <si>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</si>
  <si>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</si>
  <si>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</si>
  <si>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</si>
  <si>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</si>
  <si>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</si>
  <si>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</si>
  <si>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</si>
  <si>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</si>
  <si>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</si>
  <si>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</si>
  <si>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</si>
  <si>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</si>
  <si>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</si>
  <si>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</si>
  <si>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</si>
  <si>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</si>
  <si>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</si>
  <si>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</si>
  <si>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</si>
  <si>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</si>
  <si>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</si>
  <si>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</si>
  <si>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</si>
  <si>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</si>
  <si>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</si>
  <si>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</si>
  <si>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</si>
  <si>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</si>
  <si>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</si>
  <si>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</si>
  <si>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</si>
  <si>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</si>
  <si>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</si>
  <si>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</si>
  <si>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</si>
  <si>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</si>
  <si>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</si>
  <si>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</si>
  <si>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</si>
  <si>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</si>
  <si>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</si>
  <si>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</si>
  <si>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</si>
  <si>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</si>
  <si>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</si>
  <si>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</si>
  <si>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</si>
  <si>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</si>
  <si>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</si>
  <si>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</si>
  <si>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</si>
  <si>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</si>
  <si>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</si>
  <si>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</si>
  <si>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</si>
  <si>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</si>
  <si>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</si>
  <si>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</si>
  <si>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</si>
  <si>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</si>
  <si>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</si>
  <si>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</si>
  <si>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</si>
  <si>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</si>
  <si>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</si>
  <si>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</si>
  <si>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MINIMUM: 4 PERSONNES </t>
  </si>
  <si>
    <t>NOMBRE</t>
  </si>
  <si>
    <t>RCH001</t>
  </si>
  <si>
    <t>PS001</t>
  </si>
  <si>
    <t>IN001</t>
  </si>
  <si>
    <t>l'évaluation des risques</t>
  </si>
  <si>
    <t xml:space="preserve">Lutte contre l’Incendie  </t>
  </si>
  <si>
    <t xml:space="preserve">Premier secours </t>
  </si>
  <si>
    <t>DEVIS N°2020-087</t>
  </si>
  <si>
    <t xml:space="preserve">     Responsable:         Mr HAMDI GHANMI</t>
  </si>
  <si>
    <t xml:space="preserve">OMNIA COM </t>
  </si>
  <si>
    <t xml:space="preserve">POLE TECHNOLOGIQUE DE LA COMMUNICATION ROUTE DE RAOUED </t>
  </si>
  <si>
    <t>ARIANA</t>
  </si>
  <si>
    <t>719218H/A/M/000</t>
  </si>
  <si>
    <t>ARRETE LA PRESENTE DEVIS A LA SOMME DE :SEPT CENT QUATORZE DINARS ET 600 MILLIMES.</t>
  </si>
  <si>
    <t xml:space="preserve">Chèque   30JOURS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</si>
</sst>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50</xdr:row>
      <xdr:rowOff>38100</xdr:rowOff>
    </xdr:from>
    <xdr:to>
      <xdr:col>12</xdr:col>
      <xdr:colOff>619125</xdr:colOff>
      <xdr:row>56</xdr:row>
      <xdr:rowOff>75565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J39" sqref="J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0" t="s">
        <v>75</v>
      </c>
      <c r="M15" s="180"/>
      <c r="N15" s="3"/>
      <c r="O15" s="9"/>
    </row>
    <row r="16" spans="2:15" x14ac:dyDescent="0.2">
      <c r="B16" s="7"/>
      <c r="C16" s="3"/>
      <c r="D16" s="3"/>
      <c r="E16" s="3"/>
      <c r="F16" s="3"/>
      <c r="G16" s="3"/>
      <c r="H16" s="3"/>
      <c r="I16" s="3"/>
      <c r="J16" s="3"/>
      <c r="K16" s="105"/>
      <c r="L16" s="180"/>
      <c r="M16" s="180"/>
      <c r="N16" s="3"/>
      <c r="O16" s="9"/>
    </row>
    <row r="17" spans="1:15" ht="12.75" customHeight="1" x14ac:dyDescent="0.2">
      <c r="B17" s="7"/>
      <c r="C17" s="3"/>
      <c r="D17" s="3"/>
      <c r="E17" s="3"/>
      <c r="F17" s="3"/>
      <c r="G17" s="3"/>
      <c r="H17" s="3"/>
      <c r="I17" s="3"/>
      <c r="J17" s="3"/>
      <c r="K17" s="105"/>
      <c r="L17" s="180"/>
      <c r="M17" s="180"/>
      <c r="N17" s="3"/>
      <c r="O17" s="9"/>
    </row>
    <row r="18" spans="1:15" ht="12.75" customHeight="1" x14ac:dyDescent="0.2">
      <c r="B18" s="7"/>
      <c r="C18" s="3"/>
      <c r="D18" s="192"/>
      <c r="E18" s="192"/>
      <c r="F18" s="192"/>
      <c r="G18" s="192"/>
      <c r="H18" s="192"/>
      <c r="I18" s="3"/>
      <c r="J18" s="3"/>
      <c r="K18" s="105"/>
      <c r="L18" s="180"/>
      <c r="M18" s="180"/>
      <c r="N18" s="3"/>
      <c r="O18" s="9"/>
    </row>
    <row r="19" spans="1:15" ht="20.100000000000001" customHeight="1" thickBot="1" x14ac:dyDescent="0.25">
      <c r="B19" s="7"/>
      <c r="C19" s="3"/>
      <c r="D19" s="193"/>
      <c r="E19" s="193"/>
      <c r="F19" s="193"/>
      <c r="G19" s="193"/>
      <c r="H19" s="193"/>
      <c r="I19" s="3"/>
      <c r="J19" s="3"/>
      <c r="K19" s="105"/>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1" t="s">
        <v>77</v>
      </c>
      <c r="F23" s="182"/>
      <c r="G23" s="182"/>
      <c r="H23" s="182"/>
      <c r="I23" s="182"/>
      <c r="J23" s="182"/>
      <c r="K23" s="122" t="s">
        <v>57</v>
      </c>
      <c r="L23" s="107">
        <v>43874</v>
      </c>
      <c r="M23" s="109"/>
      <c r="N23" s="55"/>
      <c r="O23" s="9"/>
    </row>
    <row r="24" spans="1:15" ht="27" x14ac:dyDescent="0.35">
      <c r="B24" s="7"/>
      <c r="C24" s="3"/>
      <c r="D24" s="125" t="s">
        <v>53</v>
      </c>
      <c r="E24" s="189" t="s">
        <v>78</v>
      </c>
      <c r="F24" s="189"/>
      <c r="G24" s="189"/>
      <c r="H24" s="190"/>
      <c r="I24" s="190"/>
      <c r="J24" s="190"/>
      <c r="K24" s="162" t="s">
        <v>66</v>
      </c>
      <c r="L24" s="162"/>
      <c r="M24" s="162"/>
      <c r="N24" s="56"/>
      <c r="O24" s="9"/>
    </row>
    <row r="25" spans="1:15" ht="27.75" x14ac:dyDescent="0.4">
      <c r="B25" s="7"/>
      <c r="C25" s="3"/>
      <c r="D25" s="125" t="s">
        <v>59</v>
      </c>
      <c r="E25" s="146">
        <v>2088</v>
      </c>
      <c r="F25" s="110" t="s">
        <v>51</v>
      </c>
      <c r="G25" s="183" t="s">
        <v>79</v>
      </c>
      <c r="H25" s="183"/>
      <c r="I25" s="117" t="s">
        <v>55</v>
      </c>
      <c r="J25" s="111" t="s">
        <v>56</v>
      </c>
      <c r="K25" s="122" t="s">
        <v>76</v>
      </c>
      <c r="L25" s="137"/>
      <c r="M25" s="138"/>
      <c r="N25" s="3"/>
      <c r="O25" s="9"/>
    </row>
    <row r="26" spans="1:15" ht="27.75" customHeight="1" x14ac:dyDescent="0.4">
      <c r="A26">
        <v>71</v>
      </c>
      <c r="B26" s="7"/>
      <c r="C26" s="3"/>
      <c r="D26" s="125" t="s">
        <v>54</v>
      </c>
      <c r="E26" s="187">
        <v>71857740</v>
      </c>
      <c r="F26" s="188"/>
      <c r="G26" s="188"/>
      <c r="H26" s="188"/>
      <c r="I26" s="188"/>
      <c r="J26" s="188"/>
      <c r="K26" s="122" t="s">
        <v>63</v>
      </c>
      <c r="L26" s="191" t="s">
        <v>80</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68</v>
      </c>
      <c r="F30" s="184" t="s">
        <v>21</v>
      </c>
      <c r="G30" s="185"/>
      <c r="H30" s="185"/>
      <c r="I30" s="185"/>
      <c r="J30" s="185"/>
      <c r="K30" s="186"/>
      <c r="L30" s="95" t="s">
        <v>22</v>
      </c>
      <c r="M30" s="96" t="s">
        <v>23</v>
      </c>
      <c r="N30" s="57"/>
      <c r="O30" s="9"/>
    </row>
    <row r="31" spans="1:15" ht="18.75" x14ac:dyDescent="0.3">
      <c r="B31" s="7"/>
      <c r="C31" s="3"/>
      <c r="D31" s="67"/>
      <c r="E31" s="53"/>
      <c r="F31" s="163"/>
      <c r="G31" s="164"/>
      <c r="H31" s="164"/>
      <c r="I31" s="164"/>
      <c r="J31" s="164"/>
      <c r="K31" s="165"/>
      <c r="L31" s="93"/>
      <c r="M31" s="94" t="str">
        <f>IF(E31&lt;&gt;"",E31*L31,"")</f>
        <v/>
      </c>
      <c r="N31" s="57"/>
      <c r="O31" s="9"/>
    </row>
    <row r="32" spans="1:15" ht="26.25" x14ac:dyDescent="0.4">
      <c r="B32" s="7"/>
      <c r="C32" s="3"/>
      <c r="D32" s="136"/>
      <c r="E32" s="97"/>
      <c r="F32" s="166" t="s">
        <v>58</v>
      </c>
      <c r="G32" s="167"/>
      <c r="H32" s="167"/>
      <c r="I32" s="167"/>
      <c r="J32" s="167"/>
      <c r="K32" s="168"/>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71</v>
      </c>
      <c r="E35" s="100">
        <v>1</v>
      </c>
      <c r="F35" s="172" t="s">
        <v>73</v>
      </c>
      <c r="G35" s="173"/>
      <c r="H35" s="173"/>
      <c r="I35" s="173"/>
      <c r="J35" s="173"/>
      <c r="K35" s="174"/>
      <c r="L35" s="101">
        <v>200</v>
      </c>
      <c r="M35" s="102">
        <f t="shared" ref="M35:M43" si="0">IF(E35&lt;&gt;"",E35*L35,"")</f>
        <v>200</v>
      </c>
      <c r="N35" s="57"/>
      <c r="O35" s="9"/>
    </row>
    <row r="36" spans="2:15" ht="26.25" x14ac:dyDescent="0.4">
      <c r="B36" s="7"/>
      <c r="C36" s="3"/>
      <c r="D36" s="132"/>
      <c r="E36" s="100"/>
      <c r="F36" s="148" t="s">
        <v>67</v>
      </c>
      <c r="G36" s="103"/>
      <c r="H36" s="103"/>
      <c r="I36" s="103"/>
      <c r="J36" s="103"/>
      <c r="K36" s="104"/>
      <c r="L36" s="101"/>
      <c r="M36" s="102" t="str">
        <f t="shared" si="0"/>
        <v/>
      </c>
      <c r="N36" s="57"/>
      <c r="O36" s="9"/>
    </row>
    <row r="37" spans="2:15" ht="26.25" x14ac:dyDescent="0.4">
      <c r="B37" s="7"/>
      <c r="C37" s="3"/>
      <c r="D37" s="132"/>
      <c r="E37" s="100"/>
      <c r="F37" s="148"/>
      <c r="G37" s="103"/>
      <c r="H37" s="103"/>
      <c r="I37" s="103"/>
      <c r="J37" s="103"/>
      <c r="K37" s="104"/>
      <c r="L37" s="101"/>
      <c r="M37" s="102"/>
      <c r="N37" s="57"/>
      <c r="O37" s="9"/>
    </row>
    <row r="38" spans="2:15" ht="26.25" x14ac:dyDescent="0.4">
      <c r="B38" s="7"/>
      <c r="C38" s="3"/>
      <c r="D38" s="132" t="s">
        <v>69</v>
      </c>
      <c r="E38" s="100">
        <v>1</v>
      </c>
      <c r="F38" s="169" t="s">
        <v>72</v>
      </c>
      <c r="G38" s="170"/>
      <c r="H38" s="170"/>
      <c r="I38" s="170"/>
      <c r="J38" s="170"/>
      <c r="K38" s="171"/>
      <c r="L38" s="101">
        <v>200</v>
      </c>
      <c r="M38" s="102">
        <f t="shared" si="0"/>
        <v>200</v>
      </c>
      <c r="N38" s="57"/>
      <c r="O38" s="9"/>
    </row>
    <row r="39" spans="2:15" ht="26.25" x14ac:dyDescent="0.4">
      <c r="B39" s="7"/>
      <c r="C39" s="3"/>
      <c r="D39" s="132"/>
      <c r="E39" s="100"/>
      <c r="F39" s="148" t="s">
        <v>67</v>
      </c>
      <c r="G39" s="103"/>
      <c r="H39" s="103"/>
      <c r="I39" s="103"/>
      <c r="J39" s="103"/>
      <c r="K39" s="104"/>
      <c r="L39" s="101"/>
      <c r="M39" s="102" t="str">
        <f t="shared" si="0"/>
        <v/>
      </c>
      <c r="N39" s="57"/>
      <c r="O39" s="9"/>
    </row>
    <row r="40" spans="2:15" ht="26.25" x14ac:dyDescent="0.4">
      <c r="B40" s="7"/>
      <c r="C40" s="3"/>
      <c r="D40" s="132"/>
      <c r="E40" s="100"/>
      <c r="F40" s="148"/>
      <c r="G40" s="103"/>
      <c r="H40" s="103"/>
      <c r="I40" s="103"/>
      <c r="J40" s="103"/>
      <c r="K40" s="104"/>
      <c r="L40" s="139"/>
      <c r="M40" s="102"/>
      <c r="N40" s="57"/>
      <c r="O40" s="9"/>
    </row>
    <row r="41" spans="2:15" ht="26.25" x14ac:dyDescent="0.4">
      <c r="B41" s="7"/>
      <c r="C41" s="3"/>
      <c r="D41" s="132" t="s">
        <v>70</v>
      </c>
      <c r="E41" s="100">
        <v>1</v>
      </c>
      <c r="F41" s="169" t="s">
        <v>74</v>
      </c>
      <c r="G41" s="170"/>
      <c r="H41" s="170"/>
      <c r="I41" s="170"/>
      <c r="J41" s="170"/>
      <c r="K41" s="171"/>
      <c r="L41" s="139">
        <v>200</v>
      </c>
      <c r="M41" s="102">
        <f t="shared" si="0"/>
        <v>200</v>
      </c>
      <c r="N41" s="57"/>
      <c r="O41" s="9"/>
    </row>
    <row r="42" spans="2:15" ht="26.25" x14ac:dyDescent="0.4">
      <c r="B42" s="7"/>
      <c r="C42" s="3"/>
      <c r="D42" s="132"/>
      <c r="E42" s="100"/>
      <c r="F42" s="148" t="s">
        <v>67</v>
      </c>
      <c r="G42" s="150"/>
      <c r="H42" s="150"/>
      <c r="I42" s="150"/>
      <c r="J42" s="150"/>
      <c r="K42" s="151"/>
      <c r="L42" s="139"/>
      <c r="M42" s="102"/>
      <c r="N42" s="57"/>
      <c r="O42" s="9"/>
    </row>
    <row r="43" spans="2:15" ht="25.5" x14ac:dyDescent="0.35">
      <c r="B43" s="7"/>
      <c r="C43" s="3"/>
      <c r="D43" s="68"/>
      <c r="E43" s="54"/>
      <c r="F43" s="194"/>
      <c r="G43" s="195"/>
      <c r="H43" s="195"/>
      <c r="I43" s="195"/>
      <c r="J43" s="195"/>
      <c r="K43" s="196"/>
      <c r="L43" s="68"/>
      <c r="M43" s="102" t="str">
        <f t="shared" si="0"/>
        <v/>
      </c>
      <c r="N43" s="57"/>
      <c r="O43" s="9"/>
    </row>
    <row r="44" spans="2:15" ht="30" x14ac:dyDescent="0.4">
      <c r="B44" s="7"/>
      <c r="C44" s="3"/>
      <c r="D44" s="118"/>
      <c r="E44" s="83"/>
      <c r="F44" s="83"/>
      <c r="G44" s="83"/>
      <c r="H44" s="83"/>
      <c r="I44" s="83"/>
      <c r="J44" s="77"/>
      <c r="K44" s="112"/>
      <c r="L44" s="130" t="s">
        <v>24</v>
      </c>
      <c r="M44" s="116">
        <f>SUM(M33:M43)</f>
        <v>600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114</v>
      </c>
      <c r="N46" s="57"/>
      <c r="O46" s="9"/>
    </row>
    <row r="47" spans="2:15" ht="30" x14ac:dyDescent="0.4">
      <c r="B47" s="7"/>
      <c r="C47" s="3"/>
      <c r="D47" s="3"/>
      <c r="E47" s="86"/>
      <c r="F47" s="199" t="s">
        <v>82</v>
      </c>
      <c r="G47" s="200"/>
      <c r="H47" s="201"/>
      <c r="I47" s="147"/>
      <c r="J47" s="79"/>
      <c r="K47" s="112"/>
      <c r="L47" s="129" t="s">
        <v>26</v>
      </c>
      <c r="M47" s="116">
        <f>M44+M46+M45</f>
        <v>714.6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81</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61" t="s">
        <v>61</v>
      </c>
      <c r="M50" s="161"/>
      <c r="N50" s="57"/>
      <c r="O50" s="9"/>
    </row>
    <row r="51" spans="1:15" ht="18.75" x14ac:dyDescent="0.3">
      <c r="B51" s="7"/>
      <c r="C51" s="3"/>
      <c r="D51" s="140"/>
      <c r="E51" s="140"/>
      <c r="F51" s="140"/>
      <c r="G51" s="140"/>
      <c r="H51" s="140"/>
      <c r="I51" s="140"/>
      <c r="J51" s="140"/>
      <c r="K51" s="140"/>
      <c r="L51" s="161"/>
      <c r="M51" s="161"/>
      <c r="N51" s="57"/>
      <c r="O51" s="9"/>
    </row>
    <row r="52" spans="1:15" ht="30" x14ac:dyDescent="0.4">
      <c r="B52" s="7"/>
      <c r="C52" s="3"/>
      <c r="D52" s="3"/>
      <c r="E52" s="88"/>
      <c r="F52" s="178"/>
      <c r="G52" s="178"/>
      <c r="H52" s="178"/>
      <c r="I52" s="179"/>
      <c r="J52" s="81"/>
      <c r="K52" s="115"/>
      <c r="L52" s="123"/>
      <c r="M52" s="121"/>
      <c r="N52" s="57"/>
      <c r="O52" s="9"/>
    </row>
    <row r="53" spans="1:15" ht="18" x14ac:dyDescent="0.2">
      <c r="B53" s="7"/>
      <c r="C53" s="123"/>
      <c r="D53" s="3"/>
      <c r="E53" s="88"/>
      <c r="F53" s="197"/>
      <c r="G53" s="198"/>
      <c r="H53" s="198"/>
      <c r="I53" s="198"/>
      <c r="J53" s="77"/>
      <c r="K53" s="77"/>
      <c r="L53" s="121"/>
      <c r="M53" s="121"/>
      <c r="N53" s="57"/>
      <c r="O53" s="9"/>
    </row>
    <row r="54" spans="1:15" ht="18" x14ac:dyDescent="0.2">
      <c r="B54" s="7"/>
      <c r="C54" s="3"/>
      <c r="D54" s="3"/>
      <c r="E54" s="20"/>
      <c r="F54" s="159"/>
      <c r="G54" s="160"/>
      <c r="H54" s="160"/>
      <c r="I54" s="160"/>
      <c r="J54" s="77"/>
      <c r="K54" s="121"/>
      <c r="L54" s="121"/>
      <c r="M54" s="121"/>
      <c r="N54" s="57"/>
      <c r="O54" s="9"/>
    </row>
    <row r="55" spans="1:15" ht="18" x14ac:dyDescent="0.2">
      <c r="B55" s="7"/>
      <c r="C55" s="123"/>
      <c r="D55" s="3"/>
      <c r="E55" s="20"/>
      <c r="F55" s="126"/>
      <c r="G55" s="176"/>
      <c r="H55" s="177"/>
      <c r="I55" s="177"/>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5" t="s">
        <v>64</v>
      </c>
      <c r="D61" s="175"/>
      <c r="E61" s="175"/>
      <c r="F61" s="175"/>
      <c r="G61" s="175"/>
      <c r="H61" s="175"/>
      <c r="I61" s="175"/>
      <c r="J61" s="175"/>
      <c r="K61" s="175"/>
      <c r="L61" s="175"/>
      <c r="M61" s="175"/>
      <c r="N61" s="175"/>
      <c r="O61" s="145"/>
    </row>
    <row r="62" spans="1:15" x14ac:dyDescent="0.2">
      <c r="A62" s="3"/>
      <c r="B62" s="3"/>
      <c r="C62" s="175"/>
      <c r="D62" s="175"/>
      <c r="E62" s="175"/>
      <c r="F62" s="175"/>
      <c r="G62" s="175"/>
      <c r="H62" s="175"/>
      <c r="I62" s="175"/>
      <c r="J62" s="175"/>
      <c r="K62" s="175"/>
      <c r="L62" s="175"/>
      <c r="M62" s="175"/>
      <c r="N62" s="175"/>
      <c r="O62" s="144"/>
    </row>
    <row r="63" spans="1:15" x14ac:dyDescent="0.2">
      <c r="A63" s="123"/>
      <c r="B63" s="123"/>
      <c r="C63" s="175"/>
      <c r="D63" s="175"/>
      <c r="E63" s="175"/>
      <c r="F63" s="175"/>
      <c r="G63" s="175"/>
      <c r="H63" s="175"/>
      <c r="I63" s="175"/>
      <c r="J63" s="175"/>
      <c r="K63" s="175"/>
      <c r="L63" s="175"/>
      <c r="M63" s="175"/>
      <c r="N63" s="175"/>
      <c r="O63" s="144"/>
    </row>
    <row r="64" spans="1:15" x14ac:dyDescent="0.2">
      <c r="A64" s="124"/>
      <c r="B64" s="124"/>
      <c r="C64" s="175"/>
      <c r="D64" s="175"/>
      <c r="E64" s="175"/>
      <c r="F64" s="175"/>
      <c r="G64" s="175"/>
      <c r="H64" s="175"/>
      <c r="I64" s="175"/>
      <c r="J64" s="175"/>
      <c r="K64" s="175"/>
      <c r="L64" s="175"/>
      <c r="M64" s="175"/>
      <c r="N64" s="175"/>
      <c r="O64" s="144"/>
    </row>
    <row r="65" spans="1:15" x14ac:dyDescent="0.2">
      <c r="A65" s="3"/>
      <c r="B65" s="3"/>
      <c r="C65" s="175"/>
      <c r="D65" s="175"/>
      <c r="E65" s="175"/>
      <c r="F65" s="175"/>
      <c r="G65" s="175"/>
      <c r="H65" s="175"/>
      <c r="I65" s="175"/>
      <c r="J65" s="175"/>
      <c r="K65" s="175"/>
      <c r="L65" s="175"/>
      <c r="M65" s="175"/>
      <c r="N65" s="175"/>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43874</v>
      </c>
      <c r="D8" s="72" t="str">
        <f>Facture!$E$23</f>
        <v xml:space="preserve">OMNIA COM </v>
      </c>
      <c r="E8" s="69" t="str">
        <f>Facture!$E$24</f>
        <v xml:space="preserve">POLE TECHNOLOGIQUE DE LA COMMUNICATION ROUTE DE RAOUED </v>
      </c>
      <c r="F8" s="69">
        <f>Facture!$E$25</f>
        <v>2088</v>
      </c>
      <c r="G8" s="72" t="str">
        <f>Facture!$G$25</f>
        <v>ARIANA</v>
      </c>
      <c r="H8" s="72" t="str">
        <f>Facture!$J$25</f>
        <v>TN</v>
      </c>
      <c r="I8" s="69">
        <f>Facture!$E$26</f>
        <v>71857740</v>
      </c>
      <c r="J8" s="73">
        <f>Facture!$M$47</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2020-02-13T14:36:43Z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714.6</vt:r8>
  </property>
</Properties>
</file>