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Facture!$K$48</definedName>
    <definedName name="_Tax2">Facture!#REF!</definedName>
    <definedName name="_Tax3">Facture!#REF!</definedName>
    <definedName name="_tax4">Facture!#REF!</definedName>
    <definedName name="_xlnm.Auto_Open21">'AutoOpen Stub Data'!$A$1</definedName>
    <definedName name="boxes">Facture!$D$48:$D$49</definedName>
    <definedName name="CC">'Personnaliser votre facture'!$G$22:$G$25</definedName>
    <definedName name="CCT">Facture!$G$57</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Facture!$E$24</definedName>
    <definedName name="data60">Facture!#REF!</definedName>
    <definedName name="data61">Facture!#REF!</definedName>
    <definedName name="data62">Facture!$D$48</definedName>
    <definedName name="data63">Facture!$D$49</definedName>
    <definedName name="data64">Facture!$D$56</definedName>
    <definedName name="data65">Facture!$G$56</definedName>
    <definedName name="data66">Facture!$E$58</definedName>
    <definedName name="data67">Facture!#REF!</definedName>
    <definedName name="data68">Facture!#REF!</definedName>
    <definedName name="data69">Facture!#REF!</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Facture!$E$46:$J$46</definedName>
    <definedName name="qzqzqz26">Facture!#REF!</definedName>
    <definedName name="qzqzqz27">Facture!#REF!</definedName>
    <definedName name="qzqzqz28">Facture!#REF!</definedName>
    <definedName name="qzqzqz29">Facture!#REF!</definedName>
    <definedName name="qzqzqz3">Facture!$D$24:$I$24</definedName>
    <definedName name="qzqzqz30">Facture!#REF!</definedName>
    <definedName name="qzqzqz31">Facture!#REF!</definedName>
    <definedName name="qzqzqz32">Facture!#REF!</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Facture!$B$3:$M$58</definedName>
  </definedNames>
  <calcPr calcId="152511"/>
</workbook>
</file>

<file path=xl/calcChain.xml><?xml version="1.0" encoding="utf-8"?>
<calcChain xmlns="http://schemas.openxmlformats.org/spreadsheetml/2006/main">
  <c r="L38" i="3" l="1"/>
  <c r="L37" i="3"/>
  <c r="L35" i="3"/>
  <c r="L44" i="3" l="1"/>
  <c r="L45" i="3" l="1"/>
  <c r="L46" i="3" l="1"/>
  <c r="L48" i="3" s="1"/>
  <c r="L31" i="3" l="1"/>
  <c r="L32" i="3"/>
  <c r="F33" i="2" l="1"/>
  <c r="K8" i="8"/>
  <c r="I8" i="8"/>
  <c r="H8" i="8"/>
  <c r="G8" i="8"/>
  <c r="F8" i="8"/>
  <c r="E8" i="8"/>
  <c r="D8" i="8"/>
  <c r="C8" i="8"/>
  <c r="B8" i="8"/>
  <c r="L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<sst xmlns="http://schemas.openxmlformats.org/spreadsheetml/2006/main" count="88" uniqueCount="80">
  <si>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</si>
  <si>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</si>
  <si>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</si>
  <si>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</si>
  <si>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</si>
  <si>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</si>
  <si>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</si>
  <si>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</si>
  <si>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</si>
  <si>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</si>
  <si>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</si>
  <si>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</si>
  <si>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</si>
  <si>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</si>
  <si>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</si>
  <si>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</si>
  <si>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</si>
  <si>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</si>
  <si>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</si>
  <si>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</si>
  <si>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</si>
  <si>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</si>
  <si>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</si>
  <si>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</si>
  <si>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</si>
  <si>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</si>
  <si>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</si>
  <si>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</si>
  <si>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</si>
  <si>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</si>
  <si>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</si>
  <si>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</si>
  <si>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</si>
  <si>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</si>
  <si>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</si>
  <si>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</si>
  <si>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</si>
  <si>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</si>
  <si>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</si>
  <si>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</si>
  <si>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</si>
  <si>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</si>
  <si>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</si>
  <si>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</si>
  <si>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</si>
  <si>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</si>
  <si>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</si>
  <si>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</si>
  <si>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</si>
  <si>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</si>
  <si>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</si>
  <si>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</si>
  <si>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</si>
  <si>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</si>
  <si>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</si>
  <si>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</si>
  <si>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</si>
  <si>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</si>
  <si>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</si>
  <si>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</si>
  <si>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</si>
  <si>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</si>
  <si>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</si>
  <si>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</si>
  <si>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 xml:space="preserve">Chèque   </t>
  </si>
  <si>
    <t>RIB : 10 000 000 081951 8 78890</t>
  </si>
  <si>
    <t xml:space="preserve">STB THAMEUR </t>
  </si>
  <si>
    <t>4,RUE DU CAIRE 1001 TUNIS- Tunisie     Tél : (216).71 258 108 Fax : (216).71 259 346
RDC:B159472001 / MF:778013 ZMA 000
Mail:gamestream@planet.tn//gamestream.formation@gmail.com</t>
  </si>
  <si>
    <t xml:space="preserve">MF : </t>
  </si>
  <si>
    <t xml:space="preserve">     Responsable: SERVICE ACHAT</t>
  </si>
  <si>
    <t>Route de Tunis Km2, BP 101</t>
  </si>
  <si>
    <t xml:space="preserve">     Kelibia </t>
  </si>
  <si>
    <t>023410P/A/M/000</t>
  </si>
  <si>
    <t xml:space="preserve">SIM SYSTÈME </t>
  </si>
  <si>
    <t xml:space="preserve">Techniques de soudure et protection du soudeur </t>
  </si>
  <si>
    <t xml:space="preserve">2 jours </t>
  </si>
  <si>
    <t>700 dt par personne</t>
  </si>
  <si>
    <t xml:space="preserve">    COMMANDE N°: </t>
  </si>
  <si>
    <t>DEVIS N°2024-201</t>
  </si>
  <si>
    <t>soudure001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</si>
</sst>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5"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i/>
      <u/>
      <sz val="20"/>
      <color rgb="FFFF0000"/>
      <name val="Times New Roman"/>
      <family val="1"/>
    </font>
    <font>
      <b/>
      <u/>
      <sz val="20"/>
      <name val="Times New Roman"/>
      <family val="1"/>
    </font>
    <font>
      <b/>
      <sz val="28"/>
      <name val="Aharoni"/>
      <charset val="177"/>
    </font>
    <font>
      <i/>
      <sz val="18"/>
      <name val="Arial"/>
      <family val="2"/>
    </font>
    <font>
      <b/>
      <sz val="18"/>
      <name val="Times New Roman"/>
      <family val="1"/>
    </font>
    <font>
      <b/>
      <sz val="26"/>
      <color indexed="8"/>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8"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5" fillId="3" borderId="0" xfId="0" applyFont="1" applyFill="1" applyBorder="1" applyAlignment="1">
      <alignment horizontal="right"/>
    </xf>
    <xf numFmtId="0" fontId="16" fillId="3" borderId="0" xfId="0" applyFont="1" applyFill="1" applyBorder="1"/>
    <xf numFmtId="0" fontId="16"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7"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8" fillId="3" borderId="35" xfId="0" applyFont="1" applyFill="1" applyBorder="1" applyAlignment="1">
      <alignment horizontal="center"/>
    </xf>
    <xf numFmtId="0" fontId="18" fillId="3" borderId="36" xfId="0" applyFont="1" applyFill="1" applyBorder="1" applyAlignment="1">
      <alignment horizontal="center"/>
    </xf>
    <xf numFmtId="168" fontId="24" fillId="0" borderId="34" xfId="0" applyNumberFormat="1" applyFont="1" applyFill="1" applyBorder="1"/>
    <xf numFmtId="168" fontId="25" fillId="0" borderId="34" xfId="0" applyNumberFormat="1" applyFont="1" applyFill="1" applyBorder="1"/>
    <xf numFmtId="0" fontId="0" fillId="6" borderId="0" xfId="0" applyFill="1" applyBorder="1"/>
    <xf numFmtId="0" fontId="24" fillId="6" borderId="0" xfId="0" applyFont="1" applyFill="1" applyAlignment="1">
      <alignment horizontal="center" vertical="center"/>
    </xf>
    <xf numFmtId="14" fontId="30" fillId="6" borderId="38" xfId="0" applyNumberFormat="1" applyFont="1" applyFill="1" applyBorder="1" applyAlignment="1"/>
    <xf numFmtId="0" fontId="21" fillId="3" borderId="0" xfId="0" applyFont="1" applyFill="1" applyBorder="1" applyAlignment="1">
      <alignment horizontal="left"/>
    </xf>
    <xf numFmtId="0" fontId="30" fillId="6" borderId="38" xfId="0" applyFont="1" applyFill="1" applyBorder="1" applyAlignment="1"/>
    <xf numFmtId="0" fontId="31" fillId="3" borderId="0" xfId="0" applyFont="1" applyFill="1" applyBorder="1" applyAlignment="1">
      <alignment horizontal="right"/>
    </xf>
    <xf numFmtId="49" fontId="30" fillId="3" borderId="40" xfId="0" applyNumberFormat="1" applyFont="1" applyFill="1" applyBorder="1" applyAlignment="1">
      <alignment horizontal="left"/>
    </xf>
    <xf numFmtId="0" fontId="29" fillId="3" borderId="0" xfId="0" applyFont="1" applyFill="1" applyBorder="1"/>
    <xf numFmtId="0" fontId="29" fillId="3" borderId="0" xfId="0" applyFont="1" applyFill="1"/>
    <xf numFmtId="168" fontId="32" fillId="0" borderId="36" xfId="0" applyNumberFormat="1" applyFont="1" applyFill="1" applyBorder="1" applyAlignment="1">
      <alignment shrinkToFit="1"/>
    </xf>
    <xf numFmtId="49" fontId="31" fillId="3" borderId="0" xfId="0" applyNumberFormat="1" applyFont="1" applyFill="1" applyBorder="1" applyAlignment="1">
      <alignment horizontal="left"/>
    </xf>
    <xf numFmtId="170" fontId="33" fillId="0" borderId="36" xfId="0" applyNumberFormat="1" applyFont="1" applyFill="1" applyBorder="1" applyAlignment="1">
      <alignment shrinkToFit="1"/>
    </xf>
    <xf numFmtId="0" fontId="22" fillId="6" borderId="0" xfId="0" applyFont="1" applyFill="1" applyBorder="1" applyAlignment="1">
      <alignment horizontal="left"/>
    </xf>
    <xf numFmtId="0" fontId="0" fillId="6" borderId="0" xfId="0" applyFill="1"/>
    <xf numFmtId="0" fontId="22" fillId="3" borderId="0" xfId="0" applyFont="1" applyFill="1" applyBorder="1"/>
    <xf numFmtId="0" fontId="30" fillId="0" borderId="36" xfId="0" applyFont="1" applyFill="1" applyBorder="1" applyAlignment="1">
      <alignment horizontal="right"/>
    </xf>
    <xf numFmtId="10" fontId="29" fillId="0" borderId="36" xfId="0" quotePrefix="1" applyNumberFormat="1" applyFont="1" applyFill="1" applyBorder="1" applyAlignment="1">
      <alignment horizontal="center"/>
    </xf>
    <xf numFmtId="0" fontId="26" fillId="0" borderId="36" xfId="0" applyFont="1" applyFill="1" applyBorder="1" applyAlignment="1">
      <alignment horizontal="right"/>
    </xf>
    <xf numFmtId="0" fontId="29" fillId="0" borderId="35" xfId="0" quotePrefix="1" applyFont="1" applyFill="1" applyBorder="1" applyAlignment="1">
      <alignment horizontal="right"/>
    </xf>
    <xf numFmtId="168" fontId="33" fillId="0" borderId="26" xfId="0" applyNumberFormat="1" applyFont="1" applyFill="1" applyBorder="1" applyAlignment="1">
      <alignment shrinkToFit="1"/>
    </xf>
    <xf numFmtId="0" fontId="20" fillId="3" borderId="30" xfId="0" applyFont="1" applyFill="1" applyBorder="1" applyAlignment="1">
      <alignment horizontal="center"/>
    </xf>
    <xf numFmtId="0" fontId="0" fillId="6" borderId="34" xfId="0" applyFill="1" applyBorder="1"/>
    <xf numFmtId="0" fontId="34" fillId="6" borderId="37" xfId="0" applyFont="1" applyFill="1" applyBorder="1" applyAlignment="1">
      <alignment vertical="center"/>
    </xf>
    <xf numFmtId="0" fontId="0" fillId="6" borderId="37" xfId="0" applyFill="1" applyBorder="1" applyAlignment="1"/>
    <xf numFmtId="0" fontId="21" fillId="3" borderId="39" xfId="0" applyFont="1" applyFill="1" applyBorder="1"/>
    <xf numFmtId="0" fontId="16" fillId="3" borderId="35" xfId="0" applyFont="1" applyFill="1" applyBorder="1" applyAlignment="1">
      <alignment horizontal="center"/>
    </xf>
    <xf numFmtId="0" fontId="37" fillId="3" borderId="0" xfId="0" applyFont="1" applyFill="1" applyBorder="1" applyAlignment="1">
      <alignment horizontal="left"/>
    </xf>
    <xf numFmtId="0" fontId="31" fillId="3" borderId="0" xfId="0" applyFont="1" applyFill="1" applyBorder="1"/>
    <xf numFmtId="49" fontId="36" fillId="3" borderId="0" xfId="0" applyNumberFormat="1" applyFont="1" applyFill="1" applyBorder="1" applyAlignment="1"/>
    <xf numFmtId="49" fontId="36" fillId="3" borderId="32" xfId="0" applyNumberFormat="1" applyFont="1" applyFill="1" applyBorder="1" applyAlignment="1"/>
    <xf numFmtId="49" fontId="28" fillId="3" borderId="30" xfId="0" applyNumberFormat="1" applyFont="1" applyFill="1" applyBorder="1" applyAlignment="1">
      <alignment horizontal="left"/>
    </xf>
    <xf numFmtId="49" fontId="28" fillId="3" borderId="0" xfId="0" applyNumberFormat="1" applyFont="1" applyFill="1" applyBorder="1" applyAlignment="1">
      <alignment horizontal="left"/>
    </xf>
    <xf numFmtId="49" fontId="28" fillId="3" borderId="32" xfId="0" applyNumberFormat="1" applyFont="1" applyFill="1" applyBorder="1" applyAlignment="1">
      <alignment horizontal="left"/>
    </xf>
    <xf numFmtId="0" fontId="31" fillId="3" borderId="0" xfId="0" applyFont="1" applyFill="1" applyBorder="1" applyAlignment="1">
      <alignment horizontal="left" vertical="top"/>
    </xf>
    <xf numFmtId="49" fontId="39" fillId="3" borderId="30" xfId="0" applyNumberFormat="1" applyFont="1" applyFill="1" applyBorder="1" applyAlignment="1"/>
    <xf numFmtId="0" fontId="26" fillId="0" borderId="0" xfId="0" applyFont="1" applyFill="1" applyBorder="1" applyAlignment="1">
      <alignment horizontal="right"/>
    </xf>
    <xf numFmtId="168" fontId="32" fillId="0" borderId="0" xfId="0" applyNumberFormat="1" applyFont="1" applyFill="1" applyBorder="1" applyAlignment="1">
      <alignment shrinkToFit="1"/>
    </xf>
    <xf numFmtId="0" fontId="23" fillId="3" borderId="0" xfId="0" applyFont="1" applyFill="1" applyBorder="1"/>
    <xf numFmtId="0" fontId="41" fillId="6" borderId="0" xfId="0" applyFont="1" applyFill="1" applyAlignment="1">
      <alignment horizontal="center" vertical="center"/>
    </xf>
    <xf numFmtId="0" fontId="23" fillId="6" borderId="0" xfId="0" applyNumberFormat="1" applyFont="1" applyFill="1" applyBorder="1" applyAlignment="1"/>
    <xf numFmtId="0" fontId="0" fillId="3" borderId="44" xfId="0" applyFill="1" applyBorder="1" applyAlignment="1">
      <alignment horizontal="center"/>
    </xf>
    <xf numFmtId="0" fontId="24" fillId="3" borderId="30" xfId="0" applyFont="1" applyFill="1" applyBorder="1" applyAlignment="1">
      <alignment horizontal="center"/>
    </xf>
    <xf numFmtId="0" fontId="25" fillId="3" borderId="30" xfId="0" applyFont="1" applyFill="1" applyBorder="1" applyAlignment="1">
      <alignment horizontal="center"/>
    </xf>
    <xf numFmtId="168" fontId="0" fillId="0" borderId="32" xfId="0" applyNumberFormat="1" applyFill="1" applyBorder="1" applyAlignment="1"/>
    <xf numFmtId="168" fontId="24" fillId="0" borderId="32" xfId="0" applyNumberFormat="1" applyFont="1" applyFill="1" applyBorder="1" applyAlignment="1"/>
    <xf numFmtId="168" fontId="25" fillId="0" borderId="32" xfId="0" applyNumberFormat="1" applyFont="1" applyFill="1" applyBorder="1" applyAlignment="1"/>
    <xf numFmtId="49" fontId="38" fillId="3" borderId="31" xfId="0" applyNumberFormat="1" applyFont="1" applyFill="1" applyBorder="1" applyAlignment="1">
      <alignment horizontal="left"/>
    </xf>
    <xf numFmtId="49" fontId="28" fillId="3" borderId="38" xfId="0" applyNumberFormat="1" applyFont="1" applyFill="1" applyBorder="1" applyAlignment="1">
      <alignment horizontal="left"/>
    </xf>
    <xf numFmtId="0" fontId="22" fillId="6" borderId="0" xfId="0" applyFont="1" applyFill="1" applyBorder="1" applyAlignment="1">
      <alignment horizontal="center" vertical="center"/>
    </xf>
    <xf numFmtId="0" fontId="41" fillId="6" borderId="48" xfId="0" applyFont="1" applyFill="1" applyBorder="1" applyAlignment="1">
      <alignment horizontal="center" vertical="center"/>
    </xf>
    <xf numFmtId="0" fontId="23" fillId="3" borderId="49" xfId="0" applyFont="1" applyFill="1" applyBorder="1"/>
    <xf numFmtId="0" fontId="23" fillId="3" borderId="49" xfId="0" applyNumberFormat="1" applyFont="1" applyFill="1" applyBorder="1" applyAlignment="1"/>
    <xf numFmtId="49" fontId="28" fillId="3" borderId="0" xfId="0" quotePrefix="1" applyNumberFormat="1" applyFont="1" applyFill="1" applyBorder="1" applyAlignment="1"/>
    <xf numFmtId="49" fontId="28" fillId="3" borderId="32" xfId="0" quotePrefix="1" applyNumberFormat="1" applyFont="1" applyFill="1" applyBorder="1" applyAlignment="1"/>
    <xf numFmtId="49" fontId="28" fillId="3" borderId="46" xfId="0" applyNumberFormat="1" applyFont="1" applyFill="1" applyBorder="1" applyAlignment="1">
      <alignment horizontal="left"/>
    </xf>
    <xf numFmtId="49" fontId="28" fillId="3" borderId="45" xfId="0" applyNumberFormat="1" applyFont="1" applyFill="1" applyBorder="1" applyAlignment="1">
      <alignment horizontal="left"/>
    </xf>
    <xf numFmtId="0" fontId="25" fillId="3" borderId="26" xfId="0" applyFont="1" applyFill="1" applyBorder="1" applyAlignment="1">
      <alignment horizontal="center"/>
    </xf>
    <xf numFmtId="0" fontId="6" fillId="3" borderId="45" xfId="0" applyFont="1" applyFill="1" applyBorder="1"/>
    <xf numFmtId="0" fontId="24" fillId="3" borderId="0" xfId="0" applyFont="1" applyFill="1" applyBorder="1" applyAlignment="1">
      <alignment horizontal="left"/>
    </xf>
    <xf numFmtId="168" fontId="43" fillId="0" borderId="36" xfId="0" applyNumberFormat="1" applyFont="1" applyFill="1" applyBorder="1" applyAlignment="1">
      <alignment shrinkToFit="1"/>
    </xf>
    <xf numFmtId="0" fontId="12" fillId="3" borderId="41" xfId="0" applyFont="1" applyFill="1" applyBorder="1" applyAlignment="1"/>
    <xf numFmtId="0" fontId="0" fillId="2" borderId="41"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7" fillId="6" borderId="0" xfId="0" applyFont="1" applyFill="1" applyAlignment="1">
      <alignment horizontal="center" vertical="center"/>
    </xf>
    <xf numFmtId="49" fontId="40" fillId="3" borderId="40" xfId="0" applyNumberFormat="1" applyFont="1" applyFill="1" applyBorder="1" applyAlignment="1">
      <alignment horizontal="left" vertical="top"/>
    </xf>
    <xf numFmtId="49" fontId="30" fillId="3" borderId="39" xfId="0" applyNumberFormat="1" applyFont="1" applyFill="1" applyBorder="1" applyAlignment="1">
      <alignment horizontal="left"/>
    </xf>
    <xf numFmtId="0" fontId="18" fillId="3" borderId="44" xfId="0" applyFont="1" applyFill="1" applyBorder="1" applyAlignment="1"/>
    <xf numFmtId="0" fontId="18" fillId="3" borderId="45" xfId="0" applyFont="1" applyFill="1" applyBorder="1" applyAlignment="1"/>
    <xf numFmtId="0" fontId="18" fillId="3" borderId="46" xfId="0" applyFont="1" applyFill="1" applyBorder="1" applyAlignment="1"/>
    <xf numFmtId="3" fontId="23" fillId="3" borderId="40" xfId="0" applyNumberFormat="1" applyFont="1" applyFill="1" applyBorder="1" applyAlignment="1">
      <alignment horizontal="left" wrapText="1"/>
    </xf>
    <xf numFmtId="0" fontId="31" fillId="2" borderId="40" xfId="0" applyFont="1" applyBorder="1" applyAlignment="1">
      <alignment horizontal="left"/>
    </xf>
    <xf numFmtId="0" fontId="21" fillId="3" borderId="47" xfId="0" applyFont="1" applyFill="1" applyBorder="1" applyAlignment="1">
      <alignment horizontal="left"/>
    </xf>
    <xf numFmtId="0" fontId="21" fillId="2" borderId="47" xfId="0" applyFont="1" applyBorder="1" applyAlignment="1">
      <alignment horizontal="left"/>
    </xf>
    <xf numFmtId="0" fontId="23" fillId="3" borderId="0" xfId="0" applyFont="1" applyFill="1" applyBorder="1" applyAlignment="1">
      <alignment horizontal="center"/>
    </xf>
    <xf numFmtId="0" fontId="23" fillId="3" borderId="41" xfId="0" applyFont="1" applyFill="1" applyBorder="1" applyAlignment="1">
      <alignment horizontal="center"/>
    </xf>
    <xf numFmtId="0" fontId="22" fillId="6" borderId="0" xfId="0" applyFont="1" applyFill="1" applyBorder="1" applyAlignment="1">
      <alignment horizontal="left"/>
    </xf>
    <xf numFmtId="0" fontId="30" fillId="6" borderId="37" xfId="0" applyFont="1" applyFill="1" applyBorder="1" applyAlignment="1">
      <alignment horizontal="center"/>
    </xf>
    <xf numFmtId="0" fontId="24" fillId="0" borderId="0" xfId="0" applyFont="1" applyFill="1" applyBorder="1" applyAlignment="1">
      <alignment horizontal="center" vertical="center"/>
    </xf>
    <xf numFmtId="0" fontId="22" fillId="6" borderId="0" xfId="0" applyFont="1" applyFill="1" applyBorder="1" applyAlignment="1">
      <alignment horizontal="center" vertical="center" wrapText="1"/>
    </xf>
    <xf numFmtId="49" fontId="19" fillId="3" borderId="44" xfId="0" applyNumberFormat="1" applyFont="1" applyFill="1" applyBorder="1" applyAlignment="1"/>
    <xf numFmtId="49" fontId="19" fillId="3" borderId="45" xfId="0" applyNumberFormat="1" applyFont="1" applyFill="1" applyBorder="1" applyAlignment="1"/>
    <xf numFmtId="49" fontId="19" fillId="3" borderId="46"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28" fillId="3" borderId="30" xfId="0" applyNumberFormat="1" applyFont="1" applyFill="1" applyBorder="1" applyAlignment="1"/>
    <xf numFmtId="49" fontId="28" fillId="3" borderId="0" xfId="0" applyNumberFormat="1" applyFont="1" applyFill="1" applyBorder="1" applyAlignment="1"/>
    <xf numFmtId="49" fontId="28" fillId="3" borderId="32" xfId="0" applyNumberFormat="1" applyFont="1" applyFill="1" applyBorder="1" applyAlignment="1"/>
    <xf numFmtId="49" fontId="42" fillId="3" borderId="30" xfId="0" applyNumberFormat="1" applyFont="1" applyFill="1" applyBorder="1" applyAlignment="1">
      <alignment horizontal="left" vertical="top"/>
    </xf>
    <xf numFmtId="49" fontId="42" fillId="3" borderId="0" xfId="0" applyNumberFormat="1" applyFont="1" applyFill="1" applyBorder="1" applyAlignment="1">
      <alignment horizontal="left" vertical="top"/>
    </xf>
    <xf numFmtId="49" fontId="42" fillId="3" borderId="32" xfId="0" applyNumberFormat="1" applyFont="1" applyFill="1" applyBorder="1" applyAlignment="1">
      <alignment horizontal="left" vertical="top"/>
    </xf>
    <xf numFmtId="0" fontId="24" fillId="3" borderId="34" xfId="0" applyFont="1" applyFill="1" applyBorder="1" applyAlignment="1">
      <alignment horizontal="center"/>
    </xf>
    <xf numFmtId="49" fontId="36" fillId="3" borderId="30" xfId="0" applyNumberFormat="1" applyFont="1" applyFill="1" applyBorder="1" applyAlignment="1"/>
    <xf numFmtId="49" fontId="36" fillId="3" borderId="0" xfId="0" applyNumberFormat="1" applyFont="1" applyFill="1" applyBorder="1" applyAlignment="1"/>
    <xf numFmtId="49" fontId="36" fillId="3" borderId="32" xfId="0" applyNumberFormat="1" applyFont="1" applyFill="1" applyBorder="1" applyAlignment="1"/>
    <xf numFmtId="168" fontId="24" fillId="0" borderId="34" xfId="0" applyNumberFormat="1" applyFont="1" applyFill="1" applyBorder="1" applyAlignment="1"/>
    <xf numFmtId="0" fontId="25" fillId="3" borderId="34" xfId="0" applyFont="1" applyFill="1" applyBorder="1" applyAlignment="1">
      <alignment horizontal="center"/>
    </xf>
    <xf numFmtId="49" fontId="34" fillId="3" borderId="30" xfId="0" applyNumberFormat="1" applyFont="1" applyFill="1" applyBorder="1" applyAlignment="1"/>
    <xf numFmtId="49" fontId="34" fillId="3" borderId="0" xfId="0" applyNumberFormat="1" applyFont="1" applyFill="1" applyBorder="1" applyAlignment="1"/>
    <xf numFmtId="49" fontId="34" fillId="3" borderId="32" xfId="0" applyNumberFormat="1" applyFont="1" applyFill="1" applyBorder="1" applyAlignment="1"/>
    <xf numFmtId="168" fontId="25" fillId="0" borderId="34" xfId="0" applyNumberFormat="1" applyFont="1" applyFill="1" applyBorder="1" applyAlignment="1"/>
    <xf numFmtId="0" fontId="0" fillId="3" borderId="30" xfId="0" applyFill="1" applyBorder="1" applyAlignment="1">
      <alignment horizontal="center"/>
    </xf>
    <xf numFmtId="49" fontId="44" fillId="3" borderId="30"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57150</xdr:rowOff>
    </xdr:from>
    <xdr:to>
      <xdr:col>12</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47</xdr:row>
          <xdr:rowOff>9525</xdr:rowOff>
        </xdr:from>
        <xdr:to>
          <xdr:col>3</xdr:col>
          <xdr:colOff>571500</xdr:colOff>
          <xdr:row>47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48</xdr:row>
          <xdr:rowOff>0</xdr:rowOff>
        </xdr:from>
        <xdr:to>
          <xdr:col>3</xdr:col>
          <xdr:colOff>552450</xdr:colOff>
          <xdr:row>48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6" t="s">
        <v>0</v>
      </c>
      <c r="E4" s="147"/>
      <c r="F4" s="14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48" t="s">
        <v>2</v>
      </c>
      <c r="E10" s="14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0" t="s">
        <v>43</v>
      </c>
      <c r="E19" s="14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0">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1">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1" t="str">
        <f>LOWER(TemplateInformation!B3)</f>
        <v>c:\program files\microsoft office\office\macrolib\factbd.xls</v>
      </c>
      <c r="G33" s="15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48" t="s">
        <v>16</v>
      </c>
      <c r="E36" s="149"/>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8"/>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dimension ref="A1:N78"/>
  <sheetViews>
    <sheetView showGridLines="0" showRowColHeaders="0" tabSelected="1" topLeftCell="A7" zoomScale="50" zoomScaleNormal="50" workbookViewId="0">
      <selection activeCell="E43" sqref="E43"/>
    </sheetView>
  </sheetViews>
  <sheetFormatPr baseColWidth="10" defaultColWidth="9.140625" defaultRowHeight="12.75" x14ac:dyDescent="0.2"/>
  <cols>
    <col min="1" max="1" width="1.285156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2:14" ht="6" customHeight="1" thickBot="1" x14ac:dyDescent="0.25"/>
    <row r="2" spans="2:14" ht="0.95" customHeight="1" thickTop="1" x14ac:dyDescent="0.2">
      <c r="B2" s="5"/>
      <c r="C2" s="5"/>
      <c r="D2" s="5"/>
      <c r="E2" s="5"/>
      <c r="F2" s="5"/>
      <c r="G2" s="5"/>
      <c r="H2" s="5"/>
      <c r="I2" s="5"/>
      <c r="J2" s="5"/>
      <c r="K2" s="5"/>
      <c r="L2" s="5"/>
      <c r="M2" s="5"/>
      <c r="N2" s="6"/>
    </row>
    <row r="3" spans="2:14" x14ac:dyDescent="0.2">
      <c r="B3" s="3"/>
      <c r="C3" s="3"/>
      <c r="D3" s="3"/>
      <c r="E3" s="3"/>
      <c r="F3" s="3"/>
      <c r="G3" s="3"/>
      <c r="H3" s="3"/>
      <c r="I3" s="3"/>
      <c r="J3" s="3"/>
      <c r="K3" s="3"/>
      <c r="L3" s="3"/>
      <c r="M3" s="3"/>
      <c r="N3" s="9"/>
    </row>
    <row r="4" spans="2:14" x14ac:dyDescent="0.2">
      <c r="B4" s="3"/>
      <c r="C4" s="3"/>
      <c r="D4" s="3"/>
      <c r="E4" s="3"/>
      <c r="F4" s="3"/>
      <c r="G4" s="3"/>
      <c r="H4" s="3"/>
      <c r="I4" s="3"/>
      <c r="J4" s="3"/>
      <c r="K4" s="3"/>
      <c r="L4" s="3"/>
      <c r="M4" s="3"/>
      <c r="N4" s="9"/>
    </row>
    <row r="5" spans="2:14" x14ac:dyDescent="0.2">
      <c r="B5" s="3"/>
      <c r="C5" s="3"/>
      <c r="D5" s="3"/>
      <c r="E5" s="3"/>
      <c r="F5" s="3"/>
      <c r="G5" s="3"/>
      <c r="H5" s="3"/>
      <c r="I5" s="3"/>
      <c r="J5" s="3"/>
      <c r="K5" s="3"/>
      <c r="L5" s="3"/>
      <c r="M5" s="3"/>
      <c r="N5" s="9"/>
    </row>
    <row r="6" spans="2:14" x14ac:dyDescent="0.2">
      <c r="B6" s="3"/>
      <c r="C6" s="3"/>
      <c r="D6" s="3"/>
      <c r="E6" s="3"/>
      <c r="F6" s="3"/>
      <c r="G6" s="3"/>
      <c r="H6" s="3"/>
      <c r="I6" s="3"/>
      <c r="J6" s="3"/>
      <c r="K6" s="3"/>
      <c r="L6" s="3"/>
      <c r="M6" s="3"/>
      <c r="N6" s="9"/>
    </row>
    <row r="7" spans="2:14" x14ac:dyDescent="0.2">
      <c r="B7" s="3"/>
      <c r="C7" s="3"/>
      <c r="D7" s="3"/>
      <c r="E7" s="3"/>
      <c r="F7" s="3"/>
      <c r="G7" s="3"/>
      <c r="H7" s="3"/>
      <c r="I7" s="3"/>
      <c r="J7" s="3"/>
      <c r="K7" s="3"/>
      <c r="L7" s="3"/>
      <c r="M7" s="3"/>
      <c r="N7" s="9"/>
    </row>
    <row r="8" spans="2:14" x14ac:dyDescent="0.2">
      <c r="B8" s="3"/>
      <c r="C8" s="3"/>
      <c r="D8" s="3"/>
      <c r="E8" s="3"/>
      <c r="F8" s="3"/>
      <c r="G8" s="3"/>
      <c r="H8" s="3"/>
      <c r="I8" s="3"/>
      <c r="J8" s="3"/>
      <c r="K8" s="3"/>
      <c r="L8" s="3"/>
      <c r="M8" s="3"/>
      <c r="N8" s="9"/>
    </row>
    <row r="9" spans="2:14" x14ac:dyDescent="0.2">
      <c r="B9" s="3"/>
      <c r="C9" s="3"/>
      <c r="D9" s="3"/>
      <c r="E9" s="3"/>
      <c r="F9" s="3"/>
      <c r="G9" s="3"/>
      <c r="H9" s="3"/>
      <c r="I9" s="3"/>
      <c r="J9" s="3"/>
      <c r="K9" s="3"/>
      <c r="L9" s="3"/>
      <c r="M9" s="3"/>
      <c r="N9" s="9"/>
    </row>
    <row r="10" spans="2:14" x14ac:dyDescent="0.2">
      <c r="B10" s="3"/>
      <c r="C10" s="3"/>
      <c r="D10" s="3"/>
      <c r="E10" s="3"/>
      <c r="F10" s="3"/>
      <c r="G10" s="3"/>
      <c r="H10" s="3"/>
      <c r="I10" s="3"/>
      <c r="J10" s="3"/>
      <c r="K10" s="3"/>
      <c r="L10" s="3"/>
      <c r="M10" s="3"/>
      <c r="N10" s="9"/>
    </row>
    <row r="11" spans="2:14" ht="20.25" x14ac:dyDescent="0.3">
      <c r="B11" s="3"/>
      <c r="C11" s="3"/>
      <c r="D11" s="3"/>
      <c r="E11" s="3"/>
      <c r="F11" s="3"/>
      <c r="G11" s="3"/>
      <c r="H11" s="3"/>
      <c r="I11" s="3"/>
      <c r="J11" s="8"/>
      <c r="K11" s="72"/>
      <c r="L11" s="72" t="s">
        <v>49</v>
      </c>
      <c r="M11" s="19"/>
      <c r="N11" s="9"/>
    </row>
    <row r="12" spans="2:14" x14ac:dyDescent="0.2">
      <c r="B12" s="3"/>
      <c r="C12" s="3"/>
      <c r="D12" s="3"/>
      <c r="E12" s="3"/>
      <c r="F12" s="3"/>
      <c r="G12" s="3"/>
      <c r="H12" s="3"/>
      <c r="I12" s="3"/>
      <c r="J12" s="3"/>
      <c r="K12" s="3"/>
      <c r="L12" s="3"/>
      <c r="M12" s="3"/>
      <c r="N12" s="9"/>
    </row>
    <row r="13" spans="2:14" x14ac:dyDescent="0.2">
      <c r="B13" s="3"/>
      <c r="C13" s="3"/>
      <c r="D13" s="3"/>
      <c r="E13" s="3"/>
      <c r="F13" s="3"/>
      <c r="G13" s="3"/>
      <c r="H13" s="3"/>
      <c r="I13" s="3"/>
      <c r="J13" s="3"/>
      <c r="K13" s="3"/>
      <c r="L13" s="3"/>
      <c r="M13" s="3"/>
      <c r="N13" s="9"/>
    </row>
    <row r="14" spans="2:14" ht="26.25" x14ac:dyDescent="0.2">
      <c r="B14" s="3"/>
      <c r="C14" s="3"/>
      <c r="D14" s="3"/>
      <c r="E14" s="3"/>
      <c r="F14" s="3"/>
      <c r="G14" s="3"/>
      <c r="H14" s="3"/>
      <c r="I14" s="3"/>
      <c r="J14" s="86"/>
      <c r="K14" s="87"/>
      <c r="L14" s="87"/>
      <c r="M14" s="3"/>
      <c r="N14" s="9"/>
    </row>
    <row r="15" spans="2:14" x14ac:dyDescent="0.2">
      <c r="B15" s="3"/>
      <c r="C15" s="3"/>
      <c r="D15" s="3"/>
      <c r="E15" s="3"/>
      <c r="F15" s="3"/>
      <c r="G15" s="3"/>
      <c r="H15" s="3"/>
      <c r="I15" s="3"/>
      <c r="J15" s="86"/>
      <c r="K15" s="153" t="s">
        <v>78</v>
      </c>
      <c r="L15" s="153"/>
      <c r="M15" s="3"/>
      <c r="N15" s="9"/>
    </row>
    <row r="16" spans="2:14" x14ac:dyDescent="0.2">
      <c r="B16" s="3"/>
      <c r="C16" s="3"/>
      <c r="D16" s="3"/>
      <c r="E16" s="3"/>
      <c r="F16" s="3"/>
      <c r="G16" s="3"/>
      <c r="H16" s="3"/>
      <c r="I16" s="3"/>
      <c r="J16" s="86"/>
      <c r="K16" s="153"/>
      <c r="L16" s="153"/>
      <c r="M16" s="3"/>
      <c r="N16" s="9"/>
    </row>
    <row r="17" spans="1:14" ht="12.75" customHeight="1" x14ac:dyDescent="0.2">
      <c r="B17" s="3"/>
      <c r="C17" s="3"/>
      <c r="D17" s="3"/>
      <c r="E17" s="3"/>
      <c r="F17" s="3"/>
      <c r="G17" s="3"/>
      <c r="H17" s="3"/>
      <c r="I17" s="3"/>
      <c r="J17" s="86"/>
      <c r="K17" s="153"/>
      <c r="L17" s="153"/>
      <c r="M17" s="3"/>
      <c r="N17" s="9"/>
    </row>
    <row r="18" spans="1:14" ht="12.75" customHeight="1" x14ac:dyDescent="0.2">
      <c r="B18" s="3"/>
      <c r="C18" s="163"/>
      <c r="D18" s="163"/>
      <c r="E18" s="163"/>
      <c r="F18" s="163"/>
      <c r="G18" s="163"/>
      <c r="H18" s="3"/>
      <c r="I18" s="3"/>
      <c r="J18" s="86"/>
      <c r="K18" s="153"/>
      <c r="L18" s="153"/>
      <c r="M18" s="3"/>
      <c r="N18" s="9"/>
    </row>
    <row r="19" spans="1:14" ht="20.100000000000001" customHeight="1" thickBot="1" x14ac:dyDescent="0.25">
      <c r="B19" s="3"/>
      <c r="C19" s="164"/>
      <c r="D19" s="164"/>
      <c r="E19" s="164"/>
      <c r="F19" s="164"/>
      <c r="G19" s="164"/>
      <c r="H19" s="3"/>
      <c r="I19" s="3"/>
      <c r="J19" s="86"/>
      <c r="K19" s="153"/>
      <c r="L19" s="153"/>
      <c r="M19" s="3"/>
      <c r="N19" s="9"/>
    </row>
    <row r="20" spans="1:14" ht="3" customHeight="1" thickTop="1" x14ac:dyDescent="0.3">
      <c r="B20" s="3"/>
      <c r="C20" s="55"/>
      <c r="D20" s="55"/>
      <c r="E20" s="55"/>
      <c r="F20" s="55"/>
      <c r="G20" s="55"/>
      <c r="H20" s="55"/>
      <c r="I20" s="56"/>
      <c r="J20" s="56"/>
      <c r="K20" s="79"/>
      <c r="L20" s="80"/>
      <c r="M20" s="20"/>
      <c r="N20" s="9"/>
    </row>
    <row r="21" spans="1:14" ht="14.1" customHeight="1" x14ac:dyDescent="0.2">
      <c r="B21" s="3"/>
      <c r="C21" s="3"/>
      <c r="D21" s="3"/>
      <c r="E21" s="3"/>
      <c r="F21" s="3"/>
      <c r="G21" s="3"/>
      <c r="H21" s="3"/>
      <c r="I21" s="3"/>
      <c r="J21" s="3"/>
      <c r="K21" s="3"/>
      <c r="L21" s="3"/>
      <c r="M21" s="3"/>
      <c r="N21" s="9"/>
    </row>
    <row r="22" spans="1:14" x14ac:dyDescent="0.2">
      <c r="B22" s="3"/>
      <c r="C22" s="3"/>
      <c r="D22" s="3"/>
      <c r="E22" s="3"/>
      <c r="F22" s="3"/>
      <c r="G22" s="3"/>
      <c r="H22" s="3"/>
      <c r="I22" s="3"/>
      <c r="J22" s="3"/>
      <c r="K22" s="3"/>
      <c r="L22" s="3"/>
      <c r="M22" s="3"/>
      <c r="N22" s="9"/>
    </row>
    <row r="23" spans="1:14" ht="35.25" x14ac:dyDescent="0.35">
      <c r="B23" s="3"/>
      <c r="C23" s="100" t="s">
        <v>51</v>
      </c>
      <c r="D23" s="154" t="s">
        <v>73</v>
      </c>
      <c r="E23" s="154"/>
      <c r="F23" s="154"/>
      <c r="G23" s="154"/>
      <c r="H23" s="154"/>
      <c r="I23" s="154"/>
      <c r="J23" s="98" t="s">
        <v>56</v>
      </c>
      <c r="K23" s="88">
        <v>45327</v>
      </c>
      <c r="L23" s="90"/>
      <c r="M23" s="52"/>
      <c r="N23" s="9"/>
    </row>
    <row r="24" spans="1:14" ht="23.25" x14ac:dyDescent="0.35">
      <c r="B24" s="3"/>
      <c r="C24" s="100" t="s">
        <v>52</v>
      </c>
      <c r="D24" s="161" t="s">
        <v>70</v>
      </c>
      <c r="E24" s="161"/>
      <c r="F24" s="161"/>
      <c r="G24" s="162"/>
      <c r="H24" s="162"/>
      <c r="I24" s="162"/>
      <c r="J24" s="165" t="s">
        <v>77</v>
      </c>
      <c r="K24" s="165"/>
      <c r="L24" s="165"/>
      <c r="M24" s="53"/>
      <c r="N24" s="9"/>
    </row>
    <row r="25" spans="1:14" ht="27.75" x14ac:dyDescent="0.4">
      <c r="B25" s="3"/>
      <c r="C25" s="100" t="s">
        <v>58</v>
      </c>
      <c r="D25" s="110">
        <v>8090</v>
      </c>
      <c r="E25" s="91" t="s">
        <v>50</v>
      </c>
      <c r="F25" s="155" t="s">
        <v>71</v>
      </c>
      <c r="G25" s="155"/>
      <c r="H25" s="96" t="s">
        <v>54</v>
      </c>
      <c r="I25" s="92" t="s">
        <v>55</v>
      </c>
      <c r="J25" s="98" t="s">
        <v>69</v>
      </c>
      <c r="K25" s="108"/>
      <c r="L25" s="109"/>
      <c r="M25" s="3"/>
      <c r="N25" s="9"/>
    </row>
    <row r="26" spans="1:14" ht="27.75" customHeight="1" x14ac:dyDescent="0.4">
      <c r="A26">
        <v>71</v>
      </c>
      <c r="B26" s="3"/>
      <c r="C26" s="100" t="s">
        <v>53</v>
      </c>
      <c r="D26" s="159"/>
      <c r="E26" s="160"/>
      <c r="F26" s="160"/>
      <c r="G26" s="160"/>
      <c r="H26" s="160"/>
      <c r="I26" s="160"/>
      <c r="J26" s="134" t="s">
        <v>68</v>
      </c>
      <c r="K26" s="166" t="s">
        <v>72</v>
      </c>
      <c r="L26" s="166"/>
      <c r="M26" s="3"/>
      <c r="N26" s="9"/>
    </row>
    <row r="27" spans="1:14" x14ac:dyDescent="0.2">
      <c r="B27" s="3"/>
      <c r="C27" s="75"/>
      <c r="D27" s="75"/>
      <c r="E27" s="75"/>
      <c r="F27" s="75"/>
      <c r="G27" s="75"/>
      <c r="H27" s="75"/>
      <c r="I27" s="75"/>
      <c r="J27" s="75"/>
      <c r="K27" s="75"/>
      <c r="L27" s="75"/>
      <c r="M27" s="3"/>
      <c r="N27" s="9"/>
    </row>
    <row r="28" spans="1:14" x14ac:dyDescent="0.2">
      <c r="B28" s="3"/>
      <c r="C28" s="75"/>
      <c r="D28" s="75"/>
      <c r="E28" s="75"/>
      <c r="F28" s="75"/>
      <c r="G28" s="75"/>
      <c r="H28" s="75"/>
      <c r="I28" s="75"/>
      <c r="J28" s="75"/>
      <c r="K28" s="75"/>
      <c r="L28" s="75"/>
      <c r="M28" s="3"/>
      <c r="N28" s="9"/>
    </row>
    <row r="29" spans="1:14" x14ac:dyDescent="0.2">
      <c r="B29" s="3"/>
      <c r="C29" s="75"/>
      <c r="D29" s="75"/>
      <c r="E29" s="75"/>
      <c r="F29" s="75"/>
      <c r="G29" s="75"/>
      <c r="H29" s="75"/>
      <c r="I29" s="75"/>
      <c r="J29" s="75"/>
      <c r="K29" s="75"/>
      <c r="L29" s="75"/>
      <c r="M29" s="3"/>
      <c r="N29" s="9"/>
    </row>
    <row r="30" spans="1:14" ht="18" x14ac:dyDescent="0.25">
      <c r="B30" s="3"/>
      <c r="C30" s="82" t="s">
        <v>32</v>
      </c>
      <c r="D30" s="111" t="s">
        <v>63</v>
      </c>
      <c r="E30" s="156" t="s">
        <v>21</v>
      </c>
      <c r="F30" s="157"/>
      <c r="G30" s="157"/>
      <c r="H30" s="157"/>
      <c r="I30" s="157"/>
      <c r="J30" s="158"/>
      <c r="K30" s="82" t="s">
        <v>22</v>
      </c>
      <c r="L30" s="83" t="s">
        <v>23</v>
      </c>
      <c r="M30" s="54"/>
      <c r="N30" s="9"/>
    </row>
    <row r="31" spans="1:14" ht="18.75" x14ac:dyDescent="0.3">
      <c r="B31" s="3"/>
      <c r="C31" s="64"/>
      <c r="D31" s="126"/>
      <c r="E31" s="169"/>
      <c r="F31" s="170"/>
      <c r="G31" s="170"/>
      <c r="H31" s="170"/>
      <c r="I31" s="170"/>
      <c r="J31" s="171"/>
      <c r="K31" s="129"/>
      <c r="L31" s="81" t="str">
        <f>IF(D31&lt;&gt;"",D31*K31,"")</f>
        <v/>
      </c>
      <c r="M31" s="54"/>
      <c r="N31" s="9"/>
    </row>
    <row r="32" spans="1:14" ht="26.25" x14ac:dyDescent="0.4">
      <c r="B32" s="3"/>
      <c r="C32" s="107"/>
      <c r="D32" s="127"/>
      <c r="E32" s="172"/>
      <c r="F32" s="173"/>
      <c r="G32" s="173"/>
      <c r="H32" s="173"/>
      <c r="I32" s="173"/>
      <c r="J32" s="174"/>
      <c r="K32" s="130"/>
      <c r="L32" s="84" t="str">
        <f>IF(D32&lt;&gt;"",D32*K32,"")</f>
        <v/>
      </c>
      <c r="M32" s="54"/>
      <c r="N32" s="9"/>
    </row>
    <row r="33" spans="2:14" ht="26.25" x14ac:dyDescent="0.4">
      <c r="B33" s="3"/>
      <c r="C33" s="106"/>
      <c r="D33" s="128"/>
      <c r="E33" s="175"/>
      <c r="F33" s="176"/>
      <c r="G33" s="176"/>
      <c r="H33" s="176"/>
      <c r="I33" s="176"/>
      <c r="J33" s="177"/>
      <c r="K33" s="131"/>
      <c r="L33" s="85"/>
      <c r="M33" s="54"/>
      <c r="N33" s="9"/>
    </row>
    <row r="34" spans="2:14" ht="25.5" x14ac:dyDescent="0.35">
      <c r="B34" s="3"/>
      <c r="C34" s="106"/>
      <c r="D34" s="128"/>
      <c r="E34" s="178"/>
      <c r="F34" s="179"/>
      <c r="G34" s="179"/>
      <c r="H34" s="179"/>
      <c r="I34" s="179"/>
      <c r="J34" s="180"/>
      <c r="K34" s="131"/>
      <c r="L34" s="85"/>
      <c r="M34" s="54"/>
      <c r="N34" s="9"/>
    </row>
    <row r="35" spans="2:14" ht="26.25" customHeight="1" x14ac:dyDescent="0.4">
      <c r="B35" s="3"/>
      <c r="C35" s="107"/>
      <c r="D35" s="181"/>
      <c r="E35" s="182" t="s">
        <v>57</v>
      </c>
      <c r="F35" s="183"/>
      <c r="G35" s="183"/>
      <c r="H35" s="183"/>
      <c r="I35" s="183"/>
      <c r="J35" s="184"/>
      <c r="K35" s="185"/>
      <c r="L35" s="84" t="str">
        <f>IF(D35&lt;&gt;"",D35*K35,"")</f>
        <v/>
      </c>
      <c r="M35" s="54"/>
      <c r="N35" s="9"/>
    </row>
    <row r="36" spans="2:14" ht="25.5" x14ac:dyDescent="0.35">
      <c r="B36" s="3"/>
      <c r="C36" s="64"/>
      <c r="D36" s="186"/>
      <c r="E36" s="187"/>
      <c r="F36" s="188"/>
      <c r="G36" s="188"/>
      <c r="H36" s="188"/>
      <c r="I36" s="188"/>
      <c r="J36" s="189"/>
      <c r="K36" s="190"/>
      <c r="L36" s="85"/>
      <c r="M36" s="54"/>
      <c r="N36" s="9"/>
    </row>
    <row r="37" spans="2:14" ht="26.25" x14ac:dyDescent="0.4">
      <c r="B37" s="3"/>
      <c r="C37" s="106" t="s">
        <v>79</v>
      </c>
      <c r="D37" s="186">
        <v>5</v>
      </c>
      <c r="E37" s="175" t="s">
        <v>74</v>
      </c>
      <c r="F37" s="176"/>
      <c r="G37" s="176"/>
      <c r="H37" s="176"/>
      <c r="I37" s="176"/>
      <c r="J37" s="177"/>
      <c r="K37" s="190">
        <v>700</v>
      </c>
      <c r="L37" s="85">
        <f>IF(D37&lt;&gt;"",D37*K37,"")</f>
        <v>3500</v>
      </c>
      <c r="M37" s="54"/>
      <c r="N37" s="9"/>
    </row>
    <row r="38" spans="2:14" ht="26.25" x14ac:dyDescent="0.4">
      <c r="B38" s="3"/>
      <c r="C38" s="191"/>
      <c r="D38" s="186"/>
      <c r="E38" s="192" t="s">
        <v>75</v>
      </c>
      <c r="F38" s="138"/>
      <c r="G38" s="138"/>
      <c r="H38" s="138"/>
      <c r="I38" s="138"/>
      <c r="J38" s="139"/>
      <c r="K38" s="190"/>
      <c r="L38" s="85" t="str">
        <f>IF(D38&lt;&gt;"",D38*K38,"")</f>
        <v/>
      </c>
      <c r="M38" s="54"/>
      <c r="N38" s="9"/>
    </row>
    <row r="39" spans="2:14" ht="26.25" x14ac:dyDescent="0.4">
      <c r="B39" s="3"/>
      <c r="C39" s="191"/>
      <c r="D39" s="186"/>
      <c r="E39" s="192" t="s">
        <v>76</v>
      </c>
      <c r="F39" s="138"/>
      <c r="G39" s="138"/>
      <c r="H39" s="138"/>
      <c r="I39" s="138"/>
      <c r="J39" s="139"/>
      <c r="K39" s="190"/>
      <c r="L39" s="85"/>
      <c r="M39" s="54"/>
      <c r="N39" s="9"/>
    </row>
    <row r="40" spans="2:14" ht="26.25" x14ac:dyDescent="0.4">
      <c r="B40" s="3"/>
      <c r="C40" s="106"/>
      <c r="D40" s="186"/>
      <c r="E40" s="175"/>
      <c r="F40" s="176"/>
      <c r="G40" s="176"/>
      <c r="H40" s="176"/>
      <c r="I40" s="176"/>
      <c r="J40" s="177"/>
      <c r="K40" s="190"/>
      <c r="L40" s="85"/>
      <c r="M40" s="54"/>
      <c r="N40" s="9"/>
    </row>
    <row r="41" spans="2:14" ht="25.5" x14ac:dyDescent="0.35">
      <c r="B41" s="3"/>
      <c r="C41" s="106"/>
      <c r="D41" s="128"/>
      <c r="E41" s="120"/>
      <c r="F41" s="114"/>
      <c r="G41" s="114"/>
      <c r="H41" s="114"/>
      <c r="I41" s="114"/>
      <c r="J41" s="115"/>
      <c r="K41" s="131"/>
      <c r="L41" s="85"/>
      <c r="M41" s="54"/>
      <c r="N41" s="9"/>
    </row>
    <row r="42" spans="2:14" ht="26.25" x14ac:dyDescent="0.4">
      <c r="B42" s="3"/>
      <c r="C42" s="106"/>
      <c r="D42" s="128"/>
      <c r="E42" s="116"/>
      <c r="F42" s="117"/>
      <c r="G42" s="117"/>
      <c r="H42" s="117"/>
      <c r="I42" s="117"/>
      <c r="J42" s="118"/>
      <c r="K42" s="131"/>
      <c r="L42" s="85"/>
      <c r="M42" s="54"/>
      <c r="N42" s="9"/>
    </row>
    <row r="43" spans="2:14" ht="26.25" x14ac:dyDescent="0.4">
      <c r="B43" s="3"/>
      <c r="C43" s="106"/>
      <c r="D43" s="128"/>
      <c r="E43" s="116"/>
      <c r="F43" s="117"/>
      <c r="G43" s="117"/>
      <c r="H43" s="117"/>
      <c r="I43" s="117"/>
      <c r="J43" s="118"/>
      <c r="K43" s="131"/>
      <c r="L43" s="85"/>
      <c r="M43" s="54"/>
      <c r="N43" s="9"/>
    </row>
    <row r="44" spans="2:14" ht="26.25" x14ac:dyDescent="0.4">
      <c r="B44" s="3"/>
      <c r="C44" s="106"/>
      <c r="D44" s="128"/>
      <c r="E44" s="116"/>
      <c r="F44" s="138"/>
      <c r="G44" s="138"/>
      <c r="H44" s="138"/>
      <c r="I44" s="138"/>
      <c r="J44" s="139"/>
      <c r="K44" s="131"/>
      <c r="L44" s="85" t="str">
        <f t="shared" ref="L44" si="0">IF(D44&lt;&gt;"",D44*K44,"")</f>
        <v/>
      </c>
      <c r="M44" s="54"/>
      <c r="N44" s="9"/>
    </row>
    <row r="45" spans="2:14" ht="26.25" x14ac:dyDescent="0.4">
      <c r="B45" s="3"/>
      <c r="C45" s="106"/>
      <c r="D45" s="142"/>
      <c r="E45" s="132"/>
      <c r="F45" s="117"/>
      <c r="G45" s="133"/>
      <c r="H45" s="133"/>
      <c r="I45" s="117"/>
      <c r="J45" s="118"/>
      <c r="K45" s="131"/>
      <c r="L45" s="85" t="str">
        <f t="shared" ref="L45" si="1">IF(D45&lt;&gt;"",D45*K45,"")</f>
        <v/>
      </c>
      <c r="M45" s="54"/>
      <c r="N45" s="9"/>
    </row>
    <row r="46" spans="2:14" ht="30" x14ac:dyDescent="0.4">
      <c r="B46" s="3"/>
      <c r="C46" s="143"/>
      <c r="D46" s="75"/>
      <c r="E46" s="75"/>
      <c r="F46" s="141"/>
      <c r="G46" s="117"/>
      <c r="H46" s="117"/>
      <c r="I46" s="141"/>
      <c r="J46" s="140"/>
      <c r="K46" s="104" t="s">
        <v>24</v>
      </c>
      <c r="L46" s="95">
        <f>SUM(L34:L45)</f>
        <v>3500</v>
      </c>
      <c r="M46" s="54"/>
      <c r="N46" s="9"/>
    </row>
    <row r="47" spans="2:14" ht="30" x14ac:dyDescent="0.4">
      <c r="B47" s="3"/>
      <c r="C47" s="3"/>
      <c r="D47" s="76"/>
      <c r="E47" s="144" t="s">
        <v>62</v>
      </c>
      <c r="F47" s="75"/>
      <c r="G47" s="75"/>
      <c r="H47" s="75"/>
      <c r="I47" s="73"/>
      <c r="J47" s="93"/>
      <c r="K47" s="101" t="s">
        <v>44</v>
      </c>
      <c r="L47" s="105">
        <v>1</v>
      </c>
      <c r="M47" s="54"/>
      <c r="N47" s="9"/>
    </row>
    <row r="48" spans="2:14" ht="30" x14ac:dyDescent="0.4">
      <c r="B48" s="3"/>
      <c r="C48" s="3"/>
      <c r="D48" s="76"/>
      <c r="E48" s="89" t="s">
        <v>61</v>
      </c>
      <c r="F48" s="75"/>
      <c r="G48" s="75"/>
      <c r="H48" s="75"/>
      <c r="I48" s="73"/>
      <c r="J48" s="93"/>
      <c r="K48" s="102" t="s">
        <v>59</v>
      </c>
      <c r="L48" s="97">
        <f>L46*0.19</f>
        <v>665</v>
      </c>
      <c r="M48" s="54"/>
      <c r="N48" s="9"/>
    </row>
    <row r="49" spans="2:14" ht="33.75" x14ac:dyDescent="0.5">
      <c r="B49" s="99"/>
      <c r="C49" s="3"/>
      <c r="D49" s="77"/>
      <c r="E49" s="112" t="s">
        <v>64</v>
      </c>
      <c r="F49" s="75"/>
      <c r="G49" s="75"/>
      <c r="H49" s="75"/>
      <c r="I49" s="74"/>
      <c r="J49" s="94"/>
      <c r="K49" s="103" t="s">
        <v>25</v>
      </c>
      <c r="L49" s="145">
        <f>L46+L48+L47</f>
        <v>4166</v>
      </c>
      <c r="M49" s="54"/>
      <c r="N49" s="9"/>
    </row>
    <row r="50" spans="2:14" ht="30" x14ac:dyDescent="0.4">
      <c r="B50" s="99"/>
      <c r="C50" s="3"/>
      <c r="D50" s="77"/>
      <c r="E50" s="112"/>
      <c r="F50" s="75"/>
      <c r="G50" s="75"/>
      <c r="H50" s="75"/>
      <c r="I50" s="74"/>
      <c r="J50" s="94"/>
      <c r="K50" s="121"/>
      <c r="L50" s="122"/>
      <c r="M50" s="54"/>
      <c r="N50" s="9"/>
    </row>
    <row r="51" spans="2:14" ht="30" x14ac:dyDescent="0.4">
      <c r="B51" s="99"/>
      <c r="C51" s="119" t="s">
        <v>65</v>
      </c>
      <c r="D51" s="77"/>
      <c r="E51" s="112"/>
      <c r="F51" s="75"/>
      <c r="G51" s="75"/>
      <c r="H51" s="75"/>
      <c r="I51" s="74"/>
      <c r="J51" s="94"/>
      <c r="K51" s="167" t="s">
        <v>60</v>
      </c>
      <c r="L51" s="167"/>
      <c r="M51" s="54"/>
      <c r="N51" s="9"/>
    </row>
    <row r="52" spans="2:14" ht="30" x14ac:dyDescent="0.4">
      <c r="B52" s="99"/>
      <c r="C52" s="113" t="s">
        <v>66</v>
      </c>
      <c r="D52" s="77"/>
      <c r="E52" s="112"/>
      <c r="F52" s="75"/>
      <c r="G52" s="75"/>
      <c r="H52" s="75"/>
      <c r="I52" s="74"/>
      <c r="J52" s="94"/>
      <c r="K52" s="167"/>
      <c r="L52" s="167"/>
      <c r="M52" s="54"/>
      <c r="N52" s="9"/>
    </row>
    <row r="53" spans="2:14" ht="24" thickBot="1" x14ac:dyDescent="0.4">
      <c r="B53" s="123"/>
      <c r="C53" s="123"/>
      <c r="D53" s="136"/>
      <c r="E53" s="136"/>
      <c r="F53" s="136"/>
      <c r="G53" s="136"/>
      <c r="H53" s="136"/>
      <c r="I53" s="136"/>
      <c r="J53" s="136"/>
      <c r="K53" s="136"/>
      <c r="L53" s="136"/>
      <c r="M53" s="137"/>
      <c r="N53" s="9"/>
    </row>
    <row r="54" spans="2:14" ht="24" thickTop="1" x14ac:dyDescent="0.35">
      <c r="B54" s="135"/>
      <c r="C54" s="135"/>
      <c r="D54" s="135"/>
      <c r="E54" s="124"/>
      <c r="F54" s="124"/>
      <c r="G54" s="124"/>
      <c r="H54" s="124"/>
      <c r="I54" s="124"/>
      <c r="J54" s="124"/>
      <c r="K54" s="124"/>
      <c r="L54" s="124"/>
      <c r="M54" s="125"/>
      <c r="N54" s="9"/>
    </row>
    <row r="55" spans="2:14" ht="13.5" customHeight="1" x14ac:dyDescent="0.2">
      <c r="B55" s="168" t="s">
        <v>67</v>
      </c>
      <c r="C55" s="168"/>
      <c r="D55" s="168"/>
      <c r="E55" s="168"/>
      <c r="F55" s="168"/>
      <c r="G55" s="168"/>
      <c r="H55" s="168"/>
      <c r="I55" s="168"/>
      <c r="J55" s="168"/>
      <c r="K55" s="168"/>
      <c r="L55" s="168"/>
      <c r="M55" s="168"/>
      <c r="N55" s="9"/>
    </row>
    <row r="56" spans="2:14" ht="13.5" customHeight="1" x14ac:dyDescent="0.2">
      <c r="B56" s="168"/>
      <c r="C56" s="168"/>
      <c r="D56" s="168"/>
      <c r="E56" s="168"/>
      <c r="F56" s="168"/>
      <c r="G56" s="168"/>
      <c r="H56" s="168"/>
      <c r="I56" s="168"/>
      <c r="J56" s="168"/>
      <c r="K56" s="168"/>
      <c r="L56" s="168"/>
      <c r="M56" s="168"/>
      <c r="N56" s="9"/>
    </row>
    <row r="57" spans="2:14" ht="12.75" customHeight="1" x14ac:dyDescent="0.2">
      <c r="B57" s="168"/>
      <c r="C57" s="168"/>
      <c r="D57" s="168"/>
      <c r="E57" s="168"/>
      <c r="F57" s="168"/>
      <c r="G57" s="168"/>
      <c r="H57" s="168"/>
      <c r="I57" s="168"/>
      <c r="J57" s="168"/>
      <c r="K57" s="168"/>
      <c r="L57" s="168"/>
      <c r="M57" s="168"/>
      <c r="N57" s="9"/>
    </row>
    <row r="58" spans="2:14" ht="12.75" customHeight="1" x14ac:dyDescent="0.2">
      <c r="B58" s="168"/>
      <c r="C58" s="168"/>
      <c r="D58" s="168"/>
      <c r="E58" s="168"/>
      <c r="F58" s="168"/>
      <c r="G58" s="168"/>
      <c r="H58" s="168"/>
      <c r="I58" s="168"/>
      <c r="J58" s="168"/>
      <c r="K58" s="168"/>
      <c r="L58" s="168"/>
      <c r="M58" s="168"/>
      <c r="N58" s="9"/>
    </row>
    <row r="59" spans="2:14" ht="12.75" customHeight="1" x14ac:dyDescent="0.2">
      <c r="B59" s="168"/>
      <c r="C59" s="168"/>
      <c r="D59" s="168"/>
      <c r="E59" s="168"/>
      <c r="F59" s="168"/>
      <c r="G59" s="168"/>
      <c r="H59" s="168"/>
      <c r="I59" s="168"/>
      <c r="J59" s="168"/>
      <c r="K59" s="168"/>
      <c r="L59" s="168"/>
      <c r="M59" s="168"/>
    </row>
    <row r="60" spans="2:14" ht="12.75" customHeight="1" x14ac:dyDescent="0.2">
      <c r="B60" s="168"/>
      <c r="C60" s="168"/>
      <c r="D60" s="168"/>
      <c r="E60" s="168"/>
      <c r="F60" s="168"/>
      <c r="G60" s="168"/>
      <c r="H60" s="168"/>
      <c r="I60" s="168"/>
      <c r="J60" s="168"/>
      <c r="K60" s="168"/>
      <c r="L60" s="168"/>
      <c r="M60" s="168"/>
    </row>
    <row r="61" spans="2:14" ht="23.25" customHeight="1" x14ac:dyDescent="0.2">
      <c r="B61" s="168"/>
      <c r="C61" s="168"/>
      <c r="D61" s="168"/>
      <c r="E61" s="168"/>
      <c r="F61" s="168"/>
      <c r="G61" s="168"/>
      <c r="H61" s="168"/>
      <c r="I61" s="168"/>
      <c r="J61" s="168"/>
      <c r="K61" s="168"/>
      <c r="L61" s="168"/>
      <c r="M61" s="168"/>
    </row>
    <row r="64" spans="2:14" ht="12.75" customHeight="1" x14ac:dyDescent="0.2"/>
    <row r="65" ht="12.75" customHeight="1" x14ac:dyDescent="0.2"/>
    <row r="66" ht="13.5" customHeight="1" x14ac:dyDescent="0.2"/>
    <row r="67" ht="24.95" customHeight="1" x14ac:dyDescent="0.2"/>
    <row r="68" ht="24.95" customHeight="1" x14ac:dyDescent="0.2"/>
    <row r="69" ht="12.75" customHeight="1" x14ac:dyDescent="0.2"/>
    <row r="70" ht="12.75" customHeight="1" x14ac:dyDescent="0.2"/>
    <row r="71" ht="12.75" customHeight="1" x14ac:dyDescent="0.2"/>
    <row r="72" ht="12.75" customHeight="1" x14ac:dyDescent="0.2"/>
    <row r="73" ht="3" customHeight="1" x14ac:dyDescent="0.2"/>
    <row r="74" ht="12.75" customHeight="1" x14ac:dyDescent="0.2"/>
    <row r="75" ht="13.5" customHeight="1" x14ac:dyDescent="0.2"/>
    <row r="77" ht="0.95" customHeight="1" x14ac:dyDescent="0.2"/>
    <row r="78"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8">
    <mergeCell ref="K51:L52"/>
    <mergeCell ref="B55:M61"/>
    <mergeCell ref="E31:J31"/>
    <mergeCell ref="E32:J32"/>
    <mergeCell ref="E33:J33"/>
    <mergeCell ref="E34:J34"/>
    <mergeCell ref="E35:J35"/>
    <mergeCell ref="E37:J37"/>
    <mergeCell ref="E40:J40"/>
    <mergeCell ref="K15:L19"/>
    <mergeCell ref="D23:I23"/>
    <mergeCell ref="F25:G25"/>
    <mergeCell ref="E30:J30"/>
    <mergeCell ref="D26:I26"/>
    <mergeCell ref="D24:I24"/>
    <mergeCell ref="C18:G19"/>
    <mergeCell ref="J24:L24"/>
    <mergeCell ref="K26:L26"/>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
    <dataValidation type="textLength" errorStyle="warning" allowBlank="1" showErrorMessage="1" errorTitle="Sous-total" error="Les cellules ombrées contiennent des formules et sont calculées automatiquement par Excel. N'y tapez aucune information." promptTitle="Sous-total"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7">
      <formula1>0</formula1>
      <formula2>0</formula2>
    </dataValidation>
    <dataValidation allowBlank="1" showErrorMessage="1" sqref="F25:G25"/>
    <dataValidation type="textLength" errorStyle="warning" allowBlank="1" showErrorMessage="1" errorTitle="T.V.A." error="Les cellules ombrées contiennent des formules et sont calculées automatiquement par Excel. N'y tapez aucune information." promptTitle="T.V.A." sqref="K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9:L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53 E54:J54"/>
    <dataValidation type="whole" errorStyle="warning" allowBlank="1" showErrorMessage="1" errorTitle="Quantité" error="Tapez un nombre dans cette cellule." promptTitle="Quantité" sqref="D31:D45">
      <formula1>0</formula1>
      <formula2>1000000000</formula2>
    </dataValidation>
    <dataValidation type="decimal" allowBlank="1" showErrorMessage="1" errorTitle="Prix unitaire" error="Tapez un nombre dans cette cellule." promptTitle="Prix unitaire" sqref="K31:K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45">
      <formula1>0</formula1>
      <formula2>0</formula2>
    </dataValidation>
  </dataValidations>
  <printOptions horizontalCentered="1"/>
  <pageMargins left="0.25" right="0.25" top="0.75" bottom="0.75" header="0.3" footer="0.3"/>
  <pageSetup paperSize="9" scale="50" fitToWidth="0" fitToHeight="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47</xdr:row>
                    <xdr:rowOff>9525</xdr:rowOff>
                  </from>
                  <to>
                    <xdr:col>3</xdr:col>
                    <xdr:colOff>571500</xdr:colOff>
                    <xdr:row>47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48</xdr:row>
                    <xdr:rowOff>0</xdr:rowOff>
                  </from>
                  <to>
                    <xdr:col>3</xdr:col>
                    <xdr:colOff>552450</xdr:colOff>
                    <xdr:row>48</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5"/>
  </cols>
  <sheetData>
    <row r="1" spans="1:11" x14ac:dyDescent="0.2">
      <c r="A1" s="65" t="s">
        <v>26</v>
      </c>
    </row>
    <row r="2" spans="1:11" x14ac:dyDescent="0.2">
      <c r="A2" s="65" t="s">
        <v>33</v>
      </c>
      <c r="B2" s="65" t="s">
        <v>27</v>
      </c>
    </row>
    <row r="3" spans="1:11" x14ac:dyDescent="0.2">
      <c r="A3" s="65" t="s">
        <v>34</v>
      </c>
      <c r="B3" s="65" t="s">
        <v>41</v>
      </c>
    </row>
    <row r="4" spans="1:11" x14ac:dyDescent="0.2">
      <c r="A4" s="65" t="s">
        <v>28</v>
      </c>
    </row>
    <row r="5" spans="1:11" x14ac:dyDescent="0.2">
      <c r="A5" s="65" t="s">
        <v>35</v>
      </c>
      <c r="B5" s="65">
        <v>1</v>
      </c>
    </row>
    <row r="6" spans="1:11" x14ac:dyDescent="0.2">
      <c r="A6" s="65">
        <v>1</v>
      </c>
      <c r="B6" s="65" t="s">
        <v>36</v>
      </c>
      <c r="C6" s="65" t="s">
        <v>40</v>
      </c>
      <c r="D6" s="65" t="s">
        <v>37</v>
      </c>
      <c r="E6" s="65">
        <v>10</v>
      </c>
      <c r="G6" s="65">
        <v>-727923968</v>
      </c>
    </row>
    <row r="7" spans="1:11" x14ac:dyDescent="0.2">
      <c r="A7" s="65" t="s">
        <v>38</v>
      </c>
      <c r="B7" s="65" t="s">
        <v>29</v>
      </c>
      <c r="C7" s="65" t="s">
        <v>18</v>
      </c>
      <c r="D7" s="65" t="s">
        <v>3</v>
      </c>
      <c r="E7" s="65" t="s">
        <v>5</v>
      </c>
      <c r="F7" s="65" t="s">
        <v>7</v>
      </c>
      <c r="G7" s="65" t="s">
        <v>8</v>
      </c>
      <c r="H7" s="65" t="s">
        <v>9</v>
      </c>
      <c r="I7" s="65" t="s">
        <v>20</v>
      </c>
      <c r="J7" s="65" t="s">
        <v>30</v>
      </c>
      <c r="K7" s="65" t="s">
        <v>19</v>
      </c>
    </row>
    <row r="8" spans="1:11" x14ac:dyDescent="0.2">
      <c r="A8" s="65" t="s">
        <v>39</v>
      </c>
      <c r="B8" s="66" t="str">
        <f>Facture!$L$11</f>
        <v/>
      </c>
      <c r="C8" s="67">
        <f>Facture!$K$23</f>
        <v>45327</v>
      </c>
      <c r="D8" s="68" t="str">
        <f>Facture!$D$23</f>
        <v xml:space="preserve">SIM SYSTÈME </v>
      </c>
      <c r="E8" s="65" t="str">
        <f>Facture!$D$24</f>
        <v>Route de Tunis Km2, BP 101</v>
      </c>
      <c r="F8" s="65">
        <f>Facture!$D$25</f>
        <v>8090</v>
      </c>
      <c r="G8" s="68" t="str">
        <f>Facture!$F$25</f>
        <v xml:space="preserve">     Kelibia </v>
      </c>
      <c r="H8" s="68" t="str">
        <f>Facture!$I$25</f>
        <v>TN</v>
      </c>
      <c r="I8" s="65">
        <f>Facture!$D$26</f>
        <v>0</v>
      </c>
      <c r="J8" s="69">
        <f>Facture!$L$49</f>
        <v>4166</v>
      </c>
      <c r="K8" s="65">
        <f>Facture!$K$25</f>
        <v>0</v>
      </c>
    </row>
    <row r="9" spans="1:11" x14ac:dyDescent="0.2">
      <c r="A9" s="65" t="s">
        <v>28</v>
      </c>
    </row>
    <row r="10" spans="1:11" x14ac:dyDescent="0.2">
      <c r="G10" s="65">
        <v>324499967</v>
      </c>
    </row>
    <row r="14" spans="1:11" x14ac:dyDescent="0.2">
      <c r="G14" s="65">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63</vt:i4>
      </vt:variant>
    </vt:vector>
  </HeadingPairs>
  <TitlesOfParts>
    <vt:vector size="67"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data6</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2021-11-11T14:53:11Z</cp:lastPrinted>
  <dcterms:created xsi:type="dcterms:W3CDTF">1995-05-29T15:50:39Z</dcterms:created>
  <dcterms:modified xsi:type="dcterms:W3CDTF">2024-02-05T11:06:39Z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SYSTÈME </vt:lpwstr>
  </property>
  <property fmtid="{D5CDD505-2E9C-101B-9397-08002B2CF9AE}" pid="11" name="Montant de la facture" linkTarget="TOT">
    <vt:r8>4166</vt:r8>
  </property>
</Properties>
</file>