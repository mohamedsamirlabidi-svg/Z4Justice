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4" i="3" l="1"/>
  <c r="M35" i="3"/>
  <c r="M40" i="3"/>
  <c r="M43" i="3" s="1"/>
  <c r="M42" i="3"/>
  <c r="M45" i="3" l="1"/>
  <c r="M46" i="3"/>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<sst xmlns="http://schemas.openxmlformats.org/spreadsheetml/2006/main" count="85" uniqueCount="77">
  <si>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</si>
  <si>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</si>
  <si>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</si>
  <si>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</si>
  <si>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</si>
  <si>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</si>
  <si>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</si>
  <si>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</si>
  <si>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</si>
  <si>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</si>
  <si>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</si>
  <si>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</si>
  <si>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</si>
  <si>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</si>
  <si>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</si>
  <si>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</si>
  <si>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</si>
  <si>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</si>
  <si>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</si>
  <si>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</si>
  <si>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</si>
  <si>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</si>
  <si>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</si>
  <si>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</si>
  <si>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</si>
  <si>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</si>
  <si>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</si>
  <si>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</si>
  <si>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</si>
  <si>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</si>
  <si>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</si>
  <si>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</si>
  <si>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</si>
  <si>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</si>
  <si>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</si>
  <si>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</si>
  <si>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</si>
  <si>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</si>
  <si>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</si>
  <si>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</si>
  <si>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</si>
  <si>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</si>
  <si>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</si>
  <si>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</si>
  <si>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</si>
  <si>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</si>
  <si>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</si>
  <si>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</si>
  <si>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</si>
  <si>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</si>
  <si>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</si>
  <si>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</si>
  <si>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</si>
  <si>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</si>
  <si>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</si>
  <si>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</si>
  <si>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</si>
  <si>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</si>
  <si>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</si>
  <si>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</si>
  <si>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</si>
  <si>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</si>
  <si>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</si>
  <si>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</si>
  <si>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</si>
  <si>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</si>
  <si>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</si>
  <si>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</si>
  <si>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</si>
  <si>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</si>
  <si>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</si>
  <si>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872341T/A/M/000</t>
  </si>
  <si>
    <t xml:space="preserve">     Responsable:         Mme Lamia HMILI</t>
  </si>
  <si>
    <t xml:space="preserve">    COMMANDE N°:  4300081295</t>
  </si>
  <si>
    <t>FACTURE N°2024-044</t>
  </si>
  <si>
    <t>ARRETE LA PRESENTE FACTURE LA SOMME DE : Cinq mille six cent cinquante-trois dinars et 500 millimes</t>
  </si>
  <si>
    <t xml:space="preserve">CHARIOTS  ELEVATEURS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</si>
</sst>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6" fillId="3" borderId="0" xfId="0" applyFont="1" applyFill="1" applyBorder="1" applyAlignment="1">
      <alignment horizontal="left"/>
    </xf>
    <xf numFmtId="0" fontId="24"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5"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74</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7" t="s">
        <v>68</v>
      </c>
      <c r="F23" s="188"/>
      <c r="G23" s="188"/>
      <c r="H23" s="188"/>
      <c r="I23" s="188"/>
      <c r="J23" s="188"/>
      <c r="K23" s="122" t="s">
        <v>57</v>
      </c>
      <c r="L23" s="107">
        <v>45610</v>
      </c>
      <c r="M23" s="109"/>
      <c r="N23" s="55"/>
      <c r="O23" s="9"/>
    </row>
    <row r="24" spans="1:15" ht="27" x14ac:dyDescent="0.35">
      <c r="B24" s="7"/>
      <c r="C24" s="3"/>
      <c r="D24" s="125" t="s">
        <v>53</v>
      </c>
      <c r="E24" s="195" t="s">
        <v>69</v>
      </c>
      <c r="F24" s="195"/>
      <c r="G24" s="195"/>
      <c r="H24" s="196"/>
      <c r="I24" s="196"/>
      <c r="J24" s="196"/>
      <c r="K24" s="200" t="s">
        <v>73</v>
      </c>
      <c r="L24" s="200"/>
      <c r="M24" s="200"/>
      <c r="N24" s="56"/>
      <c r="O24" s="9"/>
    </row>
    <row r="25" spans="1:15" ht="27.75" x14ac:dyDescent="0.4">
      <c r="B25" s="7"/>
      <c r="C25" s="3"/>
      <c r="D25" s="125" t="s">
        <v>59</v>
      </c>
      <c r="E25" s="147">
        <v>2051</v>
      </c>
      <c r="F25" s="110" t="s">
        <v>51</v>
      </c>
      <c r="G25" s="189"/>
      <c r="H25" s="189"/>
      <c r="I25" s="117" t="s">
        <v>55</v>
      </c>
      <c r="J25" s="111" t="s">
        <v>56</v>
      </c>
      <c r="K25" s="122" t="s">
        <v>72</v>
      </c>
      <c r="L25" s="137"/>
      <c r="M25" s="138"/>
      <c r="N25" s="3"/>
      <c r="O25" s="9"/>
    </row>
    <row r="26" spans="1:15" ht="27.75" customHeight="1" x14ac:dyDescent="0.4">
      <c r="A26">
        <v>71</v>
      </c>
      <c r="B26" s="7"/>
      <c r="C26" s="3"/>
      <c r="D26" s="125" t="s">
        <v>54</v>
      </c>
      <c r="E26" s="193" t="s">
        <v>70</v>
      </c>
      <c r="F26" s="194"/>
      <c r="G26" s="194"/>
      <c r="H26" s="194"/>
      <c r="I26" s="194"/>
      <c r="J26" s="194"/>
      <c r="K26" s="122" t="s">
        <v>63</v>
      </c>
      <c r="L26" s="197" t="s">
        <v>71</v>
      </c>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90" t="s">
        <v>21</v>
      </c>
      <c r="G30" s="191"/>
      <c r="H30" s="191"/>
      <c r="I30" s="191"/>
      <c r="J30" s="191"/>
      <c r="K30" s="192"/>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v>19</v>
      </c>
      <c r="F34" s="170" t="s">
        <v>76</v>
      </c>
      <c r="G34" s="171"/>
      <c r="H34" s="171"/>
      <c r="I34" s="171"/>
      <c r="J34" s="171"/>
      <c r="K34" s="172"/>
      <c r="L34" s="101">
        <v>250</v>
      </c>
      <c r="M34" s="102">
        <f>IF(E34&lt;&gt;"",E34*L34,"")</f>
        <v>4750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70"/>
      <c r="G37" s="171"/>
      <c r="H37" s="171"/>
      <c r="I37" s="171"/>
      <c r="J37" s="171"/>
      <c r="K37" s="172"/>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78"/>
      <c r="G42" s="179"/>
      <c r="H42" s="179"/>
      <c r="I42" s="179"/>
      <c r="J42" s="179"/>
      <c r="K42" s="180"/>
      <c r="L42" s="68"/>
      <c r="M42" s="102" t="str">
        <f t="shared" si="0"/>
        <v/>
      </c>
      <c r="N42" s="57"/>
      <c r="O42" s="9"/>
    </row>
    <row r="43" spans="2:15" ht="30" x14ac:dyDescent="0.4">
      <c r="B43" s="7"/>
      <c r="C43" s="3"/>
      <c r="D43" s="118"/>
      <c r="E43" s="83"/>
      <c r="F43" s="83"/>
      <c r="G43" s="83"/>
      <c r="H43" s="83"/>
      <c r="I43" s="83"/>
      <c r="J43" s="77"/>
      <c r="K43" s="112"/>
      <c r="L43" s="130" t="s">
        <v>24</v>
      </c>
      <c r="M43" s="116">
        <f>SUM(M33:M42)</f>
        <v>4750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55" t="s">
        <v>62</v>
      </c>
      <c r="G45" s="83"/>
      <c r="H45" s="83"/>
      <c r="I45" s="83"/>
      <c r="J45" s="78"/>
      <c r="K45" s="113"/>
      <c r="L45" s="128" t="s">
        <v>60</v>
      </c>
      <c r="M45" s="119">
        <f>M43*0.19</f>
        <v>902.5</v>
      </c>
      <c r="N45" s="57"/>
      <c r="O45" s="9"/>
    </row>
    <row r="46" spans="2:15" ht="30" x14ac:dyDescent="0.4">
      <c r="B46" s="7"/>
      <c r="C46" s="3"/>
      <c r="D46" s="3"/>
      <c r="E46" s="86"/>
      <c r="F46" s="108" t="s">
        <v>66</v>
      </c>
      <c r="G46" s="145"/>
      <c r="H46" s="148"/>
      <c r="I46" s="148"/>
      <c r="J46" s="79"/>
      <c r="K46" s="112"/>
      <c r="L46" s="129" t="s">
        <v>26</v>
      </c>
      <c r="M46" s="116">
        <f>M43+M45+M44</f>
        <v>5653.5</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156" t="s">
        <v>75</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85" t="s">
        <v>61</v>
      </c>
      <c r="M49" s="185"/>
      <c r="N49" s="57"/>
      <c r="O49" s="9"/>
    </row>
    <row r="50" spans="1:15" ht="18.75" x14ac:dyDescent="0.3">
      <c r="B50" s="7"/>
      <c r="C50" s="3"/>
      <c r="D50" s="140"/>
      <c r="E50" s="140"/>
      <c r="F50" s="140"/>
      <c r="G50" s="140"/>
      <c r="H50" s="140"/>
      <c r="I50" s="140"/>
      <c r="J50" s="140"/>
      <c r="K50" s="140"/>
      <c r="L50" s="185"/>
      <c r="M50" s="185"/>
      <c r="N50" s="57"/>
      <c r="O50" s="9"/>
    </row>
    <row r="51" spans="1:15" ht="30" x14ac:dyDescent="0.4">
      <c r="B51" s="7"/>
      <c r="C51" s="3"/>
      <c r="D51" s="3"/>
      <c r="E51" s="88"/>
      <c r="F51" s="176"/>
      <c r="G51" s="176"/>
      <c r="H51" s="176"/>
      <c r="I51" s="177"/>
      <c r="J51" s="81"/>
      <c r="K51" s="115"/>
      <c r="L51" s="123"/>
      <c r="M51" s="121"/>
      <c r="N51" s="57"/>
      <c r="O51" s="9"/>
    </row>
    <row r="52" spans="1:15" ht="18" x14ac:dyDescent="0.2">
      <c r="B52" s="7"/>
      <c r="C52" s="123"/>
      <c r="D52" s="3"/>
      <c r="E52" s="88"/>
      <c r="F52" s="181"/>
      <c r="G52" s="182"/>
      <c r="H52" s="182"/>
      <c r="I52" s="182"/>
      <c r="J52" s="77"/>
      <c r="K52" s="77"/>
      <c r="L52" s="121"/>
      <c r="M52" s="121"/>
      <c r="N52" s="57"/>
      <c r="O52" s="9"/>
    </row>
    <row r="53" spans="1:15" ht="18" x14ac:dyDescent="0.2">
      <c r="B53" s="7"/>
      <c r="C53" s="3"/>
      <c r="D53" s="3"/>
      <c r="E53" s="20"/>
      <c r="F53" s="183"/>
      <c r="G53" s="184"/>
      <c r="H53" s="184"/>
      <c r="I53" s="184"/>
      <c r="J53" s="77"/>
      <c r="K53" s="121"/>
      <c r="L53" s="121"/>
      <c r="M53" s="121"/>
      <c r="N53" s="57"/>
      <c r="O53" s="9"/>
    </row>
    <row r="54" spans="1:15" ht="18.75" thickBot="1" x14ac:dyDescent="0.25">
      <c r="C54" s="123"/>
      <c r="D54" s="3"/>
      <c r="E54" s="20"/>
      <c r="F54" s="126"/>
      <c r="G54" s="174"/>
      <c r="H54" s="175"/>
      <c r="I54" s="175"/>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73" t="s">
        <v>64</v>
      </c>
      <c r="D60" s="173"/>
      <c r="E60" s="173"/>
      <c r="F60" s="173"/>
      <c r="G60" s="173"/>
      <c r="H60" s="173"/>
      <c r="I60" s="173"/>
      <c r="J60" s="173"/>
      <c r="K60" s="173"/>
      <c r="L60" s="173"/>
      <c r="M60" s="173"/>
      <c r="N60" s="173"/>
      <c r="O60" s="146"/>
    </row>
    <row r="61" spans="1:15" ht="24.95" customHeight="1" x14ac:dyDescent="0.2">
      <c r="A61" s="3"/>
      <c r="B61" s="124"/>
      <c r="C61" s="173"/>
      <c r="D61" s="173"/>
      <c r="E61" s="173"/>
      <c r="F61" s="173"/>
      <c r="G61" s="173"/>
      <c r="H61" s="173"/>
      <c r="I61" s="173"/>
      <c r="J61" s="173"/>
      <c r="K61" s="173"/>
      <c r="L61" s="173"/>
      <c r="M61" s="173"/>
      <c r="N61" s="173"/>
      <c r="O61" s="144"/>
    </row>
    <row r="62" spans="1:15" ht="12.75" customHeight="1" x14ac:dyDescent="0.2">
      <c r="A62" s="123"/>
      <c r="B62" s="3"/>
      <c r="C62" s="173"/>
      <c r="D62" s="173"/>
      <c r="E62" s="173"/>
      <c r="F62" s="173"/>
      <c r="G62" s="173"/>
      <c r="H62" s="173"/>
      <c r="I62" s="173"/>
      <c r="J62" s="173"/>
      <c r="K62" s="173"/>
      <c r="L62" s="173"/>
      <c r="M62" s="173"/>
      <c r="N62" s="173"/>
      <c r="O62" s="144"/>
    </row>
    <row r="63" spans="1:15" ht="12.75" customHeight="1" x14ac:dyDescent="0.2">
      <c r="A63" s="124"/>
      <c r="B63" s="3"/>
      <c r="C63" s="173"/>
      <c r="D63" s="173"/>
      <c r="E63" s="173"/>
      <c r="F63" s="173"/>
      <c r="G63" s="173"/>
      <c r="H63" s="173"/>
      <c r="I63" s="173"/>
      <c r="J63" s="173"/>
      <c r="K63" s="173"/>
      <c r="L63" s="173"/>
      <c r="M63" s="173"/>
      <c r="N63" s="173"/>
      <c r="O63" s="144"/>
    </row>
    <row r="64" spans="1:15" ht="12.75" customHeight="1" thickBot="1" x14ac:dyDescent="0.25">
      <c r="A64" s="3"/>
      <c r="B64" s="141"/>
      <c r="C64" s="173"/>
      <c r="D64" s="173"/>
      <c r="E64" s="173"/>
      <c r="F64" s="173"/>
      <c r="G64" s="173"/>
      <c r="H64" s="173"/>
      <c r="I64" s="173"/>
      <c r="J64" s="173"/>
      <c r="K64" s="173"/>
      <c r="L64" s="173"/>
      <c r="M64" s="173"/>
      <c r="N64" s="173"/>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15:M19"/>
    <mergeCell ref="E23:J23"/>
    <mergeCell ref="G25:H25"/>
    <mergeCell ref="F30:K30"/>
    <mergeCell ref="E26:J26"/>
    <mergeCell ref="E24:J24"/>
    <mergeCell ref="L26:M26"/>
    <mergeCell ref="D18:H19"/>
    <mergeCell ref="K24:M24"/>
    <mergeCell ref="F31:K31"/>
    <mergeCell ref="F32:K32"/>
    <mergeCell ref="F37:K37"/>
    <mergeCell ref="C60:N64"/>
    <mergeCell ref="G54:I54"/>
    <mergeCell ref="F51:I51"/>
    <mergeCell ref="F42:K42"/>
    <mergeCell ref="F52:I52"/>
    <mergeCell ref="F34:K34"/>
    <mergeCell ref="F53:I53"/>
    <mergeCell ref="L49:M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45610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5653.5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2024-11-14T06:41:06Z</cp:lastPrinted>
  <dcterms:created xsi:type="dcterms:W3CDTF">1995-05-29T15:50:39Z</dcterms:created>
  <dcterms:modified xsi:type="dcterms:W3CDTF">2024-11-14T06:41:21Z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5653.5</vt:r8>
  </property>
</Properties>
</file>