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Facture!$E$24</definedName>
    <definedName name="data60">Facture!#REF!</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7" i="3" l="1"/>
  <c r="L45" i="3" l="1"/>
  <c r="L47" i="3" s="1"/>
  <c r="L48" i="3" l="1"/>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<sst xmlns="http://schemas.openxmlformats.org/spreadsheetml/2006/main" count="84" uniqueCount="76">
  <si>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</si>
  <si>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</si>
  <si>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</si>
  <si>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</si>
  <si>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</si>
  <si>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</si>
  <si>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</si>
  <si>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</si>
  <si>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</si>
  <si>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</si>
  <si>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</si>
  <si>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</si>
  <si>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</si>
  <si>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</si>
  <si>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</si>
  <si>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</si>
  <si>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</si>
  <si>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</si>
  <si>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</si>
  <si>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</si>
  <si>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</si>
  <si>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</si>
  <si>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</si>
  <si>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</si>
  <si>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</si>
  <si>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</si>
  <si>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</si>
  <si>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</si>
  <si>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</si>
  <si>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</si>
  <si>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</si>
  <si>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</si>
  <si>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</si>
  <si>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</si>
  <si>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</si>
  <si>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</si>
  <si>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</si>
  <si>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</si>
  <si>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</si>
  <si>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</si>
  <si>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</si>
  <si>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</si>
  <si>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</si>
  <si>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</si>
  <si>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</si>
  <si>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</si>
  <si>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</si>
  <si>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</si>
  <si>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</si>
  <si>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</si>
  <si>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</si>
  <si>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</si>
  <si>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</si>
  <si>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</si>
  <si>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</si>
  <si>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</si>
  <si>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</si>
  <si>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</si>
  <si>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</si>
  <si>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</si>
  <si>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</si>
  <si>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</si>
  <si>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</si>
  <si>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</si>
  <si>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</si>
  <si>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</si>
  <si>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</si>
  <si>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</si>
  <si>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SUR LE THEME:</t>
  </si>
  <si>
    <t>RIB : 10 000 000 081951 8 78890</t>
  </si>
  <si>
    <t xml:space="preserve">STB THAMEUR </t>
  </si>
  <si>
    <t xml:space="preserve">    COMMANDE N°: </t>
  </si>
  <si>
    <t xml:space="preserve">Travail en hauteur 1 jour </t>
  </si>
  <si>
    <t>facture  N°2024-041</t>
  </si>
  <si>
    <t xml:space="preserve">     Responsable:    </t>
  </si>
  <si>
    <t xml:space="preserve">PSI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</si>
</sst>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0"/>
      <color theme="1"/>
      <name val="Arial"/>
      <family val="2"/>
    </font>
    <font>
      <sz val="16"/>
      <color theme="1"/>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39" xfId="0" applyFont="1" applyFill="1" applyBorder="1"/>
    <xf numFmtId="167" fontId="45" fillId="3" borderId="0" xfId="0" applyNumberFormat="1" applyFont="1" applyFill="1" applyBorder="1" applyAlignment="1"/>
    <xf numFmtId="0" fontId="17" fillId="3" borderId="35"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6" fillId="3" borderId="0" xfId="0" applyNumberFormat="1" applyFont="1" applyFill="1" applyBorder="1" applyAlignment="1"/>
    <xf numFmtId="0" fontId="0" fillId="0" borderId="0" xfId="0" applyFill="1"/>
    <xf numFmtId="0" fontId="34" fillId="3" borderId="0" xfId="0" applyFont="1" applyFill="1" applyBorder="1" applyAlignment="1">
      <alignment horizontal="left"/>
    </xf>
    <xf numFmtId="49" fontId="47" fillId="3" borderId="30" xfId="0" applyNumberFormat="1" applyFont="1" applyFill="1" applyBorder="1" applyAlignment="1"/>
    <xf numFmtId="49" fontId="29" fillId="6" borderId="30" xfId="0" applyNumberFormat="1" applyFont="1" applyFill="1" applyBorder="1" applyAlignment="1">
      <alignment horizontal="left"/>
    </xf>
    <xf numFmtId="0" fontId="0" fillId="0" borderId="32" xfId="0" applyFill="1" applyBorder="1"/>
    <xf numFmtId="0" fontId="46" fillId="3" borderId="34" xfId="0" applyFont="1" applyFill="1" applyBorder="1" applyAlignment="1">
      <alignment horizontal="center"/>
    </xf>
    <xf numFmtId="49" fontId="46" fillId="6" borderId="30" xfId="0" applyNumberFormat="1" applyFont="1" applyFill="1" applyBorder="1" applyAlignment="1"/>
    <xf numFmtId="49" fontId="46" fillId="6" borderId="0" xfId="0" applyNumberFormat="1" applyFont="1" applyFill="1" applyBorder="1" applyAlignment="1"/>
    <xf numFmtId="49" fontId="46" fillId="6" borderId="32" xfId="0" applyNumberFormat="1" applyFont="1" applyFill="1" applyBorder="1" applyAlignment="1"/>
    <xf numFmtId="168" fontId="46" fillId="0" borderId="34" xfId="0" applyNumberFormat="1" applyFont="1" applyFill="1" applyBorder="1" applyAlignment="1"/>
    <xf numFmtId="0" fontId="48" fillId="3" borderId="0" xfId="0" applyNumberFormat="1" applyFont="1" applyFill="1" applyBorder="1" applyAlignment="1"/>
    <xf numFmtId="0" fontId="48" fillId="3" borderId="7" xfId="0" applyFont="1" applyFill="1" applyBorder="1"/>
    <xf numFmtId="0" fontId="48" fillId="2" borderId="0" xfId="0" applyFont="1"/>
    <xf numFmtId="0" fontId="48" fillId="0" borderId="0" xfId="0" applyFont="1" applyFill="1"/>
    <xf numFmtId="0" fontId="48" fillId="0" borderId="0" xfId="0" applyFont="1" applyFill="1" applyBorder="1"/>
    <xf numFmtId="0" fontId="48" fillId="3" borderId="34" xfId="0" applyFont="1" applyFill="1" applyBorder="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3" fillId="3" borderId="40" xfId="0" applyNumberFormat="1" applyFont="1" applyFill="1" applyBorder="1" applyAlignment="1"/>
    <xf numFmtId="49" fontId="44"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33" fillId="3" borderId="48" xfId="0" applyFont="1" applyFill="1" applyBorder="1" applyAlignment="1">
      <alignment horizontal="left"/>
    </xf>
    <xf numFmtId="0" fontId="33"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15" zoomScale="80" zoomScaleNormal="80" workbookViewId="0">
      <selection activeCell="G39" sqref="G3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4" t="s">
        <v>73</v>
      </c>
      <c r="L15" s="174"/>
      <c r="M15" s="3"/>
      <c r="N15" s="9"/>
    </row>
    <row r="16" spans="1:14" x14ac:dyDescent="0.2">
      <c r="A16" s="7"/>
      <c r="B16" s="3"/>
      <c r="C16" s="3"/>
      <c r="D16" s="3"/>
      <c r="E16" s="3"/>
      <c r="F16" s="3"/>
      <c r="G16" s="3"/>
      <c r="H16" s="3"/>
      <c r="I16" s="3"/>
      <c r="J16" s="102"/>
      <c r="K16" s="174"/>
      <c r="L16" s="174"/>
      <c r="M16" s="3"/>
      <c r="N16" s="9"/>
    </row>
    <row r="17" spans="1:14" ht="12.75" customHeight="1" x14ac:dyDescent="0.2">
      <c r="A17" s="7"/>
      <c r="B17" s="3"/>
      <c r="C17" s="3"/>
      <c r="D17" s="3"/>
      <c r="E17" s="3"/>
      <c r="F17" s="3"/>
      <c r="G17" s="3"/>
      <c r="H17" s="3"/>
      <c r="I17" s="3"/>
      <c r="J17" s="102"/>
      <c r="K17" s="174"/>
      <c r="L17" s="174"/>
      <c r="M17" s="3"/>
      <c r="N17" s="9"/>
    </row>
    <row r="18" spans="1:14" ht="12.75" customHeight="1" x14ac:dyDescent="0.2">
      <c r="A18" s="7"/>
      <c r="B18" s="3"/>
      <c r="C18" s="186"/>
      <c r="D18" s="186"/>
      <c r="E18" s="186"/>
      <c r="F18" s="186"/>
      <c r="G18" s="186"/>
      <c r="H18" s="3"/>
      <c r="I18" s="3"/>
      <c r="J18" s="102"/>
      <c r="K18" s="174"/>
      <c r="L18" s="174"/>
      <c r="M18" s="3"/>
      <c r="N18" s="9"/>
    </row>
    <row r="19" spans="1:14" ht="20.100000000000001" customHeight="1" thickBot="1" x14ac:dyDescent="0.25">
      <c r="A19" s="7"/>
      <c r="B19" s="3"/>
      <c r="C19" s="187"/>
      <c r="D19" s="187"/>
      <c r="E19" s="187"/>
      <c r="F19" s="187"/>
      <c r="G19" s="187"/>
      <c r="H19" s="3"/>
      <c r="I19" s="3"/>
      <c r="J19" s="102"/>
      <c r="K19" s="174"/>
      <c r="L19" s="174"/>
      <c r="M19" s="3"/>
      <c r="N19" s="9"/>
    </row>
    <row r="20" spans="1:14" ht="3" customHeight="1" thickTop="1" x14ac:dyDescent="0.3">
      <c r="A20" s="7"/>
      <c r="B20" s="3"/>
      <c r="C20" s="57"/>
      <c r="D20" s="57"/>
      <c r="E20" s="57"/>
      <c r="F20" s="57"/>
      <c r="G20" s="57"/>
      <c r="H20" s="57"/>
      <c r="I20" s="58"/>
      <c r="J20" s="58"/>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5" t="s">
        <v>75</v>
      </c>
      <c r="E23" s="176"/>
      <c r="F23" s="176"/>
      <c r="G23" s="176"/>
      <c r="H23" s="176"/>
      <c r="I23" s="176"/>
      <c r="J23" s="119" t="s">
        <v>57</v>
      </c>
      <c r="K23" s="104">
        <v>45601</v>
      </c>
      <c r="L23" s="106"/>
      <c r="M23" s="54"/>
      <c r="N23" s="9"/>
    </row>
    <row r="24" spans="1:14" ht="27" x14ac:dyDescent="0.35">
      <c r="A24" s="7"/>
      <c r="B24" s="3"/>
      <c r="C24" s="122" t="s">
        <v>53</v>
      </c>
      <c r="D24" s="183"/>
      <c r="E24" s="183"/>
      <c r="F24" s="183"/>
      <c r="G24" s="184"/>
      <c r="H24" s="184"/>
      <c r="I24" s="184"/>
      <c r="J24" s="191" t="s">
        <v>71</v>
      </c>
      <c r="K24" s="191"/>
      <c r="L24" s="191"/>
      <c r="M24" s="55"/>
      <c r="N24" s="9"/>
    </row>
    <row r="25" spans="1:14" ht="27.75" x14ac:dyDescent="0.4">
      <c r="A25" s="7"/>
      <c r="B25" s="3"/>
      <c r="C25" s="122" t="s">
        <v>59</v>
      </c>
      <c r="D25" s="140"/>
      <c r="E25" s="107" t="s">
        <v>51</v>
      </c>
      <c r="F25" s="177"/>
      <c r="G25" s="177"/>
      <c r="H25" s="114" t="s">
        <v>55</v>
      </c>
      <c r="I25" s="108" t="s">
        <v>56</v>
      </c>
      <c r="J25" s="119" t="s">
        <v>74</v>
      </c>
      <c r="K25" s="130"/>
      <c r="L25" s="131"/>
      <c r="M25" s="3"/>
      <c r="N25" s="9"/>
    </row>
    <row r="26" spans="1:14" ht="27.75" customHeight="1" x14ac:dyDescent="0.4">
      <c r="A26" s="7"/>
      <c r="B26" s="3"/>
      <c r="C26" s="122" t="s">
        <v>54</v>
      </c>
      <c r="D26" s="181"/>
      <c r="E26" s="182"/>
      <c r="F26" s="182"/>
      <c r="G26" s="182"/>
      <c r="H26" s="182"/>
      <c r="I26" s="182"/>
      <c r="J26" s="119" t="s">
        <v>63</v>
      </c>
      <c r="K26" s="185"/>
      <c r="L26" s="185"/>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4" t="s">
        <v>33</v>
      </c>
      <c r="D30" s="142" t="s">
        <v>67</v>
      </c>
      <c r="E30" s="178" t="s">
        <v>21</v>
      </c>
      <c r="F30" s="179"/>
      <c r="G30" s="179"/>
      <c r="H30" s="179"/>
      <c r="I30" s="179"/>
      <c r="J30" s="180"/>
      <c r="K30" s="94" t="s">
        <v>22</v>
      </c>
      <c r="L30" s="95" t="s">
        <v>23</v>
      </c>
      <c r="M30" s="56"/>
      <c r="N30" s="9"/>
    </row>
    <row r="31" spans="1:14" ht="18.75" x14ac:dyDescent="0.3">
      <c r="A31" s="7"/>
      <c r="B31" s="3"/>
      <c r="C31" s="66"/>
      <c r="D31" s="53"/>
      <c r="E31" s="192"/>
      <c r="F31" s="193"/>
      <c r="G31" s="193"/>
      <c r="H31" s="193"/>
      <c r="I31" s="193"/>
      <c r="J31" s="194"/>
      <c r="K31" s="92"/>
      <c r="L31" s="93" t="str">
        <f>IF(D31&lt;&gt;"",D31*K31,"")</f>
        <v/>
      </c>
      <c r="M31" s="56"/>
      <c r="N31" s="9"/>
    </row>
    <row r="32" spans="1:14" ht="26.25" x14ac:dyDescent="0.4">
      <c r="A32" s="7"/>
      <c r="B32" s="3"/>
      <c r="C32" s="129"/>
      <c r="D32" s="96"/>
      <c r="E32" s="195" t="s">
        <v>58</v>
      </c>
      <c r="F32" s="196"/>
      <c r="G32" s="196"/>
      <c r="H32" s="196"/>
      <c r="I32" s="196"/>
      <c r="J32" s="197"/>
      <c r="K32" s="97"/>
      <c r="L32" s="98" t="str">
        <f>IF(D32&lt;&gt;"",D32*K32,"")</f>
        <v/>
      </c>
      <c r="M32" s="56"/>
      <c r="N32" s="9"/>
    </row>
    <row r="33" spans="1:15" ht="25.5" x14ac:dyDescent="0.35">
      <c r="A33" s="7"/>
      <c r="B33" s="3"/>
      <c r="C33" s="66"/>
      <c r="D33" s="99"/>
      <c r="E33" s="195" t="s">
        <v>68</v>
      </c>
      <c r="F33" s="196"/>
      <c r="G33" s="196"/>
      <c r="H33" s="196"/>
      <c r="I33" s="196"/>
      <c r="J33" s="197"/>
      <c r="K33" s="100"/>
      <c r="L33" s="101"/>
      <c r="M33" s="56"/>
      <c r="N33" s="9"/>
    </row>
    <row r="34" spans="1:15" ht="25.5" x14ac:dyDescent="0.35">
      <c r="A34" s="7"/>
      <c r="B34" s="3"/>
      <c r="C34" s="128"/>
      <c r="D34" s="99"/>
      <c r="E34" s="151"/>
      <c r="F34" s="145"/>
      <c r="G34" s="145"/>
      <c r="H34" s="145"/>
      <c r="I34" s="145"/>
      <c r="J34" s="146"/>
      <c r="K34" s="100"/>
      <c r="L34" s="101"/>
      <c r="M34" s="56"/>
      <c r="N34" s="9"/>
    </row>
    <row r="35" spans="1:15" ht="25.5" x14ac:dyDescent="0.35">
      <c r="A35" s="7"/>
      <c r="B35" s="3"/>
      <c r="C35" s="128"/>
      <c r="D35" s="153"/>
      <c r="E35" s="154"/>
      <c r="F35" s="155"/>
      <c r="G35" s="155"/>
      <c r="H35" s="155"/>
      <c r="I35" s="155"/>
      <c r="J35" s="156"/>
      <c r="K35" s="157"/>
      <c r="L35" s="157"/>
      <c r="M35" s="158"/>
      <c r="N35" s="159"/>
      <c r="O35" s="160"/>
    </row>
    <row r="36" spans="1:15" ht="25.5" x14ac:dyDescent="0.35">
      <c r="A36" s="7"/>
      <c r="B36" s="3"/>
      <c r="C36" s="128"/>
      <c r="D36" s="153"/>
      <c r="E36" s="154"/>
      <c r="F36" s="155"/>
      <c r="G36" s="155"/>
      <c r="H36" s="155"/>
      <c r="I36" s="155"/>
      <c r="J36" s="156"/>
      <c r="K36" s="157"/>
      <c r="L36" s="157"/>
      <c r="M36" s="158"/>
      <c r="N36" s="159"/>
      <c r="O36" s="160"/>
    </row>
    <row r="37" spans="1:15" ht="25.5" x14ac:dyDescent="0.35">
      <c r="A37" s="7"/>
      <c r="B37" s="3"/>
      <c r="C37" s="128"/>
      <c r="D37" s="153">
        <v>2</v>
      </c>
      <c r="E37" s="154" t="s">
        <v>72</v>
      </c>
      <c r="F37" s="155"/>
      <c r="G37" s="155"/>
      <c r="H37" s="155"/>
      <c r="I37" s="155"/>
      <c r="J37" s="156"/>
      <c r="K37" s="157">
        <v>250</v>
      </c>
      <c r="L37" s="157">
        <f>K37*D37</f>
        <v>500</v>
      </c>
      <c r="M37" s="158"/>
      <c r="N37" s="159"/>
      <c r="O37" s="160"/>
    </row>
    <row r="38" spans="1:15" ht="25.5" x14ac:dyDescent="0.35">
      <c r="A38" s="7"/>
      <c r="B38" s="3"/>
      <c r="C38" s="128"/>
      <c r="D38" s="153"/>
      <c r="E38" s="161"/>
      <c r="F38" s="161"/>
      <c r="G38" s="161"/>
      <c r="H38" s="161"/>
      <c r="I38" s="162"/>
      <c r="J38" s="202"/>
      <c r="K38" s="202"/>
      <c r="L38" s="202"/>
      <c r="M38" s="202"/>
      <c r="N38" s="202"/>
      <c r="O38" s="203"/>
    </row>
    <row r="39" spans="1:15" ht="25.5" x14ac:dyDescent="0.35">
      <c r="A39" s="7"/>
      <c r="B39" s="3"/>
      <c r="C39" s="128"/>
      <c r="D39" s="153"/>
      <c r="E39" s="150"/>
      <c r="F39" s="147"/>
      <c r="G39" s="147"/>
      <c r="H39" s="147"/>
      <c r="I39" s="161"/>
      <c r="J39" s="161"/>
      <c r="K39" s="157"/>
      <c r="L39" s="157"/>
      <c r="M39" s="158"/>
      <c r="N39" s="159"/>
      <c r="O39" s="160"/>
    </row>
    <row r="40" spans="1:15" ht="25.5" x14ac:dyDescent="0.35">
      <c r="A40" s="7"/>
      <c r="B40" s="3"/>
      <c r="C40" s="128"/>
      <c r="D40" s="163"/>
      <c r="E40" s="201"/>
      <c r="F40" s="202"/>
      <c r="G40" s="202"/>
      <c r="H40" s="202"/>
      <c r="I40" s="202"/>
      <c r="J40" s="203"/>
      <c r="K40" s="157"/>
      <c r="L40" s="157"/>
      <c r="M40" s="158"/>
      <c r="N40" s="159"/>
      <c r="O40" s="160"/>
    </row>
    <row r="41" spans="1:15" ht="25.5" x14ac:dyDescent="0.35">
      <c r="A41" s="7"/>
      <c r="B41" s="3"/>
      <c r="C41" s="128"/>
      <c r="D41" s="99"/>
      <c r="E41" s="148"/>
      <c r="F41" s="148"/>
      <c r="G41" s="148"/>
      <c r="H41" s="148"/>
      <c r="I41" s="148"/>
      <c r="J41" s="148"/>
      <c r="K41" s="132"/>
      <c r="L41" s="100"/>
      <c r="M41" s="56"/>
      <c r="N41" s="9"/>
    </row>
    <row r="42" spans="1:15" ht="25.5" x14ac:dyDescent="0.35">
      <c r="A42" s="7"/>
      <c r="B42" s="3"/>
      <c r="C42" s="128"/>
      <c r="D42" s="99"/>
      <c r="E42" s="148"/>
      <c r="F42" s="148"/>
      <c r="G42" s="148"/>
      <c r="H42" s="148"/>
      <c r="I42" s="148"/>
      <c r="J42" s="148"/>
      <c r="K42" s="132"/>
      <c r="L42" s="100"/>
      <c r="M42" s="56"/>
      <c r="N42" s="9"/>
    </row>
    <row r="43" spans="1:15" ht="25.5" x14ac:dyDescent="0.35">
      <c r="A43" s="7"/>
      <c r="B43" s="3"/>
      <c r="C43" s="128"/>
      <c r="D43" s="99"/>
      <c r="E43" s="148"/>
      <c r="F43" s="148"/>
      <c r="G43" s="148"/>
      <c r="H43" s="148"/>
      <c r="I43" s="148"/>
      <c r="J43" s="148"/>
      <c r="K43" s="100"/>
      <c r="L43" s="101"/>
      <c r="M43" s="56"/>
      <c r="N43" s="9"/>
    </row>
    <row r="44" spans="1:15" ht="25.5" x14ac:dyDescent="0.35">
      <c r="A44" s="7"/>
      <c r="B44" s="3"/>
      <c r="C44" s="67"/>
      <c r="D44" s="99"/>
      <c r="E44" s="148"/>
      <c r="F44" s="148"/>
      <c r="G44" s="148"/>
      <c r="H44" s="148"/>
      <c r="I44" s="148"/>
      <c r="J44" s="152"/>
      <c r="K44" s="67"/>
      <c r="L44" s="101"/>
      <c r="M44" s="56"/>
      <c r="N44" s="9"/>
    </row>
    <row r="45" spans="1:15" ht="30" x14ac:dyDescent="0.4">
      <c r="A45" s="7"/>
      <c r="B45" s="3"/>
      <c r="C45" s="115"/>
      <c r="D45" s="82"/>
      <c r="E45" s="82"/>
      <c r="F45" s="82"/>
      <c r="G45" s="82"/>
      <c r="H45" s="82"/>
      <c r="I45" s="76"/>
      <c r="J45" s="109"/>
      <c r="K45" s="126" t="s">
        <v>24</v>
      </c>
      <c r="L45" s="113">
        <f>SUM(L33:L44)</f>
        <v>500</v>
      </c>
      <c r="M45" s="56"/>
      <c r="N45" s="9"/>
    </row>
    <row r="46" spans="1:15" ht="30" x14ac:dyDescent="0.4">
      <c r="A46" s="7"/>
      <c r="B46" s="3"/>
      <c r="C46" s="3"/>
      <c r="D46" s="83"/>
      <c r="E46" s="149" t="s">
        <v>65</v>
      </c>
      <c r="F46" s="82"/>
      <c r="G46" s="82"/>
      <c r="H46" s="82"/>
      <c r="I46" s="76"/>
      <c r="J46" s="109"/>
      <c r="K46" s="123" t="s">
        <v>45</v>
      </c>
      <c r="L46" s="127">
        <v>1</v>
      </c>
      <c r="M46" s="56"/>
      <c r="N46" s="9"/>
    </row>
    <row r="47" spans="1:15" ht="30" x14ac:dyDescent="0.4">
      <c r="A47" s="7"/>
      <c r="B47" s="3"/>
      <c r="C47" s="3"/>
      <c r="D47" s="83"/>
      <c r="E47" s="105" t="s">
        <v>62</v>
      </c>
      <c r="F47" s="82"/>
      <c r="G47" s="82"/>
      <c r="H47" s="82"/>
      <c r="I47" s="77"/>
      <c r="J47" s="110"/>
      <c r="K47" s="124" t="s">
        <v>60</v>
      </c>
      <c r="L47" s="116">
        <f>L45*0.19</f>
        <v>95</v>
      </c>
      <c r="M47" s="56"/>
      <c r="N47" s="9"/>
    </row>
    <row r="48" spans="1:15" ht="30" x14ac:dyDescent="0.4">
      <c r="A48" s="7"/>
      <c r="B48" s="3"/>
      <c r="C48" s="3"/>
      <c r="D48" s="85"/>
      <c r="E48" s="105" t="s">
        <v>66</v>
      </c>
      <c r="F48" s="138"/>
      <c r="G48" s="141"/>
      <c r="H48" s="141"/>
      <c r="I48" s="78"/>
      <c r="J48" s="109"/>
      <c r="K48" s="125" t="s">
        <v>26</v>
      </c>
      <c r="L48" s="113">
        <f>L45+L47+L46</f>
        <v>596</v>
      </c>
      <c r="M48" s="56"/>
      <c r="N48" s="9"/>
    </row>
    <row r="49" spans="1:14" ht="30" x14ac:dyDescent="0.4">
      <c r="A49" s="7"/>
      <c r="B49" s="3"/>
      <c r="C49" s="3"/>
      <c r="D49" s="85"/>
      <c r="E49" s="105"/>
      <c r="F49" s="88"/>
      <c r="G49" s="85"/>
      <c r="H49" s="82"/>
      <c r="I49" s="78"/>
      <c r="J49" s="109"/>
      <c r="K49" s="111"/>
      <c r="L49" s="136"/>
      <c r="M49" s="56"/>
      <c r="N49" s="9"/>
    </row>
    <row r="50" spans="1:14" ht="30" x14ac:dyDescent="0.4">
      <c r="A50" s="7"/>
      <c r="B50" s="133"/>
      <c r="C50" s="3"/>
      <c r="D50" s="85"/>
      <c r="E50" s="105"/>
      <c r="F50" s="88"/>
      <c r="G50" s="85"/>
      <c r="H50" s="82"/>
      <c r="I50" s="78"/>
      <c r="J50" s="109"/>
      <c r="K50" s="111"/>
      <c r="L50" s="136"/>
      <c r="M50" s="56"/>
      <c r="N50" s="9"/>
    </row>
    <row r="51" spans="1:14" ht="30" x14ac:dyDescent="0.4">
      <c r="A51" s="7"/>
      <c r="B51" s="3"/>
      <c r="C51" s="3"/>
      <c r="D51" s="85">
        <v>2</v>
      </c>
      <c r="E51" s="84"/>
      <c r="F51" s="82"/>
      <c r="G51" s="86"/>
      <c r="H51" s="82"/>
      <c r="I51" s="79" t="s">
        <v>25</v>
      </c>
      <c r="J51" s="109"/>
      <c r="K51" s="190" t="s">
        <v>61</v>
      </c>
      <c r="L51" s="190"/>
      <c r="M51" s="56"/>
      <c r="N51" s="9"/>
    </row>
    <row r="52" spans="1:14" ht="18.75" x14ac:dyDescent="0.3">
      <c r="A52" s="7"/>
      <c r="B52" s="3"/>
      <c r="C52" s="133"/>
      <c r="D52" s="133"/>
      <c r="E52" s="133"/>
      <c r="F52" s="133"/>
      <c r="G52" s="133"/>
      <c r="H52" s="133"/>
      <c r="I52" s="133"/>
      <c r="J52" s="133"/>
      <c r="K52" s="190"/>
      <c r="L52" s="190"/>
      <c r="M52" s="56"/>
      <c r="N52" s="9"/>
    </row>
    <row r="53" spans="1:14" ht="30" x14ac:dyDescent="0.4">
      <c r="A53" s="7"/>
      <c r="B53" s="3"/>
      <c r="C53" s="3"/>
      <c r="D53" s="87"/>
      <c r="E53" s="172"/>
      <c r="F53" s="172"/>
      <c r="G53" s="172"/>
      <c r="H53" s="173"/>
      <c r="I53" s="80"/>
      <c r="J53" s="112"/>
      <c r="K53" s="120"/>
      <c r="L53" s="118"/>
      <c r="M53" s="56"/>
      <c r="N53" s="9"/>
    </row>
    <row r="54" spans="1:14" ht="27.75" x14ac:dyDescent="0.2">
      <c r="A54" s="7"/>
      <c r="B54" s="198" t="s">
        <v>69</v>
      </c>
      <c r="C54" s="198"/>
      <c r="D54" s="198"/>
      <c r="E54" s="198"/>
      <c r="F54" s="198"/>
      <c r="G54" s="198"/>
      <c r="H54" s="198"/>
      <c r="I54" s="76"/>
      <c r="J54" s="76"/>
      <c r="K54" s="118"/>
      <c r="L54" s="118"/>
      <c r="M54" s="56"/>
      <c r="N54" s="9"/>
    </row>
    <row r="55" spans="1:14" ht="27.75" x14ac:dyDescent="0.4">
      <c r="A55" s="7"/>
      <c r="B55" s="143" t="s">
        <v>70</v>
      </c>
      <c r="C55" s="3"/>
      <c r="D55" s="144"/>
      <c r="E55" s="188"/>
      <c r="F55" s="189"/>
      <c r="G55" s="189"/>
      <c r="H55" s="189"/>
      <c r="I55" s="76"/>
      <c r="J55" s="118"/>
      <c r="K55" s="118"/>
      <c r="L55" s="118"/>
      <c r="M55" s="56"/>
      <c r="N55" s="9"/>
    </row>
    <row r="56" spans="1:14" ht="18" x14ac:dyDescent="0.2">
      <c r="A56" s="7"/>
      <c r="B56" s="3"/>
      <c r="C56" s="3"/>
      <c r="D56" s="20"/>
      <c r="E56" s="199"/>
      <c r="F56" s="200"/>
      <c r="G56" s="200"/>
      <c r="H56" s="200"/>
      <c r="I56" s="76"/>
      <c r="J56" s="118"/>
      <c r="K56" s="81"/>
      <c r="L56" s="81"/>
      <c r="M56" s="56"/>
      <c r="N56" s="9"/>
    </row>
    <row r="57" spans="1:14" ht="15.75" thickBot="1" x14ac:dyDescent="0.25">
      <c r="B57" s="102"/>
      <c r="C57" s="3"/>
      <c r="D57" s="3"/>
      <c r="E57" s="117"/>
      <c r="F57" s="117"/>
      <c r="G57" s="117"/>
      <c r="H57" s="117"/>
      <c r="I57" s="117"/>
      <c r="J57" s="117"/>
      <c r="K57" s="117"/>
      <c r="L57" s="76"/>
      <c r="M57" s="56"/>
      <c r="N57" s="9"/>
    </row>
    <row r="58" spans="1:14" ht="14.25" thickTop="1" thickBot="1" x14ac:dyDescent="0.25">
      <c r="A58" s="57"/>
      <c r="B58" s="120"/>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21"/>
      <c r="B60" s="3"/>
      <c r="C60" s="3"/>
      <c r="D60" s="3"/>
      <c r="E60" s="3"/>
      <c r="F60" s="3"/>
      <c r="G60" s="3"/>
      <c r="H60" s="3"/>
      <c r="I60" s="3"/>
      <c r="J60" s="3"/>
      <c r="K60" s="3"/>
      <c r="L60" s="3"/>
      <c r="M60" s="56"/>
      <c r="N60" s="9"/>
    </row>
    <row r="61" spans="1:14" x14ac:dyDescent="0.2">
      <c r="A61" s="3"/>
      <c r="B61" s="121"/>
      <c r="C61" s="121"/>
      <c r="D61" s="121"/>
      <c r="E61" s="121"/>
      <c r="F61" s="121"/>
      <c r="G61" s="121"/>
      <c r="H61" s="121"/>
      <c r="I61" s="121"/>
      <c r="J61" s="121"/>
      <c r="K61" s="121"/>
      <c r="L61" s="121"/>
      <c r="M61" s="137"/>
      <c r="N61" s="139"/>
    </row>
    <row r="62" spans="1:14" x14ac:dyDescent="0.2">
      <c r="A62" s="3"/>
      <c r="B62" s="171" t="s">
        <v>64</v>
      </c>
      <c r="C62" s="171"/>
      <c r="D62" s="171"/>
      <c r="E62" s="171"/>
      <c r="F62" s="171"/>
      <c r="G62" s="171"/>
      <c r="H62" s="171"/>
      <c r="I62" s="171"/>
      <c r="J62" s="171"/>
      <c r="K62" s="171"/>
      <c r="L62" s="171"/>
      <c r="M62" s="171"/>
      <c r="N62" s="139"/>
    </row>
    <row r="63" spans="1:14" x14ac:dyDescent="0.2">
      <c r="A63" s="120"/>
      <c r="B63" s="171"/>
      <c r="C63" s="171"/>
      <c r="D63" s="171"/>
      <c r="E63" s="171"/>
      <c r="F63" s="171"/>
      <c r="G63" s="171"/>
      <c r="H63" s="171"/>
      <c r="I63" s="171"/>
      <c r="J63" s="171"/>
      <c r="K63" s="171"/>
      <c r="L63" s="171"/>
      <c r="M63" s="171"/>
      <c r="N63" s="137"/>
    </row>
    <row r="64" spans="1:14" x14ac:dyDescent="0.2">
      <c r="A64" s="121"/>
      <c r="B64" s="171"/>
      <c r="C64" s="171"/>
      <c r="D64" s="171"/>
      <c r="E64" s="171"/>
      <c r="F64" s="171"/>
      <c r="G64" s="171"/>
      <c r="H64" s="171"/>
      <c r="I64" s="171"/>
      <c r="J64" s="171"/>
      <c r="K64" s="171"/>
      <c r="L64" s="171"/>
      <c r="M64" s="171"/>
      <c r="N64" s="137"/>
    </row>
    <row r="65" spans="1:14" ht="24.95" customHeight="1" x14ac:dyDescent="0.2">
      <c r="A65" s="3"/>
      <c r="B65" s="171"/>
      <c r="C65" s="171"/>
      <c r="D65" s="171"/>
      <c r="E65" s="171"/>
      <c r="F65" s="171"/>
      <c r="G65" s="171"/>
      <c r="H65" s="171"/>
      <c r="I65" s="171"/>
      <c r="J65" s="171"/>
      <c r="K65" s="171"/>
      <c r="L65" s="171"/>
      <c r="M65" s="171"/>
      <c r="N65" s="137"/>
    </row>
    <row r="66" spans="1:14" ht="24.95" customHeight="1" x14ac:dyDescent="0.2">
      <c r="A66" s="3"/>
      <c r="B66" s="171"/>
      <c r="C66" s="171"/>
      <c r="D66" s="171"/>
      <c r="E66" s="171"/>
      <c r="F66" s="171"/>
      <c r="G66" s="171"/>
      <c r="H66" s="171"/>
      <c r="I66" s="171"/>
      <c r="J66" s="171"/>
      <c r="K66" s="171"/>
      <c r="L66" s="171"/>
      <c r="M66" s="171"/>
      <c r="N66" s="120"/>
    </row>
    <row r="67" spans="1:14" ht="12.75" customHeight="1" thickBot="1" x14ac:dyDescent="0.25">
      <c r="A67" s="134"/>
      <c r="B67" s="102"/>
      <c r="C67" s="120"/>
      <c r="D67" s="120"/>
      <c r="E67" s="120"/>
      <c r="F67" s="120"/>
      <c r="G67" s="120"/>
      <c r="H67" s="120"/>
      <c r="I67" s="120"/>
      <c r="J67" s="120"/>
      <c r="K67" s="120"/>
      <c r="L67" s="120"/>
      <c r="M67" s="120"/>
      <c r="N67" s="120"/>
    </row>
    <row r="68" spans="1:14" ht="12.75" customHeight="1" thickTop="1" thickBot="1" x14ac:dyDescent="0.25">
      <c r="B68" s="135"/>
      <c r="C68" s="120"/>
      <c r="D68" s="120"/>
      <c r="E68" s="120"/>
      <c r="F68" s="120"/>
      <c r="G68" s="120"/>
      <c r="H68" s="120"/>
      <c r="I68" s="120"/>
      <c r="J68" s="120"/>
      <c r="K68" s="120"/>
      <c r="L68" s="120"/>
    </row>
    <row r="69" spans="1:14" ht="12.75" customHeight="1" thickTop="1" x14ac:dyDescent="0.2"/>
    <row r="70" spans="1:14" ht="12.75" customHeight="1" x14ac:dyDescent="0.2"/>
    <row r="71" spans="1:14" ht="3" customHeight="1" x14ac:dyDescent="0.2"/>
    <row r="72" spans="1:14" ht="12.75" customHeight="1" x14ac:dyDescent="0.2"/>
    <row r="73" spans="1:14" ht="13.5" customHeight="1" x14ac:dyDescent="0.2"/>
    <row r="75" spans="1:14" ht="0.95" customHeight="1" x14ac:dyDescent="0.2"/>
    <row r="76"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E33:J33"/>
    <mergeCell ref="E56:H56"/>
    <mergeCell ref="E40:J40"/>
    <mergeCell ref="J38:O38"/>
    <mergeCell ref="B62:M66"/>
    <mergeCell ref="E53:H53"/>
    <mergeCell ref="K15:L19"/>
    <mergeCell ref="D23:I23"/>
    <mergeCell ref="F25:G25"/>
    <mergeCell ref="E30:J30"/>
    <mergeCell ref="D26:I26"/>
    <mergeCell ref="D24:I24"/>
    <mergeCell ref="K26:L26"/>
    <mergeCell ref="C18:G19"/>
    <mergeCell ref="E55:H55"/>
    <mergeCell ref="K51:L52"/>
    <mergeCell ref="J24:L24"/>
    <mergeCell ref="E31:J31"/>
    <mergeCell ref="E32:J32"/>
    <mergeCell ref="B54:H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decimal" allowBlank="1" showErrorMessage="1" errorTitle="Prix unitaire" error="Tapez un nombre dans cette cellule." promptTitle="Prix unitaire" sqref="K44 L35:L37 K31:K37 K39: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4 L31:L34">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45601</v>
      </c>
      <c r="D8" s="71" t="str">
        <f>Facture!$D$23</f>
        <v xml:space="preserve">PSI </v>
      </c>
      <c r="E8" s="68">
        <f>Facture!$D$24</f>
        <v>0</v>
      </c>
      <c r="F8" s="68">
        <f>Facture!$D$25</f>
        <v>0</v>
      </c>
      <c r="G8" s="71">
        <f>Facture!$F$25</f>
        <v>0</v>
      </c>
      <c r="H8" s="71" t="str">
        <f>Facture!$I$25</f>
        <v>TN</v>
      </c>
      <c r="I8" s="68">
        <f>Facture!$D$26</f>
        <v>0</v>
      </c>
      <c r="J8" s="72">
        <f>Facture!$L$48</f>
        <v>596</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74</vt:i4>
      </vt:variant>
    </vt:vector>
  </HeadingPairs>
  <TitlesOfParts>
    <vt:vector size="7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2024-11-01T11:36:17Z</cp:lastPrinted>
  <dcterms:created xsi:type="dcterms:W3CDTF">1995-05-29T15:50:39Z</dcterms:created>
  <dcterms:modified xsi:type="dcterms:W3CDTF">2024-11-05T15:41:32Z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PSI </vt:lpwstr>
  </property>
  <property fmtid="{D5CDD505-2E9C-101B-9397-08002B2CF9AE}" pid="11" name="Montant de la facture" linkTarget="TOT">
    <vt:r8>596</vt:r8>
  </property>
</Properties>
</file>