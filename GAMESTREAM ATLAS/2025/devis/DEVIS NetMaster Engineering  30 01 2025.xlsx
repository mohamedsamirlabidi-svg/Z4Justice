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40" i="3" l="1"/>
  <c r="M41" i="3"/>
  <c r="M42" i="3"/>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<sst xmlns="http://schemas.openxmlformats.org/spreadsheetml/2006/main" count="83" uniqueCount="75">
  <si>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</si>
  <si>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</si>
  <si>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</si>
  <si>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</si>
  <si>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</si>
  <si>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</si>
  <si>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</si>
  <si>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</si>
  <si>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</si>
  <si>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</si>
  <si>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</si>
  <si>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</si>
  <si>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</si>
  <si>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</si>
  <si>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</si>
  <si>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</si>
  <si>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</si>
  <si>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</si>
  <si>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</si>
  <si>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</si>
  <si>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</si>
  <si>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</si>
  <si>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</si>
  <si>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</si>
  <si>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</si>
  <si>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</si>
  <si>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</si>
  <si>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</si>
  <si>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</si>
  <si>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</si>
  <si>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</si>
  <si>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</si>
  <si>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</si>
  <si>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</si>
  <si>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</si>
  <si>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</si>
  <si>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</si>
  <si>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</si>
  <si>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</si>
  <si>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</si>
  <si>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</si>
  <si>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</si>
  <si>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</si>
  <si>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</si>
  <si>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</si>
  <si>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</si>
  <si>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</si>
  <si>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</si>
  <si>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</si>
  <si>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</si>
  <si>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</si>
  <si>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</si>
  <si>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</si>
  <si>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</si>
  <si>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</si>
  <si>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</si>
  <si>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</si>
  <si>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</si>
  <si>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</si>
  <si>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</si>
  <si>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</si>
  <si>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</si>
  <si>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</si>
  <si>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</si>
  <si>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</si>
  <si>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</si>
  <si>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</si>
  <si>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</si>
  <si>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</si>
  <si>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</si>
  <si>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</si>
  <si>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NetMaster Engineering</t>
  </si>
  <si>
    <t xml:space="preserve">     Responsable: SERVICE ACHAT </t>
  </si>
  <si>
    <t xml:space="preserve">4 jour  / 900 DT par personne </t>
  </si>
  <si>
    <t>DEVIS N° 2025-120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</si>
</sst>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L38" sqref="L38: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5" t="s">
        <v>74</v>
      </c>
      <c r="M15" s="165"/>
      <c r="N15" s="3"/>
      <c r="O15" s="9"/>
    </row>
    <row r="16" spans="2:15" x14ac:dyDescent="0.2">
      <c r="B16" s="7"/>
      <c r="C16" s="3"/>
      <c r="D16" s="3"/>
      <c r="E16" s="3"/>
      <c r="F16" s="3"/>
      <c r="G16" s="3"/>
      <c r="H16" s="3"/>
      <c r="I16" s="3"/>
      <c r="J16" s="3"/>
      <c r="K16" s="87"/>
      <c r="L16" s="165"/>
      <c r="M16" s="165"/>
      <c r="N16" s="3"/>
      <c r="O16" s="9"/>
    </row>
    <row r="17" spans="1:15" ht="12.75" customHeight="1" x14ac:dyDescent="0.2">
      <c r="B17" s="7"/>
      <c r="C17" s="3"/>
      <c r="D17" s="3"/>
      <c r="E17" s="3"/>
      <c r="F17" s="3"/>
      <c r="G17" s="3"/>
      <c r="H17" s="3"/>
      <c r="I17" s="3"/>
      <c r="J17" s="3"/>
      <c r="K17" s="87"/>
      <c r="L17" s="165"/>
      <c r="M17" s="165"/>
      <c r="N17" s="3"/>
      <c r="O17" s="9"/>
    </row>
    <row r="18" spans="1:15" ht="12.75" customHeight="1" x14ac:dyDescent="0.2">
      <c r="B18" s="7"/>
      <c r="C18" s="3"/>
      <c r="D18" s="175"/>
      <c r="E18" s="175"/>
      <c r="F18" s="175"/>
      <c r="G18" s="175"/>
      <c r="H18" s="175"/>
      <c r="I18" s="3"/>
      <c r="J18" s="3"/>
      <c r="K18" s="87"/>
      <c r="L18" s="165"/>
      <c r="M18" s="165"/>
      <c r="N18" s="3"/>
      <c r="O18" s="9"/>
    </row>
    <row r="19" spans="1:15" ht="20.100000000000001" customHeight="1" thickBot="1" x14ac:dyDescent="0.25">
      <c r="B19" s="7"/>
      <c r="C19" s="3"/>
      <c r="D19" s="176"/>
      <c r="E19" s="176"/>
      <c r="F19" s="176"/>
      <c r="G19" s="176"/>
      <c r="H19" s="176"/>
      <c r="I19" s="3"/>
      <c r="J19" s="3"/>
      <c r="K19" s="87"/>
      <c r="L19" s="165"/>
      <c r="M19" s="16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6" t="s">
        <v>71</v>
      </c>
      <c r="F23" s="166"/>
      <c r="G23" s="166"/>
      <c r="H23" s="166"/>
      <c r="I23" s="166"/>
      <c r="J23" s="166"/>
      <c r="K23" s="100" t="s">
        <v>56</v>
      </c>
      <c r="L23" s="89">
        <v>45687</v>
      </c>
      <c r="M23" s="91"/>
      <c r="N23" s="52"/>
      <c r="O23" s="9"/>
    </row>
    <row r="24" spans="1:15" ht="23.25" x14ac:dyDescent="0.35">
      <c r="B24" s="7"/>
      <c r="C24" s="3"/>
      <c r="D24" s="103" t="s">
        <v>52</v>
      </c>
      <c r="E24" s="173"/>
      <c r="F24" s="173"/>
      <c r="G24" s="173"/>
      <c r="H24" s="174"/>
      <c r="I24" s="174"/>
      <c r="J24" s="174"/>
      <c r="K24" s="177"/>
      <c r="L24" s="177"/>
      <c r="M24" s="177"/>
      <c r="N24" s="53"/>
      <c r="O24" s="9"/>
    </row>
    <row r="25" spans="1:15" ht="27.75" x14ac:dyDescent="0.4">
      <c r="B25" s="7"/>
      <c r="C25" s="3"/>
      <c r="D25" s="103" t="s">
        <v>58</v>
      </c>
      <c r="E25" s="113"/>
      <c r="F25" s="92" t="s">
        <v>50</v>
      </c>
      <c r="G25" s="167"/>
      <c r="H25" s="167"/>
      <c r="I25" s="97" t="s">
        <v>54</v>
      </c>
      <c r="J25" s="93" t="s">
        <v>55</v>
      </c>
      <c r="K25" s="100" t="s">
        <v>72</v>
      </c>
      <c r="L25" s="111"/>
      <c r="M25" s="112"/>
      <c r="N25" s="3"/>
      <c r="O25" s="9"/>
    </row>
    <row r="26" spans="1:15" ht="27.75" customHeight="1" x14ac:dyDescent="0.4">
      <c r="A26">
        <v>71</v>
      </c>
      <c r="B26" s="7"/>
      <c r="C26" s="3"/>
      <c r="D26" s="103" t="s">
        <v>53</v>
      </c>
      <c r="E26" s="171">
        <v>53851055</v>
      </c>
      <c r="F26" s="172"/>
      <c r="G26" s="172"/>
      <c r="H26" s="172"/>
      <c r="I26" s="172"/>
      <c r="J26" s="172"/>
      <c r="K26" s="148" t="s">
        <v>69</v>
      </c>
      <c r="L26" s="147"/>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8" t="s">
        <v>21</v>
      </c>
      <c r="G30" s="169"/>
      <c r="H30" s="169"/>
      <c r="I30" s="169"/>
      <c r="J30" s="169"/>
      <c r="K30" s="170"/>
      <c r="L30" s="83" t="s">
        <v>22</v>
      </c>
      <c r="M30" s="84" t="s">
        <v>23</v>
      </c>
      <c r="N30" s="54"/>
      <c r="O30" s="9"/>
    </row>
    <row r="31" spans="1:15" ht="18.75" x14ac:dyDescent="0.3">
      <c r="B31" s="7"/>
      <c r="C31" s="3"/>
      <c r="D31" s="64"/>
      <c r="E31" s="137"/>
      <c r="F31" s="180"/>
      <c r="G31" s="181"/>
      <c r="H31" s="181"/>
      <c r="I31" s="181"/>
      <c r="J31" s="181"/>
      <c r="K31" s="182"/>
      <c r="L31" s="141"/>
      <c r="M31" s="82" t="str">
        <f>IF(E31&lt;&gt;"",E31*L31,"")</f>
        <v/>
      </c>
      <c r="N31" s="54"/>
      <c r="O31" s="9"/>
    </row>
    <row r="32" spans="1:15" ht="26.25" x14ac:dyDescent="0.4">
      <c r="B32" s="7"/>
      <c r="C32" s="3"/>
      <c r="D32" s="110"/>
      <c r="E32" s="138"/>
      <c r="F32" s="183" t="s">
        <v>57</v>
      </c>
      <c r="G32" s="184"/>
      <c r="H32" s="184"/>
      <c r="I32" s="184"/>
      <c r="J32" s="184"/>
      <c r="K32" s="185"/>
      <c r="L32" s="142"/>
      <c r="M32" s="85" t="str">
        <f>IF(E32&lt;&gt;"",E32*L32,"")</f>
        <v/>
      </c>
      <c r="N32" s="54"/>
      <c r="O32" s="9"/>
    </row>
    <row r="33" spans="2:15" ht="26.25" x14ac:dyDescent="0.4">
      <c r="B33" s="7"/>
      <c r="C33" s="3"/>
      <c r="D33" s="109"/>
      <c r="E33" s="139"/>
      <c r="F33" s="186"/>
      <c r="G33" s="187"/>
      <c r="H33" s="187"/>
      <c r="I33" s="187"/>
      <c r="J33" s="187"/>
      <c r="K33" s="188"/>
      <c r="L33" s="143"/>
      <c r="M33" s="86"/>
      <c r="N33" s="54"/>
      <c r="O33" s="9"/>
    </row>
    <row r="34" spans="2:15" ht="25.5" x14ac:dyDescent="0.35">
      <c r="B34" s="7"/>
      <c r="C34" s="3"/>
      <c r="D34" s="109"/>
      <c r="E34" s="139"/>
      <c r="F34" s="189"/>
      <c r="G34" s="190"/>
      <c r="H34" s="190"/>
      <c r="I34" s="190"/>
      <c r="J34" s="190"/>
      <c r="K34" s="191"/>
      <c r="L34" s="143"/>
      <c r="M34" s="86"/>
      <c r="N34" s="54"/>
      <c r="O34" s="9"/>
    </row>
    <row r="35" spans="2:15" ht="26.25" customHeight="1" x14ac:dyDescent="0.35">
      <c r="B35" s="7"/>
      <c r="C35" s="3"/>
      <c r="D35" s="109" t="s">
        <v>64</v>
      </c>
      <c r="E35" s="139">
        <v>1</v>
      </c>
      <c r="F35" s="189" t="s">
        <v>70</v>
      </c>
      <c r="G35" s="190"/>
      <c r="H35" s="190"/>
      <c r="I35" s="190"/>
      <c r="J35" s="190"/>
      <c r="K35" s="191"/>
      <c r="L35" s="143">
        <v>900</v>
      </c>
      <c r="M35" s="86">
        <f t="shared" ref="M35" si="0">IF(E35&lt;&gt;"",E35*L35,"")</f>
        <v>900</v>
      </c>
      <c r="N35" s="54"/>
      <c r="O35" s="9"/>
    </row>
    <row r="36" spans="2:15" ht="25.5" x14ac:dyDescent="0.35">
      <c r="B36" s="7"/>
      <c r="C36" s="3"/>
      <c r="D36" s="109"/>
      <c r="E36" s="139"/>
      <c r="F36" s="123"/>
      <c r="G36" s="124"/>
      <c r="H36" s="124"/>
      <c r="I36" s="124"/>
      <c r="J36" s="124"/>
      <c r="K36" s="125"/>
      <c r="L36" s="143"/>
      <c r="M36" s="86"/>
      <c r="N36" s="54"/>
      <c r="O36" s="9"/>
    </row>
    <row r="37" spans="2:15" ht="25.5" x14ac:dyDescent="0.35">
      <c r="B37" s="7"/>
      <c r="C37" s="3"/>
      <c r="D37" s="126"/>
      <c r="E37" s="139"/>
      <c r="F37" s="123"/>
      <c r="G37" s="124"/>
      <c r="H37" s="124"/>
      <c r="I37" s="124"/>
      <c r="J37" s="124"/>
      <c r="K37" s="125"/>
      <c r="L37" s="143"/>
      <c r="M37" s="86"/>
      <c r="N37" s="54"/>
      <c r="O37" s="9"/>
    </row>
    <row r="38" spans="2:15" ht="25.5" x14ac:dyDescent="0.35">
      <c r="B38" s="7"/>
      <c r="C38" s="3"/>
      <c r="D38" s="109"/>
      <c r="E38" s="139"/>
      <c r="F38" s="127"/>
      <c r="G38" s="128"/>
      <c r="H38" s="128"/>
      <c r="I38" s="128"/>
      <c r="J38" s="128"/>
      <c r="K38" s="129"/>
      <c r="L38" s="143"/>
      <c r="M38" s="86"/>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92" t="s">
        <v>73</v>
      </c>
      <c r="G40" s="193"/>
      <c r="H40" s="193"/>
      <c r="I40" s="193"/>
      <c r="J40" s="193"/>
      <c r="K40" s="194"/>
      <c r="L40" s="143"/>
      <c r="M40" s="86" t="str">
        <f t="shared" ref="M40:M42" si="1">IF(E40&lt;&gt;"",E40*L40,"")</f>
        <v/>
      </c>
      <c r="N40" s="54"/>
      <c r="O40" s="9"/>
    </row>
    <row r="41" spans="2:15" ht="25.5" x14ac:dyDescent="0.35">
      <c r="B41" s="7"/>
      <c r="C41" s="3"/>
      <c r="D41" s="109"/>
      <c r="E41" s="139"/>
      <c r="F41" s="156"/>
      <c r="G41" s="120"/>
      <c r="H41" s="120"/>
      <c r="I41" s="120"/>
      <c r="J41" s="120"/>
      <c r="K41" s="121"/>
      <c r="L41" s="143"/>
      <c r="M41" s="86" t="str">
        <f t="shared" si="1"/>
        <v/>
      </c>
      <c r="N41" s="54"/>
      <c r="O41" s="9"/>
    </row>
    <row r="42" spans="2:15" ht="27.75" x14ac:dyDescent="0.4">
      <c r="B42" s="7"/>
      <c r="C42" s="3"/>
      <c r="D42" s="65"/>
      <c r="E42" s="140"/>
      <c r="F42" s="157"/>
      <c r="G42" s="145"/>
      <c r="H42" s="145"/>
      <c r="I42" s="145"/>
      <c r="J42" s="145"/>
      <c r="K42" s="146"/>
      <c r="L42" s="144"/>
      <c r="M42" s="86" t="str">
        <f t="shared" si="1"/>
        <v/>
      </c>
      <c r="N42" s="54"/>
      <c r="O42" s="9"/>
    </row>
    <row r="43" spans="2:15" ht="30" x14ac:dyDescent="0.4">
      <c r="B43" s="7"/>
      <c r="C43" s="3"/>
      <c r="D43" s="98"/>
      <c r="E43" s="76"/>
      <c r="F43" s="76"/>
      <c r="G43" s="118"/>
      <c r="H43" s="118"/>
      <c r="I43" s="118"/>
      <c r="J43" s="118"/>
      <c r="K43" s="119"/>
      <c r="L43" s="107" t="s">
        <v>24</v>
      </c>
      <c r="M43" s="96">
        <f>SUM(M34:M42)</f>
        <v>900</v>
      </c>
      <c r="N43" s="54"/>
      <c r="O43" s="9"/>
    </row>
    <row r="44" spans="2:15" ht="30" x14ac:dyDescent="0.4">
      <c r="B44" s="7"/>
      <c r="C44" s="3"/>
      <c r="D44" s="3"/>
      <c r="E44" s="77"/>
      <c r="F44" s="90" t="s">
        <v>62</v>
      </c>
      <c r="G44" s="76"/>
      <c r="H44" s="76"/>
      <c r="I44" s="76"/>
      <c r="J44" s="74"/>
      <c r="K44" s="94"/>
      <c r="L44" s="104" t="s">
        <v>44</v>
      </c>
      <c r="M44" s="108">
        <v>1</v>
      </c>
      <c r="N44" s="54"/>
      <c r="O44" s="9"/>
    </row>
    <row r="45" spans="2:15" ht="30" x14ac:dyDescent="0.4">
      <c r="B45" s="7"/>
      <c r="C45" s="3"/>
      <c r="D45" s="3"/>
      <c r="E45" s="77"/>
      <c r="F45" s="90" t="s">
        <v>61</v>
      </c>
      <c r="G45" s="76"/>
      <c r="H45" s="76"/>
      <c r="I45" s="76"/>
      <c r="J45" s="74"/>
      <c r="K45" s="94"/>
      <c r="L45" s="105" t="s">
        <v>59</v>
      </c>
      <c r="M45" s="99">
        <f>M43*0.19</f>
        <v>171</v>
      </c>
      <c r="N45" s="54"/>
      <c r="O45" s="9"/>
    </row>
    <row r="46" spans="2:15" ht="30" x14ac:dyDescent="0.4">
      <c r="C46" s="101"/>
      <c r="D46" s="3"/>
      <c r="E46" s="78"/>
      <c r="F46" s="115" t="s">
        <v>65</v>
      </c>
      <c r="G46" s="76"/>
      <c r="H46" s="76"/>
      <c r="I46" s="76"/>
      <c r="J46" s="75"/>
      <c r="K46" s="95"/>
      <c r="L46" s="106" t="s">
        <v>25</v>
      </c>
      <c r="M46" s="96">
        <f>M43+M45+M44</f>
        <v>1072</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78" t="s">
        <v>60</v>
      </c>
      <c r="M48" s="178"/>
      <c r="N48" s="54"/>
      <c r="O48" s="9"/>
    </row>
    <row r="49" spans="2:15" ht="30" x14ac:dyDescent="0.4">
      <c r="C49" s="101"/>
      <c r="D49" s="117" t="s">
        <v>67</v>
      </c>
      <c r="E49" s="78"/>
      <c r="F49" s="115"/>
      <c r="G49" s="76"/>
      <c r="H49" s="76"/>
      <c r="I49" s="76"/>
      <c r="J49" s="75"/>
      <c r="K49" s="95"/>
      <c r="L49" s="178"/>
      <c r="M49" s="178"/>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79" t="s">
        <v>68</v>
      </c>
      <c r="D52" s="179"/>
      <c r="E52" s="179"/>
      <c r="F52" s="179"/>
      <c r="G52" s="179"/>
      <c r="H52" s="179"/>
      <c r="I52" s="179"/>
      <c r="J52" s="179"/>
      <c r="K52" s="179"/>
      <c r="L52" s="179"/>
      <c r="M52" s="179"/>
      <c r="N52" s="179"/>
      <c r="O52" s="9"/>
    </row>
    <row r="53" spans="2:15" ht="13.5" customHeight="1" thickTop="1" x14ac:dyDescent="0.2">
      <c r="B53" s="55"/>
      <c r="C53" s="179"/>
      <c r="D53" s="179"/>
      <c r="E53" s="179"/>
      <c r="F53" s="179"/>
      <c r="G53" s="179"/>
      <c r="H53" s="179"/>
      <c r="I53" s="179"/>
      <c r="J53" s="179"/>
      <c r="K53" s="179"/>
      <c r="L53" s="179"/>
      <c r="M53" s="179"/>
      <c r="N53" s="179"/>
      <c r="O53" s="9"/>
    </row>
    <row r="54" spans="2:15" ht="12.75" customHeight="1" x14ac:dyDescent="0.2">
      <c r="B54" s="3"/>
      <c r="C54" s="179"/>
      <c r="D54" s="179"/>
      <c r="E54" s="179"/>
      <c r="F54" s="179"/>
      <c r="G54" s="179"/>
      <c r="H54" s="179"/>
      <c r="I54" s="179"/>
      <c r="J54" s="179"/>
      <c r="K54" s="179"/>
      <c r="L54" s="179"/>
      <c r="M54" s="179"/>
      <c r="N54" s="179"/>
      <c r="O54" s="9"/>
    </row>
    <row r="55" spans="2:15" ht="12.75" customHeight="1" x14ac:dyDescent="0.2">
      <c r="B55" s="102"/>
      <c r="C55" s="179"/>
      <c r="D55" s="179"/>
      <c r="E55" s="179"/>
      <c r="F55" s="179"/>
      <c r="G55" s="179"/>
      <c r="H55" s="179"/>
      <c r="I55" s="179"/>
      <c r="J55" s="179"/>
      <c r="K55" s="179"/>
      <c r="L55" s="179"/>
      <c r="M55" s="179"/>
      <c r="N55" s="179"/>
      <c r="O55" s="9"/>
    </row>
    <row r="56" spans="2:15" ht="12.75" customHeight="1" x14ac:dyDescent="0.2">
      <c r="C56" s="179"/>
      <c r="D56" s="179"/>
      <c r="E56" s="179"/>
      <c r="F56" s="179"/>
      <c r="G56" s="179"/>
      <c r="H56" s="179"/>
      <c r="I56" s="179"/>
      <c r="J56" s="179"/>
      <c r="K56" s="179"/>
      <c r="L56" s="179"/>
      <c r="M56" s="179"/>
      <c r="N56" s="179"/>
    </row>
    <row r="57" spans="2:15" ht="12.75" customHeight="1" x14ac:dyDescent="0.2">
      <c r="C57" s="152"/>
      <c r="D57" s="152"/>
      <c r="E57" s="152"/>
      <c r="F57" s="152"/>
      <c r="G57" s="152"/>
      <c r="H57" s="152"/>
      <c r="I57" s="152"/>
      <c r="J57" s="152"/>
      <c r="K57" s="152"/>
      <c r="L57" s="152"/>
      <c r="M57" s="152"/>
      <c r="N57" s="152"/>
    </row>
    <row r="58" spans="2:15" ht="23.25" x14ac:dyDescent="0.35">
      <c r="C58" s="135"/>
      <c r="D58" s="136"/>
      <c r="E58" s="136"/>
      <c r="F58" s="136"/>
      <c r="G58" s="136"/>
      <c r="H58" s="136"/>
      <c r="I58" s="136"/>
      <c r="J58" s="136"/>
      <c r="K58" s="136"/>
      <c r="L58" s="136"/>
      <c r="M58" s="136"/>
      <c r="N58" s="136"/>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45687</v>
      </c>
      <c r="D8" s="69" t="str">
        <f>Facture!$E$23</f>
        <v>NetMaster Engineering</v>
      </c>
      <c r="E8" s="66">
        <f>Facture!$E$24</f>
        <v>0</v>
      </c>
      <c r="F8" s="66">
        <f>Facture!$E$25</f>
        <v>0</v>
      </c>
      <c r="G8" s="69">
        <f>Facture!$G$25</f>
        <v>0</v>
      </c>
      <c r="H8" s="69" t="str">
        <f>Facture!$J$25</f>
        <v>TN</v>
      </c>
      <c r="I8" s="66">
        <f>Facture!$E$26</f>
        <v>53851055</v>
      </c>
      <c r="J8" s="70">
        <f>Facture!$M$46</f>
        <v>1072</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2025-01-30T12:50:00Z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NetMaster Engineering</vt:lpwstr>
  </property>
  <property fmtid="{D5CDD505-2E9C-101B-9397-08002B2CF9AE}" pid="11" name="Montant de la facture" linkTarget="TOT">
    <vt:r8>1072</vt:r8>
  </property>
</Properties>
</file>