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40" i="3" l="1"/>
  <c r="M42" i="3" l="1"/>
  <c r="M31" i="3" l="1"/>
  <c r="M32" i="3"/>
  <c r="M34" i="3"/>
  <c r="M43" i="3" s="1"/>
  <c r="M45" i="3" s="1"/>
  <c r="M35"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<sst xmlns="http://schemas.openxmlformats.org/spreadsheetml/2006/main" count="87" uniqueCount="79">
  <si>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</si>
  <si>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</si>
  <si>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</si>
  <si>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</si>
  <si>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</si>
  <si>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</si>
  <si>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</si>
  <si>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</si>
  <si>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</si>
  <si>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</si>
  <si>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</si>
  <si>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</si>
  <si>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</si>
  <si>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</si>
  <si>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</si>
  <si>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</si>
  <si>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</si>
  <si>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</si>
  <si>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</si>
  <si>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</si>
  <si>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</si>
  <si>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</si>
  <si>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</si>
  <si>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</si>
  <si>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</si>
  <si>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</si>
  <si>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</si>
  <si>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</si>
  <si>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</si>
  <si>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</si>
  <si>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</si>
  <si>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</si>
  <si>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</si>
  <si>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</si>
  <si>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</si>
  <si>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</si>
  <si>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</si>
  <si>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</si>
  <si>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</si>
  <si>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</si>
  <si>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</si>
  <si>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</si>
  <si>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</si>
  <si>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</si>
  <si>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</si>
  <si>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</si>
  <si>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</si>
  <si>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</si>
  <si>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</si>
  <si>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</si>
  <si>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</si>
  <si>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</si>
  <si>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</si>
  <si>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</si>
  <si>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</si>
  <si>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</si>
  <si>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</si>
  <si>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</si>
  <si>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</si>
  <si>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</si>
  <si>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</si>
  <si>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</si>
  <si>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</si>
  <si>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</si>
  <si>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</si>
  <si>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</si>
  <si>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</si>
  <si>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</si>
  <si>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</si>
  <si>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</si>
  <si>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</si>
  <si>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</si>
  <si>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</si>
  <si>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</si>
  <si>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</si>
  <si>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2 jours </t>
  </si>
  <si>
    <t>700 dt par personne</t>
  </si>
  <si>
    <t xml:space="preserve">Techniques de soudure et protection du soudeur </t>
  </si>
  <si>
    <t>DEVIS N°2025-398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</si>
</sst>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2" t="s">
        <v>78</v>
      </c>
      <c r="M15" s="162"/>
      <c r="N15" s="3"/>
      <c r="O15" s="9"/>
    </row>
    <row r="16" spans="2:15" x14ac:dyDescent="0.2">
      <c r="B16" s="7"/>
      <c r="C16" s="3"/>
      <c r="D16" s="3"/>
      <c r="E16" s="3"/>
      <c r="F16" s="3"/>
      <c r="G16" s="3"/>
      <c r="H16" s="3"/>
      <c r="I16" s="3"/>
      <c r="J16" s="3"/>
      <c r="K16" s="105"/>
      <c r="L16" s="162"/>
      <c r="M16" s="162"/>
      <c r="N16" s="3"/>
      <c r="O16" s="9"/>
    </row>
    <row r="17" spans="1:15" ht="12.75" customHeight="1" x14ac:dyDescent="0.2">
      <c r="B17" s="7"/>
      <c r="C17" s="3"/>
      <c r="D17" s="3"/>
      <c r="E17" s="3"/>
      <c r="F17" s="3"/>
      <c r="G17" s="3"/>
      <c r="H17" s="3"/>
      <c r="I17" s="3"/>
      <c r="J17" s="3"/>
      <c r="K17" s="105"/>
      <c r="L17" s="162"/>
      <c r="M17" s="162"/>
      <c r="N17" s="3"/>
      <c r="O17" s="9"/>
    </row>
    <row r="18" spans="1:15" ht="12.75" customHeight="1" x14ac:dyDescent="0.2">
      <c r="B18" s="7"/>
      <c r="C18" s="3"/>
      <c r="D18" s="174"/>
      <c r="E18" s="174"/>
      <c r="F18" s="174"/>
      <c r="G18" s="174"/>
      <c r="H18" s="174"/>
      <c r="I18" s="3"/>
      <c r="J18" s="3"/>
      <c r="K18" s="105"/>
      <c r="L18" s="162"/>
      <c r="M18" s="162"/>
      <c r="N18" s="3"/>
      <c r="O18" s="9"/>
    </row>
    <row r="19" spans="1:15" ht="20.100000000000001" customHeight="1" thickBot="1" x14ac:dyDescent="0.25">
      <c r="B19" s="7"/>
      <c r="C19" s="3"/>
      <c r="D19" s="175"/>
      <c r="E19" s="175"/>
      <c r="F19" s="175"/>
      <c r="G19" s="175"/>
      <c r="H19" s="175"/>
      <c r="I19" s="3"/>
      <c r="J19" s="3"/>
      <c r="K19" s="105"/>
      <c r="L19" s="162"/>
      <c r="M19" s="16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3" t="s">
        <v>70</v>
      </c>
      <c r="F23" s="164"/>
      <c r="G23" s="164"/>
      <c r="H23" s="164"/>
      <c r="I23" s="164"/>
      <c r="J23" s="164"/>
      <c r="K23" s="122" t="s">
        <v>57</v>
      </c>
      <c r="L23" s="107">
        <v>45964</v>
      </c>
      <c r="M23" s="109"/>
      <c r="N23" s="55"/>
      <c r="O23" s="9"/>
    </row>
    <row r="24" spans="1:15" ht="27" x14ac:dyDescent="0.35">
      <c r="B24" s="7"/>
      <c r="C24" s="3"/>
      <c r="D24" s="125" t="s">
        <v>53</v>
      </c>
      <c r="E24" s="171" t="s">
        <v>71</v>
      </c>
      <c r="F24" s="171"/>
      <c r="G24" s="171"/>
      <c r="H24" s="172"/>
      <c r="I24" s="172"/>
      <c r="J24" s="172"/>
      <c r="K24" s="176" t="s">
        <v>66</v>
      </c>
      <c r="L24" s="176"/>
      <c r="M24" s="176"/>
      <c r="N24" s="56"/>
      <c r="O24" s="9"/>
    </row>
    <row r="25" spans="1:15" ht="27.75" x14ac:dyDescent="0.4">
      <c r="B25" s="7"/>
      <c r="C25" s="3"/>
      <c r="D25" s="125" t="s">
        <v>59</v>
      </c>
      <c r="E25" s="147">
        <v>2051</v>
      </c>
      <c r="F25" s="110" t="s">
        <v>51</v>
      </c>
      <c r="G25" s="165"/>
      <c r="H25" s="165"/>
      <c r="I25" s="117" t="s">
        <v>55</v>
      </c>
      <c r="J25" s="111" t="s">
        <v>56</v>
      </c>
      <c r="K25" s="122" t="s">
        <v>74</v>
      </c>
      <c r="L25" s="137"/>
      <c r="M25" s="138"/>
      <c r="N25" s="3"/>
      <c r="O25" s="9"/>
    </row>
    <row r="26" spans="1:15" ht="27.75" customHeight="1" x14ac:dyDescent="0.4">
      <c r="A26">
        <v>71</v>
      </c>
      <c r="B26" s="7"/>
      <c r="C26" s="3"/>
      <c r="D26" s="125" t="s">
        <v>54</v>
      </c>
      <c r="E26" s="169" t="s">
        <v>72</v>
      </c>
      <c r="F26" s="170"/>
      <c r="G26" s="170"/>
      <c r="H26" s="170"/>
      <c r="I26" s="170"/>
      <c r="J26" s="170"/>
      <c r="K26" s="122" t="s">
        <v>63</v>
      </c>
      <c r="L26" s="173" t="s">
        <v>73</v>
      </c>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66" t="s">
        <v>21</v>
      </c>
      <c r="G30" s="167"/>
      <c r="H30" s="167"/>
      <c r="I30" s="167"/>
      <c r="J30" s="167"/>
      <c r="K30" s="168"/>
      <c r="L30" s="95" t="s">
        <v>22</v>
      </c>
      <c r="M30" s="96" t="s">
        <v>23</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36"/>
      <c r="E32" s="97"/>
      <c r="F32" s="180" t="s">
        <v>58</v>
      </c>
      <c r="G32" s="181"/>
      <c r="H32" s="181"/>
      <c r="I32" s="181"/>
      <c r="J32" s="181"/>
      <c r="K32" s="18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83" t="s">
        <v>77</v>
      </c>
      <c r="G34" s="184"/>
      <c r="H34" s="184"/>
      <c r="I34" s="184"/>
      <c r="J34" s="184"/>
      <c r="K34" s="185"/>
      <c r="L34" s="101">
        <v>700</v>
      </c>
      <c r="M34" s="102">
        <f>IF(E34&lt;&gt;"",E34*L34,"")</f>
        <v>700</v>
      </c>
      <c r="N34" s="57"/>
      <c r="O34" s="9"/>
    </row>
    <row r="35" spans="2:15" ht="26.25" x14ac:dyDescent="0.4">
      <c r="B35" s="7"/>
      <c r="C35" s="3"/>
      <c r="D35" s="151"/>
      <c r="E35" s="100"/>
      <c r="F35" s="149" t="s">
        <v>75</v>
      </c>
      <c r="G35" s="103"/>
      <c r="H35" s="103"/>
      <c r="I35" s="103"/>
      <c r="J35" s="103"/>
      <c r="K35" s="104"/>
      <c r="L35" s="101"/>
      <c r="M35" s="102" t="str">
        <f>IF(E35&lt;&gt;"",E35*L35,"")</f>
        <v/>
      </c>
      <c r="N35" s="57"/>
      <c r="O35" s="9"/>
    </row>
    <row r="36" spans="2:15" ht="26.25" x14ac:dyDescent="0.4">
      <c r="B36" s="7"/>
      <c r="C36" s="3"/>
      <c r="D36" s="151"/>
      <c r="E36" s="100"/>
      <c r="F36" s="149" t="s">
        <v>76</v>
      </c>
      <c r="G36" s="103"/>
      <c r="H36" s="103"/>
      <c r="I36" s="103"/>
      <c r="J36" s="103"/>
      <c r="K36" s="104"/>
      <c r="L36" s="101"/>
      <c r="M36" s="102"/>
      <c r="N36" s="57"/>
      <c r="O36" s="9"/>
    </row>
    <row r="37" spans="2:15" ht="26.25" x14ac:dyDescent="0.4">
      <c r="B37" s="7"/>
      <c r="C37" s="3"/>
      <c r="D37" s="132"/>
      <c r="E37" s="100"/>
      <c r="F37" s="183"/>
      <c r="G37" s="184"/>
      <c r="H37" s="184"/>
      <c r="I37" s="184"/>
      <c r="J37" s="184"/>
      <c r="K37" s="185"/>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1"/>
      <c r="G42" s="192"/>
      <c r="H42" s="192"/>
      <c r="I42" s="192"/>
      <c r="J42" s="192"/>
      <c r="K42" s="193"/>
      <c r="L42" s="68"/>
      <c r="M42" s="102" t="str">
        <f t="shared" si="0"/>
        <v/>
      </c>
      <c r="N42" s="57"/>
      <c r="O42" s="9"/>
    </row>
    <row r="43" spans="2:15" ht="30" x14ac:dyDescent="0.4">
      <c r="B43" s="7"/>
      <c r="C43" s="3"/>
      <c r="D43" s="118"/>
      <c r="E43" s="83"/>
      <c r="F43" s="83"/>
      <c r="G43" s="83"/>
      <c r="H43" s="83"/>
      <c r="I43" s="83"/>
      <c r="J43" s="77"/>
      <c r="K43" s="112"/>
      <c r="L43" s="130" t="s">
        <v>24</v>
      </c>
      <c r="M43" s="116">
        <f>SUM(M33:M42)</f>
        <v>700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08" t="s">
        <v>62</v>
      </c>
      <c r="G45" s="83"/>
      <c r="H45" s="83"/>
      <c r="I45" s="83"/>
      <c r="J45" s="78"/>
      <c r="K45" s="113"/>
      <c r="L45" s="128" t="s">
        <v>60</v>
      </c>
      <c r="M45" s="119">
        <f>M43*0.19</f>
        <v>133</v>
      </c>
      <c r="N45" s="57"/>
      <c r="O45" s="9"/>
    </row>
    <row r="46" spans="2:15" ht="30" x14ac:dyDescent="0.4">
      <c r="B46" s="7"/>
      <c r="C46" s="3"/>
      <c r="D46" s="3"/>
      <c r="E46" s="86"/>
      <c r="F46" s="108" t="s">
        <v>67</v>
      </c>
      <c r="G46" s="145"/>
      <c r="H46" s="148"/>
      <c r="I46" s="148"/>
      <c r="J46" s="79"/>
      <c r="K46" s="112"/>
      <c r="L46" s="129" t="s">
        <v>26</v>
      </c>
      <c r="M46" s="116">
        <f>M43+M45+M44</f>
        <v>834</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3"/>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8" t="s">
        <v>61</v>
      </c>
      <c r="M49" s="198"/>
      <c r="N49" s="57"/>
      <c r="O49" s="9"/>
    </row>
    <row r="50" spans="1:15" ht="18.75" x14ac:dyDescent="0.3">
      <c r="B50" s="7"/>
      <c r="C50" s="3"/>
      <c r="D50" s="140"/>
      <c r="E50" s="140"/>
      <c r="F50" s="140"/>
      <c r="G50" s="140"/>
      <c r="H50" s="140"/>
      <c r="I50" s="140"/>
      <c r="J50" s="140"/>
      <c r="K50" s="140"/>
      <c r="L50" s="198"/>
      <c r="M50" s="198"/>
      <c r="N50" s="57"/>
      <c r="O50" s="9"/>
    </row>
    <row r="51" spans="1:15" ht="30" x14ac:dyDescent="0.4">
      <c r="B51" s="7"/>
      <c r="C51" s="3"/>
      <c r="D51" s="3"/>
      <c r="E51" s="88"/>
      <c r="F51" s="189"/>
      <c r="G51" s="189"/>
      <c r="H51" s="189"/>
      <c r="I51" s="190"/>
      <c r="J51" s="81"/>
      <c r="K51" s="115"/>
      <c r="L51" s="123"/>
      <c r="M51" s="121"/>
      <c r="N51" s="57"/>
      <c r="O51" s="9"/>
    </row>
    <row r="52" spans="1:15" ht="18" x14ac:dyDescent="0.2">
      <c r="B52" s="7"/>
      <c r="C52" s="123"/>
      <c r="D52" s="3"/>
      <c r="E52" s="88"/>
      <c r="F52" s="194"/>
      <c r="G52" s="195"/>
      <c r="H52" s="195"/>
      <c r="I52" s="195"/>
      <c r="J52" s="77"/>
      <c r="K52" s="77"/>
      <c r="L52" s="121"/>
      <c r="M52" s="121"/>
      <c r="N52" s="57"/>
      <c r="O52" s="9"/>
    </row>
    <row r="53" spans="1:15" ht="18" x14ac:dyDescent="0.2">
      <c r="B53" s="7"/>
      <c r="C53" s="3"/>
      <c r="D53" s="3"/>
      <c r="E53" s="20"/>
      <c r="F53" s="196"/>
      <c r="G53" s="197"/>
      <c r="H53" s="197"/>
      <c r="I53" s="197"/>
      <c r="J53" s="77"/>
      <c r="K53" s="121"/>
      <c r="L53" s="121"/>
      <c r="M53" s="121"/>
      <c r="N53" s="57"/>
      <c r="O53" s="9"/>
    </row>
    <row r="54" spans="1:15" ht="18.75" thickBot="1" x14ac:dyDescent="0.25">
      <c r="C54" s="123"/>
      <c r="D54" s="3"/>
      <c r="E54" s="20"/>
      <c r="F54" s="126"/>
      <c r="G54" s="187"/>
      <c r="H54" s="188"/>
      <c r="I54" s="188"/>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6" t="s">
        <v>64</v>
      </c>
      <c r="D60" s="186"/>
      <c r="E60" s="186"/>
      <c r="F60" s="186"/>
      <c r="G60" s="186"/>
      <c r="H60" s="186"/>
      <c r="I60" s="186"/>
      <c r="J60" s="186"/>
      <c r="K60" s="186"/>
      <c r="L60" s="186"/>
      <c r="M60" s="186"/>
      <c r="N60" s="186"/>
      <c r="O60" s="146"/>
    </row>
    <row r="61" spans="1:15" ht="24.95" customHeight="1" x14ac:dyDescent="0.2">
      <c r="A61" s="3"/>
      <c r="B61" s="124"/>
      <c r="C61" s="186"/>
      <c r="D61" s="186"/>
      <c r="E61" s="186"/>
      <c r="F61" s="186"/>
      <c r="G61" s="186"/>
      <c r="H61" s="186"/>
      <c r="I61" s="186"/>
      <c r="J61" s="186"/>
      <c r="K61" s="186"/>
      <c r="L61" s="186"/>
      <c r="M61" s="186"/>
      <c r="N61" s="186"/>
      <c r="O61" s="144"/>
    </row>
    <row r="62" spans="1:15" ht="12.75" customHeight="1" x14ac:dyDescent="0.2">
      <c r="A62" s="123"/>
      <c r="B62" s="3"/>
      <c r="C62" s="186"/>
      <c r="D62" s="186"/>
      <c r="E62" s="186"/>
      <c r="F62" s="186"/>
      <c r="G62" s="186"/>
      <c r="H62" s="186"/>
      <c r="I62" s="186"/>
      <c r="J62" s="186"/>
      <c r="K62" s="186"/>
      <c r="L62" s="186"/>
      <c r="M62" s="186"/>
      <c r="N62" s="186"/>
      <c r="O62" s="144"/>
    </row>
    <row r="63" spans="1:15" ht="12.75" customHeight="1" x14ac:dyDescent="0.2">
      <c r="A63" s="124"/>
      <c r="B63" s="3"/>
      <c r="C63" s="186"/>
      <c r="D63" s="186"/>
      <c r="E63" s="186"/>
      <c r="F63" s="186"/>
      <c r="G63" s="186"/>
      <c r="H63" s="186"/>
      <c r="I63" s="186"/>
      <c r="J63" s="186"/>
      <c r="K63" s="186"/>
      <c r="L63" s="186"/>
      <c r="M63" s="186"/>
      <c r="N63" s="186"/>
      <c r="O63" s="144"/>
    </row>
    <row r="64" spans="1:15" ht="12.75" customHeight="1" thickBot="1" x14ac:dyDescent="0.25">
      <c r="A64" s="3"/>
      <c r="B64" s="141"/>
      <c r="C64" s="186"/>
      <c r="D64" s="186"/>
      <c r="E64" s="186"/>
      <c r="F64" s="186"/>
      <c r="G64" s="186"/>
      <c r="H64" s="186"/>
      <c r="I64" s="186"/>
      <c r="J64" s="186"/>
      <c r="K64" s="186"/>
      <c r="L64" s="186"/>
      <c r="M64" s="186"/>
      <c r="N64" s="186"/>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45964</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834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2025-11-03T07:52:12Z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834</vt:r8>
  </property>
</Properties>
</file>