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0" i="3" l="1"/>
  <c r="L42" i="3"/>
  <c r="L45" i="3"/>
  <c r="L47" i="3"/>
  <c r="L38"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<sst xmlns="http://schemas.openxmlformats.org/spreadsheetml/2006/main" count="92" uniqueCount="83">
  <si>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</si>
  <si>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</si>
  <si>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</si>
  <si>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</si>
  <si>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</si>
  <si>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</si>
  <si>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</si>
  <si>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</si>
  <si>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</si>
  <si>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</si>
  <si>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</si>
  <si>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</si>
  <si>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</si>
  <si>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</si>
  <si>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</si>
  <si>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</si>
  <si>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</si>
  <si>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</si>
  <si>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</si>
  <si>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</si>
  <si>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</si>
  <si>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</si>
  <si>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</si>
  <si>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</si>
  <si>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</si>
  <si>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</si>
  <si>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</si>
  <si>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</si>
  <si>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</si>
  <si>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</si>
  <si>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</si>
  <si>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</si>
  <si>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</si>
  <si>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</si>
  <si>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</si>
  <si>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</si>
  <si>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</si>
  <si>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</si>
  <si>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</si>
  <si>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</si>
  <si>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</si>
  <si>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</si>
  <si>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</si>
  <si>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</si>
  <si>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</si>
  <si>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</si>
  <si>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</si>
  <si>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</si>
  <si>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</si>
  <si>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</si>
  <si>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</si>
  <si>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</si>
  <si>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</si>
  <si>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</si>
  <si>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</si>
  <si>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</si>
  <si>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</si>
  <si>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</si>
  <si>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</si>
  <si>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</si>
  <si>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</si>
  <si>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</si>
  <si>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</si>
  <si>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</si>
  <si>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</si>
  <si>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</si>
  <si>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</si>
  <si>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</si>
  <si>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</si>
  <si>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</si>
  <si>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</si>
  <si>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     Responsable:         Mlle Nouha</t>
  </si>
  <si>
    <t>SUR LES THEMES:</t>
  </si>
  <si>
    <t>Prix par participant</t>
  </si>
  <si>
    <t>Formateurs de renommé et  Agrées CNFCPP</t>
  </si>
  <si>
    <t>Attestation de formation sous forme d'Habilitation technique reconnue à l'intarnational</t>
  </si>
  <si>
    <t>secourisme  1j</t>
  </si>
  <si>
    <t>Incendie 1j</t>
  </si>
  <si>
    <t>Devis   N°2025-708</t>
  </si>
  <si>
    <r>
      <rPr>
        <sz val="18"/>
        <color theme="1"/>
        <rFont val="Arial"/>
        <family val="2"/>
      </rPr>
      <t>Enquête et analyse des accidents d</t>
    </r>
    <r>
      <rPr>
        <sz val="20"/>
        <color theme="1"/>
        <rFont val="Arial"/>
        <family val="2"/>
      </rPr>
      <t xml:space="preserve">e travail 1j </t>
    </r>
  </si>
  <si>
    <t xml:space="preserve">Rôle de superviseur de prévention </t>
  </si>
  <si>
    <t>Analyse  et  evaluation des risques  1j</t>
  </si>
  <si>
    <t>(contrôle,  permis de travail , sensibilisation) 1j</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</si>
</sst>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25"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6" zoomScale="55" zoomScaleNormal="55" workbookViewId="0">
      <selection activeCell="R51" sqref="R5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8" t="s">
        <v>78</v>
      </c>
      <c r="L15" s="178"/>
      <c r="M15" s="3"/>
      <c r="N15" s="9"/>
    </row>
    <row r="16" spans="1:14" x14ac:dyDescent="0.2">
      <c r="A16" s="7"/>
      <c r="B16" s="3"/>
      <c r="C16" s="3"/>
      <c r="D16" s="3"/>
      <c r="E16" s="3"/>
      <c r="F16" s="3"/>
      <c r="G16" s="3"/>
      <c r="H16" s="3"/>
      <c r="I16" s="3"/>
      <c r="J16" s="105"/>
      <c r="K16" s="178"/>
      <c r="L16" s="178"/>
      <c r="M16" s="3"/>
      <c r="N16" s="9"/>
    </row>
    <row r="17" spans="1:14" ht="12.75" customHeight="1" x14ac:dyDescent="0.2">
      <c r="A17" s="7"/>
      <c r="B17" s="3"/>
      <c r="C17" s="3"/>
      <c r="D17" s="3"/>
      <c r="E17" s="3"/>
      <c r="F17" s="3"/>
      <c r="G17" s="3"/>
      <c r="H17" s="3"/>
      <c r="I17" s="3"/>
      <c r="J17" s="105"/>
      <c r="K17" s="178"/>
      <c r="L17" s="178"/>
      <c r="M17" s="3"/>
      <c r="N17" s="9"/>
    </row>
    <row r="18" spans="1:14" ht="12.75" customHeight="1" x14ac:dyDescent="0.2">
      <c r="A18" s="7"/>
      <c r="B18" s="3"/>
      <c r="C18" s="190"/>
      <c r="D18" s="190"/>
      <c r="E18" s="190"/>
      <c r="F18" s="190"/>
      <c r="G18" s="190"/>
      <c r="H18" s="3"/>
      <c r="I18" s="3"/>
      <c r="J18" s="105"/>
      <c r="K18" s="178"/>
      <c r="L18" s="178"/>
      <c r="M18" s="3"/>
      <c r="N18" s="9"/>
    </row>
    <row r="19" spans="1:14" ht="20.100000000000001" customHeight="1" thickBot="1" x14ac:dyDescent="0.25">
      <c r="A19" s="7"/>
      <c r="B19" s="3"/>
      <c r="C19" s="191"/>
      <c r="D19" s="191"/>
      <c r="E19" s="191"/>
      <c r="F19" s="191"/>
      <c r="G19" s="191"/>
      <c r="H19" s="3"/>
      <c r="I19" s="3"/>
      <c r="J19" s="105"/>
      <c r="K19" s="178"/>
      <c r="L19" s="17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9" t="s">
        <v>50</v>
      </c>
      <c r="E23" s="180"/>
      <c r="F23" s="180"/>
      <c r="G23" s="180"/>
      <c r="H23" s="180"/>
      <c r="I23" s="180"/>
      <c r="J23" s="122" t="s">
        <v>57</v>
      </c>
      <c r="K23" s="107">
        <v>45818</v>
      </c>
      <c r="L23" s="109"/>
      <c r="M23" s="55"/>
      <c r="N23" s="9"/>
    </row>
    <row r="24" spans="1:14" ht="27" x14ac:dyDescent="0.35">
      <c r="A24" s="7"/>
      <c r="B24" s="3"/>
      <c r="C24" s="125" t="s">
        <v>53</v>
      </c>
      <c r="D24" s="187"/>
      <c r="E24" s="187"/>
      <c r="F24" s="187"/>
      <c r="G24" s="188"/>
      <c r="H24" s="188"/>
      <c r="I24" s="188"/>
      <c r="J24" s="207" t="s">
        <v>70</v>
      </c>
      <c r="K24" s="207"/>
      <c r="L24" s="207"/>
      <c r="M24" s="56"/>
      <c r="N24" s="9"/>
    </row>
    <row r="25" spans="1:14" ht="27.75" x14ac:dyDescent="0.4">
      <c r="A25" s="7"/>
      <c r="B25" s="3"/>
      <c r="C25" s="125" t="s">
        <v>59</v>
      </c>
      <c r="D25" s="143"/>
      <c r="E25" s="110" t="s">
        <v>51</v>
      </c>
      <c r="F25" s="181"/>
      <c r="G25" s="181"/>
      <c r="H25" s="117" t="s">
        <v>55</v>
      </c>
      <c r="I25" s="111" t="s">
        <v>56</v>
      </c>
      <c r="J25" s="122" t="s">
        <v>71</v>
      </c>
      <c r="K25" s="133"/>
      <c r="L25" s="134"/>
      <c r="M25" s="3"/>
      <c r="N25" s="9"/>
    </row>
    <row r="26" spans="1:14" ht="27.75" customHeight="1" x14ac:dyDescent="0.4">
      <c r="A26" s="7"/>
      <c r="B26" s="3"/>
      <c r="C26" s="125" t="s">
        <v>54</v>
      </c>
      <c r="D26" s="185"/>
      <c r="E26" s="186"/>
      <c r="F26" s="186"/>
      <c r="G26" s="186"/>
      <c r="H26" s="186"/>
      <c r="I26" s="186"/>
      <c r="J26" s="122" t="s">
        <v>63</v>
      </c>
      <c r="K26" s="189"/>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2" t="s">
        <v>21</v>
      </c>
      <c r="F30" s="183"/>
      <c r="G30" s="183"/>
      <c r="H30" s="183"/>
      <c r="I30" s="183"/>
      <c r="J30" s="184"/>
      <c r="K30" s="95" t="s">
        <v>22</v>
      </c>
      <c r="L30" s="96" t="s">
        <v>23</v>
      </c>
      <c r="M30" s="57"/>
      <c r="N30" s="9"/>
    </row>
    <row r="31" spans="1:14" ht="18.75" x14ac:dyDescent="0.3">
      <c r="A31" s="7"/>
      <c r="B31" s="3"/>
      <c r="C31" s="67"/>
      <c r="D31" s="53"/>
      <c r="E31" s="208"/>
      <c r="F31" s="209"/>
      <c r="G31" s="209"/>
      <c r="H31" s="209"/>
      <c r="I31" s="209"/>
      <c r="J31" s="210"/>
      <c r="K31" s="93"/>
      <c r="L31" s="94" t="str">
        <f>IF(D31&lt;&gt;"",D31*K31,"")</f>
        <v/>
      </c>
      <c r="M31" s="57"/>
      <c r="N31" s="9"/>
    </row>
    <row r="32" spans="1:14" ht="26.25" x14ac:dyDescent="0.4">
      <c r="A32" s="7"/>
      <c r="B32" s="3"/>
      <c r="C32" s="132"/>
      <c r="D32" s="97"/>
      <c r="E32" s="204" t="s">
        <v>58</v>
      </c>
      <c r="F32" s="205"/>
      <c r="G32" s="205"/>
      <c r="H32" s="205"/>
      <c r="I32" s="205"/>
      <c r="J32" s="206"/>
      <c r="K32" s="98"/>
      <c r="L32" s="99" t="str">
        <f>IF(D32&lt;&gt;"",D32*K32,"")</f>
        <v/>
      </c>
      <c r="M32" s="57"/>
      <c r="N32" s="9"/>
    </row>
    <row r="33" spans="1:14" ht="25.5" x14ac:dyDescent="0.35">
      <c r="A33" s="7"/>
      <c r="B33" s="3"/>
      <c r="C33" s="67"/>
      <c r="D33" s="100"/>
      <c r="E33" s="204" t="s">
        <v>72</v>
      </c>
      <c r="F33" s="205"/>
      <c r="G33" s="205"/>
      <c r="H33" s="205"/>
      <c r="I33" s="205"/>
      <c r="J33" s="206"/>
      <c r="K33" s="101"/>
      <c r="L33" s="102"/>
      <c r="M33" s="57"/>
      <c r="N33" s="9"/>
    </row>
    <row r="34" spans="1:14" ht="26.25" x14ac:dyDescent="0.4">
      <c r="A34" s="7"/>
      <c r="B34" s="3"/>
      <c r="C34" s="131"/>
      <c r="D34" s="100"/>
      <c r="E34" s="192"/>
      <c r="F34" s="193"/>
      <c r="G34" s="193"/>
      <c r="H34" s="193"/>
      <c r="I34" s="193"/>
      <c r="J34" s="194"/>
      <c r="K34" s="101"/>
      <c r="L34" s="102"/>
      <c r="M34" s="57"/>
      <c r="N34" s="9"/>
    </row>
    <row r="35" spans="1:14" ht="25.5" x14ac:dyDescent="0.35">
      <c r="A35" s="7"/>
      <c r="B35" s="3"/>
      <c r="C35" s="131"/>
      <c r="D35" s="100"/>
      <c r="E35" s="195"/>
      <c r="F35" s="196"/>
      <c r="G35" s="196"/>
      <c r="H35" s="196"/>
      <c r="I35" s="196"/>
      <c r="J35" s="197"/>
      <c r="K35" s="101"/>
      <c r="L35" s="101"/>
      <c r="M35" s="57"/>
      <c r="N35" s="9"/>
    </row>
    <row r="36" spans="1:14" ht="25.5" x14ac:dyDescent="0.35">
      <c r="A36" s="7"/>
      <c r="B36" s="3"/>
      <c r="C36" s="131"/>
      <c r="D36" s="100"/>
      <c r="E36" s="158"/>
      <c r="F36" s="159"/>
      <c r="G36" s="159"/>
      <c r="H36" s="159"/>
      <c r="I36" s="159"/>
      <c r="J36" s="160"/>
      <c r="K36" s="101"/>
      <c r="L36" s="101"/>
      <c r="M36" s="57"/>
      <c r="N36" s="9"/>
    </row>
    <row r="37" spans="1:14" ht="25.5" x14ac:dyDescent="0.35">
      <c r="A37" s="7"/>
      <c r="B37" s="3"/>
      <c r="C37" s="131"/>
      <c r="D37" s="100"/>
      <c r="E37" s="201"/>
      <c r="F37" s="202"/>
      <c r="G37" s="202"/>
      <c r="H37" s="202"/>
      <c r="I37" s="202"/>
      <c r="J37" s="203"/>
      <c r="K37" s="101"/>
      <c r="L37" s="101"/>
      <c r="M37" s="57"/>
      <c r="N37" s="9"/>
    </row>
    <row r="38" spans="1:14" ht="25.5" x14ac:dyDescent="0.35">
      <c r="A38" s="7"/>
      <c r="B38" s="3"/>
      <c r="C38" s="131"/>
      <c r="D38" s="100">
        <v>1</v>
      </c>
      <c r="E38" s="201" t="s">
        <v>81</v>
      </c>
      <c r="F38" s="202"/>
      <c r="G38" s="202"/>
      <c r="H38" s="202"/>
      <c r="I38" s="202"/>
      <c r="J38" s="203"/>
      <c r="K38" s="135">
        <v>237.5</v>
      </c>
      <c r="L38" s="101">
        <f>K38*D38</f>
        <v>237.5</v>
      </c>
      <c r="M38" s="57"/>
      <c r="N38" s="9"/>
    </row>
    <row r="39" spans="1:14" ht="25.5" x14ac:dyDescent="0.35">
      <c r="A39" s="7"/>
      <c r="B39" s="3"/>
      <c r="C39" s="131"/>
      <c r="D39" s="100"/>
      <c r="E39" s="155"/>
      <c r="F39" s="162"/>
      <c r="G39" s="162"/>
      <c r="H39" s="162"/>
      <c r="I39" s="162"/>
      <c r="J39" s="163"/>
      <c r="K39" s="101"/>
      <c r="L39" s="101"/>
      <c r="M39" s="57"/>
      <c r="N39" s="9"/>
    </row>
    <row r="40" spans="1:14" ht="25.5" x14ac:dyDescent="0.35">
      <c r="A40" s="7"/>
      <c r="B40" s="3"/>
      <c r="C40" s="131"/>
      <c r="D40" s="100">
        <v>1</v>
      </c>
      <c r="E40" s="201" t="s">
        <v>79</v>
      </c>
      <c r="F40" s="202"/>
      <c r="G40" s="202"/>
      <c r="H40" s="202"/>
      <c r="I40" s="202"/>
      <c r="J40" s="203"/>
      <c r="K40" s="101">
        <v>237.25</v>
      </c>
      <c r="L40" s="101">
        <f t="shared" ref="L40:L47" si="0">K40*D40</f>
        <v>237.25</v>
      </c>
      <c r="M40" s="57"/>
      <c r="N40" s="9"/>
    </row>
    <row r="41" spans="1:14" ht="25.5" x14ac:dyDescent="0.35">
      <c r="A41" s="7"/>
      <c r="B41" s="3"/>
      <c r="C41" s="131"/>
      <c r="D41" s="100"/>
      <c r="E41" s="211"/>
      <c r="F41" s="212"/>
      <c r="G41" s="212"/>
      <c r="H41" s="212"/>
      <c r="I41" s="212"/>
      <c r="J41" s="213"/>
      <c r="K41" s="101"/>
      <c r="L41" s="101"/>
      <c r="M41" s="57"/>
      <c r="N41" s="9"/>
    </row>
    <row r="42" spans="1:14" ht="25.5" x14ac:dyDescent="0.35">
      <c r="A42" s="7"/>
      <c r="B42" s="3"/>
      <c r="C42" s="131"/>
      <c r="D42" s="100">
        <v>1</v>
      </c>
      <c r="E42" s="211" t="s">
        <v>80</v>
      </c>
      <c r="F42" s="212"/>
      <c r="G42" s="212"/>
      <c r="H42" s="212"/>
      <c r="I42" s="212"/>
      <c r="J42" s="213"/>
      <c r="K42" s="101">
        <v>237.5</v>
      </c>
      <c r="L42" s="101">
        <f t="shared" si="0"/>
        <v>237.5</v>
      </c>
      <c r="M42" s="57"/>
      <c r="N42" s="9"/>
    </row>
    <row r="43" spans="1:14" ht="25.5" x14ac:dyDescent="0.35">
      <c r="A43" s="7"/>
      <c r="B43" s="3"/>
      <c r="C43" s="131"/>
      <c r="D43" s="100"/>
      <c r="E43" s="164" t="s">
        <v>82</v>
      </c>
      <c r="F43" s="153"/>
      <c r="G43" s="153"/>
      <c r="H43" s="153"/>
      <c r="I43" s="153"/>
      <c r="J43" s="154"/>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v>1</v>
      </c>
      <c r="E45" s="152" t="s">
        <v>76</v>
      </c>
      <c r="F45" s="153"/>
      <c r="G45" s="153"/>
      <c r="H45" s="153"/>
      <c r="I45" s="153"/>
      <c r="J45" s="154"/>
      <c r="K45" s="135">
        <v>237.5</v>
      </c>
      <c r="L45" s="101">
        <f t="shared" si="0"/>
        <v>237.5</v>
      </c>
      <c r="M45" s="57"/>
      <c r="N45" s="9"/>
    </row>
    <row r="46" spans="1:14" ht="25.5" x14ac:dyDescent="0.35">
      <c r="A46" s="7"/>
      <c r="B46" s="3"/>
      <c r="C46" s="131"/>
      <c r="D46" s="100"/>
      <c r="E46" s="214"/>
      <c r="F46" s="215"/>
      <c r="G46" s="215"/>
      <c r="H46" s="215"/>
      <c r="I46" s="215"/>
      <c r="J46" s="216"/>
      <c r="K46" s="135"/>
      <c r="L46" s="101"/>
      <c r="M46" s="57"/>
      <c r="N46" s="9"/>
    </row>
    <row r="47" spans="1:14" ht="25.5" x14ac:dyDescent="0.35">
      <c r="A47" s="7"/>
      <c r="B47" s="3"/>
      <c r="C47" s="131"/>
      <c r="D47" s="100">
        <v>1</v>
      </c>
      <c r="E47" s="155" t="s">
        <v>77</v>
      </c>
      <c r="F47" s="156"/>
      <c r="G47" s="156"/>
      <c r="H47" s="156"/>
      <c r="I47" s="156"/>
      <c r="J47" s="157"/>
      <c r="K47" s="135">
        <v>237.5</v>
      </c>
      <c r="L47" s="101">
        <f t="shared" si="0"/>
        <v>237.5</v>
      </c>
      <c r="M47" s="57"/>
      <c r="N47" s="9"/>
    </row>
    <row r="48" spans="1:14" ht="25.5" x14ac:dyDescent="0.35">
      <c r="A48" s="7"/>
      <c r="B48" s="3"/>
      <c r="C48" s="131"/>
      <c r="D48" s="100"/>
      <c r="E48" s="214"/>
      <c r="F48" s="215"/>
      <c r="G48" s="215"/>
      <c r="H48" s="215"/>
      <c r="I48" s="215"/>
      <c r="J48" s="216"/>
      <c r="K48" s="135"/>
      <c r="L48" s="101"/>
      <c r="M48" s="57"/>
      <c r="N48" s="9"/>
    </row>
    <row r="49" spans="1:14" ht="25.5" x14ac:dyDescent="0.35">
      <c r="A49" s="7"/>
      <c r="B49" s="3"/>
      <c r="C49" s="131"/>
      <c r="D49" s="100"/>
      <c r="E49" s="155"/>
      <c r="F49" s="156"/>
      <c r="G49" s="156"/>
      <c r="H49" s="156"/>
      <c r="I49" s="156"/>
      <c r="J49" s="157"/>
      <c r="K49" s="135"/>
      <c r="L49" s="101"/>
      <c r="M49" s="57"/>
      <c r="N49" s="9"/>
    </row>
    <row r="50" spans="1:14" ht="26.25" x14ac:dyDescent="0.4">
      <c r="A50" s="7"/>
      <c r="B50" s="3"/>
      <c r="C50" s="131"/>
      <c r="D50" s="100"/>
      <c r="E50" s="192" t="s">
        <v>73</v>
      </c>
      <c r="F50" s="193"/>
      <c r="G50" s="193"/>
      <c r="H50" s="193"/>
      <c r="I50" s="193"/>
      <c r="J50" s="194"/>
      <c r="K50" s="135"/>
      <c r="L50" s="101"/>
      <c r="M50" s="57"/>
      <c r="N50" s="9"/>
    </row>
    <row r="51" spans="1:14" ht="25.5" x14ac:dyDescent="0.35">
      <c r="A51" s="7"/>
      <c r="B51" s="3"/>
      <c r="C51" s="131"/>
      <c r="D51" s="100"/>
      <c r="E51" s="195" t="s">
        <v>74</v>
      </c>
      <c r="F51" s="196"/>
      <c r="G51" s="196"/>
      <c r="H51" s="196"/>
      <c r="I51" s="196"/>
      <c r="J51" s="197"/>
      <c r="K51" s="135"/>
      <c r="L51" s="101"/>
      <c r="M51" s="57"/>
      <c r="N51" s="9"/>
    </row>
    <row r="52" spans="1:14" ht="25.5" x14ac:dyDescent="0.35">
      <c r="A52" s="7"/>
      <c r="B52" s="3"/>
      <c r="C52" s="131"/>
      <c r="D52" s="100"/>
      <c r="E52" s="158" t="s">
        <v>75</v>
      </c>
      <c r="F52" s="159"/>
      <c r="G52" s="159"/>
      <c r="H52" s="159"/>
      <c r="I52" s="159"/>
      <c r="J52" s="160"/>
      <c r="K52" s="135"/>
      <c r="L52" s="101"/>
      <c r="M52" s="57"/>
      <c r="N52" s="9"/>
    </row>
    <row r="53" spans="1:14" ht="26.25" x14ac:dyDescent="0.4">
      <c r="A53" s="7"/>
      <c r="B53" s="3"/>
      <c r="C53" s="131"/>
      <c r="D53" s="100"/>
      <c r="E53" s="161"/>
      <c r="F53" s="103"/>
      <c r="G53" s="103"/>
      <c r="H53" s="103"/>
      <c r="I53" s="103"/>
      <c r="J53" s="104"/>
      <c r="K53" s="101"/>
      <c r="L53" s="102"/>
      <c r="M53" s="57"/>
      <c r="N53" s="9"/>
    </row>
    <row r="54" spans="1:14" ht="25.5" x14ac:dyDescent="0.35">
      <c r="A54" s="7"/>
      <c r="B54" s="3"/>
      <c r="C54" s="68"/>
      <c r="D54" s="54"/>
      <c r="E54" s="149"/>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1187.25</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8" t="s">
        <v>62</v>
      </c>
      <c r="F57" s="83"/>
      <c r="G57" s="83"/>
      <c r="H57" s="83"/>
      <c r="I57" s="78"/>
      <c r="J57" s="113"/>
      <c r="K57" s="127" t="s">
        <v>60</v>
      </c>
      <c r="L57" s="119">
        <f>L55*0.19</f>
        <v>225.57750000000001</v>
      </c>
      <c r="M57" s="57"/>
      <c r="N57" s="9"/>
    </row>
    <row r="58" spans="1:14" ht="30" x14ac:dyDescent="0.4">
      <c r="A58" s="7"/>
      <c r="B58" s="3"/>
      <c r="C58" s="3"/>
      <c r="D58" s="86"/>
      <c r="E58" s="108" t="s">
        <v>66</v>
      </c>
      <c r="F58" s="141"/>
      <c r="G58" s="144"/>
      <c r="H58" s="144"/>
      <c r="I58" s="79"/>
      <c r="J58" s="112"/>
      <c r="K58" s="128" t="s">
        <v>26</v>
      </c>
      <c r="L58" s="116">
        <f>L55+L57+L56</f>
        <v>1413.8275000000001</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00" t="s">
        <v>61</v>
      </c>
      <c r="L61" s="200"/>
      <c r="M61" s="57"/>
      <c r="N61" s="9"/>
    </row>
    <row r="62" spans="1:14" ht="18.75" x14ac:dyDescent="0.3">
      <c r="A62" s="7"/>
      <c r="B62" s="3"/>
      <c r="C62" s="136"/>
      <c r="D62" s="136"/>
      <c r="E62" s="136"/>
      <c r="F62" s="136"/>
      <c r="G62" s="136"/>
      <c r="H62" s="136"/>
      <c r="I62" s="136"/>
      <c r="J62" s="136"/>
      <c r="K62" s="200"/>
      <c r="L62" s="200"/>
      <c r="M62" s="57"/>
      <c r="N62" s="9"/>
    </row>
    <row r="63" spans="1:14" ht="30" x14ac:dyDescent="0.4">
      <c r="A63" s="7"/>
      <c r="B63" s="3"/>
      <c r="C63" s="3"/>
      <c r="D63" s="88"/>
      <c r="E63" s="176"/>
      <c r="F63" s="176"/>
      <c r="G63" s="176"/>
      <c r="H63" s="177"/>
      <c r="I63" s="81"/>
      <c r="J63" s="115"/>
      <c r="K63" s="123"/>
      <c r="L63" s="121"/>
      <c r="M63" s="57"/>
      <c r="N63" s="9"/>
    </row>
    <row r="64" spans="1:14" ht="27.75" x14ac:dyDescent="0.2">
      <c r="A64" s="7"/>
      <c r="B64" s="172" t="s">
        <v>68</v>
      </c>
      <c r="C64" s="172"/>
      <c r="D64" s="172"/>
      <c r="E64" s="172"/>
      <c r="F64" s="172"/>
      <c r="G64" s="172"/>
      <c r="H64" s="172"/>
      <c r="I64" s="77"/>
      <c r="J64" s="77"/>
      <c r="K64" s="121"/>
      <c r="L64" s="121"/>
      <c r="M64" s="57"/>
      <c r="N64" s="9"/>
    </row>
    <row r="65" spans="1:14" ht="27.75" x14ac:dyDescent="0.4">
      <c r="A65" s="7"/>
      <c r="B65" s="150" t="s">
        <v>69</v>
      </c>
      <c r="C65" s="3"/>
      <c r="D65" s="151"/>
      <c r="E65" s="198"/>
      <c r="F65" s="199"/>
      <c r="G65" s="199"/>
      <c r="H65" s="199"/>
      <c r="I65" s="77"/>
      <c r="J65" s="121"/>
      <c r="K65" s="121"/>
      <c r="L65" s="121"/>
      <c r="M65" s="57"/>
      <c r="N65" s="9"/>
    </row>
    <row r="66" spans="1:14" ht="18" x14ac:dyDescent="0.2">
      <c r="A66" s="7"/>
      <c r="B66" s="3"/>
      <c r="C66" s="3"/>
      <c r="D66" s="20"/>
      <c r="E66" s="173"/>
      <c r="F66" s="174"/>
      <c r="G66" s="174"/>
      <c r="H66" s="174"/>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5" t="s">
        <v>64</v>
      </c>
      <c r="C72" s="175"/>
      <c r="D72" s="175"/>
      <c r="E72" s="175"/>
      <c r="F72" s="175"/>
      <c r="G72" s="175"/>
      <c r="H72" s="175"/>
      <c r="I72" s="175"/>
      <c r="J72" s="175"/>
      <c r="K72" s="175"/>
      <c r="L72" s="175"/>
      <c r="M72" s="175"/>
      <c r="N72" s="142"/>
    </row>
    <row r="73" spans="1:14" x14ac:dyDescent="0.2">
      <c r="A73" s="123"/>
      <c r="B73" s="175"/>
      <c r="C73" s="175"/>
      <c r="D73" s="175"/>
      <c r="E73" s="175"/>
      <c r="F73" s="175"/>
      <c r="G73" s="175"/>
      <c r="H73" s="175"/>
      <c r="I73" s="175"/>
      <c r="J73" s="175"/>
      <c r="K73" s="175"/>
      <c r="L73" s="175"/>
      <c r="M73" s="175"/>
      <c r="N73" s="140"/>
    </row>
    <row r="74" spans="1:14" x14ac:dyDescent="0.2">
      <c r="A74" s="124"/>
      <c r="B74" s="175"/>
      <c r="C74" s="175"/>
      <c r="D74" s="175"/>
      <c r="E74" s="175"/>
      <c r="F74" s="175"/>
      <c r="G74" s="175"/>
      <c r="H74" s="175"/>
      <c r="I74" s="175"/>
      <c r="J74" s="175"/>
      <c r="K74" s="175"/>
      <c r="L74" s="175"/>
      <c r="M74" s="175"/>
      <c r="N74" s="140"/>
    </row>
    <row r="75" spans="1:14" ht="24.95" customHeight="1" x14ac:dyDescent="0.2">
      <c r="A75" s="3"/>
      <c r="B75" s="175"/>
      <c r="C75" s="175"/>
      <c r="D75" s="175"/>
      <c r="E75" s="175"/>
      <c r="F75" s="175"/>
      <c r="G75" s="175"/>
      <c r="H75" s="175"/>
      <c r="I75" s="175"/>
      <c r="J75" s="175"/>
      <c r="K75" s="175"/>
      <c r="L75" s="175"/>
      <c r="M75" s="175"/>
      <c r="N75" s="140"/>
    </row>
    <row r="76" spans="1:14" ht="24.95" customHeight="1" x14ac:dyDescent="0.2">
      <c r="A76" s="3"/>
      <c r="B76" s="175"/>
      <c r="C76" s="175"/>
      <c r="D76" s="175"/>
      <c r="E76" s="175"/>
      <c r="F76" s="175"/>
      <c r="G76" s="175"/>
      <c r="H76" s="175"/>
      <c r="I76" s="175"/>
      <c r="J76" s="175"/>
      <c r="K76" s="175"/>
      <c r="L76" s="175"/>
      <c r="M76" s="175"/>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E51:J51"/>
    <mergeCell ref="E50:J50"/>
    <mergeCell ref="E40:J40"/>
    <mergeCell ref="E42:J42"/>
    <mergeCell ref="E46:J46"/>
    <mergeCell ref="E48:J48"/>
    <mergeCell ref="E41:J41"/>
    <mergeCell ref="E38:J38"/>
    <mergeCell ref="E33:J33"/>
    <mergeCell ref="J24:L24"/>
    <mergeCell ref="E31:J31"/>
    <mergeCell ref="E32:J32"/>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45818</v>
      </c>
      <c r="D8" s="72" t="str">
        <f>Facture!$D$23</f>
        <v/>
      </c>
      <c r="E8" s="69">
        <f>Facture!$D$24</f>
        <v>0</v>
      </c>
      <c r="F8" s="69">
        <f>Facture!$D$25</f>
        <v>0</v>
      </c>
      <c r="G8" s="72">
        <f>Facture!$F$25</f>
        <v>0</v>
      </c>
      <c r="H8" s="72" t="str">
        <f>Facture!$I$25</f>
        <v>TN</v>
      </c>
      <c r="I8" s="69">
        <f>Facture!$D$26</f>
        <v>0</v>
      </c>
      <c r="J8" s="73">
        <f>Facture!$L$58</f>
        <v>1413.8275000000001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2025-06-18T08:56:48Z</cp:lastPrinted>
  <dcterms:created xsi:type="dcterms:W3CDTF">1995-05-29T15:50:39Z</dcterms:created>
  <dcterms:modified xsi:type="dcterms:W3CDTF">2025-06-18T09:21:42Z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1413.8275</vt:r8>
  </property>
</Properties>
</file>