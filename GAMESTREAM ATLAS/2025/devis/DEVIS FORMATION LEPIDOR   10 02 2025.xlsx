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Facture!$F$65:$I$65</definedName>
    <definedName name="qzqzqz28">Facture!#REF!</definedName>
    <definedName name="qzqzqz29">Facture!#REF!</definedName>
    <definedName name="qzqzqz3">Facture!$E$24:$J$24</definedName>
    <definedName name="qzqzqz30">Facture!#REF!</definedName>
    <definedName name="qzqzqz31">Facture!#REF!</definedName>
    <definedName name="qzqzqz32">Facture!$L$65:$M$65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6" i="3" l="1"/>
  <c r="M35" i="3" l="1"/>
  <c r="M38" i="3" l="1"/>
  <c r="M39" i="3"/>
  <c r="M41" i="3"/>
  <c r="M42" i="3" l="1"/>
  <c r="M43" i="3"/>
  <c r="M44" i="3"/>
  <c r="M45" i="3"/>
  <c r="M46" i="3"/>
  <c r="M47" i="3"/>
  <c r="M48" i="3"/>
  <c r="M49" i="3"/>
  <c r="M50" i="3"/>
  <c r="M51" i="3"/>
  <c r="M52" i="3"/>
  <c r="M53" i="3"/>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<sst xmlns="http://schemas.openxmlformats.org/spreadsheetml/2006/main" count="97" uniqueCount="89">
  <si>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</si>
  <si>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</si>
  <si>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</si>
  <si>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</si>
  <si>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</si>
  <si>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</si>
  <si>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</si>
  <si>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</si>
  <si>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</si>
  <si>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</si>
  <si>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</si>
  <si>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</si>
  <si>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</si>
  <si>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</si>
  <si>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</si>
  <si>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</si>
  <si>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</si>
  <si>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</si>
  <si>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</si>
  <si>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</si>
  <si>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</si>
  <si>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</si>
  <si>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</si>
  <si>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</si>
  <si>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</si>
  <si>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</si>
  <si>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</si>
  <si>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</si>
  <si>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</si>
  <si>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</si>
  <si>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</si>
  <si>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</si>
  <si>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</si>
  <si>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</si>
  <si>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</si>
  <si>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</si>
  <si>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</si>
  <si>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</si>
  <si>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</si>
  <si>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</si>
  <si>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</si>
  <si>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</si>
  <si>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</si>
  <si>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</si>
  <si>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</si>
  <si>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</si>
  <si>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</si>
  <si>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</si>
  <si>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</si>
  <si>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</si>
  <si>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</si>
  <si>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</si>
  <si>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</si>
  <si>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</si>
  <si>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</si>
  <si>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</si>
  <si>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</si>
  <si>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</si>
  <si>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</si>
  <si>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</si>
  <si>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</si>
  <si>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</si>
  <si>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</si>
  <si>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</si>
  <si>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</si>
  <si>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</si>
  <si>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</si>
  <si>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</si>
  <si>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</si>
  <si>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</si>
  <si>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</si>
  <si>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</si>
  <si>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</si>
  <si>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</si>
  <si>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</si>
  <si>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VALABLE 3ANS</t>
  </si>
  <si>
    <t>LEPIDOR</t>
  </si>
  <si>
    <t xml:space="preserve"> TRAVAIL EN HAUTEUR </t>
  </si>
  <si>
    <t>4,RUE DU CAIRE 1001 TUNIS- Tunisie     Tél : (216).71 258 108 Fax : (216).71 259 346
RDC:B159472001 / MF:778013 ZMA 000
Mail:gamestream@planet.tn//gamestream.formation@gmail.com</t>
  </si>
  <si>
    <t>SOUSSE</t>
  </si>
  <si>
    <t>HABILITATION:</t>
  </si>
  <si>
    <t>PRIX PAR PARTICIPANT</t>
  </si>
  <si>
    <t>NB : Nous avons gardé pour vous les mêmes prix de l'année dernière en récompense à votre fidélité</t>
  </si>
  <si>
    <t xml:space="preserve">LE STAGE EST SANCTIONNE PAR UN VISA </t>
  </si>
  <si>
    <t>4586 H A M 000</t>
  </si>
  <si>
    <t xml:space="preserve">          MF :      </t>
  </si>
  <si>
    <t xml:space="preserve"> ESPACES CONFINES </t>
  </si>
  <si>
    <t xml:space="preserve">     Responsable: MME SAHAR </t>
  </si>
  <si>
    <t>DEVIS N°2025-199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</si>
</sst>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0"/>
      <color rgb="FFC00000"/>
      <name val="Times New Roman"/>
      <family val="1"/>
    </font>
    <font>
      <b/>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38"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xf numFmtId="49" fontId="44" fillId="3" borderId="30" xfId="0" applyNumberFormat="1" applyFont="1" applyFill="1" applyBorder="1" applyAlignment="1">
      <alignment horizontal="left"/>
    </xf>
    <xf numFmtId="49" fontId="44" fillId="3" borderId="0"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5" fillId="0" borderId="0" xfId="0" applyFont="1" applyFill="1" applyBorder="1" applyAlignment="1">
      <alignment horizontal="center" vertical="center"/>
    </xf>
    <xf numFmtId="49" fontId="45"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2" fillId="3" borderId="30" xfId="0" applyFont="1" applyFill="1" applyBorder="1" applyAlignment="1">
      <alignment horizontal="center"/>
    </xf>
    <xf numFmtId="49" fontId="47" fillId="3" borderId="40" xfId="0" applyNumberFormat="1" applyFont="1" applyFill="1" applyBorder="1" applyAlignment="1">
      <alignment horizontal="left" vertical="top"/>
    </xf>
    <xf numFmtId="0" fontId="32" fillId="6" borderId="0" xfId="0" applyFont="1" applyFill="1" applyBorder="1" applyAlignment="1">
      <alignment horizontal="left" vertical="top"/>
    </xf>
    <xf numFmtId="49" fontId="25" fillId="3" borderId="0" xfId="0" applyNumberFormat="1" applyFont="1" applyFill="1" applyBorder="1" applyAlignment="1">
      <alignment horizontal="left"/>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9" fillId="3" borderId="30" xfId="0" applyNumberFormat="1" applyFont="1" applyFill="1" applyBorder="1" applyAlignment="1">
      <alignment horizontal="center" vertical="center"/>
    </xf>
    <xf numFmtId="49" fontId="49" fillId="3" borderId="0" xfId="0" applyNumberFormat="1" applyFont="1" applyFill="1" applyBorder="1" applyAlignment="1">
      <alignment horizontal="center" vertical="center"/>
    </xf>
    <xf numFmtId="49" fontId="49" fillId="3" borderId="32" xfId="0" applyNumberFormat="1" applyFont="1" applyFill="1" applyBorder="1" applyAlignment="1">
      <alignment horizontal="center" vertical="center"/>
    </xf>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0" fontId="23" fillId="6" borderId="0" xfId="0" applyFont="1" applyFill="1" applyBorder="1" applyAlignment="1">
      <alignment horizontal="center" vertical="center" wrapText="1"/>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5"/>
  <sheetViews>
    <sheetView showGridLines="0" showRowColHeaders="0" tabSelected="1" zoomScale="60" zoomScaleNormal="60" workbookViewId="0">
      <selection activeCell="M46" sqref="M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77" t="s">
        <v>88</v>
      </c>
      <c r="M15" s="177"/>
      <c r="N15" s="3"/>
      <c r="O15" s="9"/>
    </row>
    <row r="16" spans="2:15" x14ac:dyDescent="0.2">
      <c r="B16" s="7"/>
      <c r="C16" s="3"/>
      <c r="D16" s="3"/>
      <c r="E16" s="3"/>
      <c r="F16" s="3"/>
      <c r="G16" s="3"/>
      <c r="H16" s="3"/>
      <c r="I16" s="3"/>
      <c r="J16" s="3"/>
      <c r="K16" s="100"/>
      <c r="L16" s="177"/>
      <c r="M16" s="177"/>
      <c r="N16" s="3"/>
      <c r="O16" s="9"/>
    </row>
    <row r="17" spans="1:15" ht="12.75" customHeight="1" x14ac:dyDescent="0.2">
      <c r="B17" s="7"/>
      <c r="C17" s="3"/>
      <c r="D17" s="3"/>
      <c r="E17" s="3"/>
      <c r="F17" s="3"/>
      <c r="G17" s="3"/>
      <c r="H17" s="3"/>
      <c r="I17" s="3"/>
      <c r="J17" s="3"/>
      <c r="K17" s="100"/>
      <c r="L17" s="177"/>
      <c r="M17" s="177"/>
      <c r="N17" s="3"/>
      <c r="O17" s="9"/>
    </row>
    <row r="18" spans="1:15" ht="12.75" customHeight="1" x14ac:dyDescent="0.2">
      <c r="B18" s="7"/>
      <c r="C18" s="3"/>
      <c r="D18" s="186"/>
      <c r="E18" s="186"/>
      <c r="F18" s="186"/>
      <c r="G18" s="186"/>
      <c r="H18" s="186"/>
      <c r="I18" s="3"/>
      <c r="J18" s="3"/>
      <c r="K18" s="100"/>
      <c r="L18" s="177"/>
      <c r="M18" s="177"/>
      <c r="N18" s="3"/>
      <c r="O18" s="9"/>
    </row>
    <row r="19" spans="1:15" ht="20.100000000000001" customHeight="1" thickBot="1" x14ac:dyDescent="0.25">
      <c r="B19" s="7"/>
      <c r="C19" s="3"/>
      <c r="D19" s="187"/>
      <c r="E19" s="187"/>
      <c r="F19" s="187"/>
      <c r="G19" s="187"/>
      <c r="H19" s="187"/>
      <c r="I19" s="3"/>
      <c r="J19" s="3"/>
      <c r="K19" s="100"/>
      <c r="L19" s="177"/>
      <c r="M19" s="177"/>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4" t="s">
        <v>52</v>
      </c>
      <c r="E23" s="154" t="s">
        <v>76</v>
      </c>
      <c r="F23" s="154"/>
      <c r="G23" s="154"/>
      <c r="H23" s="154"/>
      <c r="I23" s="154"/>
      <c r="J23" s="154"/>
      <c r="K23" s="112" t="s">
        <v>57</v>
      </c>
      <c r="L23" s="102">
        <v>45698</v>
      </c>
      <c r="M23" s="104"/>
      <c r="N23" s="54"/>
      <c r="O23" s="9"/>
    </row>
    <row r="24" spans="1:15" ht="23.25" x14ac:dyDescent="0.35">
      <c r="B24" s="7"/>
      <c r="C24" s="3"/>
      <c r="D24" s="114" t="s">
        <v>53</v>
      </c>
      <c r="E24" s="184"/>
      <c r="F24" s="184"/>
      <c r="G24" s="184"/>
      <c r="H24" s="185"/>
      <c r="I24" s="185"/>
      <c r="J24" s="185"/>
      <c r="K24" s="189"/>
      <c r="L24" s="189"/>
      <c r="M24" s="189"/>
      <c r="N24" s="55"/>
      <c r="O24" s="9"/>
    </row>
    <row r="25" spans="1:15" ht="27.75" x14ac:dyDescent="0.4">
      <c r="B25" s="7"/>
      <c r="C25" s="3"/>
      <c r="D25" s="114" t="s">
        <v>59</v>
      </c>
      <c r="E25" s="125"/>
      <c r="F25" s="105" t="s">
        <v>51</v>
      </c>
      <c r="G25" s="178" t="s">
        <v>79</v>
      </c>
      <c r="H25" s="178"/>
      <c r="I25" s="156" t="s">
        <v>55</v>
      </c>
      <c r="J25" s="106" t="s">
        <v>56</v>
      </c>
      <c r="K25" s="112" t="s">
        <v>87</v>
      </c>
      <c r="L25" s="122"/>
      <c r="M25" s="123"/>
      <c r="N25" s="3"/>
      <c r="O25" s="9"/>
    </row>
    <row r="26" spans="1:15" ht="27.75" customHeight="1" x14ac:dyDescent="0.4">
      <c r="A26">
        <v>71</v>
      </c>
      <c r="B26" s="7"/>
      <c r="C26" s="3"/>
      <c r="D26" s="114" t="s">
        <v>54</v>
      </c>
      <c r="E26" s="182"/>
      <c r="F26" s="183"/>
      <c r="G26" s="183"/>
      <c r="H26" s="183"/>
      <c r="I26" s="183"/>
      <c r="J26" s="183"/>
      <c r="K26" s="132" t="s">
        <v>85</v>
      </c>
      <c r="L26" s="155" t="s">
        <v>84</v>
      </c>
      <c r="M26" s="131"/>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7" t="s">
        <v>64</v>
      </c>
      <c r="F30" s="179" t="s">
        <v>21</v>
      </c>
      <c r="G30" s="180"/>
      <c r="H30" s="180"/>
      <c r="I30" s="180"/>
      <c r="J30" s="180"/>
      <c r="K30" s="181"/>
      <c r="L30" s="90" t="s">
        <v>22</v>
      </c>
      <c r="M30" s="91" t="s">
        <v>23</v>
      </c>
      <c r="N30" s="56"/>
      <c r="O30" s="9"/>
    </row>
    <row r="31" spans="1:15" ht="18.75" x14ac:dyDescent="0.3">
      <c r="B31" s="7"/>
      <c r="C31" s="3"/>
      <c r="D31" s="66"/>
      <c r="E31" s="52"/>
      <c r="F31" s="190"/>
      <c r="G31" s="191"/>
      <c r="H31" s="191"/>
      <c r="I31" s="191"/>
      <c r="J31" s="191"/>
      <c r="K31" s="192"/>
      <c r="L31" s="88"/>
      <c r="M31" s="89" t="str">
        <f>IF(E31&lt;&gt;"",E31*L31,"")</f>
        <v/>
      </c>
      <c r="N31" s="56"/>
      <c r="O31" s="9"/>
    </row>
    <row r="32" spans="1:15" ht="26.25" x14ac:dyDescent="0.4">
      <c r="B32" s="7"/>
      <c r="C32" s="3"/>
      <c r="D32" s="121"/>
      <c r="E32" s="92"/>
      <c r="F32" s="193" t="s">
        <v>58</v>
      </c>
      <c r="G32" s="194"/>
      <c r="H32" s="194"/>
      <c r="I32" s="194"/>
      <c r="J32" s="194"/>
      <c r="K32" s="195"/>
      <c r="L32" s="93"/>
      <c r="M32" s="94" t="str">
        <f>IF(E32&lt;&gt;"",E32*L32,"")</f>
        <v/>
      </c>
      <c r="N32" s="56"/>
      <c r="O32" s="9"/>
    </row>
    <row r="33" spans="2:15" ht="26.25" x14ac:dyDescent="0.4">
      <c r="B33" s="7"/>
      <c r="C33" s="3"/>
      <c r="D33" s="120"/>
      <c r="E33" s="95"/>
      <c r="F33" s="193" t="s">
        <v>80</v>
      </c>
      <c r="G33" s="196"/>
      <c r="H33" s="196"/>
      <c r="I33" s="196"/>
      <c r="J33" s="196"/>
      <c r="K33" s="197"/>
      <c r="L33" s="96"/>
      <c r="M33" s="97"/>
      <c r="N33" s="56"/>
      <c r="O33" s="9"/>
    </row>
    <row r="34" spans="2:15" ht="27" x14ac:dyDescent="0.35">
      <c r="B34" s="7"/>
      <c r="C34" s="3"/>
      <c r="D34" s="120"/>
      <c r="E34" s="95"/>
      <c r="F34" s="167"/>
      <c r="G34" s="168"/>
      <c r="H34" s="168"/>
      <c r="I34" s="168"/>
      <c r="J34" s="168"/>
      <c r="K34" s="169"/>
      <c r="L34" s="96"/>
      <c r="M34" s="97"/>
      <c r="N34" s="56"/>
      <c r="O34" s="9"/>
    </row>
    <row r="35" spans="2:15" ht="26.25" customHeight="1" x14ac:dyDescent="0.35">
      <c r="B35" s="7"/>
      <c r="C35" s="3"/>
      <c r="D35" s="120"/>
      <c r="E35" s="95">
        <v>5</v>
      </c>
      <c r="F35" s="198" t="s">
        <v>77</v>
      </c>
      <c r="G35" s="199"/>
      <c r="H35" s="199"/>
      <c r="I35" s="199"/>
      <c r="J35" s="199"/>
      <c r="K35" s="200"/>
      <c r="L35" s="96">
        <v>250</v>
      </c>
      <c r="M35" s="97">
        <f t="shared" ref="M35:M36" si="0">IF(E35&lt;&gt;"",E35*L35,"")</f>
        <v>1250</v>
      </c>
      <c r="N35" s="56"/>
      <c r="O35" s="9"/>
    </row>
    <row r="36" spans="2:15" ht="25.5" x14ac:dyDescent="0.35">
      <c r="B36" s="7"/>
      <c r="C36" s="3"/>
      <c r="D36" s="120"/>
      <c r="E36" s="95">
        <v>5</v>
      </c>
      <c r="F36" s="164" t="s">
        <v>86</v>
      </c>
      <c r="G36" s="165"/>
      <c r="H36" s="165"/>
      <c r="I36" s="165"/>
      <c r="J36" s="165"/>
      <c r="K36" s="166"/>
      <c r="L36" s="96">
        <v>250</v>
      </c>
      <c r="M36" s="97">
        <f t="shared" si="0"/>
        <v>1250</v>
      </c>
      <c r="N36" s="56"/>
      <c r="O36" s="9"/>
    </row>
    <row r="37" spans="2:15" ht="25.5" x14ac:dyDescent="0.35">
      <c r="B37" s="7"/>
      <c r="C37" s="3"/>
      <c r="D37" s="120"/>
      <c r="E37" s="95"/>
      <c r="F37" s="150"/>
      <c r="G37" s="151"/>
      <c r="H37" s="151"/>
      <c r="I37" s="151"/>
      <c r="J37" s="151"/>
      <c r="K37" s="152"/>
      <c r="L37" s="96"/>
      <c r="M37" s="97"/>
      <c r="N37" s="56"/>
      <c r="O37" s="9"/>
    </row>
    <row r="38" spans="2:15" ht="25.5" x14ac:dyDescent="0.35">
      <c r="B38" s="7"/>
      <c r="C38" s="3"/>
      <c r="D38" s="120"/>
      <c r="E38" s="95"/>
      <c r="F38" s="170" t="s">
        <v>81</v>
      </c>
      <c r="G38" s="171"/>
      <c r="H38" s="171"/>
      <c r="I38" s="171"/>
      <c r="J38" s="171"/>
      <c r="K38" s="172"/>
      <c r="L38" s="96"/>
      <c r="M38" s="97" t="str">
        <f t="shared" ref="M38:M41" si="1">IF(E38&lt;&gt;"",E38*L38,"")</f>
        <v/>
      </c>
      <c r="N38" s="56"/>
      <c r="O38" s="9"/>
    </row>
    <row r="39" spans="2:15" ht="25.5" x14ac:dyDescent="0.35">
      <c r="B39" s="7"/>
      <c r="C39" s="3"/>
      <c r="D39" s="153"/>
      <c r="E39" s="95"/>
      <c r="F39" s="150"/>
      <c r="G39" s="151"/>
      <c r="H39" s="151"/>
      <c r="I39" s="151"/>
      <c r="J39" s="151"/>
      <c r="K39" s="152"/>
      <c r="L39" s="96"/>
      <c r="M39" s="97" t="str">
        <f t="shared" si="1"/>
        <v/>
      </c>
      <c r="N39" s="56"/>
      <c r="O39" s="9"/>
    </row>
    <row r="40" spans="2:15" ht="26.25" customHeight="1" x14ac:dyDescent="0.35">
      <c r="B40" s="7"/>
      <c r="C40" s="3"/>
      <c r="D40" s="120"/>
      <c r="E40" s="95"/>
      <c r="F40" s="173" t="s">
        <v>82</v>
      </c>
      <c r="G40" s="174"/>
      <c r="H40" s="174"/>
      <c r="I40" s="174"/>
      <c r="J40" s="174"/>
      <c r="K40" s="174"/>
      <c r="L40" s="174"/>
      <c r="M40" s="175"/>
      <c r="N40" s="56"/>
      <c r="O40" s="9"/>
    </row>
    <row r="41" spans="2:15" ht="25.5" x14ac:dyDescent="0.35">
      <c r="B41" s="7"/>
      <c r="C41" s="3"/>
      <c r="D41" s="120"/>
      <c r="E41" s="95"/>
      <c r="F41" s="139" t="s">
        <v>68</v>
      </c>
      <c r="G41" s="140"/>
      <c r="H41" s="140"/>
      <c r="I41" s="140"/>
      <c r="J41" s="140"/>
      <c r="K41" s="141"/>
      <c r="L41" s="96"/>
      <c r="M41" s="97" t="str">
        <f t="shared" si="1"/>
        <v/>
      </c>
      <c r="N41" s="56"/>
      <c r="O41" s="9"/>
    </row>
    <row r="42" spans="2:15" ht="26.25" x14ac:dyDescent="0.4">
      <c r="B42" s="7"/>
      <c r="C42" s="3"/>
      <c r="D42" s="120"/>
      <c r="E42" s="95"/>
      <c r="F42" s="142" t="s">
        <v>69</v>
      </c>
      <c r="G42" s="143"/>
      <c r="H42" s="143"/>
      <c r="I42" s="143"/>
      <c r="J42" s="143"/>
      <c r="K42" s="144"/>
      <c r="L42" s="96"/>
      <c r="M42" s="97" t="str">
        <f t="shared" ref="M42:M53" si="2">IF(E42&lt;&gt;"",E42*L42,"")</f>
        <v/>
      </c>
      <c r="N42" s="56"/>
      <c r="O42" s="9"/>
    </row>
    <row r="43" spans="2:15" ht="26.25" x14ac:dyDescent="0.4">
      <c r="B43" s="7"/>
      <c r="C43" s="3"/>
      <c r="D43" s="120"/>
      <c r="E43" s="95"/>
      <c r="F43" s="142" t="s">
        <v>70</v>
      </c>
      <c r="G43" s="143"/>
      <c r="H43" s="143"/>
      <c r="I43" s="143"/>
      <c r="J43" s="143"/>
      <c r="K43" s="144"/>
      <c r="L43" s="96"/>
      <c r="M43" s="97" t="str">
        <f t="shared" si="2"/>
        <v/>
      </c>
      <c r="N43" s="56"/>
      <c r="O43" s="9"/>
    </row>
    <row r="44" spans="2:15" ht="26.25" x14ac:dyDescent="0.4">
      <c r="B44" s="7"/>
      <c r="C44" s="3"/>
      <c r="D44" s="120"/>
      <c r="E44" s="95"/>
      <c r="F44" s="146" t="s">
        <v>71</v>
      </c>
      <c r="G44" s="147"/>
      <c r="H44" s="147"/>
      <c r="I44" s="147"/>
      <c r="J44" s="147"/>
      <c r="K44" s="148"/>
      <c r="L44" s="96"/>
      <c r="M44" s="97" t="str">
        <f t="shared" si="2"/>
        <v/>
      </c>
      <c r="N44" s="56"/>
      <c r="O44" s="9"/>
    </row>
    <row r="45" spans="2:15" ht="26.25" x14ac:dyDescent="0.4">
      <c r="B45" s="7"/>
      <c r="C45" s="3"/>
      <c r="D45" s="120"/>
      <c r="E45" s="95"/>
      <c r="F45" s="146" t="s">
        <v>72</v>
      </c>
      <c r="G45" s="147"/>
      <c r="H45" s="147"/>
      <c r="I45" s="147"/>
      <c r="J45" s="147"/>
      <c r="K45" s="148"/>
      <c r="L45" s="96"/>
      <c r="M45" s="97" t="str">
        <f t="shared" si="2"/>
        <v/>
      </c>
      <c r="N45" s="56"/>
      <c r="O45" s="9"/>
    </row>
    <row r="46" spans="2:15" ht="26.25" x14ac:dyDescent="0.4">
      <c r="B46" s="7"/>
      <c r="C46" s="3"/>
      <c r="D46" s="120"/>
      <c r="E46" s="95"/>
      <c r="F46" s="146" t="s">
        <v>73</v>
      </c>
      <c r="G46" s="147"/>
      <c r="H46" s="147"/>
      <c r="I46" s="147"/>
      <c r="J46" s="147"/>
      <c r="K46" s="148"/>
      <c r="L46" s="96"/>
      <c r="M46" s="97" t="str">
        <f t="shared" si="2"/>
        <v/>
      </c>
      <c r="N46" s="56"/>
      <c r="O46" s="9"/>
    </row>
    <row r="47" spans="2:15" ht="26.25" x14ac:dyDescent="0.4">
      <c r="B47" s="7"/>
      <c r="C47" s="3"/>
      <c r="D47" s="120"/>
      <c r="E47" s="95"/>
      <c r="F47" s="146"/>
      <c r="G47" s="98"/>
      <c r="H47" s="98"/>
      <c r="I47" s="98"/>
      <c r="J47" s="98"/>
      <c r="K47" s="99"/>
      <c r="L47" s="124"/>
      <c r="M47" s="97" t="str">
        <f t="shared" si="2"/>
        <v/>
      </c>
      <c r="N47" s="56"/>
      <c r="O47" s="9"/>
    </row>
    <row r="48" spans="2:15" ht="26.25" x14ac:dyDescent="0.4">
      <c r="B48" s="7"/>
      <c r="C48" s="3"/>
      <c r="D48" s="120"/>
      <c r="E48" s="95"/>
      <c r="F48" s="136" t="s">
        <v>74</v>
      </c>
      <c r="G48" s="143"/>
      <c r="H48" s="143"/>
      <c r="I48" s="143"/>
      <c r="J48" s="143"/>
      <c r="K48" s="144"/>
      <c r="L48" s="124"/>
      <c r="M48" s="97" t="str">
        <f t="shared" si="2"/>
        <v/>
      </c>
      <c r="N48" s="56"/>
      <c r="O48" s="9"/>
    </row>
    <row r="49" spans="1:15" ht="26.25" x14ac:dyDescent="0.4">
      <c r="B49" s="7"/>
      <c r="C49" s="3"/>
      <c r="D49" s="120"/>
      <c r="E49" s="95"/>
      <c r="F49" s="142" t="s">
        <v>83</v>
      </c>
      <c r="G49" s="98"/>
      <c r="H49" s="98"/>
      <c r="I49" s="98"/>
      <c r="J49" s="98"/>
      <c r="K49" s="99"/>
      <c r="L49" s="124"/>
      <c r="M49" s="97" t="str">
        <f t="shared" si="2"/>
        <v/>
      </c>
      <c r="N49" s="56"/>
      <c r="O49" s="9"/>
    </row>
    <row r="50" spans="1:15" ht="26.25" x14ac:dyDescent="0.4">
      <c r="B50" s="7"/>
      <c r="C50" s="3"/>
      <c r="D50" s="120"/>
      <c r="E50" s="95"/>
      <c r="F50" s="137" t="s">
        <v>75</v>
      </c>
      <c r="G50" s="143"/>
      <c r="H50" s="143"/>
      <c r="I50" s="143"/>
      <c r="J50" s="143"/>
      <c r="K50" s="144"/>
      <c r="L50" s="124"/>
      <c r="M50" s="97" t="str">
        <f t="shared" si="2"/>
        <v/>
      </c>
      <c r="N50" s="56"/>
      <c r="O50" s="9"/>
    </row>
    <row r="51" spans="1:15" ht="26.25" x14ac:dyDescent="0.4">
      <c r="B51" s="7"/>
      <c r="C51" s="3"/>
      <c r="D51" s="120"/>
      <c r="E51" s="95"/>
      <c r="F51" s="142"/>
      <c r="G51" s="98"/>
      <c r="H51" s="98"/>
      <c r="I51" s="98"/>
      <c r="J51" s="98"/>
      <c r="K51" s="99"/>
      <c r="L51" s="124"/>
      <c r="M51" s="97" t="str">
        <f t="shared" si="2"/>
        <v/>
      </c>
      <c r="N51" s="56"/>
      <c r="O51" s="9"/>
    </row>
    <row r="52" spans="1:15" ht="26.25" x14ac:dyDescent="0.4">
      <c r="B52" s="7"/>
      <c r="C52" s="3"/>
      <c r="D52" s="120"/>
      <c r="E52" s="95"/>
      <c r="F52" s="137"/>
      <c r="G52" s="143"/>
      <c r="H52" s="143"/>
      <c r="I52" s="143"/>
      <c r="J52" s="143"/>
      <c r="K52" s="144"/>
      <c r="L52" s="124"/>
      <c r="M52" s="97" t="str">
        <f t="shared" si="2"/>
        <v/>
      </c>
      <c r="N52" s="56"/>
      <c r="O52" s="9"/>
    </row>
    <row r="53" spans="1:15" ht="26.25" x14ac:dyDescent="0.4">
      <c r="B53" s="7"/>
      <c r="C53" s="3"/>
      <c r="D53" s="67"/>
      <c r="E53" s="53"/>
      <c r="F53" s="138"/>
      <c r="G53" s="143"/>
      <c r="H53" s="143"/>
      <c r="I53" s="143"/>
      <c r="J53" s="143"/>
      <c r="K53" s="144"/>
      <c r="L53" s="67"/>
      <c r="M53" s="97" t="str">
        <f t="shared" si="2"/>
        <v/>
      </c>
      <c r="N53" s="56"/>
      <c r="O53" s="9"/>
    </row>
    <row r="54" spans="1:15" ht="30" x14ac:dyDescent="0.4">
      <c r="B54" s="7"/>
      <c r="C54" s="3"/>
      <c r="D54" s="110"/>
      <c r="E54" s="80"/>
      <c r="F54" s="80"/>
      <c r="G54" s="134"/>
      <c r="H54" s="134"/>
      <c r="I54" s="134"/>
      <c r="J54" s="134"/>
      <c r="K54" s="135"/>
      <c r="L54" s="118" t="s">
        <v>24</v>
      </c>
      <c r="M54" s="109">
        <f>SUM(M34:M53)</f>
        <v>2500</v>
      </c>
      <c r="N54" s="56"/>
      <c r="O54" s="9"/>
    </row>
    <row r="55" spans="1:15" ht="30" x14ac:dyDescent="0.4">
      <c r="B55" s="7"/>
      <c r="C55" s="3"/>
      <c r="D55" s="3"/>
      <c r="E55" s="81"/>
      <c r="F55" s="130" t="s">
        <v>63</v>
      </c>
      <c r="G55" s="80"/>
      <c r="H55" s="80"/>
      <c r="I55" s="80"/>
      <c r="J55" s="76"/>
      <c r="K55" s="107"/>
      <c r="L55" s="115" t="s">
        <v>45</v>
      </c>
      <c r="M55" s="119">
        <v>1</v>
      </c>
      <c r="N55" s="56"/>
      <c r="O55" s="9"/>
    </row>
    <row r="56" spans="1:15" ht="30" x14ac:dyDescent="0.4">
      <c r="B56" s="7"/>
      <c r="C56" s="3"/>
      <c r="D56" s="3"/>
      <c r="E56" s="81"/>
      <c r="F56" s="103" t="s">
        <v>62</v>
      </c>
      <c r="G56" s="80"/>
      <c r="H56" s="80"/>
      <c r="I56" s="80"/>
      <c r="J56" s="76"/>
      <c r="K56" s="107"/>
      <c r="L56" s="116" t="s">
        <v>60</v>
      </c>
      <c r="M56" s="111">
        <f>M54*0.19</f>
        <v>475</v>
      </c>
      <c r="N56" s="56"/>
      <c r="O56" s="9"/>
    </row>
    <row r="57" spans="1:15" ht="30.75" thickBot="1" x14ac:dyDescent="0.45">
      <c r="C57" s="113"/>
      <c r="D57" s="3"/>
      <c r="E57" s="83"/>
      <c r="F57" s="103" t="s">
        <v>65</v>
      </c>
      <c r="G57" s="80"/>
      <c r="H57" s="80"/>
      <c r="I57" s="80"/>
      <c r="J57" s="77"/>
      <c r="K57" s="108"/>
      <c r="L57" s="117" t="s">
        <v>26</v>
      </c>
      <c r="M57" s="109">
        <f>M54+M56+M55</f>
        <v>2976</v>
      </c>
      <c r="N57" s="56"/>
      <c r="O57" s="9"/>
    </row>
    <row r="58" spans="1:15" ht="30.75" thickTop="1" x14ac:dyDescent="0.4">
      <c r="A58" s="57"/>
      <c r="B58" s="57"/>
      <c r="C58" s="3"/>
      <c r="D58" s="3"/>
      <c r="E58" s="83">
        <v>2</v>
      </c>
      <c r="F58" s="82"/>
      <c r="G58" s="128"/>
      <c r="H58" s="129"/>
      <c r="I58" s="126"/>
      <c r="J58" s="78"/>
      <c r="K58" s="107"/>
      <c r="L58" s="188" t="s">
        <v>61</v>
      </c>
      <c r="M58" s="188"/>
      <c r="N58" s="56"/>
      <c r="O58" s="9"/>
    </row>
    <row r="59" spans="1:15" ht="30" x14ac:dyDescent="0.4">
      <c r="A59" s="3"/>
      <c r="B59" s="3"/>
      <c r="C59" s="113"/>
      <c r="D59" s="145" t="s">
        <v>66</v>
      </c>
      <c r="E59" s="145"/>
      <c r="F59" s="145"/>
      <c r="G59" s="80"/>
      <c r="H59" s="84"/>
      <c r="I59" s="80"/>
      <c r="J59" s="79" t="s">
        <v>25</v>
      </c>
      <c r="K59" s="107"/>
      <c r="L59" s="188"/>
      <c r="M59" s="188"/>
      <c r="N59" s="56"/>
      <c r="O59" s="9"/>
    </row>
    <row r="60" spans="1:15" ht="30" x14ac:dyDescent="0.4">
      <c r="A60" s="3"/>
      <c r="B60" s="3"/>
      <c r="C60" s="113"/>
      <c r="D60" s="133" t="s">
        <v>67</v>
      </c>
      <c r="E60" s="145"/>
      <c r="F60" s="145"/>
      <c r="G60" s="80"/>
      <c r="H60" s="84"/>
      <c r="I60" s="80"/>
      <c r="J60" s="79"/>
      <c r="K60" s="107"/>
      <c r="L60" s="149"/>
      <c r="M60" s="149"/>
      <c r="N60" s="56"/>
      <c r="O60" s="9"/>
    </row>
    <row r="61" spans="1:15" ht="12.75" customHeight="1" x14ac:dyDescent="0.2">
      <c r="A61" s="176" t="s">
        <v>78</v>
      </c>
      <c r="B61" s="176"/>
      <c r="C61" s="176"/>
      <c r="D61" s="176"/>
      <c r="E61" s="176"/>
      <c r="F61" s="176"/>
      <c r="G61" s="176"/>
      <c r="H61" s="176"/>
      <c r="I61" s="176"/>
      <c r="J61" s="176"/>
      <c r="K61" s="176"/>
      <c r="L61" s="176"/>
      <c r="M61" s="176"/>
      <c r="N61" s="176"/>
      <c r="O61" s="176"/>
    </row>
    <row r="62" spans="1:15" ht="12.75" customHeight="1" x14ac:dyDescent="0.2">
      <c r="A62" s="176"/>
      <c r="B62" s="176"/>
      <c r="C62" s="176"/>
      <c r="D62" s="176"/>
      <c r="E62" s="176"/>
      <c r="F62" s="176"/>
      <c r="G62" s="176"/>
      <c r="H62" s="176"/>
      <c r="I62" s="176"/>
      <c r="J62" s="176"/>
      <c r="K62" s="176"/>
      <c r="L62" s="176"/>
      <c r="M62" s="176"/>
      <c r="N62" s="176"/>
      <c r="O62" s="176"/>
    </row>
    <row r="63" spans="1:15" ht="12.75" customHeight="1" x14ac:dyDescent="0.2">
      <c r="A63" s="176"/>
      <c r="B63" s="176"/>
      <c r="C63" s="176"/>
      <c r="D63" s="176"/>
      <c r="E63" s="176"/>
      <c r="F63" s="176"/>
      <c r="G63" s="176"/>
      <c r="H63" s="176"/>
      <c r="I63" s="176"/>
      <c r="J63" s="176"/>
      <c r="K63" s="176"/>
      <c r="L63" s="176"/>
      <c r="M63" s="176"/>
      <c r="N63" s="176"/>
      <c r="O63" s="176"/>
    </row>
    <row r="64" spans="1:15" ht="12.75" customHeight="1" x14ac:dyDescent="0.2">
      <c r="A64" s="176"/>
      <c r="B64" s="176"/>
      <c r="C64" s="176"/>
      <c r="D64" s="176"/>
      <c r="E64" s="176"/>
      <c r="F64" s="176"/>
      <c r="G64" s="176"/>
      <c r="H64" s="176"/>
      <c r="I64" s="176"/>
      <c r="J64" s="176"/>
      <c r="K64" s="176"/>
      <c r="L64" s="176"/>
      <c r="M64" s="176"/>
      <c r="N64" s="176"/>
      <c r="O64" s="176"/>
    </row>
    <row r="65" spans="1:15" ht="12.75" customHeight="1" x14ac:dyDescent="0.2">
      <c r="A65" s="176"/>
      <c r="B65" s="176"/>
      <c r="C65" s="176"/>
      <c r="D65" s="176"/>
      <c r="E65" s="176"/>
      <c r="F65" s="176"/>
      <c r="G65" s="176"/>
      <c r="H65" s="176"/>
      <c r="I65" s="176"/>
      <c r="J65" s="176"/>
      <c r="K65" s="176"/>
      <c r="L65" s="176"/>
      <c r="M65" s="176"/>
      <c r="N65" s="176"/>
      <c r="O65" s="176"/>
    </row>
    <row r="66" spans="1:15" ht="12.75" customHeight="1" x14ac:dyDescent="0.2">
      <c r="A66" s="176"/>
      <c r="B66" s="176"/>
      <c r="C66" s="176"/>
      <c r="D66" s="176"/>
      <c r="E66" s="176"/>
      <c r="F66" s="176"/>
      <c r="G66" s="176"/>
      <c r="H66" s="176"/>
      <c r="I66" s="176"/>
      <c r="J66" s="176"/>
      <c r="K66" s="176"/>
      <c r="L66" s="176"/>
      <c r="M66" s="176"/>
      <c r="N66" s="176"/>
      <c r="O66" s="176"/>
    </row>
    <row r="67" spans="1:15" ht="12.75" customHeight="1" x14ac:dyDescent="0.2">
      <c r="A67" s="176"/>
      <c r="B67" s="176"/>
      <c r="C67" s="176"/>
      <c r="D67" s="176"/>
      <c r="E67" s="176"/>
      <c r="F67" s="176"/>
      <c r="G67" s="176"/>
      <c r="H67" s="176"/>
      <c r="I67" s="176"/>
      <c r="J67" s="176"/>
      <c r="K67" s="176"/>
      <c r="L67" s="176"/>
      <c r="M67" s="176"/>
      <c r="N67" s="176"/>
      <c r="O67" s="176"/>
    </row>
    <row r="68" spans="1:15" ht="12.75" customHeight="1" x14ac:dyDescent="0.2">
      <c r="A68" s="176"/>
      <c r="B68" s="176"/>
      <c r="C68" s="176"/>
      <c r="D68" s="176"/>
      <c r="E68" s="176"/>
      <c r="F68" s="176"/>
      <c r="G68" s="176"/>
      <c r="H68" s="176"/>
      <c r="I68" s="176"/>
      <c r="J68" s="176"/>
      <c r="K68" s="176"/>
      <c r="L68" s="176"/>
      <c r="M68" s="176"/>
      <c r="N68" s="176"/>
      <c r="O68" s="176"/>
    </row>
    <row r="69" spans="1:15" ht="12.75" customHeight="1" x14ac:dyDescent="0.2">
      <c r="A69" s="176"/>
      <c r="B69" s="176"/>
      <c r="C69" s="176"/>
      <c r="D69" s="176"/>
      <c r="E69" s="176"/>
      <c r="F69" s="176"/>
      <c r="G69" s="176"/>
      <c r="H69" s="176"/>
      <c r="I69" s="176"/>
      <c r="J69" s="176"/>
      <c r="K69" s="176"/>
      <c r="L69" s="176"/>
      <c r="M69" s="176"/>
      <c r="N69" s="176"/>
      <c r="O69" s="176"/>
    </row>
    <row r="70" spans="1:15" ht="12.75" customHeight="1" x14ac:dyDescent="0.2">
      <c r="A70" s="176"/>
      <c r="B70" s="176"/>
      <c r="C70" s="176"/>
      <c r="D70" s="176"/>
      <c r="E70" s="176"/>
      <c r="F70" s="176"/>
      <c r="G70" s="176"/>
      <c r="H70" s="176"/>
      <c r="I70" s="176"/>
      <c r="J70" s="176"/>
      <c r="K70" s="176"/>
      <c r="L70" s="176"/>
      <c r="M70" s="176"/>
      <c r="N70" s="176"/>
      <c r="O70" s="176"/>
    </row>
    <row r="71" spans="1:15" ht="12.75" customHeight="1" x14ac:dyDescent="0.2"/>
    <row r="72" spans="1:15" ht="12.75" customHeight="1" x14ac:dyDescent="0.2"/>
    <row r="73" spans="1:15" ht="13.5" customHeight="1" x14ac:dyDescent="0.2"/>
    <row r="74" spans="1:15" ht="24.95" customHeight="1" x14ac:dyDescent="0.2"/>
    <row r="75" spans="1:15" ht="24.95" customHeight="1" x14ac:dyDescent="0.2"/>
    <row r="76" spans="1:15" ht="12.75" customHeight="1" x14ac:dyDescent="0.2"/>
    <row r="77" spans="1:15" ht="12.75" customHeight="1" x14ac:dyDescent="0.2"/>
    <row r="78" spans="1:15" ht="12.75" customHeight="1" x14ac:dyDescent="0.2"/>
    <row r="79" spans="1:15" ht="12.75" customHeight="1" x14ac:dyDescent="0.2"/>
    <row r="80" spans="1:15"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F31:K31"/>
    <mergeCell ref="F32:K32"/>
    <mergeCell ref="F33:K33"/>
    <mergeCell ref="F34:K34"/>
    <mergeCell ref="L15:M19"/>
    <mergeCell ref="G25:H25"/>
    <mergeCell ref="F30:K30"/>
    <mergeCell ref="E26:J26"/>
    <mergeCell ref="E24:J24"/>
    <mergeCell ref="D18:H19"/>
    <mergeCell ref="K24:M24"/>
    <mergeCell ref="F36:K36"/>
    <mergeCell ref="F35:K35"/>
    <mergeCell ref="F38:K38"/>
    <mergeCell ref="F40:M40"/>
    <mergeCell ref="A61:O70"/>
    <mergeCell ref="L58:M5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41:L53 L31: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1:M53 M31:M3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45698</v>
      </c>
      <c r="D8" s="71" t="str">
        <f>Facture!$E$23</f>
        <v>LEPIDOR</v>
      </c>
      <c r="E8" s="68">
        <f>Facture!$E$24</f>
        <v>0</v>
      </c>
      <c r="F8" s="68">
        <f>Facture!$E$25</f>
        <v>0</v>
      </c>
      <c r="G8" s="71" t="str">
        <f>Facture!$G$25</f>
        <v>SOUSSE</v>
      </c>
      <c r="H8" s="71" t="str">
        <f>Facture!$J$25</f>
        <v>TN</v>
      </c>
      <c r="I8" s="68">
        <f>Facture!$E$26</f>
        <v>0</v>
      </c>
      <c r="J8" s="72">
        <f>Facture!$M$57</f>
        <v>2976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2024-03-11T12:11:38Z</cp:lastPrinted>
  <dcterms:created xsi:type="dcterms:W3CDTF">1995-05-29T15:50:39Z</dcterms:created>
  <dcterms:modified xsi:type="dcterms:W3CDTF">2025-02-10T10:58:11Z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2976</vt:r8>
  </property>
</Properties>
</file>