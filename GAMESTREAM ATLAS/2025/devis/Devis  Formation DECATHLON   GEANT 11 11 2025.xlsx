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<sst xmlns="http://schemas.openxmlformats.org/spreadsheetml/2006/main" count="88" uniqueCount="80">
  <si>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</si>
  <si>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</si>
  <si>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</si>
  <si>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</si>
  <si>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</si>
  <si>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</si>
  <si>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</si>
  <si>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</si>
  <si>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</si>
  <si>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</si>
  <si>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</si>
  <si>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</si>
  <si>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</si>
  <si>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</si>
  <si>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</si>
  <si>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</si>
  <si>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</si>
  <si>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</si>
  <si>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</si>
  <si>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</si>
  <si>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</si>
  <si>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</si>
  <si>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</si>
  <si>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</si>
  <si>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</si>
  <si>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</si>
  <si>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</si>
  <si>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</si>
  <si>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</si>
  <si>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</si>
  <si>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</si>
  <si>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</si>
  <si>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</si>
  <si>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</si>
  <si>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</si>
  <si>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</si>
  <si>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</si>
  <si>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</si>
  <si>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</si>
  <si>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</si>
  <si>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</si>
  <si>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</si>
  <si>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</si>
  <si>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</si>
  <si>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</si>
  <si>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</si>
  <si>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</si>
  <si>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</si>
  <si>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</si>
  <si>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</si>
  <si>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</si>
  <si>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</si>
  <si>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</si>
  <si>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</si>
  <si>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</si>
  <si>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</si>
  <si>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</si>
  <si>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</si>
  <si>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</si>
  <si>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</si>
  <si>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</si>
  <si>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</si>
  <si>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</si>
  <si>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</si>
  <si>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</si>
  <si>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</si>
  <si>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</si>
  <si>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</si>
  <si>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</si>
  <si>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</si>
  <si>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</si>
  <si>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</si>
  <si>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</si>
  <si>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</si>
  <si>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</si>
  <si>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</si>
  <si>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</si>
  <si>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Devis   N°2025-3047</t>
  </si>
  <si>
    <t xml:space="preserve">     Responsable:    MR 
MONTASSAR KHALFAOUI </t>
  </si>
  <si>
    <t xml:space="preserve">DECATHLON   GEANT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</si>
</sst>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36" sqref="K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89" t="s">
        <v>77</v>
      </c>
      <c r="L15" s="189"/>
      <c r="M15" s="3"/>
      <c r="N15" s="9"/>
    </row>
    <row r="16" spans="1:14" x14ac:dyDescent="0.2">
      <c r="A16" s="7"/>
      <c r="B16" s="3"/>
      <c r="C16" s="3"/>
      <c r="D16" s="3"/>
      <c r="E16" s="3"/>
      <c r="F16" s="3"/>
      <c r="G16" s="3"/>
      <c r="H16" s="3"/>
      <c r="I16" s="3"/>
      <c r="J16" s="102"/>
      <c r="K16" s="189"/>
      <c r="L16" s="189"/>
      <c r="M16" s="3"/>
      <c r="N16" s="9"/>
    </row>
    <row r="17" spans="1:14" ht="12.75" customHeight="1" x14ac:dyDescent="0.2">
      <c r="A17" s="7"/>
      <c r="B17" s="3"/>
      <c r="C17" s="3"/>
      <c r="D17" s="3"/>
      <c r="E17" s="3"/>
      <c r="F17" s="3"/>
      <c r="G17" s="3"/>
      <c r="H17" s="3"/>
      <c r="I17" s="3"/>
      <c r="J17" s="102"/>
      <c r="K17" s="189"/>
      <c r="L17" s="189"/>
      <c r="M17" s="3"/>
      <c r="N17" s="9"/>
    </row>
    <row r="18" spans="1:14" ht="12.75" customHeight="1" x14ac:dyDescent="0.2">
      <c r="A18" s="7"/>
      <c r="B18" s="3"/>
      <c r="C18" s="201"/>
      <c r="D18" s="201"/>
      <c r="E18" s="201"/>
      <c r="F18" s="201"/>
      <c r="G18" s="201"/>
      <c r="H18" s="3"/>
      <c r="I18" s="3"/>
      <c r="J18" s="102"/>
      <c r="K18" s="189"/>
      <c r="L18" s="189"/>
      <c r="M18" s="3"/>
      <c r="N18" s="9"/>
    </row>
    <row r="19" spans="1:14" ht="20.100000000000001" customHeight="1" thickBot="1" x14ac:dyDescent="0.25">
      <c r="A19" s="7"/>
      <c r="B19" s="3"/>
      <c r="C19" s="202"/>
      <c r="D19" s="202"/>
      <c r="E19" s="202"/>
      <c r="F19" s="202"/>
      <c r="G19" s="202"/>
      <c r="H19" s="3"/>
      <c r="I19" s="3"/>
      <c r="J19" s="102"/>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0" t="s">
        <v>79</v>
      </c>
      <c r="E23" s="191"/>
      <c r="F23" s="191"/>
      <c r="G23" s="191"/>
      <c r="H23" s="191"/>
      <c r="I23" s="191"/>
      <c r="J23" s="119" t="s">
        <v>57</v>
      </c>
      <c r="K23" s="104">
        <v>45972</v>
      </c>
      <c r="L23" s="106"/>
      <c r="M23" s="55"/>
      <c r="N23" s="9"/>
    </row>
    <row r="24" spans="1:14" ht="27" x14ac:dyDescent="0.35">
      <c r="A24" s="7"/>
      <c r="B24" s="3"/>
      <c r="C24" s="122" t="s">
        <v>53</v>
      </c>
      <c r="D24" s="198"/>
      <c r="E24" s="198"/>
      <c r="F24" s="198"/>
      <c r="G24" s="199"/>
      <c r="H24" s="199"/>
      <c r="I24" s="199"/>
      <c r="J24" s="176" t="s">
        <v>70</v>
      </c>
      <c r="K24" s="176"/>
      <c r="L24" s="176"/>
      <c r="M24" s="56"/>
      <c r="N24" s="9"/>
    </row>
    <row r="25" spans="1:14" ht="27.75" x14ac:dyDescent="0.4">
      <c r="A25" s="7"/>
      <c r="B25" s="3"/>
      <c r="C25" s="122" t="s">
        <v>59</v>
      </c>
      <c r="D25" s="140"/>
      <c r="E25" s="107" t="s">
        <v>51</v>
      </c>
      <c r="F25" s="192"/>
      <c r="G25" s="192"/>
      <c r="H25" s="114" t="s">
        <v>55</v>
      </c>
      <c r="I25" s="108" t="s">
        <v>56</v>
      </c>
      <c r="J25" s="159" t="s">
        <v>78</v>
      </c>
      <c r="K25" s="130"/>
      <c r="L25" s="131"/>
      <c r="M25" s="3"/>
      <c r="N25" s="9"/>
    </row>
    <row r="26" spans="1:14" ht="27.75" customHeight="1" x14ac:dyDescent="0.4">
      <c r="A26" s="7"/>
      <c r="B26" s="3"/>
      <c r="C26" s="122" t="s">
        <v>54</v>
      </c>
      <c r="D26" s="196"/>
      <c r="E26" s="197"/>
      <c r="F26" s="197"/>
      <c r="G26" s="197"/>
      <c r="H26" s="197"/>
      <c r="I26" s="197"/>
      <c r="J26" s="119" t="s">
        <v>63</v>
      </c>
      <c r="K26" s="200" t="s">
        <v>76</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93" t="s">
        <v>21</v>
      </c>
      <c r="F30" s="194"/>
      <c r="G30" s="194"/>
      <c r="H30" s="194"/>
      <c r="I30" s="194"/>
      <c r="J30" s="195"/>
      <c r="K30" s="95" t="s">
        <v>22</v>
      </c>
      <c r="L30" s="96" t="s">
        <v>23</v>
      </c>
      <c r="M30" s="57"/>
      <c r="N30" s="9"/>
    </row>
    <row r="31" spans="1:14" ht="18.75" x14ac:dyDescent="0.3">
      <c r="A31" s="7"/>
      <c r="B31" s="3"/>
      <c r="C31" s="67"/>
      <c r="D31" s="53"/>
      <c r="E31" s="177"/>
      <c r="F31" s="178"/>
      <c r="G31" s="178"/>
      <c r="H31" s="178"/>
      <c r="I31" s="178"/>
      <c r="J31" s="179"/>
      <c r="K31" s="93"/>
      <c r="L31" s="94" t="str">
        <f>IF(D31&lt;&gt;"",D31*K31,"")</f>
        <v/>
      </c>
      <c r="M31" s="57"/>
      <c r="N31" s="9"/>
    </row>
    <row r="32" spans="1:14" ht="26.25" x14ac:dyDescent="0.4">
      <c r="A32" s="7"/>
      <c r="B32" s="3"/>
      <c r="C32" s="129"/>
      <c r="D32" s="97"/>
      <c r="E32" s="180" t="s">
        <v>58</v>
      </c>
      <c r="F32" s="181"/>
      <c r="G32" s="181"/>
      <c r="H32" s="181"/>
      <c r="I32" s="181"/>
      <c r="J32" s="182"/>
      <c r="K32" s="98" t="str">
        <f>IF(C32&lt;&gt;"",C32*J32,"")</f>
        <v/>
      </c>
      <c r="L32" s="98" t="str">
        <f>IF(D32&lt;&gt;"",D32*K32,"")</f>
        <v/>
      </c>
      <c r="M32" s="57"/>
      <c r="N32" s="9"/>
    </row>
    <row r="33" spans="1:14" ht="25.5" x14ac:dyDescent="0.35">
      <c r="A33" s="7"/>
      <c r="B33" s="3"/>
      <c r="C33" s="67"/>
      <c r="D33" s="99"/>
      <c r="E33" s="180" t="s">
        <v>72</v>
      </c>
      <c r="F33" s="181"/>
      <c r="G33" s="181"/>
      <c r="H33" s="181"/>
      <c r="I33" s="181"/>
      <c r="J33" s="182"/>
      <c r="K33" s="100"/>
      <c r="L33" s="101"/>
      <c r="M33" s="57"/>
      <c r="N33" s="9"/>
    </row>
    <row r="34" spans="1:14" ht="26.25" x14ac:dyDescent="0.4">
      <c r="A34" s="7"/>
      <c r="B34" s="3"/>
      <c r="C34" s="128"/>
      <c r="D34" s="99"/>
      <c r="E34" s="167"/>
      <c r="F34" s="168"/>
      <c r="G34" s="168"/>
      <c r="H34" s="168"/>
      <c r="I34" s="168"/>
      <c r="J34" s="169"/>
      <c r="K34" s="100"/>
      <c r="L34" s="101"/>
      <c r="M34" s="57"/>
      <c r="N34" s="9"/>
    </row>
    <row r="35" spans="1:14" ht="25.5" x14ac:dyDescent="0.35">
      <c r="A35" s="7"/>
      <c r="B35" s="3"/>
      <c r="C35" s="128"/>
      <c r="D35" s="99"/>
      <c r="E35" s="170"/>
      <c r="F35" s="171"/>
      <c r="G35" s="171"/>
      <c r="H35" s="171"/>
      <c r="I35" s="171"/>
      <c r="J35" s="172"/>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183"/>
      <c r="F37" s="184"/>
      <c r="G37" s="184"/>
      <c r="H37" s="184"/>
      <c r="I37" s="184"/>
      <c r="J37" s="185"/>
      <c r="K37" s="100"/>
      <c r="L37" s="100"/>
      <c r="M37" s="57"/>
      <c r="N37" s="9"/>
    </row>
    <row r="38" spans="1:14" ht="25.5" x14ac:dyDescent="0.35">
      <c r="A38" s="7"/>
      <c r="B38" s="3"/>
      <c r="C38" s="128"/>
      <c r="D38" s="99"/>
      <c r="E38" s="186"/>
      <c r="F38" s="187"/>
      <c r="G38" s="187"/>
      <c r="H38" s="187"/>
      <c r="I38" s="187"/>
      <c r="J38" s="188"/>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10</v>
      </c>
      <c r="E40" s="158" t="s">
        <v>71</v>
      </c>
      <c r="F40" s="154"/>
      <c r="G40" s="154"/>
      <c r="H40" s="154"/>
      <c r="I40" s="154"/>
      <c r="J40" s="155"/>
      <c r="K40" s="132">
        <v>300</v>
      </c>
      <c r="L40" s="100">
        <f t="shared" ref="L40" si="0">K40*D40</f>
        <v>3000</v>
      </c>
      <c r="M40" s="57"/>
      <c r="N40" s="9"/>
    </row>
    <row r="41" spans="1:14" ht="25.5" x14ac:dyDescent="0.35">
      <c r="A41" s="7"/>
      <c r="B41" s="3"/>
      <c r="C41" s="128"/>
      <c r="D41" s="99"/>
      <c r="E41" s="183"/>
      <c r="F41" s="184"/>
      <c r="G41" s="184"/>
      <c r="H41" s="184"/>
      <c r="I41" s="184"/>
      <c r="J41" s="185"/>
      <c r="K41" s="100"/>
      <c r="L41" s="100"/>
      <c r="M41" s="57"/>
      <c r="N41" s="9"/>
    </row>
    <row r="42" spans="1:14" ht="26.25" x14ac:dyDescent="0.4">
      <c r="A42" s="7"/>
      <c r="B42" s="3"/>
      <c r="C42" s="128"/>
      <c r="D42" s="99"/>
      <c r="E42" s="167" t="s">
        <v>73</v>
      </c>
      <c r="F42" s="168"/>
      <c r="G42" s="168"/>
      <c r="H42" s="168"/>
      <c r="I42" s="168"/>
      <c r="J42" s="169"/>
      <c r="K42" s="100"/>
      <c r="L42" s="100"/>
      <c r="M42" s="57"/>
      <c r="N42" s="9"/>
    </row>
    <row r="43" spans="1:14" ht="25.5" x14ac:dyDescent="0.35">
      <c r="A43" s="7"/>
      <c r="B43" s="3"/>
      <c r="C43" s="128"/>
      <c r="D43" s="99"/>
      <c r="E43" s="170" t="s">
        <v>74</v>
      </c>
      <c r="F43" s="171"/>
      <c r="G43" s="171"/>
      <c r="H43" s="171"/>
      <c r="I43" s="171"/>
      <c r="J43" s="172"/>
      <c r="K43" s="132"/>
      <c r="L43" s="100"/>
      <c r="M43" s="57"/>
      <c r="N43" s="9"/>
    </row>
    <row r="44" spans="1:14" ht="25.5" x14ac:dyDescent="0.35">
      <c r="A44" s="7"/>
      <c r="B44" s="3"/>
      <c r="C44" s="128"/>
      <c r="D44" s="99"/>
      <c r="E44" s="151" t="s">
        <v>75</v>
      </c>
      <c r="F44" s="152"/>
      <c r="G44" s="152"/>
      <c r="H44" s="152"/>
      <c r="I44" s="152"/>
      <c r="J44" s="153"/>
      <c r="K44" s="132"/>
      <c r="L44" s="100"/>
      <c r="M44" s="57"/>
      <c r="N44" s="9"/>
    </row>
    <row r="45" spans="1:14" ht="25.5" x14ac:dyDescent="0.35">
      <c r="A45" s="7"/>
      <c r="B45" s="3"/>
      <c r="C45" s="128"/>
      <c r="D45" s="99"/>
      <c r="E45" s="183"/>
      <c r="F45" s="184"/>
      <c r="G45" s="184"/>
      <c r="H45" s="184"/>
      <c r="I45" s="184"/>
      <c r="J45" s="185"/>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3000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570</v>
      </c>
      <c r="M49" s="57"/>
      <c r="N49" s="9"/>
    </row>
    <row r="50" spans="1:14" ht="30" x14ac:dyDescent="0.4">
      <c r="A50" s="7"/>
      <c r="B50" s="3"/>
      <c r="C50" s="3"/>
      <c r="D50" s="86"/>
      <c r="E50" s="105" t="s">
        <v>66</v>
      </c>
      <c r="F50" s="138"/>
      <c r="G50" s="141"/>
      <c r="H50" s="141"/>
      <c r="I50" s="79"/>
      <c r="J50" s="109"/>
      <c r="K50" s="125" t="s">
        <v>26</v>
      </c>
      <c r="L50" s="113">
        <f>L47+L49+L48</f>
        <v>3571</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175" t="s">
        <v>61</v>
      </c>
      <c r="L53" s="175"/>
      <c r="M53" s="57"/>
      <c r="N53" s="9"/>
    </row>
    <row r="54" spans="1:14" ht="18.75" x14ac:dyDescent="0.3">
      <c r="A54" s="7"/>
      <c r="B54" s="3"/>
      <c r="C54" s="133"/>
      <c r="D54" s="133"/>
      <c r="E54" s="133"/>
      <c r="F54" s="133"/>
      <c r="G54" s="133"/>
      <c r="H54" s="133"/>
      <c r="I54" s="133"/>
      <c r="J54" s="133"/>
      <c r="K54" s="175"/>
      <c r="L54" s="175"/>
      <c r="M54" s="57"/>
      <c r="N54" s="9"/>
    </row>
    <row r="55" spans="1:14" ht="30" x14ac:dyDescent="0.4">
      <c r="A55" s="7"/>
      <c r="B55" s="3"/>
      <c r="C55" s="3"/>
      <c r="D55" s="88"/>
      <c r="E55" s="207"/>
      <c r="F55" s="207"/>
      <c r="G55" s="207"/>
      <c r="H55" s="208"/>
      <c r="I55" s="81"/>
      <c r="J55" s="112"/>
      <c r="K55" s="120"/>
      <c r="L55" s="118"/>
      <c r="M55" s="57"/>
      <c r="N55" s="9"/>
    </row>
    <row r="56" spans="1:14" ht="27.75" x14ac:dyDescent="0.2">
      <c r="A56" s="7"/>
      <c r="B56" s="203" t="s">
        <v>68</v>
      </c>
      <c r="C56" s="203"/>
      <c r="D56" s="203"/>
      <c r="E56" s="203"/>
      <c r="F56" s="203"/>
      <c r="G56" s="203"/>
      <c r="H56" s="203"/>
      <c r="I56" s="77"/>
      <c r="J56" s="77"/>
      <c r="K56" s="118"/>
      <c r="L56" s="118"/>
      <c r="M56" s="57"/>
      <c r="N56" s="9"/>
    </row>
    <row r="57" spans="1:14" ht="27.75" x14ac:dyDescent="0.4">
      <c r="A57" s="7"/>
      <c r="B57" s="146" t="s">
        <v>69</v>
      </c>
      <c r="C57" s="3"/>
      <c r="D57" s="147"/>
      <c r="E57" s="173"/>
      <c r="F57" s="174"/>
      <c r="G57" s="174"/>
      <c r="H57" s="174"/>
      <c r="I57" s="77"/>
      <c r="J57" s="118"/>
      <c r="K57" s="118"/>
      <c r="L57" s="118"/>
      <c r="M57" s="57"/>
      <c r="N57" s="9"/>
    </row>
    <row r="58" spans="1:14" ht="18" x14ac:dyDescent="0.2">
      <c r="A58" s="7"/>
      <c r="B58" s="3"/>
      <c r="C58" s="3"/>
      <c r="D58" s="20"/>
      <c r="E58" s="204"/>
      <c r="F58" s="205"/>
      <c r="G58" s="205"/>
      <c r="H58" s="205"/>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206" t="s">
        <v>64</v>
      </c>
      <c r="C64" s="206"/>
      <c r="D64" s="206"/>
      <c r="E64" s="206"/>
      <c r="F64" s="206"/>
      <c r="G64" s="206"/>
      <c r="H64" s="206"/>
      <c r="I64" s="206"/>
      <c r="J64" s="206"/>
      <c r="K64" s="206"/>
      <c r="L64" s="206"/>
      <c r="M64" s="206"/>
      <c r="N64" s="139"/>
    </row>
    <row r="65" spans="1:14" x14ac:dyDescent="0.2">
      <c r="A65" s="120"/>
      <c r="B65" s="206"/>
      <c r="C65" s="206"/>
      <c r="D65" s="206"/>
      <c r="E65" s="206"/>
      <c r="F65" s="206"/>
      <c r="G65" s="206"/>
      <c r="H65" s="206"/>
      <c r="I65" s="206"/>
      <c r="J65" s="206"/>
      <c r="K65" s="206"/>
      <c r="L65" s="206"/>
      <c r="M65" s="206"/>
      <c r="N65" s="137"/>
    </row>
    <row r="66" spans="1:14" x14ac:dyDescent="0.2">
      <c r="A66" s="121"/>
      <c r="B66" s="206"/>
      <c r="C66" s="206"/>
      <c r="D66" s="206"/>
      <c r="E66" s="206"/>
      <c r="F66" s="206"/>
      <c r="G66" s="206"/>
      <c r="H66" s="206"/>
      <c r="I66" s="206"/>
      <c r="J66" s="206"/>
      <c r="K66" s="206"/>
      <c r="L66" s="206"/>
      <c r="M66" s="206"/>
      <c r="N66" s="137"/>
    </row>
    <row r="67" spans="1:14" ht="24.95" customHeight="1" x14ac:dyDescent="0.2">
      <c r="A67" s="3"/>
      <c r="B67" s="206"/>
      <c r="C67" s="206"/>
      <c r="D67" s="206"/>
      <c r="E67" s="206"/>
      <c r="F67" s="206"/>
      <c r="G67" s="206"/>
      <c r="H67" s="206"/>
      <c r="I67" s="206"/>
      <c r="J67" s="206"/>
      <c r="K67" s="206"/>
      <c r="L67" s="206"/>
      <c r="M67" s="206"/>
      <c r="N67" s="137"/>
    </row>
    <row r="68" spans="1:14" ht="24.95" customHeight="1" x14ac:dyDescent="0.2">
      <c r="A68" s="3"/>
      <c r="B68" s="206"/>
      <c r="C68" s="206"/>
      <c r="D68" s="206"/>
      <c r="E68" s="206"/>
      <c r="F68" s="206"/>
      <c r="G68" s="206"/>
      <c r="H68" s="206"/>
      <c r="I68" s="206"/>
      <c r="J68" s="206"/>
      <c r="K68" s="206"/>
      <c r="L68" s="206"/>
      <c r="M68" s="206"/>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 ref="E45:J45"/>
    <mergeCell ref="B56:H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45972</v>
      </c>
      <c r="D8" s="72" t="str">
        <f>Facture!$D$23</f>
        <v xml:space="preserve">DECATHLON   GEANT </v>
      </c>
      <c r="E8" s="69">
        <f>Facture!$D$24</f>
        <v>0</v>
      </c>
      <c r="F8" s="69">
        <f>Facture!$D$25</f>
        <v>0</v>
      </c>
      <c r="G8" s="72">
        <f>Facture!$F$25</f>
        <v>0</v>
      </c>
      <c r="H8" s="72" t="str">
        <f>Facture!$I$25</f>
        <v>TN</v>
      </c>
      <c r="I8" s="69">
        <f>Facture!$D$26</f>
        <v>0</v>
      </c>
      <c r="J8" s="73">
        <f>Facture!$L$50</f>
        <v>3571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2025-11-11T15:19:45Z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GEANT </vt:lpwstr>
  </property>
  <property fmtid="{D5CDD505-2E9C-101B-9397-08002B2CF9AE}" pid="11" name="Montant de la facture" linkTarget="TOT">
    <vt:r8>3571</vt:r8>
  </property>
</Properties>
</file>