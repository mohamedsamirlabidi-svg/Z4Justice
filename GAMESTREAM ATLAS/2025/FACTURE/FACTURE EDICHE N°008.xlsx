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Facture!$L$43</definedName>
    <definedName name="_Tax2">Facture!#REF!</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Facture!$H$52</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Facture!$E$40</definedName>
    <definedName name="data6">Facture!$F$24</definedName>
    <definedName name="data60">Facture!#REF!</definedName>
    <definedName name="data61">Facture!$L$40</definedName>
    <definedName name="data62">Facture!$E$43</definedName>
    <definedName name="data63">Facture!$E$44</definedName>
    <definedName name="data64">Facture!$E$51</definedName>
    <definedName name="data65">Facture!$H$51</definedName>
    <definedName name="data66">Facture!$F$53</definedName>
    <definedName name="data67">Facture!#REF!</definedName>
    <definedName name="data68">Facture!#REF!</definedName>
    <definedName name="data69">Facture!#REF!</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Facture!#REF!</definedName>
    <definedName name="qzqzqz27">Facture!#REF!</definedName>
    <definedName name="qzqzqz28">Facture!#REF!</definedName>
    <definedName name="qzqzqz29">Facture!#REF!</definedName>
    <definedName name="qzqzqz3">Facture!$E$24:$J$24</definedName>
    <definedName name="qzqzqz30">Facture!#REF!</definedName>
    <definedName name="qzqzqz31">Facture!#REF!</definedName>
    <definedName name="qzqzqz32">Facture!#REF!</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Facture!$C$3:$N$53</definedName>
  </definedNames>
  <calcPr calcId="152511"/>
</workbook>
</file>

<file path=xl/calcChain.xml><?xml version="1.0" encoding="utf-8"?>
<calcChain xmlns="http://schemas.openxmlformats.org/spreadsheetml/2006/main">
  <c r="M33" i="3" l="1"/>
  <c r="M38" i="3" l="1"/>
  <c r="M41" i="3" s="1"/>
  <c r="M39" i="3"/>
  <c r="M40" i="3"/>
  <c r="M43" i="3" l="1"/>
  <c r="M31" i="3" l="1"/>
  <c r="M32" i="3"/>
  <c r="F33" i="2" l="1"/>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<sst xmlns="http://schemas.openxmlformats.org/spreadsheetml/2006/main" count="85" uniqueCount="77">
  <si>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</si>
  <si>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</si>
  <si>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</si>
  <si>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</si>
  <si>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</si>
  <si>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</si>
  <si>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</si>
  <si>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</si>
  <si>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</si>
  <si>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</si>
  <si>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</si>
  <si>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</si>
  <si>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</si>
  <si>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</si>
  <si>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</si>
  <si>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</si>
  <si>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</si>
  <si>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</si>
  <si>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</si>
  <si>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</si>
  <si>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</si>
  <si>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</si>
  <si>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</si>
  <si>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</si>
  <si>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</si>
  <si>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</si>
  <si>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</si>
  <si>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</si>
  <si>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</si>
  <si>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</si>
  <si>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</si>
  <si>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</si>
  <si>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</si>
  <si>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</si>
  <si>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</si>
  <si>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</si>
  <si>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</si>
  <si>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</si>
  <si>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</si>
  <si>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</si>
  <si>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</si>
  <si>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</si>
  <si>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</si>
  <si>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</si>
  <si>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</si>
  <si>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</si>
  <si>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</si>
  <si>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</si>
  <si>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</si>
  <si>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</si>
  <si>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</si>
  <si>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</si>
  <si>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</si>
  <si>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</si>
  <si>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</si>
  <si>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</si>
  <si>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</si>
  <si>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</si>
  <si>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</si>
  <si>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</si>
  <si>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Virement </t>
  </si>
  <si>
    <t>Comptant</t>
  </si>
  <si>
    <t>NOMBRE</t>
  </si>
  <si>
    <t xml:space="preserve">Chèque   </t>
  </si>
  <si>
    <t>RIB : 10 000 000 081951 8 78890</t>
  </si>
  <si>
    <t xml:space="preserve">STB THAMEUR </t>
  </si>
  <si>
    <t>4,RUE DU CAIRE 1001 TUNIS- Tunisie     Tél : (216).71 258 108 Fax : (216).71 259 346
RDC:B159472001 / MF:778013 ZMA 000
Mail:gamestream@planet.tn//gamestream.formation@gmail.com</t>
  </si>
  <si>
    <t xml:space="preserve">MF : </t>
  </si>
  <si>
    <t xml:space="preserve">     Responsable: SERVICE ACHAT </t>
  </si>
  <si>
    <t xml:space="preserve">FORMATION THEORIQUE ET PRATIQUE SUR LE </t>
  </si>
  <si>
    <t>THEME " HABILITATION A LA CONDUITEDE DES</t>
  </si>
  <si>
    <t xml:space="preserve">CHARIOTS  ELEVATEURS </t>
  </si>
  <si>
    <t>EDICHEM</t>
  </si>
  <si>
    <t>Zone Industrielle La Charguia BP 346</t>
  </si>
  <si>
    <t xml:space="preserve">     BON DE COMMANDE : 25-00066</t>
  </si>
  <si>
    <t>Facture  N° 2025-008</t>
  </si>
  <si>
    <t>000429C/A/M000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</si>
</sst>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6"/>
      <name val="Arial"/>
      <family val="2"/>
    </font>
    <font>
      <b/>
      <sz val="20"/>
      <color rgb="FFFF0000"/>
      <name val="Times New Roman"/>
      <family val="1"/>
    </font>
    <font>
      <b/>
      <u/>
      <sz val="20"/>
      <name val="Times New Roman"/>
      <family val="1"/>
    </font>
    <font>
      <b/>
      <sz val="28"/>
      <name val="Aharoni"/>
      <charset val="177"/>
    </font>
    <font>
      <i/>
      <sz val="18"/>
      <name val="Arial"/>
      <family val="2"/>
    </font>
    <font>
      <b/>
      <sz val="16"/>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
      <left/>
      <right style="hair">
        <color auto="1"/>
      </right>
      <top/>
      <bottom style="hair">
        <color auto="1"/>
      </bottom>
      <diagonal/>
    </border>
    <border>
      <left/>
      <right/>
      <top style="double">
        <color indexed="64"/>
      </top>
      <bottom/>
      <diagonal/>
    </border>
    <border>
      <left/>
      <right/>
      <top/>
      <bottom style="double">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8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18" fillId="4" borderId="0" xfId="0" applyFont="1" applyFill="1" applyBorder="1" applyAlignment="1"/>
    <xf numFmtId="0" fontId="0" fillId="3" borderId="33" xfId="0" applyFill="1" applyBorder="1"/>
    <xf numFmtId="0" fontId="3" fillId="3" borderId="33" xfId="0" applyFont="1" applyFill="1" applyBorder="1"/>
    <xf numFmtId="168" fontId="0" fillId="0" borderId="25" xfId="0" applyNumberFormat="1" applyFill="1" applyBorder="1"/>
    <xf numFmtId="0" fontId="19" fillId="3" borderId="35" xfId="0" applyFont="1" applyFill="1" applyBorder="1" applyAlignment="1">
      <alignment horizontal="center"/>
    </xf>
    <xf numFmtId="0" fontId="19" fillId="3" borderId="36" xfId="0" applyFont="1" applyFill="1" applyBorder="1" applyAlignment="1">
      <alignment horizontal="center"/>
    </xf>
    <xf numFmtId="168" fontId="25" fillId="0" borderId="34" xfId="0" applyNumberFormat="1" applyFont="1" applyFill="1" applyBorder="1"/>
    <xf numFmtId="168" fontId="26" fillId="0" borderId="34" xfId="0" applyNumberFormat="1" applyFont="1" applyFill="1" applyBorder="1"/>
    <xf numFmtId="0" fontId="0" fillId="6" borderId="0" xfId="0" applyFill="1" applyBorder="1"/>
    <xf numFmtId="0" fontId="25" fillId="6" borderId="0" xfId="0" applyFont="1" applyFill="1" applyAlignment="1">
      <alignment horizontal="center" vertical="center"/>
    </xf>
    <xf numFmtId="14" fontId="31" fillId="6" borderId="38" xfId="0" applyNumberFormat="1" applyFont="1" applyFill="1" applyBorder="1" applyAlignment="1"/>
    <xf numFmtId="0" fontId="22" fillId="3" borderId="0" xfId="0" applyFont="1" applyFill="1" applyBorder="1" applyAlignment="1">
      <alignment horizontal="left"/>
    </xf>
    <xf numFmtId="0" fontId="31" fillId="6" borderId="38" xfId="0" applyFont="1" applyFill="1" applyBorder="1" applyAlignment="1"/>
    <xf numFmtId="0" fontId="32" fillId="3" borderId="0" xfId="0" applyFont="1" applyFill="1" applyBorder="1" applyAlignment="1">
      <alignment horizontal="right"/>
    </xf>
    <xf numFmtId="49" fontId="31" fillId="3" borderId="40" xfId="0" applyNumberFormat="1" applyFont="1" applyFill="1" applyBorder="1" applyAlignment="1">
      <alignment horizontal="left"/>
    </xf>
    <xf numFmtId="0" fontId="30" fillId="3" borderId="0" xfId="0" applyFont="1" applyFill="1" applyBorder="1"/>
    <xf numFmtId="0" fontId="30" fillId="3" borderId="0" xfId="0" applyFont="1" applyFill="1"/>
    <xf numFmtId="168" fontId="33" fillId="0" borderId="36" xfId="0" applyNumberFormat="1" applyFont="1" applyFill="1" applyBorder="1" applyAlignment="1">
      <alignment shrinkToFit="1"/>
    </xf>
    <xf numFmtId="49" fontId="32" fillId="3" borderId="0" xfId="0" applyNumberFormat="1" applyFont="1" applyFill="1" applyBorder="1" applyAlignment="1">
      <alignment horizontal="left"/>
    </xf>
    <xf numFmtId="0" fontId="7" fillId="3" borderId="0" xfId="0" applyFont="1" applyFill="1" applyBorder="1"/>
    <xf numFmtId="170" fontId="34" fillId="0" borderId="36" xfId="0" applyNumberFormat="1" applyFont="1" applyFill="1" applyBorder="1" applyAlignment="1">
      <alignment shrinkToFit="1"/>
    </xf>
    <xf numFmtId="0" fontId="23"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3" fillId="3" borderId="0" xfId="0" applyFont="1" applyFill="1" applyBorder="1"/>
    <xf numFmtId="0" fontId="31" fillId="0" borderId="36" xfId="0" applyFont="1" applyFill="1" applyBorder="1" applyAlignment="1">
      <alignment horizontal="right"/>
    </xf>
    <xf numFmtId="10" fontId="30" fillId="0" borderId="36" xfId="0" quotePrefix="1" applyNumberFormat="1" applyFont="1" applyFill="1" applyBorder="1" applyAlignment="1">
      <alignment horizontal="center"/>
    </xf>
    <xf numFmtId="0" fontId="27" fillId="0" borderId="36" xfId="0" applyFont="1" applyFill="1" applyBorder="1" applyAlignment="1">
      <alignment horizontal="right"/>
    </xf>
    <xf numFmtId="0" fontId="30" fillId="0" borderId="35" xfId="0" quotePrefix="1" applyFont="1" applyFill="1" applyBorder="1" applyAlignment="1">
      <alignment horizontal="right"/>
    </xf>
    <xf numFmtId="168" fontId="34" fillId="0" borderId="26" xfId="0" applyNumberFormat="1" applyFont="1" applyFill="1" applyBorder="1" applyAlignment="1">
      <alignment shrinkToFit="1"/>
    </xf>
    <xf numFmtId="0" fontId="21" fillId="3" borderId="30" xfId="0" applyFont="1" applyFill="1" applyBorder="1" applyAlignment="1">
      <alignment horizontal="center"/>
    </xf>
    <xf numFmtId="0" fontId="0" fillId="6" borderId="34" xfId="0" applyFill="1" applyBorder="1"/>
    <xf numFmtId="0" fontId="35" fillId="6" borderId="37" xfId="0" applyFont="1" applyFill="1" applyBorder="1" applyAlignment="1">
      <alignment vertical="center"/>
    </xf>
    <xf numFmtId="0" fontId="0" fillId="6" borderId="37" xfId="0" applyFill="1" applyBorder="1" applyAlignment="1"/>
    <xf numFmtId="0" fontId="22" fillId="3" borderId="39" xfId="0" applyFont="1" applyFill="1" applyBorder="1"/>
    <xf numFmtId="0" fontId="17" fillId="3" borderId="35" xfId="0" applyFont="1" applyFill="1" applyBorder="1" applyAlignment="1">
      <alignment horizontal="center"/>
    </xf>
    <xf numFmtId="0" fontId="38" fillId="3" borderId="0" xfId="0" applyFont="1" applyFill="1" applyBorder="1" applyAlignment="1">
      <alignment horizontal="left"/>
    </xf>
    <xf numFmtId="0" fontId="23" fillId="6" borderId="0" xfId="0" applyFont="1" applyFill="1" applyBorder="1" applyAlignment="1"/>
    <xf numFmtId="0" fontId="32" fillId="3" borderId="0" xfId="0" applyFont="1" applyFill="1" applyBorder="1"/>
    <xf numFmtId="49" fontId="29" fillId="3" borderId="0" xfId="0" applyNumberFormat="1" applyFont="1" applyFill="1" applyBorder="1" applyAlignment="1">
      <alignment horizontal="left"/>
    </xf>
    <xf numFmtId="49" fontId="29" fillId="3" borderId="32" xfId="0" applyNumberFormat="1" applyFont="1" applyFill="1" applyBorder="1" applyAlignment="1">
      <alignment horizontal="left"/>
    </xf>
    <xf numFmtId="49" fontId="37" fillId="3" borderId="0" xfId="0" applyNumberFormat="1" applyFont="1" applyFill="1" applyBorder="1" applyAlignment="1"/>
    <xf numFmtId="49" fontId="37" fillId="3" borderId="32" xfId="0" applyNumberFormat="1" applyFont="1" applyFill="1" applyBorder="1" applyAlignment="1"/>
    <xf numFmtId="0" fontId="32" fillId="3" borderId="0" xfId="0" applyFont="1" applyFill="1" applyBorder="1" applyAlignment="1">
      <alignment horizontal="left" vertical="top"/>
    </xf>
    <xf numFmtId="0" fontId="27" fillId="0" borderId="0" xfId="0" applyFont="1" applyFill="1" applyBorder="1" applyAlignment="1">
      <alignment horizontal="right"/>
    </xf>
    <xf numFmtId="168" fontId="33" fillId="0" borderId="0" xfId="0" applyNumberFormat="1" applyFont="1" applyFill="1" applyBorder="1" applyAlignment="1">
      <alignment shrinkToFit="1"/>
    </xf>
    <xf numFmtId="0" fontId="24" fillId="3" borderId="0" xfId="0" applyFont="1" applyFill="1" applyBorder="1"/>
    <xf numFmtId="0" fontId="42" fillId="6" borderId="0" xfId="0" applyFont="1" applyFill="1" applyAlignment="1">
      <alignment horizontal="center" vertical="center"/>
    </xf>
    <xf numFmtId="0" fontId="24" fillId="6" borderId="0" xfId="0" applyNumberFormat="1" applyFont="1" applyFill="1" applyBorder="1" applyAlignment="1"/>
    <xf numFmtId="0" fontId="24" fillId="6" borderId="0" xfId="0" applyFont="1" applyFill="1" applyBorder="1"/>
    <xf numFmtId="0" fontId="24" fillId="6" borderId="0" xfId="0" applyFont="1" applyFill="1"/>
    <xf numFmtId="0" fontId="0" fillId="3" borderId="44" xfId="0" applyFill="1" applyBorder="1" applyAlignment="1">
      <alignment horizontal="center"/>
    </xf>
    <xf numFmtId="0" fontId="25" fillId="3" borderId="30" xfId="0" applyFont="1" applyFill="1" applyBorder="1" applyAlignment="1">
      <alignment horizontal="center"/>
    </xf>
    <xf numFmtId="0" fontId="26" fillId="3" borderId="30" xfId="0" applyFont="1" applyFill="1" applyBorder="1" applyAlignment="1">
      <alignment horizontal="center"/>
    </xf>
    <xf numFmtId="0" fontId="0" fillId="3" borderId="31" xfId="0" applyFill="1" applyBorder="1" applyAlignment="1">
      <alignment horizontal="center"/>
    </xf>
    <xf numFmtId="168" fontId="0" fillId="0" borderId="32" xfId="0" applyNumberFormat="1" applyFill="1" applyBorder="1" applyAlignment="1"/>
    <xf numFmtId="168" fontId="25" fillId="0" borderId="32" xfId="0" applyNumberFormat="1" applyFont="1" applyFill="1" applyBorder="1" applyAlignment="1"/>
    <xf numFmtId="168" fontId="26" fillId="0" borderId="32" xfId="0" applyNumberFormat="1" applyFont="1" applyFill="1" applyBorder="1" applyAlignment="1"/>
    <xf numFmtId="0" fontId="0" fillId="3" borderId="38" xfId="0" applyFill="1" applyBorder="1"/>
    <xf numFmtId="49" fontId="29" fillId="3" borderId="38" xfId="0" applyNumberFormat="1" applyFont="1" applyFill="1" applyBorder="1" applyAlignment="1">
      <alignment horizontal="left"/>
    </xf>
    <xf numFmtId="49" fontId="29" fillId="3" borderId="48" xfId="0" applyNumberFormat="1" applyFont="1" applyFill="1" applyBorder="1" applyAlignment="1">
      <alignment horizontal="left"/>
    </xf>
    <xf numFmtId="0" fontId="23" fillId="6" borderId="0" xfId="0" applyFont="1" applyFill="1" applyBorder="1" applyAlignment="1">
      <alignment horizontal="center" vertical="center"/>
    </xf>
    <xf numFmtId="0" fontId="42" fillId="6" borderId="49" xfId="0" applyFont="1" applyFill="1" applyBorder="1" applyAlignment="1">
      <alignment horizontal="center" vertical="center"/>
    </xf>
    <xf numFmtId="0" fontId="24" fillId="3" borderId="50" xfId="0" applyFont="1" applyFill="1" applyBorder="1"/>
    <xf numFmtId="0" fontId="24" fillId="3" borderId="50" xfId="0" applyNumberFormat="1" applyFont="1" applyFill="1" applyBorder="1" applyAlignment="1"/>
    <xf numFmtId="0" fontId="23" fillId="6" borderId="0" xfId="0" applyFont="1" applyFill="1" applyBorder="1" applyAlignment="1">
      <alignment horizontal="center" vertical="center" wrapText="1"/>
    </xf>
    <xf numFmtId="49" fontId="39" fillId="3" borderId="30" xfId="0" applyNumberFormat="1" applyFont="1" applyFill="1" applyBorder="1" applyAlignment="1"/>
    <xf numFmtId="49" fontId="37" fillId="3" borderId="30" xfId="0" applyNumberFormat="1" applyFont="1" applyFill="1" applyBorder="1" applyAlignment="1">
      <alignment horizontal="left" vertical="top"/>
    </xf>
    <xf numFmtId="49" fontId="37" fillId="3" borderId="0" xfId="0" applyNumberFormat="1" applyFont="1" applyFill="1" applyBorder="1" applyAlignment="1">
      <alignment horizontal="left" vertical="top"/>
    </xf>
    <xf numFmtId="49" fontId="37" fillId="3" borderId="32" xfId="0" applyNumberFormat="1" applyFont="1" applyFill="1" applyBorder="1" applyAlignment="1">
      <alignment horizontal="left" vertical="top"/>
    </xf>
    <xf numFmtId="0" fontId="26" fillId="3" borderId="0"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25" fillId="0" borderId="0" xfId="0" applyFont="1" applyFill="1" applyBorder="1" applyAlignment="1">
      <alignment horizontal="center" vertical="center"/>
    </xf>
    <xf numFmtId="0" fontId="23" fillId="6" borderId="0" xfId="0" applyFont="1" applyFill="1" applyBorder="1" applyAlignment="1">
      <alignment horizontal="center" vertical="center" wrapText="1"/>
    </xf>
    <xf numFmtId="49" fontId="20" fillId="3" borderId="44" xfId="0" applyNumberFormat="1" applyFont="1" applyFill="1" applyBorder="1" applyAlignment="1"/>
    <xf numFmtId="49" fontId="20" fillId="3" borderId="45" xfId="0" applyNumberFormat="1" applyFont="1" applyFill="1" applyBorder="1" applyAlignment="1"/>
    <xf numFmtId="49" fontId="20" fillId="3" borderId="46"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43" fillId="3" borderId="30" xfId="0" applyNumberFormat="1" applyFont="1" applyFill="1" applyBorder="1" applyAlignment="1"/>
    <xf numFmtId="0" fontId="43" fillId="2" borderId="0" xfId="0" applyFont="1" applyAlignment="1"/>
    <xf numFmtId="0" fontId="43" fillId="2" borderId="32" xfId="0" applyFont="1" applyBorder="1" applyAlignment="1"/>
    <xf numFmtId="49" fontId="39" fillId="3" borderId="30" xfId="0" applyNumberFormat="1" applyFont="1" applyFill="1" applyBorder="1" applyAlignment="1">
      <alignment horizontal="center" vertical="center"/>
    </xf>
    <xf numFmtId="49" fontId="39" fillId="3" borderId="0" xfId="0" applyNumberFormat="1" applyFont="1" applyFill="1" applyBorder="1" applyAlignment="1">
      <alignment horizontal="center" vertical="center"/>
    </xf>
    <xf numFmtId="49" fontId="39" fillId="3" borderId="32" xfId="0" applyNumberFormat="1" applyFont="1" applyFill="1" applyBorder="1" applyAlignment="1">
      <alignment horizontal="center" vertical="center"/>
    </xf>
    <xf numFmtId="0" fontId="28" fillId="6" borderId="0" xfId="0" applyFont="1" applyFill="1" applyAlignment="1">
      <alignment horizontal="center" vertical="center"/>
    </xf>
    <xf numFmtId="49" fontId="41" fillId="3" borderId="40" xfId="0" applyNumberFormat="1" applyFont="1" applyFill="1" applyBorder="1" applyAlignment="1">
      <alignment horizontal="left" vertical="top"/>
    </xf>
    <xf numFmtId="49" fontId="31" fillId="3" borderId="39" xfId="0" applyNumberFormat="1" applyFont="1" applyFill="1" applyBorder="1" applyAlignment="1">
      <alignment horizontal="left"/>
    </xf>
    <xf numFmtId="0" fontId="19" fillId="3" borderId="44" xfId="0" applyFont="1" applyFill="1" applyBorder="1" applyAlignment="1"/>
    <xf numFmtId="0" fontId="19" fillId="3" borderId="45" xfId="0" applyFont="1" applyFill="1" applyBorder="1" applyAlignment="1"/>
    <xf numFmtId="0" fontId="19" fillId="3" borderId="46" xfId="0" applyFont="1" applyFill="1" applyBorder="1" applyAlignment="1"/>
    <xf numFmtId="3" fontId="24" fillId="3" borderId="40" xfId="0" applyNumberFormat="1" applyFont="1" applyFill="1" applyBorder="1" applyAlignment="1">
      <alignment horizontal="left" wrapText="1"/>
    </xf>
    <xf numFmtId="0" fontId="32" fillId="2" borderId="40" xfId="0" applyFont="1" applyBorder="1" applyAlignment="1">
      <alignment horizontal="left"/>
    </xf>
    <xf numFmtId="0" fontId="22" fillId="3" borderId="47" xfId="0" applyFont="1" applyFill="1" applyBorder="1" applyAlignment="1">
      <alignment horizontal="left"/>
    </xf>
    <xf numFmtId="0" fontId="22" fillId="2" borderId="47" xfId="0" applyFont="1" applyBorder="1" applyAlignment="1">
      <alignment horizontal="left"/>
    </xf>
    <xf numFmtId="0" fontId="24" fillId="3" borderId="0" xfId="0" applyFont="1" applyFill="1" applyBorder="1" applyAlignment="1">
      <alignment horizontal="center"/>
    </xf>
    <xf numFmtId="0" fontId="24" fillId="3" borderId="41" xfId="0" applyFont="1" applyFill="1" applyBorder="1" applyAlignment="1">
      <alignment horizontal="center"/>
    </xf>
    <xf numFmtId="0" fontId="23" fillId="6"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57150</xdr:rowOff>
    </xdr:from>
    <xdr:to>
      <xdr:col>13</xdr:col>
      <xdr:colOff>114300</xdr:colOff>
      <xdr:row>26</xdr:row>
      <xdr:rowOff>47625</xdr:rowOff>
    </xdr:to>
    <xdr:sp macro="" textlink="">
      <xdr:nvSpPr>
        <xdr:cNvPr id="2259" name="INVB2"/>
        <xdr:cNvSpPr>
          <a:spLocks noChangeArrowheads="1"/>
        </xdr:cNvSpPr>
      </xdr:nvSpPr>
      <xdr:spPr bwMode="auto">
        <a:xfrm>
          <a:off x="7200900" y="3619500"/>
          <a:ext cx="4972050" cy="16478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43</xdr:row>
          <xdr:rowOff>0</xdr:rowOff>
        </xdr:from>
        <xdr:to>
          <xdr:col>4</xdr:col>
          <xdr:colOff>552450</xdr:colOff>
          <xdr:row>43</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41</xdr:row>
          <xdr:rowOff>9525</xdr:rowOff>
        </xdr:from>
        <xdr:to>
          <xdr:col>4</xdr:col>
          <xdr:colOff>571500</xdr:colOff>
          <xdr:row>41</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46</v>
      </c>
      <c r="F14" s="27"/>
      <c r="G14" s="28"/>
      <c r="H14" s="26"/>
      <c r="I14" s="3"/>
      <c r="J14" s="9"/>
    </row>
    <row r="15" spans="2:10" x14ac:dyDescent="0.2">
      <c r="B15" s="7"/>
      <c r="C15" s="3"/>
      <c r="D15" s="33" t="s">
        <v>8</v>
      </c>
      <c r="E15" s="14" t="s">
        <v>47</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43</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71">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2">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79"/>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3"/>
  <sheetViews>
    <sheetView showGridLines="0" showRowColHeaders="0" tabSelected="1" topLeftCell="A10" zoomScale="50" zoomScaleNormal="50" workbookViewId="0">
      <selection activeCell="F32" sqref="F32:K32"/>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3"/>
      <c r="M11" s="73" t="s">
        <v>49</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87"/>
      <c r="L14" s="88"/>
      <c r="M14" s="88"/>
      <c r="N14" s="3"/>
      <c r="O14" s="9"/>
    </row>
    <row r="15" spans="2:15" x14ac:dyDescent="0.2">
      <c r="B15" s="7"/>
      <c r="C15" s="3"/>
      <c r="D15" s="3"/>
      <c r="E15" s="3"/>
      <c r="F15" s="3"/>
      <c r="G15" s="3"/>
      <c r="H15" s="3"/>
      <c r="I15" s="3"/>
      <c r="J15" s="3"/>
      <c r="K15" s="87"/>
      <c r="L15" s="171" t="s">
        <v>75</v>
      </c>
      <c r="M15" s="171"/>
      <c r="N15" s="3"/>
      <c r="O15" s="9"/>
    </row>
    <row r="16" spans="2:15" x14ac:dyDescent="0.2">
      <c r="B16" s="7"/>
      <c r="C16" s="3"/>
      <c r="D16" s="3"/>
      <c r="E16" s="3"/>
      <c r="F16" s="3"/>
      <c r="G16" s="3"/>
      <c r="H16" s="3"/>
      <c r="I16" s="3"/>
      <c r="J16" s="3"/>
      <c r="K16" s="87"/>
      <c r="L16" s="171"/>
      <c r="M16" s="171"/>
      <c r="N16" s="3"/>
      <c r="O16" s="9"/>
    </row>
    <row r="17" spans="1:15" ht="12.75" customHeight="1" x14ac:dyDescent="0.2">
      <c r="B17" s="7"/>
      <c r="C17" s="3"/>
      <c r="D17" s="3"/>
      <c r="E17" s="3"/>
      <c r="F17" s="3"/>
      <c r="G17" s="3"/>
      <c r="H17" s="3"/>
      <c r="I17" s="3"/>
      <c r="J17" s="3"/>
      <c r="K17" s="87"/>
      <c r="L17" s="171"/>
      <c r="M17" s="171"/>
      <c r="N17" s="3"/>
      <c r="O17" s="9"/>
    </row>
    <row r="18" spans="1:15" ht="12.75" customHeight="1" x14ac:dyDescent="0.2">
      <c r="B18" s="7"/>
      <c r="C18" s="3"/>
      <c r="D18" s="181"/>
      <c r="E18" s="181"/>
      <c r="F18" s="181"/>
      <c r="G18" s="181"/>
      <c r="H18" s="181"/>
      <c r="I18" s="3"/>
      <c r="J18" s="3"/>
      <c r="K18" s="87"/>
      <c r="L18" s="171"/>
      <c r="M18" s="171"/>
      <c r="N18" s="3"/>
      <c r="O18" s="9"/>
    </row>
    <row r="19" spans="1:15" ht="20.100000000000001" customHeight="1" thickBot="1" x14ac:dyDescent="0.25">
      <c r="B19" s="7"/>
      <c r="C19" s="3"/>
      <c r="D19" s="182"/>
      <c r="E19" s="182"/>
      <c r="F19" s="182"/>
      <c r="G19" s="182"/>
      <c r="H19" s="182"/>
      <c r="I19" s="3"/>
      <c r="J19" s="3"/>
      <c r="K19" s="87"/>
      <c r="L19" s="171"/>
      <c r="M19" s="171"/>
      <c r="N19" s="3"/>
      <c r="O19" s="9"/>
    </row>
    <row r="20" spans="1:15" ht="3" customHeight="1" thickTop="1" x14ac:dyDescent="0.3">
      <c r="B20" s="7"/>
      <c r="C20" s="3"/>
      <c r="D20" s="55"/>
      <c r="E20" s="55"/>
      <c r="F20" s="55"/>
      <c r="G20" s="55"/>
      <c r="H20" s="55"/>
      <c r="I20" s="55"/>
      <c r="J20" s="56"/>
      <c r="K20" s="56"/>
      <c r="L20" s="80"/>
      <c r="M20" s="81"/>
      <c r="N20" s="20"/>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35">
      <c r="B23" s="7"/>
      <c r="C23" s="3"/>
      <c r="D23" s="103" t="s">
        <v>51</v>
      </c>
      <c r="E23" s="172" t="s">
        <v>72</v>
      </c>
      <c r="F23" s="172"/>
      <c r="G23" s="172"/>
      <c r="H23" s="172"/>
      <c r="I23" s="172"/>
      <c r="J23" s="172"/>
      <c r="K23" s="100" t="s">
        <v>56</v>
      </c>
      <c r="L23" s="89">
        <v>45700</v>
      </c>
      <c r="M23" s="91"/>
      <c r="N23" s="52"/>
      <c r="O23" s="9"/>
    </row>
    <row r="24" spans="1:15" ht="23.25" x14ac:dyDescent="0.35">
      <c r="B24" s="7"/>
      <c r="C24" s="3"/>
      <c r="D24" s="103" t="s">
        <v>52</v>
      </c>
      <c r="E24" s="179" t="s">
        <v>73</v>
      </c>
      <c r="F24" s="179"/>
      <c r="G24" s="179"/>
      <c r="H24" s="180"/>
      <c r="I24" s="180"/>
      <c r="J24" s="180"/>
      <c r="K24" s="183" t="s">
        <v>74</v>
      </c>
      <c r="L24" s="183"/>
      <c r="M24" s="183"/>
      <c r="N24" s="53"/>
      <c r="O24" s="9"/>
    </row>
    <row r="25" spans="1:15" ht="27.75" x14ac:dyDescent="0.4">
      <c r="B25" s="7"/>
      <c r="C25" s="3"/>
      <c r="D25" s="103" t="s">
        <v>57</v>
      </c>
      <c r="E25" s="113"/>
      <c r="F25" s="92" t="s">
        <v>50</v>
      </c>
      <c r="G25" s="173"/>
      <c r="H25" s="173"/>
      <c r="I25" s="97" t="s">
        <v>54</v>
      </c>
      <c r="J25" s="93" t="s">
        <v>55</v>
      </c>
      <c r="K25" s="100" t="s">
        <v>68</v>
      </c>
      <c r="L25" s="111"/>
      <c r="M25" s="112"/>
      <c r="N25" s="3"/>
      <c r="O25" s="9"/>
    </row>
    <row r="26" spans="1:15" ht="27.75" customHeight="1" x14ac:dyDescent="0.4">
      <c r="A26">
        <v>71</v>
      </c>
      <c r="B26" s="7"/>
      <c r="C26" s="3"/>
      <c r="D26" s="103" t="s">
        <v>53</v>
      </c>
      <c r="E26" s="177"/>
      <c r="F26" s="178"/>
      <c r="G26" s="178"/>
      <c r="H26" s="178"/>
      <c r="I26" s="178"/>
      <c r="J26" s="178"/>
      <c r="K26" s="140" t="s">
        <v>67</v>
      </c>
      <c r="L26" s="149" t="s">
        <v>76</v>
      </c>
      <c r="M26" s="116"/>
      <c r="N26" s="3"/>
      <c r="O26" s="9"/>
    </row>
    <row r="27" spans="1:15" x14ac:dyDescent="0.2">
      <c r="B27" s="7"/>
      <c r="C27" s="3"/>
      <c r="D27" s="76"/>
      <c r="E27" s="76"/>
      <c r="F27" s="76"/>
      <c r="G27" s="76"/>
      <c r="H27" s="76"/>
      <c r="I27" s="76"/>
      <c r="J27" s="76"/>
      <c r="K27" s="76"/>
      <c r="L27" s="76"/>
      <c r="M27" s="76"/>
      <c r="N27" s="3"/>
      <c r="O27" s="9"/>
    </row>
    <row r="28" spans="1:15" x14ac:dyDescent="0.2">
      <c r="B28" s="7"/>
      <c r="C28" s="3"/>
      <c r="D28" s="76"/>
      <c r="E28" s="76"/>
      <c r="F28" s="76"/>
      <c r="G28" s="76"/>
      <c r="H28" s="76"/>
      <c r="I28" s="76"/>
      <c r="J28" s="76"/>
      <c r="K28" s="76"/>
      <c r="L28" s="76"/>
      <c r="M28" s="76"/>
      <c r="N28" s="3"/>
      <c r="O28" s="9"/>
    </row>
    <row r="29" spans="1:15" x14ac:dyDescent="0.2">
      <c r="B29" s="7"/>
      <c r="C29" s="3"/>
      <c r="D29" s="76"/>
      <c r="E29" s="76"/>
      <c r="F29" s="76"/>
      <c r="G29" s="76"/>
      <c r="H29" s="76"/>
      <c r="I29" s="76"/>
      <c r="J29" s="76"/>
      <c r="K29" s="76"/>
      <c r="L29" s="76"/>
      <c r="M29" s="76"/>
      <c r="N29" s="3"/>
      <c r="O29" s="9"/>
    </row>
    <row r="30" spans="1:15" ht="18" x14ac:dyDescent="0.25">
      <c r="B30" s="7"/>
      <c r="C30" s="3"/>
      <c r="D30" s="83" t="s">
        <v>32</v>
      </c>
      <c r="E30" s="114" t="s">
        <v>62</v>
      </c>
      <c r="F30" s="174" t="s">
        <v>21</v>
      </c>
      <c r="G30" s="175"/>
      <c r="H30" s="175"/>
      <c r="I30" s="175"/>
      <c r="J30" s="175"/>
      <c r="K30" s="176"/>
      <c r="L30" s="83" t="s">
        <v>22</v>
      </c>
      <c r="M30" s="84" t="s">
        <v>23</v>
      </c>
      <c r="N30" s="54"/>
      <c r="O30" s="9"/>
    </row>
    <row r="31" spans="1:15" ht="18.75" x14ac:dyDescent="0.3">
      <c r="B31" s="7"/>
      <c r="C31" s="3"/>
      <c r="D31" s="64"/>
      <c r="E31" s="130"/>
      <c r="F31" s="159"/>
      <c r="G31" s="160"/>
      <c r="H31" s="160"/>
      <c r="I31" s="160"/>
      <c r="J31" s="160"/>
      <c r="K31" s="161"/>
      <c r="L31" s="134"/>
      <c r="M31" s="82" t="str">
        <f>IF(E31&lt;&gt;"",E31*L31,"")</f>
        <v/>
      </c>
      <c r="N31" s="54"/>
      <c r="O31" s="9"/>
    </row>
    <row r="32" spans="1:15" ht="26.25" x14ac:dyDescent="0.4">
      <c r="B32" s="7"/>
      <c r="C32" s="3"/>
      <c r="D32" s="110"/>
      <c r="E32" s="131"/>
      <c r="F32" s="162"/>
      <c r="G32" s="163"/>
      <c r="H32" s="163"/>
      <c r="I32" s="163"/>
      <c r="J32" s="163"/>
      <c r="K32" s="164"/>
      <c r="L32" s="135"/>
      <c r="M32" s="85" t="str">
        <f>IF(E32&lt;&gt;"",E32*L32,"")</f>
        <v/>
      </c>
      <c r="N32" s="54"/>
      <c r="O32" s="9"/>
    </row>
    <row r="33" spans="2:15" ht="25.5" x14ac:dyDescent="0.35">
      <c r="B33" s="7"/>
      <c r="C33" s="3"/>
      <c r="D33" s="109"/>
      <c r="E33" s="132">
        <v>2</v>
      </c>
      <c r="F33" s="165" t="s">
        <v>69</v>
      </c>
      <c r="G33" s="166"/>
      <c r="H33" s="166"/>
      <c r="I33" s="166"/>
      <c r="J33" s="166"/>
      <c r="K33" s="167"/>
      <c r="L33" s="136">
        <v>300</v>
      </c>
      <c r="M33" s="136">
        <f>L33*E33</f>
        <v>600</v>
      </c>
      <c r="N33" s="54"/>
      <c r="O33" s="9"/>
    </row>
    <row r="34" spans="2:15" ht="25.5" x14ac:dyDescent="0.35">
      <c r="B34" s="7"/>
      <c r="C34" s="3"/>
      <c r="D34" s="109"/>
      <c r="E34" s="132"/>
      <c r="F34" s="165" t="s">
        <v>70</v>
      </c>
      <c r="G34" s="166"/>
      <c r="H34" s="166"/>
      <c r="I34" s="166"/>
      <c r="J34" s="166"/>
      <c r="K34" s="167"/>
      <c r="L34" s="136"/>
      <c r="M34" s="86"/>
      <c r="N34" s="54"/>
      <c r="O34" s="9"/>
    </row>
    <row r="35" spans="2:15" ht="25.5" x14ac:dyDescent="0.35">
      <c r="B35" s="7"/>
      <c r="C35" s="3"/>
      <c r="D35" s="109"/>
      <c r="E35" s="132"/>
      <c r="F35" s="165" t="s">
        <v>71</v>
      </c>
      <c r="G35" s="166"/>
      <c r="H35" s="166"/>
      <c r="I35" s="166"/>
      <c r="J35" s="166"/>
      <c r="K35" s="167"/>
      <c r="L35" s="136"/>
      <c r="M35" s="86"/>
      <c r="N35" s="54"/>
      <c r="O35" s="9"/>
    </row>
    <row r="36" spans="2:15" ht="25.5" x14ac:dyDescent="0.35">
      <c r="B36" s="7"/>
      <c r="C36" s="3"/>
      <c r="D36" s="109"/>
      <c r="E36" s="132"/>
      <c r="F36" s="146"/>
      <c r="G36" s="147"/>
      <c r="H36" s="147"/>
      <c r="I36" s="147"/>
      <c r="J36" s="147"/>
      <c r="K36" s="148"/>
      <c r="L36" s="136"/>
      <c r="M36" s="86"/>
      <c r="N36" s="54"/>
      <c r="O36" s="9"/>
    </row>
    <row r="37" spans="2:15" ht="25.5" x14ac:dyDescent="0.35">
      <c r="B37" s="7"/>
      <c r="C37" s="3"/>
      <c r="D37" s="109"/>
      <c r="E37" s="132"/>
      <c r="F37" s="146"/>
      <c r="G37" s="147"/>
      <c r="H37" s="147"/>
      <c r="I37" s="147"/>
      <c r="J37" s="147"/>
      <c r="K37" s="148"/>
      <c r="L37" s="136"/>
      <c r="M37" s="86"/>
      <c r="N37" s="54"/>
      <c r="O37" s="9"/>
    </row>
    <row r="38" spans="2:15" ht="25.5" x14ac:dyDescent="0.35">
      <c r="B38" s="7"/>
      <c r="C38" s="3"/>
      <c r="D38" s="109"/>
      <c r="E38" s="132"/>
      <c r="F38" s="168"/>
      <c r="G38" s="169"/>
      <c r="H38" s="169"/>
      <c r="I38" s="169"/>
      <c r="J38" s="169"/>
      <c r="K38" s="170"/>
      <c r="L38" s="136"/>
      <c r="M38" s="86" t="str">
        <f t="shared" ref="M38:M40" si="0">IF(E38&lt;&gt;"",E38*L38,"")</f>
        <v/>
      </c>
      <c r="N38" s="54"/>
      <c r="O38" s="9"/>
    </row>
    <row r="39" spans="2:15" ht="25.5" x14ac:dyDescent="0.35">
      <c r="B39" s="7"/>
      <c r="C39" s="3"/>
      <c r="D39" s="109"/>
      <c r="E39" s="132"/>
      <c r="F39" s="145"/>
      <c r="G39" s="120"/>
      <c r="H39" s="120"/>
      <c r="I39" s="120"/>
      <c r="J39" s="120"/>
      <c r="K39" s="121"/>
      <c r="L39" s="136"/>
      <c r="M39" s="86" t="str">
        <f t="shared" si="0"/>
        <v/>
      </c>
      <c r="N39" s="54"/>
      <c r="O39" s="9"/>
    </row>
    <row r="40" spans="2:15" ht="26.25" x14ac:dyDescent="0.4">
      <c r="B40" s="7"/>
      <c r="C40" s="3"/>
      <c r="D40" s="65"/>
      <c r="E40" s="133"/>
      <c r="F40" s="138"/>
      <c r="G40" s="138"/>
      <c r="H40" s="138"/>
      <c r="I40" s="138"/>
      <c r="J40" s="138"/>
      <c r="K40" s="139"/>
      <c r="L40" s="137"/>
      <c r="M40" s="86" t="str">
        <f t="shared" si="0"/>
        <v/>
      </c>
      <c r="N40" s="54"/>
      <c r="O40" s="9"/>
    </row>
    <row r="41" spans="2:15" ht="30" x14ac:dyDescent="0.4">
      <c r="B41" s="7"/>
      <c r="C41" s="3"/>
      <c r="D41" s="98"/>
      <c r="E41" s="76"/>
      <c r="F41" s="76"/>
      <c r="G41" s="118"/>
      <c r="H41" s="118"/>
      <c r="I41" s="118"/>
      <c r="J41" s="118"/>
      <c r="K41" s="119"/>
      <c r="L41" s="107" t="s">
        <v>24</v>
      </c>
      <c r="M41" s="96">
        <f>SUM(M33:M40)</f>
        <v>600</v>
      </c>
      <c r="N41" s="54"/>
      <c r="O41" s="9"/>
    </row>
    <row r="42" spans="2:15" ht="30" x14ac:dyDescent="0.4">
      <c r="B42" s="7"/>
      <c r="C42" s="3"/>
      <c r="D42" s="3"/>
      <c r="E42" s="77"/>
      <c r="F42" s="90" t="s">
        <v>61</v>
      </c>
      <c r="G42" s="76"/>
      <c r="H42" s="76"/>
      <c r="I42" s="76"/>
      <c r="J42" s="74"/>
      <c r="K42" s="94"/>
      <c r="L42" s="104" t="s">
        <v>44</v>
      </c>
      <c r="M42" s="108">
        <v>1</v>
      </c>
      <c r="N42" s="54"/>
      <c r="O42" s="9"/>
    </row>
    <row r="43" spans="2:15" ht="30" x14ac:dyDescent="0.4">
      <c r="B43" s="7"/>
      <c r="C43" s="3"/>
      <c r="D43" s="3"/>
      <c r="E43" s="77"/>
      <c r="F43" s="115" t="s">
        <v>60</v>
      </c>
      <c r="G43" s="76"/>
      <c r="H43" s="76"/>
      <c r="I43" s="76"/>
      <c r="J43" s="74"/>
      <c r="K43" s="94"/>
      <c r="L43" s="105" t="s">
        <v>58</v>
      </c>
      <c r="M43" s="99">
        <f>M41*0.19</f>
        <v>114</v>
      </c>
      <c r="N43" s="54"/>
      <c r="O43" s="9"/>
    </row>
    <row r="44" spans="2:15" ht="30" x14ac:dyDescent="0.4">
      <c r="C44" s="101"/>
      <c r="D44" s="3"/>
      <c r="E44" s="78"/>
      <c r="F44" s="90" t="s">
        <v>63</v>
      </c>
      <c r="G44" s="76"/>
      <c r="H44" s="76"/>
      <c r="I44" s="76"/>
      <c r="J44" s="75"/>
      <c r="K44" s="95"/>
      <c r="L44" s="106" t="s">
        <v>25</v>
      </c>
      <c r="M44" s="96">
        <f>M41+M43+M42</f>
        <v>715</v>
      </c>
      <c r="N44" s="54"/>
      <c r="O44" s="9"/>
    </row>
    <row r="45" spans="2:15" ht="30" x14ac:dyDescent="0.4">
      <c r="C45" s="101"/>
      <c r="D45" s="3"/>
      <c r="E45" s="78"/>
      <c r="F45" s="115"/>
      <c r="G45" s="76"/>
      <c r="H45" s="76"/>
      <c r="I45" s="76"/>
      <c r="J45" s="75"/>
      <c r="K45" s="95"/>
      <c r="L45" s="123"/>
      <c r="M45" s="124"/>
      <c r="N45" s="54"/>
      <c r="O45" s="9"/>
    </row>
    <row r="46" spans="2:15" ht="30" x14ac:dyDescent="0.4">
      <c r="C46" s="101"/>
      <c r="D46" s="122" t="s">
        <v>64</v>
      </c>
      <c r="E46" s="78"/>
      <c r="F46" s="115"/>
      <c r="G46" s="76"/>
      <c r="H46" s="76"/>
      <c r="I46" s="76"/>
      <c r="J46" s="75"/>
      <c r="K46" s="95"/>
      <c r="L46" s="157" t="s">
        <v>59</v>
      </c>
      <c r="M46" s="157"/>
      <c r="N46" s="54"/>
      <c r="O46" s="9"/>
    </row>
    <row r="47" spans="2:15" ht="30" x14ac:dyDescent="0.4">
      <c r="C47" s="101"/>
      <c r="D47" s="117" t="s">
        <v>65</v>
      </c>
      <c r="E47" s="78"/>
      <c r="F47" s="115"/>
      <c r="G47" s="76"/>
      <c r="H47" s="76"/>
      <c r="I47" s="76"/>
      <c r="J47" s="75"/>
      <c r="K47" s="95"/>
      <c r="L47" s="157"/>
      <c r="M47" s="157"/>
      <c r="N47" s="54"/>
      <c r="O47" s="9"/>
    </row>
    <row r="48" spans="2:15" ht="24" thickBot="1" x14ac:dyDescent="0.4">
      <c r="C48" s="125"/>
      <c r="D48" s="125"/>
      <c r="E48" s="142"/>
      <c r="F48" s="142"/>
      <c r="G48" s="142"/>
      <c r="H48" s="142"/>
      <c r="I48" s="142"/>
      <c r="J48" s="142"/>
      <c r="K48" s="142"/>
      <c r="L48" s="142"/>
      <c r="M48" s="142"/>
      <c r="N48" s="143"/>
      <c r="O48" s="9"/>
    </row>
    <row r="49" spans="2:15" ht="24" thickTop="1" x14ac:dyDescent="0.35">
      <c r="C49" s="141"/>
      <c r="D49" s="141"/>
      <c r="E49" s="141"/>
      <c r="F49" s="126"/>
      <c r="G49" s="126"/>
      <c r="H49" s="126"/>
      <c r="I49" s="126"/>
      <c r="J49" s="126"/>
      <c r="K49" s="126"/>
      <c r="L49" s="126"/>
      <c r="M49" s="126"/>
      <c r="N49" s="127"/>
      <c r="O49" s="9"/>
    </row>
    <row r="50" spans="2:15" ht="13.5" customHeight="1" thickBot="1" x14ac:dyDescent="0.25">
      <c r="C50" s="158" t="s">
        <v>66</v>
      </c>
      <c r="D50" s="158"/>
      <c r="E50" s="158"/>
      <c r="F50" s="158"/>
      <c r="G50" s="158"/>
      <c r="H50" s="158"/>
      <c r="I50" s="158"/>
      <c r="J50" s="158"/>
      <c r="K50" s="158"/>
      <c r="L50" s="158"/>
      <c r="M50" s="158"/>
      <c r="N50" s="158"/>
      <c r="O50" s="9"/>
    </row>
    <row r="51" spans="2:15" ht="13.5" customHeight="1" thickTop="1" x14ac:dyDescent="0.2">
      <c r="B51" s="55"/>
      <c r="C51" s="158"/>
      <c r="D51" s="158"/>
      <c r="E51" s="158"/>
      <c r="F51" s="158"/>
      <c r="G51" s="158"/>
      <c r="H51" s="158"/>
      <c r="I51" s="158"/>
      <c r="J51" s="158"/>
      <c r="K51" s="158"/>
      <c r="L51" s="158"/>
      <c r="M51" s="158"/>
      <c r="N51" s="158"/>
      <c r="O51" s="9"/>
    </row>
    <row r="52" spans="2:15" ht="12.75" customHeight="1" x14ac:dyDescent="0.2">
      <c r="B52" s="3"/>
      <c r="C52" s="158"/>
      <c r="D52" s="158"/>
      <c r="E52" s="158"/>
      <c r="F52" s="158"/>
      <c r="G52" s="158"/>
      <c r="H52" s="158"/>
      <c r="I52" s="158"/>
      <c r="J52" s="158"/>
      <c r="K52" s="158"/>
      <c r="L52" s="158"/>
      <c r="M52" s="158"/>
      <c r="N52" s="158"/>
      <c r="O52" s="9"/>
    </row>
    <row r="53" spans="2:15" ht="12.75" customHeight="1" x14ac:dyDescent="0.2">
      <c r="B53" s="102"/>
      <c r="C53" s="158"/>
      <c r="D53" s="158"/>
      <c r="E53" s="158"/>
      <c r="F53" s="158"/>
      <c r="G53" s="158"/>
      <c r="H53" s="158"/>
      <c r="I53" s="158"/>
      <c r="J53" s="158"/>
      <c r="K53" s="158"/>
      <c r="L53" s="158"/>
      <c r="M53" s="158"/>
      <c r="N53" s="158"/>
      <c r="O53" s="9"/>
    </row>
    <row r="54" spans="2:15" ht="12.75" customHeight="1" x14ac:dyDescent="0.2">
      <c r="C54" s="158"/>
      <c r="D54" s="158"/>
      <c r="E54" s="158"/>
      <c r="F54" s="158"/>
      <c r="G54" s="158"/>
      <c r="H54" s="158"/>
      <c r="I54" s="158"/>
      <c r="J54" s="158"/>
      <c r="K54" s="158"/>
      <c r="L54" s="158"/>
      <c r="M54" s="158"/>
      <c r="N54" s="158"/>
    </row>
    <row r="55" spans="2:15" ht="12.75" customHeight="1" x14ac:dyDescent="0.2">
      <c r="C55" s="144"/>
      <c r="D55" s="144"/>
      <c r="E55" s="144"/>
      <c r="F55" s="144"/>
      <c r="G55" s="144"/>
      <c r="H55" s="144"/>
      <c r="I55" s="144"/>
      <c r="J55" s="144"/>
      <c r="K55" s="144"/>
      <c r="L55" s="144"/>
      <c r="M55" s="144"/>
      <c r="N55" s="144"/>
    </row>
    <row r="56" spans="2:15" ht="23.25" x14ac:dyDescent="0.35">
      <c r="C56" s="128"/>
      <c r="D56" s="129"/>
      <c r="E56" s="129"/>
      <c r="F56" s="129"/>
      <c r="G56" s="129"/>
      <c r="H56" s="129"/>
      <c r="I56" s="129"/>
      <c r="J56" s="129"/>
      <c r="K56" s="129"/>
      <c r="L56" s="129"/>
      <c r="M56" s="129"/>
      <c r="N56" s="129"/>
    </row>
    <row r="59" spans="2:15" ht="12.75" customHeight="1" x14ac:dyDescent="0.2"/>
    <row r="60" spans="2:15" ht="12.75" customHeight="1" x14ac:dyDescent="0.2"/>
    <row r="61" spans="2:15" ht="13.5" customHeight="1" x14ac:dyDescent="0.2"/>
    <row r="62" spans="2:15" ht="24.95" customHeight="1" x14ac:dyDescent="0.2"/>
    <row r="63" spans="2:15" ht="24.95" customHeight="1" x14ac:dyDescent="0.2"/>
    <row r="64" spans="2:15" ht="12.75" customHeight="1" x14ac:dyDescent="0.2"/>
    <row r="65" ht="12.75" customHeight="1" x14ac:dyDescent="0.2"/>
    <row r="66" ht="12.75" customHeight="1" x14ac:dyDescent="0.2"/>
    <row r="67" ht="12.75" customHeight="1" x14ac:dyDescent="0.2"/>
    <row r="68" ht="3" customHeight="1" x14ac:dyDescent="0.2"/>
    <row r="69" ht="12.75" customHeight="1" x14ac:dyDescent="0.2"/>
    <row r="70" ht="13.5" customHeight="1" x14ac:dyDescent="0.2"/>
    <row r="72" ht="0.95" customHeight="1" x14ac:dyDescent="0.2"/>
    <row r="73"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16">
    <mergeCell ref="L15:M19"/>
    <mergeCell ref="E23:J23"/>
    <mergeCell ref="G25:H25"/>
    <mergeCell ref="F30:K30"/>
    <mergeCell ref="E26:J26"/>
    <mergeCell ref="E24:J24"/>
    <mergeCell ref="D18:H19"/>
    <mergeCell ref="K24:M24"/>
    <mergeCell ref="L46:M47"/>
    <mergeCell ref="C50:N54"/>
    <mergeCell ref="F31:K31"/>
    <mergeCell ref="F32:K32"/>
    <mergeCell ref="F33:K33"/>
    <mergeCell ref="F34:K34"/>
    <mergeCell ref="F38:K38"/>
    <mergeCell ref="F35:K35"/>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6"/>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G25:H25"/>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4: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48 F49:K49"/>
    <dataValidation type="decimal" allowBlank="1" showErrorMessage="1" errorTitle="Prix unitaire" error="Tapez un nombre dans cette cellule." promptTitle="Prix unitaire" sqref="M33 L31: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2 M34:M40">
      <formula1>0</formula1>
      <formula2>0</formula2>
    </dataValidation>
    <dataValidation type="whole" errorStyle="warning" allowBlank="1" showErrorMessage="1" errorTitle="Quantité" error="Tapez un nombre dans cette cellule." promptTitle="Quantité" sqref="E31:E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43</xdr:row>
                    <xdr:rowOff>0</xdr:rowOff>
                  </from>
                  <to>
                    <xdr:col>4</xdr:col>
                    <xdr:colOff>552450</xdr:colOff>
                    <xdr:row>43</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41</xdr:row>
                    <xdr:rowOff>9525</xdr:rowOff>
                  </from>
                  <to>
                    <xdr:col>4</xdr:col>
                    <xdr:colOff>571500</xdr:colOff>
                    <xdr:row>41</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26</v>
      </c>
    </row>
    <row r="2" spans="1:11" x14ac:dyDescent="0.2">
      <c r="A2" s="66" t="s">
        <v>33</v>
      </c>
      <c r="B2" s="66" t="s">
        <v>27</v>
      </c>
    </row>
    <row r="3" spans="1:11" x14ac:dyDescent="0.2">
      <c r="A3" s="66" t="s">
        <v>34</v>
      </c>
      <c r="B3" s="66" t="s">
        <v>41</v>
      </c>
    </row>
    <row r="4" spans="1:11" x14ac:dyDescent="0.2">
      <c r="A4" s="66" t="s">
        <v>28</v>
      </c>
    </row>
    <row r="5" spans="1:11" x14ac:dyDescent="0.2">
      <c r="A5" s="66" t="s">
        <v>35</v>
      </c>
      <c r="B5" s="66">
        <v>1</v>
      </c>
    </row>
    <row r="6" spans="1:11" x14ac:dyDescent="0.2">
      <c r="A6" s="66">
        <v>1</v>
      </c>
      <c r="B6" s="66" t="s">
        <v>36</v>
      </c>
      <c r="C6" s="66" t="s">
        <v>40</v>
      </c>
      <c r="D6" s="66" t="s">
        <v>37</v>
      </c>
      <c r="E6" s="66">
        <v>10</v>
      </c>
      <c r="G6" s="66">
        <v>-727923968</v>
      </c>
    </row>
    <row r="7" spans="1:11" x14ac:dyDescent="0.2">
      <c r="A7" s="66" t="s">
        <v>38</v>
      </c>
      <c r="B7" s="66" t="s">
        <v>29</v>
      </c>
      <c r="C7" s="66" t="s">
        <v>18</v>
      </c>
      <c r="D7" s="66" t="s">
        <v>3</v>
      </c>
      <c r="E7" s="66" t="s">
        <v>5</v>
      </c>
      <c r="F7" s="66" t="s">
        <v>7</v>
      </c>
      <c r="G7" s="66" t="s">
        <v>8</v>
      </c>
      <c r="H7" s="66" t="s">
        <v>9</v>
      </c>
      <c r="I7" s="66" t="s">
        <v>20</v>
      </c>
      <c r="J7" s="66" t="s">
        <v>30</v>
      </c>
      <c r="K7" s="66" t="s">
        <v>19</v>
      </c>
    </row>
    <row r="8" spans="1:11" x14ac:dyDescent="0.2">
      <c r="A8" s="66" t="s">
        <v>39</v>
      </c>
      <c r="B8" s="67" t="str">
        <f>Facture!$M$11</f>
        <v/>
      </c>
      <c r="C8" s="68">
        <f>Facture!$L$23</f>
        <v>45700</v>
      </c>
      <c r="D8" s="69" t="str">
        <f>Facture!$E$23</f>
        <v>EDICHEM</v>
      </c>
      <c r="E8" s="66" t="str">
        <f>Facture!$E$24</f>
        <v>Zone Industrielle La Charguia BP 346</v>
      </c>
      <c r="F8" s="66">
        <f>Facture!$E$25</f>
        <v>0</v>
      </c>
      <c r="G8" s="69">
        <f>Facture!$G$25</f>
        <v>0</v>
      </c>
      <c r="H8" s="69" t="str">
        <f>Facture!$J$25</f>
        <v>TN</v>
      </c>
      <c r="I8" s="66">
        <f>Facture!$E$26</f>
        <v>0</v>
      </c>
      <c r="J8" s="70">
        <f>Facture!$M$44</f>
        <v>715</v>
      </c>
      <c r="K8" s="66">
        <f>Facture!$L$25</f>
        <v>0</v>
      </c>
    </row>
    <row r="9" spans="1:11" x14ac:dyDescent="0.2">
      <c r="A9" s="66" t="s">
        <v>28</v>
      </c>
    </row>
    <row r="10" spans="1:11" x14ac:dyDescent="0.2">
      <c r="G10" s="66">
        <v>324499967</v>
      </c>
    </row>
    <row r="14" spans="1:11" x14ac:dyDescent="0.2">
      <c r="G14" s="66">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65</vt:i4>
      </vt:variant>
    </vt:vector>
  </HeadingPairs>
  <TitlesOfParts>
    <vt:vector size="69"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data61</vt:lpstr>
      <vt:lpstr>data62</vt:lpstr>
      <vt:lpstr>data63</vt:lpstr>
      <vt:lpstr>data64</vt:lpstr>
      <vt:lpstr>data65</vt:lpstr>
      <vt:lpstr>data66</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2025-02-17T07:33:03Z</cp:lastPrinted>
  <dcterms:created xsi:type="dcterms:W3CDTF">1995-05-29T15:50:39Z</dcterms:created>
  <dcterms:modified xsi:type="dcterms:W3CDTF">2025-02-17T07:34:06Z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EDICHEM</vt:lpwstr>
  </property>
  <property fmtid="{D5CDD505-2E9C-101B-9397-08002B2CF9AE}" pid="11" name="Montant de la facture" linkTarget="TOT">
    <vt:r8>715</vt:r8>
  </property>
</Properties>
</file>