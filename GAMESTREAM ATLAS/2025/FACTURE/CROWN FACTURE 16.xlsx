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35" i="3"/>
  <c r="M40" i="3"/>
  <c r="M43" i="3" s="1"/>
  <c r="M42" i="3"/>
  <c r="M45" i="3" l="1"/>
  <c r="M46"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<sst xmlns="http://schemas.openxmlformats.org/spreadsheetml/2006/main" count="84" uniqueCount="76">
  <si>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</si>
  <si>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</si>
  <si>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</si>
  <si>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</si>
  <si>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</si>
  <si>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</si>
  <si>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</si>
  <si>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</si>
  <si>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</si>
  <si>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</si>
  <si>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</si>
  <si>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</si>
  <si>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</si>
  <si>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</si>
  <si>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</si>
  <si>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</si>
  <si>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</si>
  <si>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</si>
  <si>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</si>
  <si>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</si>
  <si>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</si>
  <si>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</si>
  <si>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</si>
  <si>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</si>
  <si>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</si>
  <si>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</si>
  <si>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</si>
  <si>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</si>
  <si>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</si>
  <si>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</si>
  <si>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</si>
  <si>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</si>
  <si>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</si>
  <si>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</si>
  <si>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</si>
  <si>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</si>
  <si>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</si>
  <si>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</si>
  <si>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</si>
  <si>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</si>
  <si>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</si>
  <si>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</si>
  <si>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</si>
  <si>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</si>
  <si>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</si>
  <si>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</si>
  <si>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</si>
  <si>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</si>
  <si>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</si>
  <si>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</si>
  <si>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</si>
  <si>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</si>
  <si>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</si>
  <si>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</si>
  <si>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</si>
  <si>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</si>
  <si>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</si>
  <si>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</si>
  <si>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</si>
  <si>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</si>
  <si>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</si>
  <si>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</si>
  <si>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</si>
  <si>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</si>
  <si>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</si>
  <si>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</si>
  <si>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</si>
  <si>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</si>
  <si>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</si>
  <si>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</si>
  <si>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</si>
  <si>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</si>
  <si>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One day Awarness sessions</t>
  </si>
  <si>
    <t xml:space="preserve">ARRETE LA PRESENTE FACTURE LA SOMME DE : Quatre mille sept cent soixante et un
 dinars </t>
  </si>
  <si>
    <t xml:space="preserve">    COMMANDE N°:  4300091490</t>
  </si>
  <si>
    <t>FACTURE N°2025-016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</si>
</sst>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25"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2"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3" t="s">
        <v>75</v>
      </c>
      <c r="M15" s="163"/>
      <c r="N15" s="3"/>
      <c r="O15" s="9"/>
    </row>
    <row r="16" spans="2:15" x14ac:dyDescent="0.2">
      <c r="B16" s="7"/>
      <c r="C16" s="3"/>
      <c r="D16" s="3"/>
      <c r="E16" s="3"/>
      <c r="F16" s="3"/>
      <c r="G16" s="3"/>
      <c r="H16" s="3"/>
      <c r="I16" s="3"/>
      <c r="J16" s="3"/>
      <c r="K16" s="105"/>
      <c r="L16" s="163"/>
      <c r="M16" s="163"/>
      <c r="N16" s="3"/>
      <c r="O16" s="9"/>
    </row>
    <row r="17" spans="1:15" ht="12.75" customHeight="1" x14ac:dyDescent="0.2">
      <c r="B17" s="7"/>
      <c r="C17" s="3"/>
      <c r="D17" s="3"/>
      <c r="E17" s="3"/>
      <c r="F17" s="3"/>
      <c r="G17" s="3"/>
      <c r="H17" s="3"/>
      <c r="I17" s="3"/>
      <c r="J17" s="3"/>
      <c r="K17" s="105"/>
      <c r="L17" s="163"/>
      <c r="M17" s="163"/>
      <c r="N17" s="3"/>
      <c r="O17" s="9"/>
    </row>
    <row r="18" spans="1:15" ht="12.75" customHeight="1" x14ac:dyDescent="0.2">
      <c r="B18" s="7"/>
      <c r="C18" s="3"/>
      <c r="D18" s="175"/>
      <c r="E18" s="175"/>
      <c r="F18" s="175"/>
      <c r="G18" s="175"/>
      <c r="H18" s="175"/>
      <c r="I18" s="3"/>
      <c r="J18" s="3"/>
      <c r="K18" s="105"/>
      <c r="L18" s="163"/>
      <c r="M18" s="163"/>
      <c r="N18" s="3"/>
      <c r="O18" s="9"/>
    </row>
    <row r="19" spans="1:15" ht="20.100000000000001" customHeight="1" thickBot="1" x14ac:dyDescent="0.25">
      <c r="B19" s="7"/>
      <c r="C19" s="3"/>
      <c r="D19" s="176"/>
      <c r="E19" s="176"/>
      <c r="F19" s="176"/>
      <c r="G19" s="176"/>
      <c r="H19" s="176"/>
      <c r="I19" s="3"/>
      <c r="J19" s="3"/>
      <c r="K19" s="105"/>
      <c r="L19" s="163"/>
      <c r="M19" s="16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4" t="s">
        <v>67</v>
      </c>
      <c r="F23" s="165"/>
      <c r="G23" s="165"/>
      <c r="H23" s="165"/>
      <c r="I23" s="165"/>
      <c r="J23" s="165"/>
      <c r="K23" s="122" t="s">
        <v>57</v>
      </c>
      <c r="L23" s="107">
        <v>45775</v>
      </c>
      <c r="M23" s="109"/>
      <c r="N23" s="55"/>
      <c r="O23" s="9"/>
    </row>
    <row r="24" spans="1:15" ht="27" x14ac:dyDescent="0.35">
      <c r="B24" s="7"/>
      <c r="C24" s="3"/>
      <c r="D24" s="125" t="s">
        <v>53</v>
      </c>
      <c r="E24" s="172" t="s">
        <v>68</v>
      </c>
      <c r="F24" s="172"/>
      <c r="G24" s="172"/>
      <c r="H24" s="173"/>
      <c r="I24" s="173"/>
      <c r="J24" s="173"/>
      <c r="K24" s="177" t="s">
        <v>74</v>
      </c>
      <c r="L24" s="177"/>
      <c r="M24" s="177"/>
      <c r="N24" s="56"/>
      <c r="O24" s="9"/>
    </row>
    <row r="25" spans="1:15" ht="27.75" x14ac:dyDescent="0.4">
      <c r="B25" s="7"/>
      <c r="C25" s="3"/>
      <c r="D25" s="125" t="s">
        <v>58</v>
      </c>
      <c r="E25" s="147">
        <v>2051</v>
      </c>
      <c r="F25" s="110" t="s">
        <v>51</v>
      </c>
      <c r="G25" s="166"/>
      <c r="H25" s="166"/>
      <c r="I25" s="117" t="s">
        <v>55</v>
      </c>
      <c r="J25" s="111" t="s">
        <v>56</v>
      </c>
      <c r="K25" s="122" t="s">
        <v>71</v>
      </c>
      <c r="L25" s="137"/>
      <c r="M25" s="138"/>
      <c r="N25" s="3"/>
      <c r="O25" s="9"/>
    </row>
    <row r="26" spans="1:15" ht="27.75" customHeight="1" x14ac:dyDescent="0.4">
      <c r="A26">
        <v>71</v>
      </c>
      <c r="B26" s="7"/>
      <c r="C26" s="3"/>
      <c r="D26" s="125" t="s">
        <v>54</v>
      </c>
      <c r="E26" s="170" t="s">
        <v>69</v>
      </c>
      <c r="F26" s="171"/>
      <c r="G26" s="171"/>
      <c r="H26" s="171"/>
      <c r="I26" s="171"/>
      <c r="J26" s="171"/>
      <c r="K26" s="122" t="s">
        <v>62</v>
      </c>
      <c r="L26" s="174" t="s">
        <v>70</v>
      </c>
      <c r="M26" s="17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66</v>
      </c>
      <c r="F30" s="167" t="s">
        <v>21</v>
      </c>
      <c r="G30" s="168"/>
      <c r="H30" s="168"/>
      <c r="I30" s="168"/>
      <c r="J30" s="168"/>
      <c r="K30" s="169"/>
      <c r="L30" s="95" t="s">
        <v>22</v>
      </c>
      <c r="M30" s="96" t="s">
        <v>23</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36"/>
      <c r="E32" s="97"/>
      <c r="F32" s="181"/>
      <c r="G32" s="182"/>
      <c r="H32" s="182"/>
      <c r="I32" s="182"/>
      <c r="J32" s="182"/>
      <c r="K32" s="18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33" x14ac:dyDescent="0.45">
      <c r="B34" s="7"/>
      <c r="C34" s="3"/>
      <c r="D34" s="132"/>
      <c r="E34" s="100">
        <v>1</v>
      </c>
      <c r="F34" s="200" t="s">
        <v>72</v>
      </c>
      <c r="G34" s="201"/>
      <c r="H34" s="201"/>
      <c r="I34" s="201"/>
      <c r="J34" s="201"/>
      <c r="K34" s="202"/>
      <c r="L34" s="101">
        <v>4000</v>
      </c>
      <c r="M34" s="102">
        <f>IF(E34&lt;&gt;"",E34*L34,"")</f>
        <v>4000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84"/>
      <c r="G37" s="185"/>
      <c r="H37" s="185"/>
      <c r="I37" s="185"/>
      <c r="J37" s="185"/>
      <c r="K37" s="186"/>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2"/>
      <c r="G42" s="193"/>
      <c r="H42" s="193"/>
      <c r="I42" s="193"/>
      <c r="J42" s="193"/>
      <c r="K42" s="194"/>
      <c r="L42" s="68"/>
      <c r="M42" s="102" t="str">
        <f t="shared" si="0"/>
        <v/>
      </c>
      <c r="N42" s="57"/>
      <c r="O42" s="9"/>
    </row>
    <row r="43" spans="2:15" ht="30" x14ac:dyDescent="0.4">
      <c r="B43" s="7"/>
      <c r="C43" s="3"/>
      <c r="D43" s="118"/>
      <c r="E43" s="83"/>
      <c r="F43" s="83"/>
      <c r="G43" s="83"/>
      <c r="H43" s="83"/>
      <c r="I43" s="83"/>
      <c r="J43" s="77"/>
      <c r="K43" s="112"/>
      <c r="L43" s="130" t="s">
        <v>24</v>
      </c>
      <c r="M43" s="116">
        <f>SUM(M33:M42)</f>
        <v>4000</v>
      </c>
      <c r="N43" s="57"/>
      <c r="O43" s="9"/>
    </row>
    <row r="44" spans="2:15" ht="30" x14ac:dyDescent="0.4">
      <c r="B44" s="7"/>
      <c r="C44" s="3"/>
      <c r="D44" s="3"/>
      <c r="E44" s="84"/>
      <c r="F44" s="108" t="s">
        <v>64</v>
      </c>
      <c r="G44" s="83"/>
      <c r="H44" s="83"/>
      <c r="I44" s="83"/>
      <c r="J44" s="77"/>
      <c r="K44" s="112"/>
      <c r="L44" s="127" t="s">
        <v>45</v>
      </c>
      <c r="M44" s="131">
        <v>1</v>
      </c>
      <c r="N44" s="57"/>
      <c r="O44" s="9"/>
    </row>
    <row r="45" spans="2:15" ht="30" x14ac:dyDescent="0.4">
      <c r="B45" s="7"/>
      <c r="C45" s="3"/>
      <c r="D45" s="3"/>
      <c r="E45" s="84"/>
      <c r="F45" s="155" t="s">
        <v>61</v>
      </c>
      <c r="G45" s="83"/>
      <c r="H45" s="83"/>
      <c r="I45" s="83"/>
      <c r="J45" s="78"/>
      <c r="K45" s="113"/>
      <c r="L45" s="128" t="s">
        <v>59</v>
      </c>
      <c r="M45" s="119">
        <f>M43*0.19</f>
        <v>760</v>
      </c>
      <c r="N45" s="57"/>
      <c r="O45" s="9"/>
    </row>
    <row r="46" spans="2:15" ht="30" x14ac:dyDescent="0.4">
      <c r="B46" s="7"/>
      <c r="C46" s="3"/>
      <c r="D46" s="3"/>
      <c r="E46" s="86"/>
      <c r="F46" s="108" t="s">
        <v>65</v>
      </c>
      <c r="G46" s="145"/>
      <c r="H46" s="148"/>
      <c r="I46" s="148"/>
      <c r="J46" s="79"/>
      <c r="K46" s="112"/>
      <c r="L46" s="129" t="s">
        <v>26</v>
      </c>
      <c r="M46" s="116">
        <f>M43+M45+M44</f>
        <v>4761</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203" t="s">
        <v>73</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99" t="s">
        <v>60</v>
      </c>
      <c r="M49" s="199"/>
      <c r="N49" s="57"/>
      <c r="O49" s="9"/>
    </row>
    <row r="50" spans="1:15" ht="18.75" x14ac:dyDescent="0.3">
      <c r="B50" s="7"/>
      <c r="C50" s="3"/>
      <c r="D50" s="140"/>
      <c r="E50" s="140"/>
      <c r="F50" s="140"/>
      <c r="G50" s="140"/>
      <c r="H50" s="140"/>
      <c r="I50" s="140"/>
      <c r="J50" s="140"/>
      <c r="K50" s="140"/>
      <c r="L50" s="199"/>
      <c r="M50" s="199"/>
      <c r="N50" s="57"/>
      <c r="O50" s="9"/>
    </row>
    <row r="51" spans="1:15" ht="30" x14ac:dyDescent="0.4">
      <c r="B51" s="7"/>
      <c r="C51" s="3"/>
      <c r="D51" s="3"/>
      <c r="E51" s="88"/>
      <c r="F51" s="190"/>
      <c r="G51" s="190"/>
      <c r="H51" s="190"/>
      <c r="I51" s="191"/>
      <c r="J51" s="81"/>
      <c r="K51" s="115"/>
      <c r="L51" s="123"/>
      <c r="M51" s="121"/>
      <c r="N51" s="57"/>
      <c r="O51" s="9"/>
    </row>
    <row r="52" spans="1:15" ht="18" x14ac:dyDescent="0.2">
      <c r="B52" s="7"/>
      <c r="C52" s="123"/>
      <c r="D52" s="3"/>
      <c r="E52" s="88"/>
      <c r="F52" s="195"/>
      <c r="G52" s="196"/>
      <c r="H52" s="196"/>
      <c r="I52" s="196"/>
      <c r="J52" s="77"/>
      <c r="K52" s="77"/>
      <c r="L52" s="121"/>
      <c r="M52" s="121"/>
      <c r="N52" s="57"/>
      <c r="O52" s="9"/>
    </row>
    <row r="53" spans="1:15" ht="18" x14ac:dyDescent="0.2">
      <c r="B53" s="7"/>
      <c r="C53" s="3"/>
      <c r="D53" s="3"/>
      <c r="E53" s="20"/>
      <c r="F53" s="197"/>
      <c r="G53" s="198"/>
      <c r="H53" s="198"/>
      <c r="I53" s="198"/>
      <c r="J53" s="77"/>
      <c r="K53" s="121"/>
      <c r="L53" s="121"/>
      <c r="M53" s="121"/>
      <c r="N53" s="57"/>
      <c r="O53" s="9"/>
    </row>
    <row r="54" spans="1:15" ht="18.75" thickBot="1" x14ac:dyDescent="0.25">
      <c r="C54" s="123"/>
      <c r="D54" s="3"/>
      <c r="E54" s="20"/>
      <c r="F54" s="126"/>
      <c r="G54" s="188"/>
      <c r="H54" s="189"/>
      <c r="I54" s="189"/>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7" t="s">
        <v>63</v>
      </c>
      <c r="D60" s="187"/>
      <c r="E60" s="187"/>
      <c r="F60" s="187"/>
      <c r="G60" s="187"/>
      <c r="H60" s="187"/>
      <c r="I60" s="187"/>
      <c r="J60" s="187"/>
      <c r="K60" s="187"/>
      <c r="L60" s="187"/>
      <c r="M60" s="187"/>
      <c r="N60" s="187"/>
      <c r="O60" s="146"/>
    </row>
    <row r="61" spans="1:15" ht="24.95" customHeight="1" x14ac:dyDescent="0.2">
      <c r="A61" s="3"/>
      <c r="B61" s="124"/>
      <c r="C61" s="187"/>
      <c r="D61" s="187"/>
      <c r="E61" s="187"/>
      <c r="F61" s="187"/>
      <c r="G61" s="187"/>
      <c r="H61" s="187"/>
      <c r="I61" s="187"/>
      <c r="J61" s="187"/>
      <c r="K61" s="187"/>
      <c r="L61" s="187"/>
      <c r="M61" s="187"/>
      <c r="N61" s="187"/>
      <c r="O61" s="144"/>
    </row>
    <row r="62" spans="1:15" ht="12.75" customHeight="1" x14ac:dyDescent="0.2">
      <c r="A62" s="123"/>
      <c r="B62" s="3"/>
      <c r="C62" s="187"/>
      <c r="D62" s="187"/>
      <c r="E62" s="187"/>
      <c r="F62" s="187"/>
      <c r="G62" s="187"/>
      <c r="H62" s="187"/>
      <c r="I62" s="187"/>
      <c r="J62" s="187"/>
      <c r="K62" s="187"/>
      <c r="L62" s="187"/>
      <c r="M62" s="187"/>
      <c r="N62" s="187"/>
      <c r="O62" s="144"/>
    </row>
    <row r="63" spans="1:15" ht="12.75" customHeight="1" x14ac:dyDescent="0.2">
      <c r="A63" s="124"/>
      <c r="B63" s="3"/>
      <c r="C63" s="187"/>
      <c r="D63" s="187"/>
      <c r="E63" s="187"/>
      <c r="F63" s="187"/>
      <c r="G63" s="187"/>
      <c r="H63" s="187"/>
      <c r="I63" s="187"/>
      <c r="J63" s="187"/>
      <c r="K63" s="187"/>
      <c r="L63" s="187"/>
      <c r="M63" s="187"/>
      <c r="N63" s="187"/>
      <c r="O63" s="144"/>
    </row>
    <row r="64" spans="1:15" ht="12.75" customHeight="1" thickBot="1" x14ac:dyDescent="0.25">
      <c r="A64" s="3"/>
      <c r="B64" s="141"/>
      <c r="C64" s="187"/>
      <c r="D64" s="187"/>
      <c r="E64" s="187"/>
      <c r="F64" s="187"/>
      <c r="G64" s="187"/>
      <c r="H64" s="187"/>
      <c r="I64" s="187"/>
      <c r="J64" s="187"/>
      <c r="K64" s="187"/>
      <c r="L64" s="187"/>
      <c r="M64" s="187"/>
      <c r="N64" s="187"/>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37:K37"/>
    <mergeCell ref="C60:N64"/>
    <mergeCell ref="G54:I54"/>
    <mergeCell ref="F51:I51"/>
    <mergeCell ref="F42:K42"/>
    <mergeCell ref="F52:I52"/>
    <mergeCell ref="F34:K34"/>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45775</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4761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2025-04-25T15:27:21Z</cp:lastPrinted>
  <dcterms:created xsi:type="dcterms:W3CDTF">1995-05-29T15:50:39Z</dcterms:created>
  <dcterms:modified xsi:type="dcterms:W3CDTF">2025-04-25T15:37:23Z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4761</vt:r8>
  </property>
</Properties>
</file>