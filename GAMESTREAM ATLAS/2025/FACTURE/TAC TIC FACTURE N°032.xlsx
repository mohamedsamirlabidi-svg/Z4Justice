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8" i="3" l="1"/>
  <c r="L32" i="3" l="1"/>
  <c r="L34" i="3"/>
  <c r="L36" i="3"/>
  <c r="L45" i="3" l="1"/>
  <c r="L47" i="3" s="1"/>
  <c r="L48" i="3" s="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<sst xmlns="http://schemas.openxmlformats.org/spreadsheetml/2006/main" count="90" uniqueCount="82">
  <si>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</si>
  <si>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</si>
  <si>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</si>
  <si>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</si>
  <si>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</si>
  <si>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</si>
  <si>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</si>
  <si>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</si>
  <si>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</si>
  <si>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</si>
  <si>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</si>
  <si>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</si>
  <si>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</si>
  <si>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</si>
  <si>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</si>
  <si>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</si>
  <si>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</si>
  <si>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</si>
  <si>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</si>
  <si>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</si>
  <si>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</si>
  <si>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</si>
  <si>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</si>
  <si>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</si>
  <si>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</si>
  <si>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</si>
  <si>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</si>
  <si>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</si>
  <si>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</si>
  <si>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</si>
  <si>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</si>
  <si>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</si>
  <si>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</si>
  <si>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</si>
  <si>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</si>
  <si>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</si>
  <si>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</si>
  <si>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</si>
  <si>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</si>
  <si>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</si>
  <si>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</si>
  <si>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</si>
  <si>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</si>
  <si>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</si>
  <si>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</si>
  <si>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</si>
  <si>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</si>
  <si>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</si>
  <si>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</si>
  <si>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</si>
  <si>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</si>
  <si>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</si>
  <si>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</si>
  <si>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</si>
  <si>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</si>
  <si>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</si>
  <si>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</si>
  <si>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</si>
  <si>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</si>
  <si>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</si>
  <si>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</si>
  <si>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</si>
  <si>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</si>
  <si>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</si>
  <si>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</si>
  <si>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</si>
  <si>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</si>
  <si>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</si>
  <si>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</si>
  <si>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</si>
  <si>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</si>
  <si>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</si>
  <si>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</si>
  <si>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</si>
  <si>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</si>
  <si>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</si>
  <si>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ELECTIQUE </t>
  </si>
  <si>
    <t xml:space="preserve">ANALYSE DES RISQUES </t>
  </si>
  <si>
    <t xml:space="preserve">TRAVAIL EN HAUTEUR </t>
  </si>
  <si>
    <t xml:space="preserve">    COMMANDE N°:  
</t>
  </si>
  <si>
    <t>Facture  N°2025-032</t>
  </si>
  <si>
    <t xml:space="preserve">  ARRETE LA PRESENTE FACTURE LA SOMME DE : Mille sept cent quatre-vingt-six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</si>
</sst>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sz val="20"/>
      <name val="Times New Roman"/>
      <family val="1"/>
    </font>
    <font>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0" fillId="3" borderId="0" xfId="0" applyFill="1" applyBorder="1" applyAlignment="1">
      <alignment horizontal="center"/>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25" fillId="6" borderId="0" xfId="0" applyFont="1" applyFill="1" applyBorder="1" applyAlignment="1">
      <alignment horizontal="lef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Q28" sqref="Q2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60" t="s">
        <v>80</v>
      </c>
      <c r="L15" s="160"/>
      <c r="M15" s="3"/>
      <c r="N15" s="9"/>
    </row>
    <row r="16" spans="1:14" x14ac:dyDescent="0.2">
      <c r="A16" s="7"/>
      <c r="B16" s="3"/>
      <c r="C16" s="3"/>
      <c r="D16" s="3"/>
      <c r="E16" s="3"/>
      <c r="F16" s="3"/>
      <c r="G16" s="3"/>
      <c r="H16" s="3"/>
      <c r="I16" s="3"/>
      <c r="J16" s="96"/>
      <c r="K16" s="160"/>
      <c r="L16" s="160"/>
      <c r="M16" s="3"/>
      <c r="N16" s="9"/>
    </row>
    <row r="17" spans="1:14" ht="12.75" customHeight="1" x14ac:dyDescent="0.2">
      <c r="A17" s="7"/>
      <c r="B17" s="3"/>
      <c r="C17" s="3"/>
      <c r="D17" s="3"/>
      <c r="E17" s="3"/>
      <c r="F17" s="3"/>
      <c r="G17" s="3"/>
      <c r="H17" s="3"/>
      <c r="I17" s="3"/>
      <c r="J17" s="96"/>
      <c r="K17" s="160"/>
      <c r="L17" s="160"/>
      <c r="M17" s="3"/>
      <c r="N17" s="9"/>
    </row>
    <row r="18" spans="1:14" ht="12.75" customHeight="1" x14ac:dyDescent="0.2">
      <c r="A18" s="7"/>
      <c r="B18" s="3"/>
      <c r="C18" s="172"/>
      <c r="D18" s="172"/>
      <c r="E18" s="172"/>
      <c r="F18" s="172"/>
      <c r="G18" s="172"/>
      <c r="H18" s="3"/>
      <c r="I18" s="3"/>
      <c r="J18" s="96"/>
      <c r="K18" s="160"/>
      <c r="L18" s="160"/>
      <c r="M18" s="3"/>
      <c r="N18" s="9"/>
    </row>
    <row r="19" spans="1:14" ht="20.100000000000001" customHeight="1" thickBot="1" x14ac:dyDescent="0.25">
      <c r="A19" s="7"/>
      <c r="B19" s="3"/>
      <c r="C19" s="173"/>
      <c r="D19" s="173"/>
      <c r="E19" s="173"/>
      <c r="F19" s="173"/>
      <c r="G19" s="173"/>
      <c r="H19" s="3"/>
      <c r="I19" s="3"/>
      <c r="J19" s="96"/>
      <c r="K19" s="160"/>
      <c r="L19" s="160"/>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61" t="s">
        <v>67</v>
      </c>
      <c r="E23" s="162"/>
      <c r="F23" s="162"/>
      <c r="G23" s="162"/>
      <c r="H23" s="162"/>
      <c r="I23" s="162"/>
      <c r="J23" s="112" t="s">
        <v>57</v>
      </c>
      <c r="K23" s="140">
        <v>45884</v>
      </c>
      <c r="L23" s="99"/>
      <c r="M23" s="54"/>
      <c r="N23" s="9"/>
    </row>
    <row r="24" spans="1:14" ht="23.25" x14ac:dyDescent="0.35">
      <c r="A24" s="7"/>
      <c r="B24" s="3"/>
      <c r="C24" s="115" t="s">
        <v>53</v>
      </c>
      <c r="D24" s="169" t="s">
        <v>68</v>
      </c>
      <c r="E24" s="169"/>
      <c r="F24" s="169"/>
      <c r="G24" s="170"/>
      <c r="H24" s="170"/>
      <c r="I24" s="170"/>
      <c r="J24" s="208" t="s">
        <v>79</v>
      </c>
      <c r="K24" s="183"/>
      <c r="L24" s="183"/>
      <c r="M24" s="55"/>
      <c r="N24" s="9"/>
    </row>
    <row r="25" spans="1:14" ht="27.75" x14ac:dyDescent="0.4">
      <c r="A25" s="7"/>
      <c r="B25" s="3"/>
      <c r="C25" s="115" t="s">
        <v>58</v>
      </c>
      <c r="D25" s="132">
        <v>2088</v>
      </c>
      <c r="E25" s="100" t="s">
        <v>51</v>
      </c>
      <c r="F25" s="163" t="s">
        <v>69</v>
      </c>
      <c r="G25" s="163"/>
      <c r="H25" s="107" t="s">
        <v>55</v>
      </c>
      <c r="I25" s="101" t="s">
        <v>56</v>
      </c>
      <c r="J25" s="112" t="s">
        <v>72</v>
      </c>
      <c r="K25" s="123"/>
      <c r="L25" s="124"/>
      <c r="M25" s="3"/>
      <c r="N25" s="9"/>
    </row>
    <row r="26" spans="1:14" ht="27.75" customHeight="1" x14ac:dyDescent="0.4">
      <c r="A26" s="7"/>
      <c r="B26" s="3"/>
      <c r="C26" s="115" t="s">
        <v>54</v>
      </c>
      <c r="D26" s="167" t="s">
        <v>70</v>
      </c>
      <c r="E26" s="168"/>
      <c r="F26" s="168"/>
      <c r="G26" s="168"/>
      <c r="H26" s="168"/>
      <c r="I26" s="168"/>
      <c r="J26" s="112" t="s">
        <v>61</v>
      </c>
      <c r="K26" s="171" t="s">
        <v>66</v>
      </c>
      <c r="L26" s="171"/>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64" t="s">
        <v>21</v>
      </c>
      <c r="F30" s="165"/>
      <c r="G30" s="165"/>
      <c r="H30" s="165"/>
      <c r="I30" s="165"/>
      <c r="J30" s="166"/>
      <c r="K30" s="91" t="s">
        <v>22</v>
      </c>
      <c r="L30" s="92" t="s">
        <v>23</v>
      </c>
      <c r="M30" s="56"/>
      <c r="N30" s="9"/>
    </row>
    <row r="31" spans="1:14" ht="18.75" x14ac:dyDescent="0.3">
      <c r="A31" s="7"/>
      <c r="B31" s="3"/>
      <c r="C31" s="66"/>
      <c r="D31" s="53"/>
      <c r="E31" s="184"/>
      <c r="F31" s="185"/>
      <c r="G31" s="185"/>
      <c r="H31" s="185"/>
      <c r="I31" s="185"/>
      <c r="J31" s="186"/>
      <c r="K31" s="89"/>
      <c r="L31" s="90" t="str">
        <f>IF(D31&lt;&gt;"",D31*K31,"")</f>
        <v/>
      </c>
      <c r="M31" s="56"/>
      <c r="N31" s="9"/>
    </row>
    <row r="32" spans="1:14" ht="25.5" x14ac:dyDescent="0.35">
      <c r="A32" s="7"/>
      <c r="B32" s="3"/>
      <c r="C32" s="135"/>
      <c r="D32" s="93"/>
      <c r="E32" s="190" t="s">
        <v>73</v>
      </c>
      <c r="F32" s="191"/>
      <c r="G32" s="191"/>
      <c r="H32" s="191"/>
      <c r="I32" s="191"/>
      <c r="J32" s="192"/>
      <c r="K32" s="94"/>
      <c r="L32" s="95" t="str">
        <f>IF(D32&lt;&gt;"",D32*K32,"")</f>
        <v/>
      </c>
      <c r="M32" s="56"/>
      <c r="N32" s="9"/>
    </row>
    <row r="33" spans="1:14" ht="27.75" x14ac:dyDescent="0.4">
      <c r="A33" s="7"/>
      <c r="B33" s="3"/>
      <c r="C33" s="66"/>
      <c r="D33" s="93"/>
      <c r="E33" s="193"/>
      <c r="F33" s="194"/>
      <c r="G33" s="194"/>
      <c r="H33" s="194"/>
      <c r="I33" s="194"/>
      <c r="J33" s="195"/>
      <c r="K33" s="94"/>
      <c r="L33" s="95"/>
      <c r="M33" s="56"/>
      <c r="N33" s="9"/>
    </row>
    <row r="34" spans="1:14" ht="26.25" x14ac:dyDescent="0.4">
      <c r="A34" s="7"/>
      <c r="B34" s="3"/>
      <c r="C34" s="122"/>
      <c r="D34" s="93">
        <v>2</v>
      </c>
      <c r="E34" s="197" t="s">
        <v>77</v>
      </c>
      <c r="F34" s="198"/>
      <c r="G34" s="198"/>
      <c r="H34" s="198"/>
      <c r="I34" s="198"/>
      <c r="J34" s="199"/>
      <c r="K34" s="94">
        <v>250</v>
      </c>
      <c r="L34" s="94">
        <f t="shared" ref="L34:L36" si="0">+K34*D34</f>
        <v>500</v>
      </c>
      <c r="M34" s="56"/>
      <c r="N34" s="9"/>
    </row>
    <row r="35" spans="1:14" ht="26.25" x14ac:dyDescent="0.4">
      <c r="A35" s="7"/>
      <c r="B35" s="3"/>
      <c r="C35" s="122"/>
      <c r="D35" s="93"/>
      <c r="E35" s="197"/>
      <c r="F35" s="200"/>
      <c r="G35" s="200"/>
      <c r="H35" s="200"/>
      <c r="I35" s="200"/>
      <c r="J35" s="201"/>
      <c r="K35" s="94"/>
      <c r="L35" s="94"/>
      <c r="M35" s="56"/>
      <c r="N35" s="9"/>
    </row>
    <row r="36" spans="1:14" ht="26.25" x14ac:dyDescent="0.4">
      <c r="A36" s="7"/>
      <c r="B36" s="3"/>
      <c r="C36" s="122"/>
      <c r="D36" s="93">
        <v>1</v>
      </c>
      <c r="E36" s="202" t="s">
        <v>76</v>
      </c>
      <c r="F36" s="203"/>
      <c r="G36" s="203"/>
      <c r="H36" s="203"/>
      <c r="I36" s="203"/>
      <c r="J36" s="204"/>
      <c r="K36" s="94">
        <v>250</v>
      </c>
      <c r="L36" s="94">
        <f t="shared" si="0"/>
        <v>250</v>
      </c>
      <c r="M36" s="56"/>
      <c r="N36" s="9"/>
    </row>
    <row r="37" spans="1:14" ht="26.25" x14ac:dyDescent="0.4">
      <c r="A37" s="7"/>
      <c r="B37" s="3"/>
      <c r="C37" s="122"/>
      <c r="D37" s="93"/>
      <c r="E37" s="197"/>
      <c r="F37" s="200"/>
      <c r="G37" s="200"/>
      <c r="H37" s="200"/>
      <c r="I37" s="200"/>
      <c r="J37" s="201"/>
      <c r="K37" s="94"/>
      <c r="L37" s="94"/>
      <c r="M37" s="56"/>
      <c r="N37" s="9"/>
    </row>
    <row r="38" spans="1:14" ht="25.5" x14ac:dyDescent="0.35">
      <c r="A38" s="7"/>
      <c r="B38" s="3"/>
      <c r="C38" s="122"/>
      <c r="D38" s="93">
        <v>3</v>
      </c>
      <c r="E38" s="205" t="s">
        <v>78</v>
      </c>
      <c r="F38" s="206"/>
      <c r="G38" s="206"/>
      <c r="H38" s="206"/>
      <c r="I38" s="206"/>
      <c r="J38" s="207"/>
      <c r="K38" s="94">
        <v>250</v>
      </c>
      <c r="L38" s="95">
        <f t="shared" ref="L38" si="1">IF(D38&lt;&gt;"",D38*K38,"")</f>
        <v>750</v>
      </c>
      <c r="M38" s="56"/>
      <c r="N38" s="9"/>
    </row>
    <row r="39" spans="1:14" ht="25.5" x14ac:dyDescent="0.35">
      <c r="A39" s="7"/>
      <c r="B39" s="3"/>
      <c r="C39" s="122"/>
      <c r="D39" s="142"/>
      <c r="E39" s="143"/>
      <c r="F39" s="144"/>
      <c r="G39" s="144"/>
      <c r="H39" s="144"/>
      <c r="I39" s="144"/>
      <c r="J39" s="145"/>
      <c r="K39" s="94"/>
      <c r="L39" s="94"/>
      <c r="M39" s="56"/>
      <c r="N39" s="9"/>
    </row>
    <row r="40" spans="1:14" ht="25.5" x14ac:dyDescent="0.35">
      <c r="A40" s="7"/>
      <c r="B40" s="3"/>
      <c r="C40" s="122"/>
      <c r="D40" s="142"/>
      <c r="E40" s="143"/>
      <c r="F40" s="144"/>
      <c r="G40" s="144"/>
      <c r="H40" s="144"/>
      <c r="I40" s="144"/>
      <c r="J40" s="145"/>
      <c r="K40" s="94"/>
      <c r="L40" s="94"/>
      <c r="M40" s="56"/>
      <c r="N40" s="9"/>
    </row>
    <row r="41" spans="1:14" ht="25.5" x14ac:dyDescent="0.35">
      <c r="A41" s="7"/>
      <c r="B41" s="3"/>
      <c r="C41" s="122"/>
      <c r="D41" s="142"/>
      <c r="E41" s="143"/>
      <c r="F41" s="144"/>
      <c r="G41" s="144"/>
      <c r="H41" s="144"/>
      <c r="I41" s="144"/>
      <c r="J41" s="145"/>
      <c r="K41" s="94"/>
      <c r="L41" s="95"/>
      <c r="M41" s="56"/>
      <c r="N41" s="9"/>
    </row>
    <row r="42" spans="1:14" ht="25.5" x14ac:dyDescent="0.35">
      <c r="A42" s="7"/>
      <c r="B42" s="3"/>
      <c r="C42" s="122"/>
      <c r="D42" s="142"/>
      <c r="E42" s="187"/>
      <c r="F42" s="188"/>
      <c r="G42" s="188"/>
      <c r="H42" s="188"/>
      <c r="I42" s="188"/>
      <c r="J42" s="189"/>
      <c r="K42" s="94"/>
      <c r="L42" s="95"/>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74"/>
      <c r="F44" s="175"/>
      <c r="G44" s="175"/>
      <c r="H44" s="175"/>
      <c r="I44" s="175"/>
      <c r="J44" s="176"/>
      <c r="K44" s="94"/>
      <c r="L44" s="95"/>
      <c r="M44" s="56"/>
      <c r="N44" s="9"/>
    </row>
    <row r="45" spans="1:14" ht="30" x14ac:dyDescent="0.4">
      <c r="A45" s="7"/>
      <c r="B45" s="3"/>
      <c r="C45" s="108"/>
      <c r="D45" s="82"/>
      <c r="E45" s="82"/>
      <c r="F45" s="82"/>
      <c r="G45" s="82"/>
      <c r="H45" s="82"/>
      <c r="I45" s="76"/>
      <c r="J45" s="102"/>
      <c r="K45" s="120" t="s">
        <v>24</v>
      </c>
      <c r="L45" s="106">
        <f>SUM(L33:L44)</f>
        <v>1500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285</v>
      </c>
      <c r="M47" s="56"/>
      <c r="N47" s="9"/>
    </row>
    <row r="48" spans="1:14" ht="30" x14ac:dyDescent="0.4">
      <c r="A48" s="7"/>
      <c r="B48" s="3"/>
      <c r="C48" s="3"/>
      <c r="D48" s="84"/>
      <c r="E48" s="98" t="s">
        <v>71</v>
      </c>
      <c r="F48" s="130"/>
      <c r="G48" s="133"/>
      <c r="H48" s="133"/>
      <c r="I48" s="78"/>
      <c r="J48" s="102"/>
      <c r="K48" s="119" t="s">
        <v>26</v>
      </c>
      <c r="L48" s="106">
        <f>L45+L47+L46</f>
        <v>1786</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81</v>
      </c>
      <c r="D50" s="139"/>
      <c r="E50" s="139"/>
      <c r="F50" s="139"/>
      <c r="G50" s="139"/>
      <c r="H50" s="139"/>
      <c r="I50" s="139"/>
      <c r="J50" s="102"/>
      <c r="K50" s="104"/>
      <c r="L50" s="128"/>
      <c r="M50" s="56"/>
      <c r="N50" s="9"/>
    </row>
    <row r="51" spans="1:14" ht="30" x14ac:dyDescent="0.4">
      <c r="A51" s="7"/>
      <c r="B51" s="196"/>
      <c r="C51" s="196"/>
      <c r="D51" s="196"/>
      <c r="E51" s="196"/>
      <c r="F51" s="196"/>
      <c r="G51" s="196"/>
      <c r="H51" s="196"/>
      <c r="I51" s="79" t="s">
        <v>25</v>
      </c>
      <c r="J51" s="102"/>
      <c r="K51" s="182" t="s">
        <v>60</v>
      </c>
      <c r="L51" s="182"/>
      <c r="M51" s="56"/>
      <c r="N51" s="9"/>
    </row>
    <row r="52" spans="1:14" ht="18.75" x14ac:dyDescent="0.3">
      <c r="A52" s="7"/>
      <c r="B52" s="3"/>
      <c r="C52" s="125"/>
      <c r="D52" s="125"/>
      <c r="E52" s="125"/>
      <c r="F52" s="125"/>
      <c r="G52" s="125"/>
      <c r="H52" s="125"/>
      <c r="I52" s="125"/>
      <c r="J52" s="125"/>
      <c r="K52" s="182"/>
      <c r="L52" s="182"/>
      <c r="M52" s="56"/>
      <c r="N52" s="9"/>
    </row>
    <row r="53" spans="1:14" ht="30" x14ac:dyDescent="0.4">
      <c r="A53" s="7"/>
      <c r="B53" s="181" t="s">
        <v>74</v>
      </c>
      <c r="C53" s="181"/>
      <c r="D53" s="181"/>
      <c r="E53" s="181"/>
      <c r="F53" s="181"/>
      <c r="G53" s="181"/>
      <c r="H53" s="181"/>
      <c r="I53" s="80"/>
      <c r="J53" s="105"/>
      <c r="K53" s="113"/>
      <c r="L53" s="111"/>
      <c r="M53" s="56"/>
      <c r="N53" s="9"/>
    </row>
    <row r="54" spans="1:14" ht="27.75" x14ac:dyDescent="0.4">
      <c r="A54" s="7"/>
      <c r="B54" s="136" t="s">
        <v>75</v>
      </c>
      <c r="C54" s="3"/>
      <c r="D54" s="137"/>
      <c r="E54" s="177"/>
      <c r="F54" s="178"/>
      <c r="G54" s="178"/>
      <c r="H54" s="178"/>
      <c r="I54" s="76"/>
      <c r="J54" s="76"/>
      <c r="K54" s="111"/>
      <c r="L54" s="111"/>
      <c r="M54" s="56"/>
      <c r="N54" s="9"/>
    </row>
    <row r="55" spans="1:14" ht="18" x14ac:dyDescent="0.2">
      <c r="A55" s="7"/>
      <c r="B55" s="3"/>
      <c r="C55" s="3"/>
      <c r="D55" s="20"/>
      <c r="E55" s="179"/>
      <c r="F55" s="180"/>
      <c r="G55" s="180"/>
      <c r="H55" s="180"/>
      <c r="I55" s="76"/>
      <c r="J55" s="111"/>
      <c r="K55" s="111"/>
      <c r="L55" s="111"/>
      <c r="M55" s="56"/>
      <c r="N55" s="9"/>
    </row>
    <row r="56" spans="1:14" ht="18" x14ac:dyDescent="0.2">
      <c r="A56" s="7"/>
      <c r="B56" s="113"/>
      <c r="C56" s="3"/>
      <c r="D56" s="20"/>
      <c r="E56" s="116"/>
      <c r="F56" s="158"/>
      <c r="G56" s="159"/>
      <c r="H56" s="159"/>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57" t="s">
        <v>62</v>
      </c>
      <c r="C62" s="157"/>
      <c r="D62" s="157"/>
      <c r="E62" s="157"/>
      <c r="F62" s="157"/>
      <c r="G62" s="157"/>
      <c r="H62" s="157"/>
      <c r="I62" s="157"/>
      <c r="J62" s="157"/>
      <c r="K62" s="157"/>
      <c r="L62" s="157"/>
      <c r="M62" s="157"/>
      <c r="N62" s="131"/>
    </row>
    <row r="63" spans="1:14" ht="12.75" customHeight="1" x14ac:dyDescent="0.2">
      <c r="A63" s="113"/>
      <c r="B63" s="157"/>
      <c r="C63" s="157"/>
      <c r="D63" s="157"/>
      <c r="E63" s="157"/>
      <c r="F63" s="157"/>
      <c r="G63" s="157"/>
      <c r="H63" s="157"/>
      <c r="I63" s="157"/>
      <c r="J63" s="157"/>
      <c r="K63" s="157"/>
      <c r="L63" s="157"/>
      <c r="M63" s="157"/>
      <c r="N63" s="129"/>
    </row>
    <row r="64" spans="1:14" ht="12.75" customHeight="1" x14ac:dyDescent="0.2">
      <c r="A64" s="114"/>
      <c r="B64" s="157"/>
      <c r="C64" s="157"/>
      <c r="D64" s="157"/>
      <c r="E64" s="157"/>
      <c r="F64" s="157"/>
      <c r="G64" s="157"/>
      <c r="H64" s="157"/>
      <c r="I64" s="157"/>
      <c r="J64" s="157"/>
      <c r="K64" s="157"/>
      <c r="L64" s="157"/>
      <c r="M64" s="157"/>
      <c r="N64" s="129"/>
    </row>
    <row r="65" spans="1:15" ht="12.75" customHeight="1" x14ac:dyDescent="0.2">
      <c r="A65" s="3"/>
      <c r="B65" s="157"/>
      <c r="C65" s="157"/>
      <c r="D65" s="157"/>
      <c r="E65" s="157"/>
      <c r="F65" s="157"/>
      <c r="G65" s="157"/>
      <c r="H65" s="157"/>
      <c r="I65" s="157"/>
      <c r="J65" s="157"/>
      <c r="K65" s="157"/>
      <c r="L65" s="157"/>
      <c r="M65" s="157"/>
      <c r="N65" s="129"/>
    </row>
    <row r="66" spans="1:15" ht="12.75" customHeight="1" x14ac:dyDescent="0.2">
      <c r="A66" s="3"/>
      <c r="B66" s="157"/>
      <c r="C66" s="157"/>
      <c r="D66" s="157"/>
      <c r="E66" s="157"/>
      <c r="F66" s="157"/>
      <c r="G66" s="157"/>
      <c r="H66" s="157"/>
      <c r="I66" s="157"/>
      <c r="J66" s="157"/>
      <c r="K66" s="157"/>
      <c r="L66" s="157"/>
      <c r="M66" s="157"/>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K51:L52"/>
    <mergeCell ref="J24:L24"/>
    <mergeCell ref="E31:J31"/>
    <mergeCell ref="E36:J36"/>
    <mergeCell ref="E35:J35"/>
    <mergeCell ref="E42:J42"/>
    <mergeCell ref="E32:J32"/>
    <mergeCell ref="E33:J33"/>
    <mergeCell ref="E37:J37"/>
    <mergeCell ref="B51:H51"/>
    <mergeCell ref="E38:J38"/>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L39:L40 L34:L37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1:L44 L38">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45884</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1786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2025-01-23T15:15:46Z</cp:lastPrinted>
  <dcterms:created xsi:type="dcterms:W3CDTF">1995-05-29T15:50:39Z</dcterms:created>
  <dcterms:modified xsi:type="dcterms:W3CDTF">2025-08-15T09:09:40Z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1786</vt:r8>
  </property>
</Properties>
</file>