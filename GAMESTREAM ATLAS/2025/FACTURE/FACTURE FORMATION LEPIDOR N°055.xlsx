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Facture!$E$47</definedName>
    <definedName name="data65">Facture!$H$47</definedName>
    <definedName name="data66">Facture!$F$53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Facture!$F$54:$I$54</definedName>
    <definedName name="qzqzqz28">Facture!#REF!</definedName>
    <definedName name="qzqzqz29">Facture!#REF!</definedName>
    <definedName name="qzqzqz3">Facture!$E$24:$J$24</definedName>
    <definedName name="qzqzqz30">Facture!#REF!</definedName>
    <definedName name="qzqzqz31">Facture!#REF!</definedName>
    <definedName name="qzqzqz32">Facture!$L$54:$M$54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Facture!$C$3:$N$53</definedName>
  </definedNames>
  <calcPr calcId="152511"/>
</workbook>
</file>

<file path=xl/calcChain.xml><?xml version="1.0" encoding="utf-8"?>
<calcChain xmlns="http://schemas.openxmlformats.org/spreadsheetml/2006/main">
  <c r="M35" i="3" l="1"/>
  <c r="M43" i="3" s="1"/>
  <c r="M42" i="3"/>
  <c r="M45" i="3" l="1"/>
  <c r="M46" i="3" s="1"/>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<sst xmlns="http://schemas.openxmlformats.org/spreadsheetml/2006/main" count="87" uniqueCount="79">
  <si>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</si>
  <si>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</si>
  <si>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</si>
  <si>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</si>
  <si>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</si>
  <si>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</si>
  <si>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</si>
  <si>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</si>
  <si>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</si>
  <si>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</si>
  <si>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</si>
  <si>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</si>
  <si>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</si>
  <si>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</si>
  <si>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</si>
  <si>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</si>
  <si>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</si>
  <si>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</si>
  <si>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</si>
  <si>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</si>
  <si>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</si>
  <si>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</si>
  <si>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</si>
  <si>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</si>
  <si>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</si>
  <si>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</si>
  <si>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</si>
  <si>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</si>
  <si>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</si>
  <si>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</si>
  <si>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</si>
  <si>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</si>
  <si>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</si>
  <si>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</si>
  <si>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</si>
  <si>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</si>
  <si>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</si>
  <si>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</si>
  <si>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</si>
  <si>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</si>
  <si>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</si>
  <si>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</si>
  <si>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</si>
  <si>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</si>
  <si>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</si>
  <si>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</si>
  <si>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</si>
  <si>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</si>
  <si>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</si>
  <si>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</si>
  <si>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</si>
  <si>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</si>
  <si>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</si>
  <si>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</si>
  <si>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</si>
  <si>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</si>
  <si>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</si>
  <si>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</si>
  <si>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</si>
  <si>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</si>
  <si>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</si>
  <si>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</si>
  <si>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</si>
  <si>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</si>
  <si>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</si>
  <si>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</si>
  <si>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</si>
  <si>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</si>
  <si>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LEPIDOR</t>
  </si>
  <si>
    <t xml:space="preserve"> TRAVAIL EN HAUTEUR </t>
  </si>
  <si>
    <t>4,RUE DU CAIRE 1001 TUNIS- Tunisie     Tél : (216).71 258 108 Fax : (216).71 259 346
RDC:B159472001 / MF:778013 ZMA 000
Mail:gamestream@planet.tn//gamestream.formation@gmail.com</t>
  </si>
  <si>
    <t>SOUSSE</t>
  </si>
  <si>
    <t>HABILITATION:</t>
  </si>
  <si>
    <t>4586 H A M 000</t>
  </si>
  <si>
    <t xml:space="preserve">          MF :      </t>
  </si>
  <si>
    <t xml:space="preserve">     Responsable: MME SAHAR </t>
  </si>
  <si>
    <t xml:space="preserve">     BON DE COMMANDE : 23/05/2025</t>
  </si>
  <si>
    <t>FACTURE  N°2025-055</t>
  </si>
  <si>
    <t xml:space="preserve">ARRETE LA PRESENTE FACTURE A LA SOMME DE : deux cent quatre-vingt-dix-huit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</si>
</sst>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0" fillId="6" borderId="38" xfId="0" applyNumberFormat="1" applyFont="1" applyFill="1" applyBorder="1" applyAlignment="1"/>
    <xf numFmtId="0" fontId="22"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170" fontId="33"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167" fontId="38" fillId="3" borderId="0" xfId="0" applyNumberFormat="1" applyFont="1" applyFill="1" applyBorder="1" applyAlignment="1"/>
    <xf numFmtId="0" fontId="16" fillId="3" borderId="35" xfId="0" applyFont="1" applyFill="1" applyBorder="1" applyAlignment="1">
      <alignment horizontal="center"/>
    </xf>
    <xf numFmtId="0" fontId="40" fillId="3" borderId="0" xfId="0" applyFont="1" applyFill="1" applyBorder="1" applyAlignment="1">
      <alignment vertical="top"/>
    </xf>
    <xf numFmtId="167" fontId="41" fillId="3" borderId="0" xfId="0" applyNumberFormat="1" applyFont="1" applyFill="1" applyBorder="1" applyAlignment="1"/>
    <xf numFmtId="0" fontId="37"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1" fillId="3" borderId="0" xfId="0" applyFont="1" applyFill="1" applyBorder="1"/>
    <xf numFmtId="49" fontId="42" fillId="3" borderId="0" xfId="0" applyNumberFormat="1" applyFont="1" applyFill="1" applyBorder="1" applyAlignment="1">
      <alignment horizontal="left"/>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0" fontId="25" fillId="0" borderId="0" xfId="0" applyFont="1" applyFill="1" applyBorder="1" applyAlignment="1">
      <alignment horizontal="center" vertical="center"/>
    </xf>
    <xf numFmtId="49" fontId="43"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5" fillId="3" borderId="40" xfId="0" applyNumberFormat="1" applyFont="1" applyFill="1" applyBorder="1" applyAlignment="1">
      <alignment horizontal="left" vertical="top"/>
    </xf>
    <xf numFmtId="0" fontId="31" fillId="6" borderId="0" xfId="0" applyFont="1" applyFill="1" applyBorder="1" applyAlignment="1">
      <alignment horizontal="left" vertical="top"/>
    </xf>
    <xf numFmtId="49" fontId="25" fillId="3" borderId="0" xfId="0" applyNumberFormat="1" applyFont="1" applyFill="1" applyBorder="1" applyAlignment="1">
      <alignment horizontal="left"/>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0" fontId="31" fillId="6" borderId="0" xfId="0" applyFont="1" applyFill="1" applyAlignment="1">
      <alignment horizontal="center" vertical="center"/>
    </xf>
    <xf numFmtId="49" fontId="30"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1"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49" fontId="43" fillId="3" borderId="30" xfId="0" applyNumberFormat="1" applyFont="1" applyFill="1" applyBorder="1" applyAlignment="1">
      <alignment horizontal="left" vertical="top"/>
    </xf>
    <xf numFmtId="49" fontId="43" fillId="3" borderId="0" xfId="0" applyNumberFormat="1" applyFont="1" applyFill="1" applyBorder="1" applyAlignment="1">
      <alignment horizontal="left" vertical="top"/>
    </xf>
    <xf numFmtId="49" fontId="43" fillId="3" borderId="32" xfId="0" applyNumberFormat="1" applyFont="1" applyFill="1" applyBorder="1" applyAlignment="1">
      <alignment horizontal="left" vertical="top"/>
    </xf>
    <xf numFmtId="49" fontId="36" fillId="3" borderId="30" xfId="0" applyNumberFormat="1" applyFont="1" applyFill="1" applyBorder="1" applyAlignment="1">
      <alignment horizontal="left" vertical="top"/>
    </xf>
    <xf numFmtId="49" fontId="36" fillId="3" borderId="0" xfId="0" applyNumberFormat="1" applyFont="1" applyFill="1" applyBorder="1" applyAlignment="1">
      <alignment horizontal="left" vertical="top"/>
    </xf>
    <xf numFmtId="49" fontId="36" fillId="3" borderId="32" xfId="0" applyNumberFormat="1" applyFont="1" applyFill="1" applyBorder="1" applyAlignment="1">
      <alignment horizontal="left" vertical="top"/>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23" fillId="6" borderId="0" xfId="0" applyFont="1" applyFill="1" applyBorder="1" applyAlignment="1">
      <alignment horizontal="center" vertical="center" wrapText="1"/>
    </xf>
    <xf numFmtId="0" fontId="25" fillId="0" borderId="0" xfId="0" applyFont="1" applyFill="1" applyBorder="1" applyAlignment="1">
      <alignment horizontal="center" vertical="center"/>
    </xf>
    <xf numFmtId="0" fontId="16" fillId="3" borderId="0" xfId="0"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581025</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561975</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104775</xdr:colOff>
      <xdr:row>6</xdr:row>
      <xdr:rowOff>19050</xdr:rowOff>
    </xdr:from>
    <xdr:to>
      <xdr:col>10</xdr:col>
      <xdr:colOff>206375</xdr:colOff>
      <xdr:row>16</xdr:row>
      <xdr:rowOff>63500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900" y="749300"/>
          <a:ext cx="6673850" cy="190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581025</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9" t="s">
        <v>44</v>
      </c>
      <c r="E19" s="14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0" t="str">
        <f>LOWER(TemplateInformation!B3)</f>
        <v>c:\program files\microsoft office\office\macrolib\factbd.xls</v>
      </c>
      <c r="G33" s="15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zoomScale="70" zoomScaleNormal="70" workbookViewId="0">
      <selection activeCell="X10" sqref="X1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B2" s="4"/>
      <c r="C2" s="5"/>
      <c r="D2" s="5"/>
      <c r="E2" s="5"/>
      <c r="F2" s="5"/>
      <c r="G2" s="5"/>
      <c r="H2" s="5"/>
      <c r="I2" s="5"/>
      <c r="J2" s="5"/>
      <c r="K2" s="5"/>
      <c r="L2" s="5"/>
      <c r="M2" s="5"/>
      <c r="N2" s="5"/>
      <c r="O2" s="6"/>
    </row>
    <row r="3" spans="1:15" x14ac:dyDescent="0.2">
      <c r="A3" s="110"/>
      <c r="B3" s="7"/>
      <c r="C3" s="3"/>
      <c r="D3" s="3"/>
      <c r="E3" s="3"/>
      <c r="F3" s="3"/>
      <c r="G3" s="3"/>
      <c r="H3" s="3"/>
      <c r="I3" s="3"/>
      <c r="J3" s="3"/>
      <c r="K3" s="3"/>
      <c r="L3" s="3"/>
      <c r="M3" s="3"/>
      <c r="N3" s="3"/>
      <c r="O3" s="9"/>
    </row>
    <row r="4" spans="1:15" x14ac:dyDescent="0.2">
      <c r="A4" s="110"/>
      <c r="B4" s="7"/>
      <c r="C4" s="3"/>
      <c r="D4" s="3"/>
      <c r="E4" s="3"/>
      <c r="F4" s="3"/>
      <c r="G4" s="3"/>
      <c r="H4" s="3"/>
      <c r="I4" s="3"/>
      <c r="J4" s="3"/>
      <c r="K4" s="3"/>
      <c r="L4" s="3"/>
      <c r="M4" s="3"/>
      <c r="N4" s="3"/>
      <c r="O4" s="9"/>
    </row>
    <row r="5" spans="1:15" x14ac:dyDescent="0.2">
      <c r="A5" s="110"/>
      <c r="B5" s="3"/>
      <c r="C5" s="3"/>
      <c r="D5" s="3"/>
      <c r="E5" s="3"/>
      <c r="F5" s="3"/>
      <c r="G5" s="3"/>
      <c r="H5" s="3"/>
      <c r="I5" s="3"/>
      <c r="J5" s="3"/>
      <c r="K5" s="3"/>
      <c r="L5" s="3"/>
      <c r="M5" s="3"/>
      <c r="N5" s="3"/>
      <c r="O5" s="9"/>
    </row>
    <row r="6" spans="1:15" x14ac:dyDescent="0.2">
      <c r="A6" s="110"/>
      <c r="B6" s="7"/>
      <c r="C6" s="3"/>
      <c r="D6" s="3"/>
      <c r="E6" s="3"/>
      <c r="F6" s="3"/>
      <c r="G6" s="3"/>
      <c r="H6" s="3"/>
      <c r="I6" s="3"/>
      <c r="J6" s="3"/>
      <c r="K6" s="3"/>
      <c r="L6" s="3"/>
      <c r="M6" s="3"/>
      <c r="N6" s="3"/>
      <c r="O6" s="9"/>
    </row>
    <row r="7" spans="1:15" x14ac:dyDescent="0.2">
      <c r="A7" s="110"/>
      <c r="B7" s="7"/>
      <c r="C7" s="3"/>
      <c r="D7" s="3"/>
      <c r="E7" s="3"/>
      <c r="F7" s="3"/>
      <c r="G7" s="3"/>
      <c r="H7" s="3"/>
      <c r="I7" s="3"/>
      <c r="J7" s="3"/>
      <c r="K7" s="3"/>
      <c r="L7" s="3"/>
      <c r="M7" s="3"/>
      <c r="N7" s="3"/>
      <c r="O7" s="9"/>
    </row>
    <row r="8" spans="1:15" x14ac:dyDescent="0.2">
      <c r="A8" s="110"/>
      <c r="B8" s="7"/>
      <c r="C8" s="3"/>
      <c r="D8" s="3"/>
      <c r="E8" s="3"/>
      <c r="F8" s="3"/>
      <c r="G8" s="3"/>
      <c r="H8" s="3"/>
      <c r="I8" s="3"/>
      <c r="J8" s="3"/>
      <c r="K8" s="3"/>
      <c r="L8" s="3"/>
      <c r="M8" s="3"/>
      <c r="N8" s="3"/>
      <c r="O8" s="9"/>
    </row>
    <row r="9" spans="1:15" x14ac:dyDescent="0.2">
      <c r="A9" s="110"/>
      <c r="B9" s="7"/>
      <c r="C9" s="3"/>
      <c r="D9" s="3"/>
      <c r="E9" s="3"/>
      <c r="F9" s="3"/>
      <c r="G9" s="3"/>
      <c r="H9" s="3"/>
      <c r="I9" s="3"/>
      <c r="J9" s="3"/>
      <c r="K9" s="3"/>
      <c r="L9" s="3"/>
      <c r="M9" s="3"/>
      <c r="N9" s="3"/>
      <c r="O9" s="9"/>
    </row>
    <row r="10" spans="1:15" x14ac:dyDescent="0.2">
      <c r="A10" s="110"/>
      <c r="B10" s="7"/>
      <c r="C10" s="3"/>
      <c r="D10" s="3"/>
      <c r="E10" s="3"/>
      <c r="F10" s="3"/>
      <c r="G10" s="3"/>
      <c r="H10" s="3"/>
      <c r="I10" s="3"/>
      <c r="J10" s="3"/>
      <c r="K10" s="3"/>
      <c r="L10" s="3"/>
      <c r="M10" s="3"/>
      <c r="N10" s="3"/>
      <c r="O10" s="9"/>
    </row>
    <row r="11" spans="1:15" ht="20.25" x14ac:dyDescent="0.3">
      <c r="A11" s="110"/>
      <c r="B11" s="7"/>
      <c r="C11" s="3"/>
      <c r="D11" s="3"/>
      <c r="E11" s="3"/>
      <c r="F11" s="3"/>
      <c r="G11" s="3"/>
      <c r="H11" s="3"/>
      <c r="I11" s="3"/>
      <c r="J11" s="3"/>
      <c r="K11" s="8"/>
      <c r="L11" s="75"/>
      <c r="M11" s="75" t="s">
        <v>50</v>
      </c>
      <c r="N11" s="19"/>
      <c r="O11" s="9"/>
    </row>
    <row r="12" spans="1:15" x14ac:dyDescent="0.2">
      <c r="A12" s="110"/>
      <c r="B12" s="7"/>
      <c r="C12" s="3"/>
      <c r="D12" s="3"/>
      <c r="E12" s="3"/>
      <c r="F12" s="3"/>
      <c r="G12" s="3"/>
      <c r="H12" s="3"/>
      <c r="I12" s="3"/>
      <c r="J12" s="3"/>
      <c r="K12" s="3"/>
      <c r="L12" s="3"/>
      <c r="M12" s="3"/>
      <c r="N12" s="3"/>
      <c r="O12" s="9"/>
    </row>
    <row r="13" spans="1:15" x14ac:dyDescent="0.2">
      <c r="A13" s="110"/>
      <c r="B13" s="7"/>
      <c r="C13" s="3"/>
      <c r="D13" s="3"/>
      <c r="E13" s="3"/>
      <c r="F13" s="3"/>
      <c r="G13" s="3"/>
      <c r="H13" s="3"/>
      <c r="I13" s="3"/>
      <c r="J13" s="3"/>
      <c r="K13" s="3"/>
      <c r="L13" s="3"/>
      <c r="M13" s="3"/>
      <c r="N13" s="3"/>
      <c r="O13" s="9"/>
    </row>
    <row r="14" spans="1:15" ht="26.25" x14ac:dyDescent="0.2">
      <c r="A14" s="110"/>
      <c r="B14" s="7"/>
      <c r="C14" s="3"/>
      <c r="D14" s="3"/>
      <c r="E14" s="3"/>
      <c r="F14" s="3"/>
      <c r="G14" s="3"/>
      <c r="H14" s="3"/>
      <c r="I14" s="3"/>
      <c r="J14" s="3"/>
      <c r="K14" s="98"/>
      <c r="L14" s="99"/>
      <c r="M14" s="99"/>
      <c r="N14" s="3"/>
      <c r="O14" s="9"/>
    </row>
    <row r="15" spans="1:15" x14ac:dyDescent="0.2">
      <c r="A15" s="110"/>
      <c r="B15" s="7"/>
      <c r="C15" s="3"/>
      <c r="D15" s="3"/>
      <c r="E15" s="3"/>
      <c r="F15" s="3"/>
      <c r="G15" s="3"/>
      <c r="H15" s="3"/>
      <c r="I15" s="3"/>
      <c r="J15" s="3"/>
      <c r="K15" s="98"/>
      <c r="L15" s="163" t="s">
        <v>77</v>
      </c>
      <c r="M15" s="163"/>
      <c r="N15" s="3"/>
      <c r="O15" s="9"/>
    </row>
    <row r="16" spans="1:15" x14ac:dyDescent="0.2">
      <c r="A16" s="110"/>
      <c r="B16" s="7"/>
      <c r="C16" s="3"/>
      <c r="D16" s="3"/>
      <c r="E16" s="3"/>
      <c r="F16" s="3"/>
      <c r="G16" s="3"/>
      <c r="H16" s="3"/>
      <c r="I16" s="3"/>
      <c r="J16" s="3"/>
      <c r="K16" s="98"/>
      <c r="L16" s="163"/>
      <c r="M16" s="163"/>
      <c r="N16" s="3"/>
      <c r="O16" s="9"/>
    </row>
    <row r="17" spans="1:15" ht="12.75" customHeight="1" x14ac:dyDescent="0.2">
      <c r="A17" s="110"/>
      <c r="B17" s="7"/>
      <c r="C17" s="3"/>
      <c r="D17" s="3"/>
      <c r="E17" s="3"/>
      <c r="F17" s="3"/>
      <c r="G17" s="3"/>
      <c r="H17" s="3"/>
      <c r="I17" s="3"/>
      <c r="J17" s="3"/>
      <c r="K17" s="98"/>
      <c r="L17" s="163"/>
      <c r="M17" s="163"/>
      <c r="N17" s="3"/>
      <c r="O17" s="9"/>
    </row>
    <row r="18" spans="1:15" ht="12.75" customHeight="1" x14ac:dyDescent="0.2">
      <c r="A18" s="110"/>
      <c r="B18" s="7"/>
      <c r="C18" s="3"/>
      <c r="D18" s="172"/>
      <c r="E18" s="172"/>
      <c r="F18" s="172"/>
      <c r="G18" s="172"/>
      <c r="H18" s="172"/>
      <c r="I18" s="3"/>
      <c r="J18" s="3"/>
      <c r="K18" s="98"/>
      <c r="L18" s="163"/>
      <c r="M18" s="163"/>
      <c r="N18" s="3"/>
      <c r="O18" s="9"/>
    </row>
    <row r="19" spans="1:15" ht="20.100000000000001" customHeight="1" thickBot="1" x14ac:dyDescent="0.25">
      <c r="A19" s="110"/>
      <c r="B19" s="7"/>
      <c r="C19" s="3"/>
      <c r="D19" s="173"/>
      <c r="E19" s="173"/>
      <c r="F19" s="173"/>
      <c r="G19" s="173"/>
      <c r="H19" s="173"/>
      <c r="I19" s="3"/>
      <c r="J19" s="3"/>
      <c r="K19" s="98"/>
      <c r="L19" s="163"/>
      <c r="M19" s="163"/>
      <c r="N19" s="3"/>
      <c r="O19" s="9"/>
    </row>
    <row r="20" spans="1:15" ht="3" customHeight="1" thickTop="1" x14ac:dyDescent="0.3">
      <c r="A20" s="110"/>
      <c r="B20" s="7"/>
      <c r="C20" s="3"/>
      <c r="D20" s="57"/>
      <c r="E20" s="57"/>
      <c r="F20" s="57"/>
      <c r="G20" s="57"/>
      <c r="H20" s="57"/>
      <c r="I20" s="57"/>
      <c r="J20" s="58"/>
      <c r="K20" s="58"/>
      <c r="L20" s="86"/>
      <c r="M20" s="87"/>
      <c r="N20" s="20"/>
      <c r="O20" s="9"/>
    </row>
    <row r="21" spans="1:15" ht="14.1" customHeight="1" x14ac:dyDescent="0.2">
      <c r="A21" s="110"/>
      <c r="B21" s="7"/>
      <c r="C21" s="3"/>
      <c r="D21" s="3"/>
      <c r="E21" s="3"/>
      <c r="F21" s="3"/>
      <c r="G21" s="3"/>
      <c r="H21" s="3"/>
      <c r="I21" s="3"/>
      <c r="J21" s="3"/>
      <c r="K21" s="3"/>
      <c r="L21" s="3"/>
      <c r="M21" s="3"/>
      <c r="N21" s="3"/>
      <c r="O21" s="9"/>
    </row>
    <row r="22" spans="1:15" x14ac:dyDescent="0.2">
      <c r="A22" s="110"/>
      <c r="B22" s="7"/>
      <c r="C22" s="3"/>
      <c r="D22" s="3"/>
      <c r="E22" s="3"/>
      <c r="F22" s="3"/>
      <c r="G22" s="3"/>
      <c r="H22" s="3"/>
      <c r="I22" s="3"/>
      <c r="J22" s="3"/>
      <c r="K22" s="3"/>
      <c r="L22" s="3"/>
      <c r="M22" s="3"/>
      <c r="N22" s="3"/>
      <c r="O22" s="9"/>
    </row>
    <row r="23" spans="1:15" ht="35.25" x14ac:dyDescent="0.35">
      <c r="A23" s="110"/>
      <c r="B23" s="7"/>
      <c r="C23" s="3"/>
      <c r="D23" s="111" t="s">
        <v>52</v>
      </c>
      <c r="E23" s="142" t="s">
        <v>68</v>
      </c>
      <c r="F23" s="142"/>
      <c r="G23" s="142"/>
      <c r="H23" s="142"/>
      <c r="I23" s="142"/>
      <c r="J23" s="142"/>
      <c r="K23" s="109" t="s">
        <v>57</v>
      </c>
      <c r="L23" s="100">
        <v>46022</v>
      </c>
      <c r="M23" s="102"/>
      <c r="N23" s="54"/>
      <c r="O23" s="9"/>
    </row>
    <row r="24" spans="1:15" ht="23.25" x14ac:dyDescent="0.35">
      <c r="A24" s="110"/>
      <c r="B24" s="7"/>
      <c r="C24" s="3"/>
      <c r="D24" s="111" t="s">
        <v>53</v>
      </c>
      <c r="E24" s="170"/>
      <c r="F24" s="170"/>
      <c r="G24" s="170"/>
      <c r="H24" s="171"/>
      <c r="I24" s="171"/>
      <c r="J24" s="171"/>
      <c r="K24" s="174" t="s">
        <v>76</v>
      </c>
      <c r="L24" s="174"/>
      <c r="M24" s="174"/>
      <c r="N24" s="55"/>
      <c r="O24" s="9"/>
    </row>
    <row r="25" spans="1:15" ht="27.75" x14ac:dyDescent="0.4">
      <c r="A25" s="110"/>
      <c r="B25" s="7"/>
      <c r="C25" s="3"/>
      <c r="D25" s="111" t="s">
        <v>59</v>
      </c>
      <c r="E25" s="121"/>
      <c r="F25" s="103" t="s">
        <v>51</v>
      </c>
      <c r="G25" s="164" t="s">
        <v>71</v>
      </c>
      <c r="H25" s="164"/>
      <c r="I25" s="144" t="s">
        <v>55</v>
      </c>
      <c r="J25" s="104" t="s">
        <v>56</v>
      </c>
      <c r="K25" s="109" t="s">
        <v>75</v>
      </c>
      <c r="L25" s="119"/>
      <c r="M25" s="120"/>
      <c r="N25" s="3"/>
      <c r="O25" s="9"/>
    </row>
    <row r="26" spans="1:15" ht="27.75" customHeight="1" x14ac:dyDescent="0.4">
      <c r="A26" s="110"/>
      <c r="B26" s="7"/>
      <c r="C26" s="3"/>
      <c r="D26" s="111" t="s">
        <v>54</v>
      </c>
      <c r="E26" s="168"/>
      <c r="F26" s="169"/>
      <c r="G26" s="169"/>
      <c r="H26" s="169"/>
      <c r="I26" s="169"/>
      <c r="J26" s="169"/>
      <c r="K26" s="128" t="s">
        <v>74</v>
      </c>
      <c r="L26" s="143" t="s">
        <v>73</v>
      </c>
      <c r="M26" s="127"/>
      <c r="N26" s="3"/>
      <c r="O26" s="9"/>
    </row>
    <row r="27" spans="1:15" x14ac:dyDescent="0.2">
      <c r="A27" s="110"/>
      <c r="B27" s="7"/>
      <c r="C27" s="3"/>
      <c r="D27" s="80"/>
      <c r="E27" s="80"/>
      <c r="F27" s="80"/>
      <c r="G27" s="80"/>
      <c r="H27" s="80"/>
      <c r="I27" s="80"/>
      <c r="J27" s="80"/>
      <c r="K27" s="80"/>
      <c r="L27" s="80"/>
      <c r="M27" s="80"/>
      <c r="N27" s="3"/>
      <c r="O27" s="9"/>
    </row>
    <row r="28" spans="1:15" x14ac:dyDescent="0.2">
      <c r="A28" s="110"/>
      <c r="B28" s="7"/>
      <c r="C28" s="3"/>
      <c r="D28" s="80"/>
      <c r="E28" s="80"/>
      <c r="F28" s="80"/>
      <c r="G28" s="80"/>
      <c r="H28" s="80"/>
      <c r="I28" s="80"/>
      <c r="J28" s="80"/>
      <c r="K28" s="80"/>
      <c r="L28" s="80"/>
      <c r="M28" s="80"/>
      <c r="N28" s="3"/>
      <c r="O28" s="9"/>
    </row>
    <row r="29" spans="1:15" x14ac:dyDescent="0.2">
      <c r="A29" s="110"/>
      <c r="B29" s="7"/>
      <c r="C29" s="3"/>
      <c r="D29" s="80"/>
      <c r="E29" s="80"/>
      <c r="F29" s="80"/>
      <c r="G29" s="80"/>
      <c r="H29" s="80"/>
      <c r="I29" s="80"/>
      <c r="J29" s="80"/>
      <c r="K29" s="80"/>
      <c r="L29" s="80"/>
      <c r="M29" s="80"/>
      <c r="N29" s="3"/>
      <c r="O29" s="9"/>
    </row>
    <row r="30" spans="1:15" ht="18" x14ac:dyDescent="0.25">
      <c r="A30" s="110"/>
      <c r="B30" s="7"/>
      <c r="C30" s="3"/>
      <c r="D30" s="90" t="s">
        <v>33</v>
      </c>
      <c r="E30" s="123" t="s">
        <v>64</v>
      </c>
      <c r="F30" s="165" t="s">
        <v>21</v>
      </c>
      <c r="G30" s="166"/>
      <c r="H30" s="166"/>
      <c r="I30" s="166"/>
      <c r="J30" s="166"/>
      <c r="K30" s="167"/>
      <c r="L30" s="90" t="s">
        <v>22</v>
      </c>
      <c r="M30" s="91" t="s">
        <v>23</v>
      </c>
      <c r="N30" s="56"/>
      <c r="O30" s="9"/>
    </row>
    <row r="31" spans="1:15" ht="18.75" x14ac:dyDescent="0.3">
      <c r="A31" s="110"/>
      <c r="B31" s="7"/>
      <c r="C31" s="3"/>
      <c r="D31" s="66"/>
      <c r="E31" s="52"/>
      <c r="F31" s="152"/>
      <c r="G31" s="153"/>
      <c r="H31" s="153"/>
      <c r="I31" s="153"/>
      <c r="J31" s="153"/>
      <c r="K31" s="154"/>
      <c r="L31" s="88"/>
      <c r="M31" s="89" t="str">
        <f>IF(E31&lt;&gt;"",E31*L31,"")</f>
        <v/>
      </c>
      <c r="N31" s="56"/>
      <c r="O31" s="9"/>
    </row>
    <row r="32" spans="1:15" ht="26.25" x14ac:dyDescent="0.4">
      <c r="A32" s="110"/>
      <c r="B32" s="7"/>
      <c r="C32" s="3"/>
      <c r="D32" s="118"/>
      <c r="E32" s="92"/>
      <c r="F32" s="155" t="s">
        <v>58</v>
      </c>
      <c r="G32" s="156"/>
      <c r="H32" s="156"/>
      <c r="I32" s="156"/>
      <c r="J32" s="156"/>
      <c r="K32" s="157"/>
      <c r="L32" s="93"/>
      <c r="M32" s="94" t="str">
        <f>IF(E32&lt;&gt;"",E32*L32,"")</f>
        <v/>
      </c>
      <c r="N32" s="56"/>
      <c r="O32" s="9"/>
    </row>
    <row r="33" spans="1:15" ht="26.25" x14ac:dyDescent="0.4">
      <c r="A33" s="110"/>
      <c r="B33" s="7"/>
      <c r="C33" s="3"/>
      <c r="D33" s="117"/>
      <c r="E33" s="95"/>
      <c r="F33" s="155" t="s">
        <v>72</v>
      </c>
      <c r="G33" s="158"/>
      <c r="H33" s="158"/>
      <c r="I33" s="158"/>
      <c r="J33" s="158"/>
      <c r="K33" s="159"/>
      <c r="L33" s="96"/>
      <c r="M33" s="97"/>
      <c r="N33" s="56"/>
      <c r="O33" s="9"/>
    </row>
    <row r="34" spans="1:15" ht="27" x14ac:dyDescent="0.35">
      <c r="A34" s="110"/>
      <c r="B34" s="7"/>
      <c r="C34" s="3"/>
      <c r="D34" s="117"/>
      <c r="E34" s="95"/>
      <c r="F34" s="160"/>
      <c r="G34" s="161"/>
      <c r="H34" s="161"/>
      <c r="I34" s="161"/>
      <c r="J34" s="161"/>
      <c r="K34" s="162"/>
      <c r="L34" s="96"/>
      <c r="M34" s="97"/>
      <c r="N34" s="56"/>
      <c r="O34" s="9"/>
    </row>
    <row r="35" spans="1:15" ht="26.25" customHeight="1" x14ac:dyDescent="0.35">
      <c r="A35" s="110"/>
      <c r="B35" s="7"/>
      <c r="C35" s="3"/>
      <c r="D35" s="117"/>
      <c r="E35" s="95">
        <v>1</v>
      </c>
      <c r="F35" s="178" t="s">
        <v>69</v>
      </c>
      <c r="G35" s="179"/>
      <c r="H35" s="179"/>
      <c r="I35" s="179"/>
      <c r="J35" s="179"/>
      <c r="K35" s="180"/>
      <c r="L35" s="96">
        <v>250</v>
      </c>
      <c r="M35" s="97">
        <f t="shared" ref="M35" si="0">IF(E35&lt;&gt;"",E35*L35,"")</f>
        <v>250</v>
      </c>
      <c r="N35" s="56"/>
      <c r="O35" s="9"/>
    </row>
    <row r="36" spans="1:15" ht="25.5" x14ac:dyDescent="0.35">
      <c r="A36" s="110"/>
      <c r="B36" s="7"/>
      <c r="C36" s="3"/>
      <c r="D36" s="117"/>
      <c r="E36" s="95"/>
      <c r="F36" s="175"/>
      <c r="G36" s="176"/>
      <c r="H36" s="176"/>
      <c r="I36" s="176"/>
      <c r="J36" s="176"/>
      <c r="K36" s="177"/>
      <c r="L36" s="96"/>
      <c r="M36" s="97"/>
      <c r="N36" s="56"/>
      <c r="O36" s="9"/>
    </row>
    <row r="37" spans="1:15" ht="25.5" x14ac:dyDescent="0.35">
      <c r="A37" s="110"/>
      <c r="B37" s="7"/>
      <c r="C37" s="3"/>
      <c r="D37" s="117"/>
      <c r="E37" s="95"/>
      <c r="F37" s="138"/>
      <c r="G37" s="139"/>
      <c r="H37" s="139"/>
      <c r="I37" s="139"/>
      <c r="J37" s="139"/>
      <c r="K37" s="140"/>
      <c r="L37" s="96"/>
      <c r="M37" s="97"/>
      <c r="N37" s="56"/>
      <c r="O37" s="9"/>
    </row>
    <row r="38" spans="1:15" ht="25.5" x14ac:dyDescent="0.35">
      <c r="A38" s="110"/>
      <c r="B38" s="7"/>
      <c r="C38" s="3"/>
      <c r="D38" s="117"/>
      <c r="E38" s="95"/>
      <c r="F38" s="181"/>
      <c r="G38" s="182"/>
      <c r="H38" s="182"/>
      <c r="I38" s="182"/>
      <c r="J38" s="182"/>
      <c r="K38" s="183"/>
      <c r="L38" s="96"/>
      <c r="M38" s="97"/>
      <c r="N38" s="56"/>
      <c r="O38" s="9"/>
    </row>
    <row r="39" spans="1:15" ht="25.5" x14ac:dyDescent="0.35">
      <c r="A39" s="110"/>
      <c r="B39" s="7"/>
      <c r="C39" s="3"/>
      <c r="D39" s="141"/>
      <c r="E39" s="95"/>
      <c r="F39" s="138"/>
      <c r="G39" s="139"/>
      <c r="H39" s="139"/>
      <c r="I39" s="139"/>
      <c r="J39" s="139"/>
      <c r="K39" s="140"/>
      <c r="L39" s="96"/>
      <c r="M39" s="97"/>
      <c r="N39" s="56"/>
      <c r="O39" s="9"/>
    </row>
    <row r="40" spans="1:15" ht="26.25" customHeight="1" x14ac:dyDescent="0.35">
      <c r="A40" s="110"/>
      <c r="B40" s="7"/>
      <c r="C40" s="3"/>
      <c r="D40" s="117"/>
      <c r="E40" s="95"/>
      <c r="F40" s="184"/>
      <c r="G40" s="185"/>
      <c r="H40" s="185"/>
      <c r="I40" s="185"/>
      <c r="J40" s="185"/>
      <c r="K40" s="185"/>
      <c r="L40" s="185"/>
      <c r="M40" s="186"/>
      <c r="N40" s="56"/>
      <c r="O40" s="9"/>
    </row>
    <row r="41" spans="1:15" ht="25.5" x14ac:dyDescent="0.35">
      <c r="A41" s="110"/>
      <c r="B41" s="7"/>
      <c r="C41" s="3"/>
      <c r="D41" s="117"/>
      <c r="E41" s="95"/>
      <c r="F41" s="131"/>
      <c r="G41" s="132"/>
      <c r="H41" s="132"/>
      <c r="I41" s="132"/>
      <c r="J41" s="132"/>
      <c r="K41" s="133"/>
      <c r="L41" s="96"/>
      <c r="M41" s="97"/>
      <c r="N41" s="56"/>
      <c r="O41" s="9"/>
    </row>
    <row r="42" spans="1:15" ht="26.25" x14ac:dyDescent="0.4">
      <c r="A42" s="110"/>
      <c r="B42" s="7"/>
      <c r="C42" s="3"/>
      <c r="D42" s="67"/>
      <c r="E42" s="53"/>
      <c r="F42" s="130"/>
      <c r="G42" s="134"/>
      <c r="H42" s="134"/>
      <c r="I42" s="134"/>
      <c r="J42" s="134"/>
      <c r="K42" s="135"/>
      <c r="L42" s="67"/>
      <c r="M42" s="97" t="str">
        <f t="shared" ref="M42" si="1">IF(E42&lt;&gt;"",E42*L42,"")</f>
        <v/>
      </c>
      <c r="N42" s="56"/>
      <c r="O42" s="9"/>
    </row>
    <row r="43" spans="1:15" ht="30" x14ac:dyDescent="0.4">
      <c r="A43" s="110"/>
      <c r="B43" s="7"/>
      <c r="C43" s="189" t="s">
        <v>78</v>
      </c>
      <c r="D43" s="189"/>
      <c r="E43" s="189"/>
      <c r="F43" s="189"/>
      <c r="G43" s="189"/>
      <c r="H43" s="189"/>
      <c r="I43" s="189"/>
      <c r="J43" s="189"/>
      <c r="K43" s="189"/>
      <c r="L43" s="115" t="s">
        <v>24</v>
      </c>
      <c r="M43" s="107">
        <f>SUM(M34:M42)</f>
        <v>250</v>
      </c>
      <c r="N43" s="56"/>
      <c r="O43" s="9"/>
    </row>
    <row r="44" spans="1:15" ht="30" x14ac:dyDescent="0.4">
      <c r="A44" s="110"/>
      <c r="B44" s="7"/>
      <c r="C44" s="3"/>
      <c r="D44" s="3"/>
      <c r="E44" s="81"/>
      <c r="F44" s="126" t="s">
        <v>63</v>
      </c>
      <c r="G44" s="80"/>
      <c r="H44" s="80"/>
      <c r="I44" s="80"/>
      <c r="J44" s="76"/>
      <c r="K44" s="105"/>
      <c r="L44" s="112" t="s">
        <v>45</v>
      </c>
      <c r="M44" s="116">
        <v>1</v>
      </c>
      <c r="N44" s="56"/>
      <c r="O44" s="9"/>
    </row>
    <row r="45" spans="1:15" ht="30" x14ac:dyDescent="0.4">
      <c r="A45" s="110"/>
      <c r="B45" s="7"/>
      <c r="C45" s="3"/>
      <c r="D45" s="3"/>
      <c r="E45" s="81"/>
      <c r="F45" s="101" t="s">
        <v>62</v>
      </c>
      <c r="G45" s="80"/>
      <c r="H45" s="80"/>
      <c r="I45" s="80"/>
      <c r="J45" s="76"/>
      <c r="K45" s="105"/>
      <c r="L45" s="113" t="s">
        <v>60</v>
      </c>
      <c r="M45" s="108">
        <f>M43*0.19</f>
        <v>47.5</v>
      </c>
      <c r="N45" s="56"/>
      <c r="O45" s="9"/>
    </row>
    <row r="46" spans="1:15" ht="30" x14ac:dyDescent="0.4">
      <c r="A46" s="110"/>
      <c r="B46" s="110"/>
      <c r="C46" s="110"/>
      <c r="D46" s="3"/>
      <c r="E46" s="83"/>
      <c r="F46" s="101" t="s">
        <v>65</v>
      </c>
      <c r="G46" s="80"/>
      <c r="H46" s="80"/>
      <c r="I46" s="80"/>
      <c r="J46" s="77"/>
      <c r="K46" s="106"/>
      <c r="L46" s="114" t="s">
        <v>26</v>
      </c>
      <c r="M46" s="107">
        <f>M43+M45+M44</f>
        <v>298.5</v>
      </c>
      <c r="N46" s="56"/>
      <c r="O46" s="9"/>
    </row>
    <row r="47" spans="1:15" ht="30" x14ac:dyDescent="0.4">
      <c r="A47" s="110"/>
      <c r="B47" s="110"/>
      <c r="C47" s="110"/>
      <c r="D47" s="3"/>
      <c r="E47" s="83">
        <v>2</v>
      </c>
      <c r="F47" s="82"/>
      <c r="G47" s="124"/>
      <c r="H47" s="125"/>
      <c r="I47" s="122"/>
      <c r="J47" s="78"/>
      <c r="K47" s="105"/>
      <c r="L47" s="188" t="s">
        <v>61</v>
      </c>
      <c r="M47" s="188"/>
      <c r="N47" s="56"/>
      <c r="O47" s="9"/>
    </row>
    <row r="48" spans="1:15" ht="30" x14ac:dyDescent="0.4">
      <c r="A48" s="110"/>
      <c r="B48" s="3"/>
      <c r="C48" s="110"/>
      <c r="D48" s="136" t="s">
        <v>66</v>
      </c>
      <c r="E48" s="136"/>
      <c r="F48" s="136"/>
      <c r="G48" s="80"/>
      <c r="H48" s="84"/>
      <c r="I48" s="80"/>
      <c r="J48" s="79" t="s">
        <v>25</v>
      </c>
      <c r="K48" s="105"/>
      <c r="L48" s="188"/>
      <c r="M48" s="188"/>
      <c r="N48" s="56"/>
      <c r="O48" s="9"/>
    </row>
    <row r="49" spans="1:15" ht="30" x14ac:dyDescent="0.4">
      <c r="A49" s="110"/>
      <c r="B49" s="3"/>
      <c r="C49" s="110"/>
      <c r="D49" s="129" t="s">
        <v>67</v>
      </c>
      <c r="E49" s="136"/>
      <c r="F49" s="136"/>
      <c r="G49" s="80"/>
      <c r="H49" s="84"/>
      <c r="I49" s="80"/>
      <c r="J49" s="79"/>
      <c r="K49" s="105"/>
      <c r="L49" s="137"/>
      <c r="M49" s="137"/>
      <c r="N49" s="56"/>
      <c r="O49" s="9"/>
    </row>
    <row r="50" spans="1:15" ht="12.75" customHeight="1" x14ac:dyDescent="0.2">
      <c r="A50" s="187" t="s">
        <v>70</v>
      </c>
      <c r="B50" s="187"/>
      <c r="C50" s="187"/>
      <c r="D50" s="187"/>
      <c r="E50" s="187"/>
      <c r="F50" s="187"/>
      <c r="G50" s="187"/>
      <c r="H50" s="187"/>
      <c r="I50" s="187"/>
      <c r="J50" s="187"/>
      <c r="K50" s="187"/>
      <c r="L50" s="187"/>
      <c r="M50" s="187"/>
      <c r="N50" s="187"/>
      <c r="O50" s="187"/>
    </row>
    <row r="51" spans="1:15" ht="12.75" customHeight="1" x14ac:dyDescent="0.2">
      <c r="A51" s="187"/>
      <c r="B51" s="187"/>
      <c r="C51" s="187"/>
      <c r="D51" s="187"/>
      <c r="E51" s="187"/>
      <c r="F51" s="187"/>
      <c r="G51" s="187"/>
      <c r="H51" s="187"/>
      <c r="I51" s="187"/>
      <c r="J51" s="187"/>
      <c r="K51" s="187"/>
      <c r="L51" s="187"/>
      <c r="M51" s="187"/>
      <c r="N51" s="187"/>
      <c r="O51" s="187"/>
    </row>
    <row r="52" spans="1:15" ht="12.75" customHeight="1" x14ac:dyDescent="0.2">
      <c r="A52" s="187"/>
      <c r="B52" s="187"/>
      <c r="C52" s="187"/>
      <c r="D52" s="187"/>
      <c r="E52" s="187"/>
      <c r="F52" s="187"/>
      <c r="G52" s="187"/>
      <c r="H52" s="187"/>
      <c r="I52" s="187"/>
      <c r="J52" s="187"/>
      <c r="K52" s="187"/>
      <c r="L52" s="187"/>
      <c r="M52" s="187"/>
      <c r="N52" s="187"/>
      <c r="O52" s="187"/>
    </row>
    <row r="53" spans="1:15" ht="12.75" customHeight="1" x14ac:dyDescent="0.2">
      <c r="A53" s="187"/>
      <c r="B53" s="187"/>
      <c r="C53" s="187"/>
      <c r="D53" s="187"/>
      <c r="E53" s="187"/>
      <c r="F53" s="187"/>
      <c r="G53" s="187"/>
      <c r="H53" s="187"/>
      <c r="I53" s="187"/>
      <c r="J53" s="187"/>
      <c r="K53" s="187"/>
      <c r="L53" s="187"/>
      <c r="M53" s="187"/>
      <c r="N53" s="187"/>
      <c r="O53" s="187"/>
    </row>
    <row r="54" spans="1:15" ht="12.75" customHeight="1" x14ac:dyDescent="0.2">
      <c r="A54" s="187"/>
      <c r="B54" s="187"/>
      <c r="C54" s="187"/>
      <c r="D54" s="187"/>
      <c r="E54" s="187"/>
      <c r="F54" s="187"/>
      <c r="G54" s="187"/>
      <c r="H54" s="187"/>
      <c r="I54" s="187"/>
      <c r="J54" s="187"/>
      <c r="K54" s="187"/>
      <c r="L54" s="187"/>
      <c r="M54" s="187"/>
      <c r="N54" s="187"/>
      <c r="O54" s="187"/>
    </row>
    <row r="55" spans="1:15" ht="12.75" customHeight="1" x14ac:dyDescent="0.2">
      <c r="A55" s="187"/>
      <c r="B55" s="187"/>
      <c r="C55" s="187"/>
      <c r="D55" s="187"/>
      <c r="E55" s="187"/>
      <c r="F55" s="187"/>
      <c r="G55" s="187"/>
      <c r="H55" s="187"/>
      <c r="I55" s="187"/>
      <c r="J55" s="187"/>
      <c r="K55" s="187"/>
      <c r="L55" s="187"/>
      <c r="M55" s="187"/>
      <c r="N55" s="187"/>
      <c r="O55" s="187"/>
    </row>
    <row r="56" spans="1:15" ht="12.75" customHeight="1" x14ac:dyDescent="0.2">
      <c r="A56" s="187"/>
      <c r="B56" s="187"/>
      <c r="C56" s="187"/>
      <c r="D56" s="187"/>
      <c r="E56" s="187"/>
      <c r="F56" s="187"/>
      <c r="G56" s="187"/>
      <c r="H56" s="187"/>
      <c r="I56" s="187"/>
      <c r="J56" s="187"/>
      <c r="K56" s="187"/>
      <c r="L56" s="187"/>
      <c r="M56" s="187"/>
      <c r="N56" s="187"/>
      <c r="O56" s="187"/>
    </row>
    <row r="57" spans="1:15" ht="12.75" customHeight="1" x14ac:dyDescent="0.2">
      <c r="A57" s="187"/>
      <c r="B57" s="187"/>
      <c r="C57" s="187"/>
      <c r="D57" s="187"/>
      <c r="E57" s="187"/>
      <c r="F57" s="187"/>
      <c r="G57" s="187"/>
      <c r="H57" s="187"/>
      <c r="I57" s="187"/>
      <c r="J57" s="187"/>
      <c r="K57" s="187"/>
      <c r="L57" s="187"/>
      <c r="M57" s="187"/>
      <c r="N57" s="187"/>
      <c r="O57" s="187"/>
    </row>
    <row r="58" spans="1:15" ht="12.75" customHeight="1" x14ac:dyDescent="0.2">
      <c r="A58" s="187"/>
      <c r="B58" s="187"/>
      <c r="C58" s="187"/>
      <c r="D58" s="187"/>
      <c r="E58" s="187"/>
      <c r="F58" s="187"/>
      <c r="G58" s="187"/>
      <c r="H58" s="187"/>
      <c r="I58" s="187"/>
      <c r="J58" s="187"/>
      <c r="K58" s="187"/>
      <c r="L58" s="187"/>
      <c r="M58" s="187"/>
      <c r="N58" s="187"/>
      <c r="O58" s="187"/>
    </row>
    <row r="59" spans="1:15" ht="12.75" customHeight="1" x14ac:dyDescent="0.2">
      <c r="A59" s="187"/>
      <c r="B59" s="187"/>
      <c r="C59" s="187"/>
      <c r="D59" s="187"/>
      <c r="E59" s="187"/>
      <c r="F59" s="187"/>
      <c r="G59" s="187"/>
      <c r="H59" s="187"/>
      <c r="I59" s="187"/>
      <c r="J59" s="187"/>
      <c r="K59" s="187"/>
      <c r="L59" s="187"/>
      <c r="M59" s="187"/>
      <c r="N59" s="187"/>
      <c r="O59" s="187"/>
    </row>
    <row r="60" spans="1:15" ht="12.75" customHeight="1" x14ac:dyDescent="0.2"/>
    <row r="61" spans="1:15" ht="12.75" customHeight="1" x14ac:dyDescent="0.2"/>
    <row r="62" spans="1:15" ht="13.5" customHeight="1" x14ac:dyDescent="0.2"/>
    <row r="63" spans="1:15" ht="24.95" customHeight="1" x14ac:dyDescent="0.2"/>
    <row r="64" spans="1:15" ht="24.95" customHeight="1" x14ac:dyDescent="0.2"/>
    <row r="65" ht="12.75" customHeight="1" x14ac:dyDescent="0.2"/>
    <row r="66" ht="12.75" customHeight="1" x14ac:dyDescent="0.2"/>
    <row r="67" ht="12.75" customHeight="1" x14ac:dyDescent="0.2"/>
    <row r="68" ht="12.75" customHeight="1" x14ac:dyDescent="0.2"/>
    <row r="69" ht="3" customHeight="1" x14ac:dyDescent="0.2"/>
    <row r="70" ht="12.75" customHeight="1" x14ac:dyDescent="0.2"/>
    <row r="71" ht="13.5" customHeight="1" x14ac:dyDescent="0.2"/>
    <row r="73" ht="0.95" customHeight="1" x14ac:dyDescent="0.2"/>
    <row r="7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F36:K36"/>
    <mergeCell ref="F35:K35"/>
    <mergeCell ref="F38:K38"/>
    <mergeCell ref="F40:M40"/>
    <mergeCell ref="A50:O59"/>
    <mergeCell ref="L47:M48"/>
    <mergeCell ref="C43:K43"/>
    <mergeCell ref="F31:K31"/>
    <mergeCell ref="F32:K32"/>
    <mergeCell ref="F33:K33"/>
    <mergeCell ref="F34:K34"/>
    <mergeCell ref="L15:M19"/>
    <mergeCell ref="G25:H25"/>
    <mergeCell ref="F30:K30"/>
    <mergeCell ref="E26:J26"/>
    <mergeCell ref="E24:J24"/>
    <mergeCell ref="D18:H19"/>
    <mergeCell ref="K24:M24"/>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type="decimal" allowBlank="1" showErrorMessage="1" errorTitle="Prix unitaire" error="Tapez un nombre dans cette cellule." promptTitle="Prix unitaire" sqref="L31:L39 L4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9 M41:M42">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581025</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581025</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46022</v>
      </c>
      <c r="D8" s="71" t="str">
        <f>Facture!$E$23</f>
        <v>LEPIDOR</v>
      </c>
      <c r="E8" s="68">
        <f>Facture!$E$24</f>
        <v>0</v>
      </c>
      <c r="F8" s="68">
        <f>Facture!$E$25</f>
        <v>0</v>
      </c>
      <c r="G8" s="71" t="str">
        <f>Facture!$G$25</f>
        <v>SOUSSE</v>
      </c>
      <c r="H8" s="71" t="str">
        <f>Facture!$J$25</f>
        <v>TN</v>
      </c>
      <c r="I8" s="68">
        <f>Facture!$E$26</f>
        <v>0</v>
      </c>
      <c r="J8" s="72">
        <f>Facture!$M$46</f>
        <v>298.5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67</vt:i4>
      </vt:variant>
    </vt:vector>
  </HeadingPairs>
  <TitlesOfParts>
    <vt:vector size="71"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2025-02-11T14:10:47Z</cp:lastPrinted>
  <dcterms:created xsi:type="dcterms:W3CDTF">1995-05-29T15:50:39Z</dcterms:created>
  <dcterms:modified xsi:type="dcterms:W3CDTF">2026-01-07T15:02:57Z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298.5</vt:r8>
  </property>
</Properties>
</file>