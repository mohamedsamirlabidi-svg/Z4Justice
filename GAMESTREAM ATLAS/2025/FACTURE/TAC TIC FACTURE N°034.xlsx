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5\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Facture!$K$47</definedName>
    <definedName name="_Tax2">Facture!#REF!</definedName>
    <definedName name="_Tax3">Facture!#REF!</definedName>
    <definedName name="_tax4">Facture!#REF!</definedName>
    <definedName name="_xlnm.Auto_Open21">'AutoOpen Stub Data'!$A$1</definedName>
    <definedName name="boxes">Facture!$D$47:$D$48</definedName>
    <definedName name="CC">'Personnaliser votre facture'!$G$22:$G$25</definedName>
    <definedName name="CCT">Facture!$G$51</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Facture!$D$44</definedName>
    <definedName name="data6">Facture!$E$24</definedName>
    <definedName name="data60">Facture!$E$44</definedName>
    <definedName name="data61">Facture!$K$44</definedName>
    <definedName name="data62">Facture!$D$47</definedName>
    <definedName name="data63">Facture!$D$48</definedName>
    <definedName name="data64">Facture!$D$51</definedName>
    <definedName name="data65">Facture!$G$48</definedName>
    <definedName name="data66">Facture!$E$53</definedName>
    <definedName name="data67">Facture!$E$55</definedName>
    <definedName name="data68">Facture!$F$56</definedName>
    <definedName name="data69">Facture!$J$56</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Facture!$E$44:$J$44</definedName>
    <definedName name="qzqzqz26">Facture!$E$53:$H$53</definedName>
    <definedName name="qzqzqz27">Facture!$E$54:$H$54</definedName>
    <definedName name="qzqzqz28">Facture!$E$55:$H$55</definedName>
    <definedName name="qzqzqz29">Facture!$J$55:$L$56</definedName>
    <definedName name="qzqzqz3">Facture!$D$24:$I$24</definedName>
    <definedName name="qzqzqz30">Facture!$F$56:$H$56</definedName>
    <definedName name="qzqzqz31">Facture!$F$56:$G$56</definedName>
    <definedName name="qzqzqz32">Facture!$J$54:$L$56</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Facture!$B$3:$M$67</definedName>
  </definedNames>
  <calcPr calcId="152511"/>
</workbook>
</file>

<file path=xl/calcChain.xml><?xml version="1.0" encoding="utf-8"?>
<calcChain xmlns="http://schemas.openxmlformats.org/spreadsheetml/2006/main">
  <c r="L37" i="3" l="1"/>
  <c r="L32" i="3" l="1"/>
  <c r="L45" i="3" l="1"/>
  <c r="L47" i="3" s="1"/>
  <c r="L48" i="3" s="1"/>
  <c r="L31"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<sst xmlns="http://schemas.openxmlformats.org/spreadsheetml/2006/main" count="88" uniqueCount="80">
  <si>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</si>
  <si>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</si>
  <si>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</si>
  <si>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</si>
  <si>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</si>
  <si>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</si>
  <si>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</si>
  <si>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</si>
  <si>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</si>
  <si>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</si>
  <si>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</si>
  <si>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</si>
  <si>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</si>
  <si>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</si>
  <si>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</si>
  <si>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</si>
  <si>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</si>
  <si>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</si>
  <si>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</si>
  <si>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</si>
  <si>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</si>
  <si>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</si>
  <si>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</si>
  <si>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</si>
  <si>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</si>
  <si>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</si>
  <si>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</si>
  <si>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</si>
  <si>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</si>
  <si>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</si>
  <si>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</si>
  <si>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</si>
  <si>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</si>
  <si>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</si>
  <si>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</si>
  <si>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</si>
  <si>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</si>
  <si>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</si>
  <si>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</si>
  <si>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</si>
  <si>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</si>
  <si>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</si>
  <si>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</si>
  <si>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</si>
  <si>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</si>
  <si>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</si>
  <si>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</si>
  <si>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</si>
  <si>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</si>
  <si>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</si>
  <si>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</si>
  <si>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</si>
  <si>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</si>
  <si>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</si>
  <si>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</si>
  <si>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</si>
  <si>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</si>
  <si>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</si>
  <si>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</si>
  <si>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</si>
  <si>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</si>
  <si>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</si>
  <si>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</si>
  <si>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</si>
  <si>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</si>
  <si>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 xml:space="preserve">Virement   </t>
  </si>
  <si>
    <t>1275853W/A/M/000</t>
  </si>
  <si>
    <t xml:space="preserve">TAC TIC </t>
  </si>
  <si>
    <t>BP-129 CITE ELGHAZELA</t>
  </si>
  <si>
    <t>ARIANA</t>
  </si>
  <si>
    <t>71856454 FAX 71 857 759</t>
  </si>
  <si>
    <t xml:space="preserve">Chèque    </t>
  </si>
  <si>
    <t xml:space="preserve">     Responsable:         BOUKARI Sabrine</t>
  </si>
  <si>
    <t xml:space="preserve">FORMATION THEORIQUE ET PRATIQUE </t>
  </si>
  <si>
    <t>RIB : 10 000 000 081951 8 78890</t>
  </si>
  <si>
    <t xml:space="preserve">STB THAMEUR </t>
  </si>
  <si>
    <t xml:space="preserve">CONDUITE DEFENSIVE </t>
  </si>
  <si>
    <t xml:space="preserve">    COMMANDE N°:  PS250800045
</t>
  </si>
  <si>
    <t xml:space="preserve">  ARRETE LA PRESENTE FACTURE LA SOMME DE : Deux cent quatre-vingt-dix-huit  dinars et 500 millimes </t>
  </si>
  <si>
    <t>Facture  N°2025-034</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</si>
</sst>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sz val="22"/>
      <name val="Times New Roman"/>
      <family val="1"/>
    </font>
    <font>
      <b/>
      <u/>
      <sz val="20"/>
      <name val="Times New Roman"/>
      <family val="1"/>
    </font>
    <font>
      <b/>
      <sz val="18"/>
      <color rgb="FFFF0000"/>
      <name val="Times New Roman"/>
      <family val="1"/>
    </font>
    <font>
      <b/>
      <sz val="18"/>
      <name val="Times New Roman"/>
      <family val="1"/>
    </font>
    <font>
      <b/>
      <sz val="18"/>
      <color theme="1"/>
      <name val="Times"/>
      <family val="1"/>
    </font>
    <font>
      <sz val="20"/>
      <name val="Times New Roman"/>
      <family val="1"/>
    </font>
    <font>
      <sz val="20"/>
      <color theme="1"/>
      <name val="Times"/>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167" fontId="4" fillId="3" borderId="0" xfId="0" applyNumberFormat="1" applyFont="1" applyFill="1" applyBorder="1"/>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0" fillId="6" borderId="0" xfId="0" applyFill="1" applyBorder="1"/>
    <xf numFmtId="0" fontId="27" fillId="6" borderId="0" xfId="0" applyFont="1" applyFill="1" applyAlignment="1">
      <alignment horizontal="center" vertical="center"/>
    </xf>
    <xf numFmtId="0" fontId="24" fillId="3" borderId="0" xfId="0" applyFont="1" applyFill="1" applyBorder="1" applyAlignment="1">
      <alignment horizontal="left"/>
    </xf>
    <xf numFmtId="0" fontId="32" fillId="6" borderId="39" xfId="0" applyFont="1" applyFill="1" applyBorder="1" applyAlignment="1"/>
    <xf numFmtId="0" fontId="33" fillId="3" borderId="0" xfId="0" applyFont="1" applyFill="1" applyBorder="1" applyAlignment="1">
      <alignment horizontal="right"/>
    </xf>
    <xf numFmtId="49" fontId="32" fillId="3" borderId="41" xfId="0" applyNumberFormat="1" applyFont="1" applyFill="1" applyBorder="1" applyAlignment="1">
      <alignment horizontal="left"/>
    </xf>
    <xf numFmtId="0" fontId="31" fillId="3" borderId="0" xfId="0" applyFont="1" applyFill="1" applyBorder="1"/>
    <xf numFmtId="0" fontId="31" fillId="3" borderId="0" xfId="0" applyFont="1" applyFill="1"/>
    <xf numFmtId="0" fontId="29" fillId="0" borderId="0" xfId="0" applyFont="1" applyFill="1" applyBorder="1" applyAlignment="1">
      <alignment horizontal="right"/>
    </xf>
    <xf numFmtId="0" fontId="31" fillId="3" borderId="0" xfId="0" applyFont="1" applyFill="1" applyBorder="1" applyAlignment="1"/>
    <xf numFmtId="168" fontId="34" fillId="0" borderId="37" xfId="0" applyNumberFormat="1" applyFont="1" applyFill="1" applyBorder="1" applyAlignment="1">
      <alignment shrinkToFit="1"/>
    </xf>
    <xf numFmtId="49" fontId="33" fillId="3" borderId="0" xfId="0" applyNumberFormat="1" applyFont="1" applyFill="1" applyBorder="1" applyAlignment="1">
      <alignment horizontal="left"/>
    </xf>
    <xf numFmtId="0" fontId="7" fillId="3" borderId="0" xfId="0" applyFont="1" applyFill="1" applyBorder="1"/>
    <xf numFmtId="170" fontId="35"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5" fillId="3" borderId="0" xfId="0" applyFont="1" applyFill="1" applyBorder="1"/>
    <xf numFmtId="0" fontId="17" fillId="3" borderId="0" xfId="0" quotePrefix="1" applyFont="1" applyFill="1" applyBorder="1" applyAlignment="1">
      <alignment horizontal="right"/>
    </xf>
    <xf numFmtId="0" fontId="32" fillId="0" borderId="37" xfId="0" applyFont="1" applyFill="1" applyBorder="1" applyAlignment="1">
      <alignment horizontal="right"/>
    </xf>
    <xf numFmtId="10" fontId="31" fillId="0" borderId="37" xfId="0" quotePrefix="1" applyNumberFormat="1" applyFont="1" applyFill="1" applyBorder="1" applyAlignment="1">
      <alignment horizontal="center"/>
    </xf>
    <xf numFmtId="0" fontId="29" fillId="0" borderId="37" xfId="0" applyFont="1" applyFill="1" applyBorder="1" applyAlignment="1">
      <alignment horizontal="right"/>
    </xf>
    <xf numFmtId="0" fontId="31" fillId="0" borderId="36" xfId="0" quotePrefix="1" applyFont="1" applyFill="1" applyBorder="1" applyAlignment="1">
      <alignment horizontal="right"/>
    </xf>
    <xf numFmtId="168" fontId="35" fillId="0" borderId="26" xfId="0" applyNumberFormat="1" applyFont="1" applyFill="1" applyBorder="1" applyAlignment="1">
      <alignment shrinkToFit="1"/>
    </xf>
    <xf numFmtId="0" fontId="23" fillId="3" borderId="30" xfId="0" applyFont="1" applyFill="1" applyBorder="1" applyAlignment="1">
      <alignment horizontal="center"/>
    </xf>
    <xf numFmtId="0" fontId="36" fillId="6" borderId="38" xfId="0" applyFont="1" applyFill="1" applyBorder="1" applyAlignment="1">
      <alignment vertical="center"/>
    </xf>
    <xf numFmtId="0" fontId="0" fillId="6" borderId="38" xfId="0" applyFill="1" applyBorder="1" applyAlignment="1"/>
    <xf numFmtId="0" fontId="38" fillId="3" borderId="0" xfId="0" applyFont="1" applyFill="1" applyBorder="1" applyAlignment="1">
      <alignment horizontal="left"/>
    </xf>
    <xf numFmtId="0" fontId="0" fillId="6" borderId="8" xfId="0" applyFill="1" applyBorder="1"/>
    <xf numFmtId="0" fontId="0" fillId="6" borderId="9" xfId="0" applyFill="1" applyBorder="1"/>
    <xf numFmtId="168" fontId="34" fillId="0" borderId="0" xfId="0" applyNumberFormat="1" applyFont="1" applyFill="1" applyBorder="1" applyAlignment="1">
      <alignment shrinkToFit="1"/>
    </xf>
    <xf numFmtId="0" fontId="0" fillId="6" borderId="0" xfId="0" applyNumberFormat="1" applyFont="1" applyFill="1" applyBorder="1" applyAlignment="1"/>
    <xf numFmtId="0" fontId="39" fillId="3" borderId="0" xfId="0" applyFont="1" applyFill="1" applyBorder="1" applyAlignment="1">
      <alignment vertical="top"/>
    </xf>
    <xf numFmtId="0" fontId="0" fillId="6" borderId="7" xfId="0" applyFill="1" applyBorder="1"/>
    <xf numFmtId="0" fontId="24" fillId="3" borderId="40" xfId="0" applyFont="1" applyFill="1" applyBorder="1"/>
    <xf numFmtId="167" fontId="43" fillId="3" borderId="0" xfId="0" applyNumberFormat="1" applyFont="1" applyFill="1" applyBorder="1" applyAlignment="1"/>
    <xf numFmtId="0" fontId="17" fillId="3" borderId="36" xfId="0" applyFont="1" applyFill="1" applyBorder="1" applyAlignment="1">
      <alignment horizontal="center"/>
    </xf>
    <xf numFmtId="49" fontId="23" fillId="6" borderId="35" xfId="0" applyNumberFormat="1" applyFont="1" applyFill="1" applyBorder="1" applyAlignment="1">
      <alignment horizontal="center"/>
    </xf>
    <xf numFmtId="0" fontId="33" fillId="3" borderId="0" xfId="0" applyFont="1" applyFill="1" applyBorder="1"/>
    <xf numFmtId="0" fontId="2" fillId="3" borderId="0" xfId="0" quotePrefix="1" applyFont="1" applyFill="1" applyBorder="1" applyAlignment="1">
      <alignment horizontal="right"/>
    </xf>
    <xf numFmtId="0" fontId="33" fillId="3" borderId="0" xfId="0" applyFont="1" applyFill="1" applyBorder="1" applyAlignment="1">
      <alignment horizontal="left"/>
    </xf>
    <xf numFmtId="0" fontId="23" fillId="3" borderId="0" xfId="0" applyFont="1" applyFill="1" applyBorder="1" applyAlignment="1"/>
    <xf numFmtId="14" fontId="31" fillId="6" borderId="39" xfId="0" applyNumberFormat="1" applyFont="1" applyFill="1" applyBorder="1" applyAlignment="1"/>
    <xf numFmtId="49" fontId="46" fillId="3" borderId="30" xfId="0" applyNumberFormat="1" applyFont="1" applyFill="1" applyBorder="1" applyAlignment="1"/>
    <xf numFmtId="0" fontId="25" fillId="3" borderId="35" xfId="0" applyFont="1" applyFill="1" applyBorder="1" applyAlignment="1">
      <alignment horizontal="center"/>
    </xf>
    <xf numFmtId="49" fontId="47" fillId="3" borderId="30" xfId="0" applyNumberFormat="1" applyFont="1" applyFill="1" applyBorder="1" applyAlignment="1"/>
    <xf numFmtId="49" fontId="47" fillId="3" borderId="0" xfId="0" applyNumberFormat="1" applyFont="1" applyFill="1" applyBorder="1" applyAlignment="1"/>
    <xf numFmtId="49" fontId="47" fillId="3" borderId="32" xfId="0" applyNumberFormat="1" applyFont="1" applyFill="1" applyBorder="1" applyAlignment="1"/>
    <xf numFmtId="49" fontId="47" fillId="3" borderId="0" xfId="0" applyNumberFormat="1" applyFont="1" applyFill="1" applyBorder="1" applyAlignment="1">
      <alignment horizontal="left"/>
    </xf>
    <xf numFmtId="49" fontId="47" fillId="3" borderId="32" xfId="0" applyNumberFormat="1" applyFont="1" applyFill="1" applyBorder="1" applyAlignment="1">
      <alignment horizontal="left"/>
    </xf>
    <xf numFmtId="0" fontId="25" fillId="3" borderId="26" xfId="0" applyFont="1" applyFill="1" applyBorder="1" applyAlignment="1">
      <alignment horizontal="center"/>
    </xf>
    <xf numFmtId="0" fontId="26" fillId="3" borderId="0" xfId="0"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27" fillId="0" borderId="0" xfId="0" applyFont="1" applyFill="1" applyBorder="1" applyAlignment="1">
      <alignment horizontal="center" vertical="center"/>
    </xf>
    <xf numFmtId="0" fontId="25" fillId="6" borderId="0" xfId="0" applyFont="1" applyFill="1" applyBorder="1" applyAlignment="1">
      <alignment horizontal="left" wrapText="1"/>
    </xf>
    <xf numFmtId="0" fontId="25" fillId="6" borderId="0" xfId="0" applyFont="1" applyFill="1" applyBorder="1" applyAlignment="1">
      <alignment horizontal="left"/>
    </xf>
    <xf numFmtId="49" fontId="22" fillId="3" borderId="46" xfId="0" applyNumberFormat="1" applyFont="1" applyFill="1" applyBorder="1" applyAlignment="1"/>
    <xf numFmtId="49" fontId="22" fillId="3" borderId="47" xfId="0" applyNumberFormat="1" applyFont="1" applyFill="1" applyBorder="1" applyAlignment="1"/>
    <xf numFmtId="49" fontId="22" fillId="3" borderId="48" xfId="0" applyNumberFormat="1" applyFont="1" applyFill="1" applyBorder="1" applyAlignment="1"/>
    <xf numFmtId="49" fontId="49" fillId="3" borderId="30" xfId="0" applyNumberFormat="1" applyFont="1" applyFill="1" applyBorder="1" applyAlignment="1">
      <alignment horizontal="left"/>
    </xf>
    <xf numFmtId="49" fontId="49" fillId="3" borderId="0" xfId="0" applyNumberFormat="1" applyFont="1" applyFill="1" applyBorder="1" applyAlignment="1">
      <alignment horizontal="left"/>
    </xf>
    <xf numFmtId="49" fontId="49" fillId="3" borderId="32" xfId="0" applyNumberFormat="1" applyFont="1" applyFill="1" applyBorder="1" applyAlignment="1">
      <alignment horizontal="left"/>
    </xf>
    <xf numFmtId="49" fontId="49" fillId="3" borderId="30" xfId="0" applyNumberFormat="1" applyFont="1" applyFill="1" applyBorder="1" applyAlignment="1"/>
    <xf numFmtId="49" fontId="49" fillId="3" borderId="0" xfId="0" applyNumberFormat="1" applyFont="1" applyFill="1" applyBorder="1" applyAlignment="1"/>
    <xf numFmtId="49" fontId="49" fillId="3" borderId="32" xfId="0" applyNumberFormat="1" applyFont="1" applyFill="1" applyBorder="1" applyAlignment="1"/>
    <xf numFmtId="49" fontId="47" fillId="3" borderId="30" xfId="0" applyNumberFormat="1" applyFont="1" applyFill="1" applyBorder="1" applyAlignment="1">
      <alignment horizontal="left"/>
    </xf>
    <xf numFmtId="49" fontId="47" fillId="3" borderId="0" xfId="0" applyNumberFormat="1" applyFont="1" applyFill="1" applyBorder="1" applyAlignment="1">
      <alignment horizontal="left"/>
    </xf>
    <xf numFmtId="49" fontId="47" fillId="3" borderId="32" xfId="0" applyNumberFormat="1" applyFont="1" applyFill="1" applyBorder="1" applyAlignment="1">
      <alignment horizontal="left"/>
    </xf>
    <xf numFmtId="49" fontId="45" fillId="3" borderId="30" xfId="0" applyNumberFormat="1" applyFont="1" applyFill="1" applyBorder="1" applyAlignment="1"/>
    <xf numFmtId="49" fontId="45" fillId="3" borderId="0" xfId="0" applyNumberFormat="1" applyFont="1" applyFill="1" applyBorder="1" applyAlignment="1"/>
    <xf numFmtId="49" fontId="45" fillId="3" borderId="32" xfId="0" applyNumberFormat="1" applyFont="1" applyFill="1" applyBorder="1" applyAlignment="1"/>
    <xf numFmtId="49" fontId="44" fillId="3" borderId="30" xfId="0" applyNumberFormat="1" applyFont="1" applyFill="1" applyBorder="1" applyAlignment="1"/>
    <xf numFmtId="49" fontId="44" fillId="3" borderId="0" xfId="0" applyNumberFormat="1" applyFont="1" applyFill="1" applyBorder="1" applyAlignment="1"/>
    <xf numFmtId="49" fontId="44" fillId="3" borderId="32" xfId="0" applyNumberFormat="1" applyFont="1" applyFill="1" applyBorder="1" applyAlignment="1"/>
    <xf numFmtId="0" fontId="0" fillId="3" borderId="0" xfId="0" applyFill="1" applyBorder="1" applyAlignment="1">
      <alignment horizontal="center"/>
    </xf>
    <xf numFmtId="49" fontId="50" fillId="3" borderId="30" xfId="0" applyNumberFormat="1" applyFont="1" applyFill="1" applyBorder="1" applyAlignment="1">
      <alignment horizontal="left" vertical="top"/>
    </xf>
    <xf numFmtId="49" fontId="50" fillId="3" borderId="0" xfId="0" applyNumberFormat="1" applyFont="1" applyFill="1" applyBorder="1" applyAlignment="1">
      <alignment horizontal="left" vertical="top"/>
    </xf>
    <xf numFmtId="49" fontId="50" fillId="3" borderId="32" xfId="0" applyNumberFormat="1" applyFont="1" applyFill="1" applyBorder="1" applyAlignment="1">
      <alignment horizontal="left" vertical="top"/>
    </xf>
    <xf numFmtId="0" fontId="40"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30" fillId="6" borderId="0" xfId="0" applyFont="1" applyFill="1" applyAlignment="1">
      <alignment horizontal="center" vertical="center"/>
    </xf>
    <xf numFmtId="49" fontId="41" fillId="3" borderId="41" xfId="0" applyNumberFormat="1" applyFont="1" applyFill="1" applyBorder="1" applyAlignment="1"/>
    <xf numFmtId="49" fontId="42" fillId="3" borderId="41" xfId="0" applyNumberFormat="1" applyFont="1" applyFill="1" applyBorder="1" applyAlignment="1"/>
    <xf numFmtId="49" fontId="32"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6" fillId="3" borderId="41" xfId="0" applyNumberFormat="1" applyFont="1" applyFill="1" applyBorder="1" applyAlignment="1">
      <alignment horizontal="left" wrapText="1"/>
    </xf>
    <xf numFmtId="0" fontId="33" fillId="2" borderId="41" xfId="0" applyFont="1" applyBorder="1" applyAlignment="1">
      <alignment horizontal="left"/>
    </xf>
    <xf numFmtId="0" fontId="23" fillId="3" borderId="49" xfId="0" applyFont="1" applyFill="1" applyBorder="1" applyAlignment="1">
      <alignment horizontal="left"/>
    </xf>
    <xf numFmtId="0" fontId="23" fillId="2" borderId="49" xfId="0" applyFont="1" applyBorder="1" applyAlignment="1">
      <alignment horizontal="left"/>
    </xf>
    <xf numFmtId="0" fontId="25" fillId="6" borderId="0" xfId="0" applyFont="1" applyFill="1" applyBorder="1" applyAlignment="1">
      <alignment horizontal="center"/>
    </xf>
    <xf numFmtId="0" fontId="26" fillId="3" borderId="0" xfId="0" applyFont="1" applyFill="1" applyBorder="1" applyAlignment="1">
      <alignment horizontal="center"/>
    </xf>
    <xf numFmtId="0" fontId="26" fillId="3" borderId="42" xfId="0" applyFont="1" applyFill="1" applyBorder="1" applyAlignment="1">
      <alignment horizontal="center"/>
    </xf>
    <xf numFmtId="49" fontId="48" fillId="3" borderId="31" xfId="0" applyNumberFormat="1" applyFont="1" applyFill="1" applyBorder="1" applyAlignment="1">
      <alignment horizontal="left" vertical="top"/>
    </xf>
    <xf numFmtId="49" fontId="48" fillId="3" borderId="39" xfId="0" applyNumberFormat="1" applyFont="1" applyFill="1" applyBorder="1" applyAlignment="1">
      <alignment horizontal="left" vertical="top"/>
    </xf>
    <xf numFmtId="49" fontId="48" fillId="3" borderId="33" xfId="0" applyNumberFormat="1" applyFont="1" applyFill="1" applyBorder="1" applyAlignment="1">
      <alignment horizontal="left" vertical="top"/>
    </xf>
    <xf numFmtId="0" fontId="2" fillId="3" borderId="0" xfId="0" applyFont="1" applyFill="1" applyBorder="1" applyAlignment="1"/>
    <xf numFmtId="0" fontId="2" fillId="2" borderId="0" xfId="0" applyFont="1" applyBorder="1" applyAlignment="1"/>
    <xf numFmtId="0" fontId="49" fillId="2" borderId="0" xfId="0" applyFont="1" applyAlignment="1"/>
    <xf numFmtId="0" fontId="49" fillId="2" borderId="32" xfId="0" applyFont="1" applyBorder="1" applyAlignment="1"/>
    <xf numFmtId="49" fontId="17" fillId="3" borderId="0" xfId="0" applyNumberFormat="1" applyFont="1" applyFill="1" applyBorder="1" applyAlignment="1"/>
    <xf numFmtId="0" fontId="17" fillId="2" borderId="0" xfId="0" applyFont="1" applyBorder="1" applyAlignment="1"/>
    <xf numFmtId="0" fontId="33" fillId="3" borderId="0" xfId="0" applyFont="1" applyFill="1" applyBorder="1" applyAlignment="1">
      <alignment horizontal="left" vertical="top"/>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47625</xdr:colOff>
      <xdr:row>22</xdr:row>
      <xdr:rowOff>66675</xdr:rowOff>
    </xdr:from>
    <xdr:to>
      <xdr:col>8</xdr:col>
      <xdr:colOff>1009650</xdr:colOff>
      <xdr:row>27</xdr:row>
      <xdr:rowOff>57150</xdr:rowOff>
    </xdr:to>
    <xdr:sp macro="" textlink="">
      <xdr:nvSpPr>
        <xdr:cNvPr id="2258" name="INVB1"/>
        <xdr:cNvSpPr>
          <a:spLocks noChangeArrowheads="1"/>
        </xdr:cNvSpPr>
      </xdr:nvSpPr>
      <xdr:spPr bwMode="auto">
        <a:xfrm>
          <a:off x="180975" y="3800475"/>
          <a:ext cx="6753225" cy="16478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1</xdr:col>
      <xdr:colOff>113434</xdr:colOff>
      <xdr:row>12</xdr:row>
      <xdr:rowOff>114300</xdr:rowOff>
    </xdr:from>
    <xdr:to>
      <xdr:col>8</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9</xdr:col>
      <xdr:colOff>1143001</xdr:colOff>
      <xdr:row>13</xdr:row>
      <xdr:rowOff>295275</xdr:rowOff>
    </xdr:from>
    <xdr:to>
      <xdr:col>11</xdr:col>
      <xdr:colOff>1733551</xdr:colOff>
      <xdr:row>19</xdr:row>
      <xdr:rowOff>9525</xdr:rowOff>
    </xdr:to>
    <xdr:sp macro="" textlink="">
      <xdr:nvSpPr>
        <xdr:cNvPr id="2261" name="INVB2"/>
        <xdr:cNvSpPr>
          <a:spLocks noChangeArrowheads="1"/>
        </xdr:cNvSpPr>
      </xdr:nvSpPr>
      <xdr:spPr bwMode="auto">
        <a:xfrm>
          <a:off x="8020051" y="237172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46</xdr:row>
          <xdr:rowOff>9525</xdr:rowOff>
        </xdr:from>
        <xdr:to>
          <xdr:col>3</xdr:col>
          <xdr:colOff>571500</xdr:colOff>
          <xdr:row>46</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47</xdr:row>
          <xdr:rowOff>0</xdr:rowOff>
        </xdr:from>
        <xdr:to>
          <xdr:col>3</xdr:col>
          <xdr:colOff>552450</xdr:colOff>
          <xdr:row>47</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152400</xdr:colOff>
      <xdr:row>5</xdr:row>
      <xdr:rowOff>114300</xdr:rowOff>
    </xdr:from>
    <xdr:to>
      <xdr:col>9</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45</xdr:row>
          <xdr:rowOff>9525</xdr:rowOff>
        </xdr:from>
        <xdr:to>
          <xdr:col>3</xdr:col>
          <xdr:colOff>571500</xdr:colOff>
          <xdr:row>45</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0" t="s">
        <v>0</v>
      </c>
      <c r="E4" s="151"/>
      <c r="F4" s="151"/>
      <c r="G4" s="3"/>
      <c r="H4" s="3"/>
      <c r="I4" s="3"/>
      <c r="J4" s="9"/>
    </row>
    <row r="5" spans="2:10" ht="3" customHeight="1" thickTop="1" x14ac:dyDescent="0.2">
      <c r="B5" s="2"/>
      <c r="C5" s="57"/>
      <c r="D5" s="57"/>
      <c r="E5" s="57"/>
      <c r="F5" s="57"/>
      <c r="G5" s="57"/>
      <c r="H5" s="57"/>
      <c r="I5" s="57"/>
      <c r="J5" s="1"/>
    </row>
    <row r="6" spans="2:10" ht="12.75" customHeight="1" x14ac:dyDescent="0.3">
      <c r="B6" s="7"/>
      <c r="C6" s="3"/>
      <c r="D6" s="21"/>
      <c r="E6" s="3"/>
      <c r="F6" s="3"/>
      <c r="G6" s="3"/>
      <c r="H6" s="3"/>
      <c r="I6" s="3"/>
      <c r="J6" s="9"/>
    </row>
    <row r="7" spans="2:10" x14ac:dyDescent="0.2">
      <c r="B7" s="7"/>
      <c r="C7" s="3"/>
      <c r="D7" s="3"/>
      <c r="E7" s="3"/>
      <c r="F7" s="3"/>
      <c r="G7" s="63" t="s">
        <v>43</v>
      </c>
      <c r="H7" s="3"/>
      <c r="I7" s="3"/>
      <c r="J7" s="9"/>
    </row>
    <row r="8" spans="2:10" x14ac:dyDescent="0.2">
      <c r="B8" s="7"/>
      <c r="C8" s="3"/>
      <c r="D8" s="3"/>
      <c r="E8" s="3"/>
      <c r="F8" s="3"/>
      <c r="G8" s="63" t="s">
        <v>1</v>
      </c>
      <c r="H8" s="3"/>
      <c r="I8" s="3"/>
      <c r="J8" s="9"/>
    </row>
    <row r="9" spans="2:10" x14ac:dyDescent="0.2">
      <c r="B9" s="7"/>
      <c r="C9" s="3"/>
      <c r="D9" s="22"/>
      <c r="E9" s="3"/>
      <c r="F9" s="3"/>
      <c r="G9" s="44"/>
      <c r="H9" s="3"/>
      <c r="I9" s="3"/>
      <c r="J9" s="9"/>
    </row>
    <row r="10" spans="2:10" ht="13.5" thickBot="1" x14ac:dyDescent="0.25">
      <c r="B10" s="7"/>
      <c r="C10" s="3"/>
      <c r="D10" s="152" t="s">
        <v>2</v>
      </c>
      <c r="E10" s="153"/>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4" t="s">
        <v>4</v>
      </c>
      <c r="G12" s="17"/>
      <c r="H12" s="27"/>
      <c r="I12" s="3"/>
      <c r="J12" s="9"/>
    </row>
    <row r="13" spans="2:10" ht="13.5" thickBot="1" x14ac:dyDescent="0.25">
      <c r="B13" s="7"/>
      <c r="C13" s="3"/>
      <c r="D13" s="34" t="s">
        <v>5</v>
      </c>
      <c r="E13" s="14" t="s">
        <v>46</v>
      </c>
      <c r="F13" s="64"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4" t="s">
        <v>44</v>
      </c>
      <c r="E19" s="153"/>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3">
        <v>0.1</v>
      </c>
      <c r="F22" s="35"/>
      <c r="G22" s="38"/>
      <c r="H22" s="27"/>
      <c r="I22" s="3"/>
      <c r="J22" s="9"/>
    </row>
    <row r="23" spans="2:10" x14ac:dyDescent="0.2">
      <c r="B23" s="7"/>
      <c r="C23" s="3"/>
      <c r="D23" s="36">
        <v>2</v>
      </c>
      <c r="E23" s="65">
        <v>0.18</v>
      </c>
      <c r="F23" s="35"/>
      <c r="G23" s="39"/>
      <c r="H23" s="27"/>
      <c r="I23" s="3"/>
      <c r="J23" s="9"/>
    </row>
    <row r="24" spans="2:10" ht="13.5" thickBot="1" x14ac:dyDescent="0.25">
      <c r="B24" s="7"/>
      <c r="C24" s="3"/>
      <c r="D24" s="36">
        <v>3</v>
      </c>
      <c r="E24" s="61">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4">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0"/>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5" t="str">
        <f>LOWER(TemplateInformation!B3)</f>
        <v>c:\program files\microsoft office\office\macrolib\factbd.xls</v>
      </c>
      <c r="G33" s="156"/>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2" t="s">
        <v>16</v>
      </c>
      <c r="E36" s="153"/>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86"/>
      <c r="G38" s="47"/>
      <c r="H38" s="48"/>
      <c r="I38" s="59"/>
      <c r="J38" s="23"/>
    </row>
    <row r="39" spans="2:10" ht="14.25" x14ac:dyDescent="0.2">
      <c r="B39" s="7"/>
      <c r="C39" s="3"/>
      <c r="D39" s="46"/>
      <c r="E39" s="47"/>
      <c r="F39" s="49"/>
      <c r="G39" s="47"/>
      <c r="H39" s="48"/>
      <c r="I39" s="59"/>
      <c r="J39" s="23"/>
    </row>
    <row r="40" spans="2:10" ht="14.25" x14ac:dyDescent="0.2">
      <c r="B40" s="7"/>
      <c r="C40" s="3"/>
      <c r="D40" s="46"/>
      <c r="E40" s="47"/>
      <c r="F40" s="47"/>
      <c r="G40" s="47"/>
      <c r="H40" s="48"/>
      <c r="I40" s="59"/>
      <c r="J40" s="23"/>
    </row>
    <row r="41" spans="2:10" ht="14.25" x14ac:dyDescent="0.2">
      <c r="B41" s="7"/>
      <c r="C41" s="3"/>
      <c r="D41" s="46"/>
      <c r="E41" s="47"/>
      <c r="F41" s="47"/>
      <c r="G41" s="47"/>
      <c r="H41" s="48"/>
      <c r="I41" s="59"/>
      <c r="J41" s="23"/>
    </row>
    <row r="42" spans="2:10" ht="20.100000000000001" customHeight="1" x14ac:dyDescent="0.2">
      <c r="B42" s="7"/>
      <c r="C42" s="3"/>
      <c r="D42" s="46"/>
      <c r="E42" s="47"/>
      <c r="F42" s="47"/>
      <c r="G42" s="47"/>
      <c r="H42" s="48"/>
      <c r="I42" s="59"/>
      <c r="J42" s="23"/>
    </row>
    <row r="43" spans="2:10" ht="14.25" x14ac:dyDescent="0.2">
      <c r="B43" s="7"/>
      <c r="C43" s="3"/>
      <c r="D43" s="46"/>
      <c r="E43" s="47"/>
      <c r="F43" s="47"/>
      <c r="G43" s="47"/>
      <c r="H43" s="48"/>
      <c r="I43" s="59"/>
      <c r="J43" s="23"/>
    </row>
    <row r="44" spans="2:10" ht="26.25" customHeight="1" thickBot="1" x14ac:dyDescent="0.25">
      <c r="B44" s="7"/>
      <c r="C44" s="3"/>
      <c r="D44" s="50"/>
      <c r="E44" s="51"/>
      <c r="F44" s="51"/>
      <c r="G44" s="51"/>
      <c r="H44" s="52"/>
      <c r="I44" s="59"/>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2">
        <v>0</v>
      </c>
    </row>
    <row r="49" spans="5:5" x14ac:dyDescent="0.2">
      <c r="E49" s="62" t="b">
        <v>0</v>
      </c>
    </row>
    <row r="50" spans="5:5" x14ac:dyDescent="0.2">
      <c r="E50" s="62" t="b">
        <v>0</v>
      </c>
    </row>
    <row r="51" spans="5:5" x14ac:dyDescent="0.2">
      <c r="E51" s="62" t="s">
        <v>17</v>
      </c>
    </row>
    <row r="52" spans="5:5" x14ac:dyDescent="0.2">
      <c r="E52" s="62"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zoomScale="50" zoomScaleNormal="50" workbookViewId="0">
      <selection activeCell="K34" sqref="K34"/>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5"/>
      <c r="L11" s="75"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96"/>
      <c r="K14" s="97"/>
      <c r="L14" s="97"/>
      <c r="M14" s="3"/>
      <c r="N14" s="9"/>
    </row>
    <row r="15" spans="1:14" x14ac:dyDescent="0.2">
      <c r="A15" s="7"/>
      <c r="B15" s="3"/>
      <c r="C15" s="3"/>
      <c r="D15" s="3"/>
      <c r="E15" s="3"/>
      <c r="F15" s="3"/>
      <c r="G15" s="3"/>
      <c r="H15" s="3"/>
      <c r="I15" s="3"/>
      <c r="J15" s="96"/>
      <c r="K15" s="185" t="s">
        <v>79</v>
      </c>
      <c r="L15" s="185"/>
      <c r="M15" s="3"/>
      <c r="N15" s="9"/>
    </row>
    <row r="16" spans="1:14" x14ac:dyDescent="0.2">
      <c r="A16" s="7"/>
      <c r="B16" s="3"/>
      <c r="C16" s="3"/>
      <c r="D16" s="3"/>
      <c r="E16" s="3"/>
      <c r="F16" s="3"/>
      <c r="G16" s="3"/>
      <c r="H16" s="3"/>
      <c r="I16" s="3"/>
      <c r="J16" s="96"/>
      <c r="K16" s="185"/>
      <c r="L16" s="185"/>
      <c r="M16" s="3"/>
      <c r="N16" s="9"/>
    </row>
    <row r="17" spans="1:14" ht="12.75" customHeight="1" x14ac:dyDescent="0.2">
      <c r="A17" s="7"/>
      <c r="B17" s="3"/>
      <c r="C17" s="3"/>
      <c r="D17" s="3"/>
      <c r="E17" s="3"/>
      <c r="F17" s="3"/>
      <c r="G17" s="3"/>
      <c r="H17" s="3"/>
      <c r="I17" s="3"/>
      <c r="J17" s="96"/>
      <c r="K17" s="185"/>
      <c r="L17" s="185"/>
      <c r="M17" s="3"/>
      <c r="N17" s="9"/>
    </row>
    <row r="18" spans="1:14" ht="12.75" customHeight="1" x14ac:dyDescent="0.2">
      <c r="A18" s="7"/>
      <c r="B18" s="3"/>
      <c r="C18" s="197"/>
      <c r="D18" s="197"/>
      <c r="E18" s="197"/>
      <c r="F18" s="197"/>
      <c r="G18" s="197"/>
      <c r="H18" s="3"/>
      <c r="I18" s="3"/>
      <c r="J18" s="96"/>
      <c r="K18" s="185"/>
      <c r="L18" s="185"/>
      <c r="M18" s="3"/>
      <c r="N18" s="9"/>
    </row>
    <row r="19" spans="1:14" ht="20.100000000000001" customHeight="1" thickBot="1" x14ac:dyDescent="0.25">
      <c r="A19" s="7"/>
      <c r="B19" s="3"/>
      <c r="C19" s="198"/>
      <c r="D19" s="198"/>
      <c r="E19" s="198"/>
      <c r="F19" s="198"/>
      <c r="G19" s="198"/>
      <c r="H19" s="3"/>
      <c r="I19" s="3"/>
      <c r="J19" s="96"/>
      <c r="K19" s="185"/>
      <c r="L19" s="185"/>
      <c r="M19" s="3"/>
      <c r="N19" s="9"/>
    </row>
    <row r="20" spans="1:14" ht="3" customHeight="1" thickTop="1" x14ac:dyDescent="0.3">
      <c r="A20" s="7"/>
      <c r="B20" s="3"/>
      <c r="C20" s="57"/>
      <c r="D20" s="57"/>
      <c r="E20" s="57"/>
      <c r="F20" s="57"/>
      <c r="G20" s="57"/>
      <c r="H20" s="57"/>
      <c r="I20" s="58"/>
      <c r="J20" s="58"/>
      <c r="K20" s="87"/>
      <c r="L20" s="88"/>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35.25" x14ac:dyDescent="0.5">
      <c r="A23" s="7"/>
      <c r="B23" s="3"/>
      <c r="C23" s="115" t="s">
        <v>52</v>
      </c>
      <c r="D23" s="186" t="s">
        <v>67</v>
      </c>
      <c r="E23" s="187"/>
      <c r="F23" s="187"/>
      <c r="G23" s="187"/>
      <c r="H23" s="187"/>
      <c r="I23" s="187"/>
      <c r="J23" s="112" t="s">
        <v>57</v>
      </c>
      <c r="K23" s="140">
        <v>45888</v>
      </c>
      <c r="L23" s="99"/>
      <c r="M23" s="54"/>
      <c r="N23" s="9"/>
    </row>
    <row r="24" spans="1:14" ht="23.25" x14ac:dyDescent="0.35">
      <c r="A24" s="7"/>
      <c r="B24" s="3"/>
      <c r="C24" s="115" t="s">
        <v>53</v>
      </c>
      <c r="D24" s="194" t="s">
        <v>68</v>
      </c>
      <c r="E24" s="194"/>
      <c r="F24" s="194"/>
      <c r="G24" s="195"/>
      <c r="H24" s="195"/>
      <c r="I24" s="195"/>
      <c r="J24" s="158" t="s">
        <v>77</v>
      </c>
      <c r="K24" s="159"/>
      <c r="L24" s="159"/>
      <c r="M24" s="55"/>
      <c r="N24" s="9"/>
    </row>
    <row r="25" spans="1:14" ht="27.75" x14ac:dyDescent="0.4">
      <c r="A25" s="7"/>
      <c r="B25" s="3"/>
      <c r="C25" s="115" t="s">
        <v>58</v>
      </c>
      <c r="D25" s="132">
        <v>2088</v>
      </c>
      <c r="E25" s="100" t="s">
        <v>51</v>
      </c>
      <c r="F25" s="188" t="s">
        <v>69</v>
      </c>
      <c r="G25" s="188"/>
      <c r="H25" s="107" t="s">
        <v>55</v>
      </c>
      <c r="I25" s="101" t="s">
        <v>56</v>
      </c>
      <c r="J25" s="112" t="s">
        <v>72</v>
      </c>
      <c r="K25" s="123"/>
      <c r="L25" s="124"/>
      <c r="M25" s="3"/>
      <c r="N25" s="9"/>
    </row>
    <row r="26" spans="1:14" ht="27.75" customHeight="1" x14ac:dyDescent="0.4">
      <c r="A26" s="7"/>
      <c r="B26" s="3"/>
      <c r="C26" s="115" t="s">
        <v>54</v>
      </c>
      <c r="D26" s="192" t="s">
        <v>70</v>
      </c>
      <c r="E26" s="193"/>
      <c r="F26" s="193"/>
      <c r="G26" s="193"/>
      <c r="H26" s="193"/>
      <c r="I26" s="193"/>
      <c r="J26" s="112" t="s">
        <v>61</v>
      </c>
      <c r="K26" s="196" t="s">
        <v>66</v>
      </c>
      <c r="L26" s="196"/>
      <c r="M26" s="3"/>
      <c r="N26" s="9"/>
    </row>
    <row r="27" spans="1:14" x14ac:dyDescent="0.2">
      <c r="A27" s="7"/>
      <c r="B27" s="3"/>
      <c r="C27" s="82"/>
      <c r="D27" s="82"/>
      <c r="E27" s="82"/>
      <c r="F27" s="82"/>
      <c r="G27" s="82"/>
      <c r="H27" s="82"/>
      <c r="I27" s="82"/>
      <c r="J27" s="82"/>
      <c r="K27" s="82"/>
      <c r="L27" s="82"/>
      <c r="M27" s="3"/>
      <c r="N27" s="9"/>
    </row>
    <row r="28" spans="1:14" x14ac:dyDescent="0.2">
      <c r="A28" s="7"/>
      <c r="B28" s="3"/>
      <c r="C28" s="82"/>
      <c r="D28" s="82"/>
      <c r="E28" s="82"/>
      <c r="F28" s="82"/>
      <c r="G28" s="82"/>
      <c r="H28" s="82"/>
      <c r="I28" s="82"/>
      <c r="J28" s="82"/>
      <c r="K28" s="82"/>
      <c r="L28" s="82"/>
      <c r="M28" s="3"/>
      <c r="N28" s="9"/>
    </row>
    <row r="29" spans="1:14" x14ac:dyDescent="0.2">
      <c r="A29" s="7"/>
      <c r="B29" s="3"/>
      <c r="C29" s="82"/>
      <c r="D29" s="82"/>
      <c r="E29" s="82"/>
      <c r="F29" s="82"/>
      <c r="G29" s="82"/>
      <c r="H29" s="82"/>
      <c r="I29" s="82"/>
      <c r="J29" s="82"/>
      <c r="K29" s="82"/>
      <c r="L29" s="82"/>
      <c r="M29" s="3"/>
      <c r="N29" s="9"/>
    </row>
    <row r="30" spans="1:14" ht="18" x14ac:dyDescent="0.25">
      <c r="A30" s="7"/>
      <c r="B30" s="3"/>
      <c r="C30" s="91" t="s">
        <v>33</v>
      </c>
      <c r="D30" s="134" t="s">
        <v>64</v>
      </c>
      <c r="E30" s="189" t="s">
        <v>21</v>
      </c>
      <c r="F30" s="190"/>
      <c r="G30" s="190"/>
      <c r="H30" s="190"/>
      <c r="I30" s="190"/>
      <c r="J30" s="191"/>
      <c r="K30" s="91" t="s">
        <v>22</v>
      </c>
      <c r="L30" s="92" t="s">
        <v>23</v>
      </c>
      <c r="M30" s="56"/>
      <c r="N30" s="9"/>
    </row>
    <row r="31" spans="1:14" ht="18.75" x14ac:dyDescent="0.3">
      <c r="A31" s="7"/>
      <c r="B31" s="3"/>
      <c r="C31" s="66"/>
      <c r="D31" s="53"/>
      <c r="E31" s="160"/>
      <c r="F31" s="161"/>
      <c r="G31" s="161"/>
      <c r="H31" s="161"/>
      <c r="I31" s="161"/>
      <c r="J31" s="162"/>
      <c r="K31" s="89"/>
      <c r="L31" s="90" t="str">
        <f>IF(D31&lt;&gt;"",D31*K31,"")</f>
        <v/>
      </c>
      <c r="M31" s="56"/>
      <c r="N31" s="9"/>
    </row>
    <row r="32" spans="1:14" ht="25.5" x14ac:dyDescent="0.35">
      <c r="A32" s="7"/>
      <c r="B32" s="3"/>
      <c r="C32" s="135"/>
      <c r="D32" s="93"/>
      <c r="E32" s="172" t="s">
        <v>73</v>
      </c>
      <c r="F32" s="173"/>
      <c r="G32" s="173"/>
      <c r="H32" s="173"/>
      <c r="I32" s="173"/>
      <c r="J32" s="174"/>
      <c r="K32" s="94"/>
      <c r="L32" s="95" t="str">
        <f>IF(D32&lt;&gt;"",D32*K32,"")</f>
        <v/>
      </c>
      <c r="M32" s="56"/>
      <c r="N32" s="9"/>
    </row>
    <row r="33" spans="1:14" ht="27.75" x14ac:dyDescent="0.4">
      <c r="A33" s="7"/>
      <c r="B33" s="3"/>
      <c r="C33" s="66"/>
      <c r="D33" s="93"/>
      <c r="E33" s="175"/>
      <c r="F33" s="176"/>
      <c r="G33" s="176"/>
      <c r="H33" s="176"/>
      <c r="I33" s="176"/>
      <c r="J33" s="177"/>
      <c r="K33" s="94"/>
      <c r="L33" s="95"/>
      <c r="M33" s="56"/>
      <c r="N33" s="9"/>
    </row>
    <row r="34" spans="1:14" ht="26.25" x14ac:dyDescent="0.4">
      <c r="A34" s="7"/>
      <c r="B34" s="3"/>
      <c r="C34" s="122"/>
      <c r="D34" s="93"/>
      <c r="E34" s="166"/>
      <c r="F34" s="204"/>
      <c r="G34" s="204"/>
      <c r="H34" s="204"/>
      <c r="I34" s="204"/>
      <c r="J34" s="205"/>
      <c r="K34" s="94"/>
      <c r="L34" s="94"/>
      <c r="M34" s="56"/>
      <c r="N34" s="9"/>
    </row>
    <row r="35" spans="1:14" ht="26.25" x14ac:dyDescent="0.4">
      <c r="A35" s="7"/>
      <c r="B35" s="3"/>
      <c r="C35" s="122"/>
      <c r="D35" s="93"/>
      <c r="E35" s="166"/>
      <c r="F35" s="167"/>
      <c r="G35" s="167"/>
      <c r="H35" s="167"/>
      <c r="I35" s="167"/>
      <c r="J35" s="168"/>
      <c r="K35" s="94"/>
      <c r="L35" s="94"/>
      <c r="M35" s="56"/>
      <c r="N35" s="9"/>
    </row>
    <row r="36" spans="1:14" ht="26.25" x14ac:dyDescent="0.4">
      <c r="A36" s="7"/>
      <c r="B36" s="3"/>
      <c r="C36" s="122"/>
      <c r="D36" s="93"/>
      <c r="E36" s="163"/>
      <c r="F36" s="164"/>
      <c r="G36" s="164"/>
      <c r="H36" s="164"/>
      <c r="I36" s="164"/>
      <c r="J36" s="165"/>
      <c r="K36" s="94"/>
      <c r="L36" s="94"/>
      <c r="M36" s="56"/>
      <c r="N36" s="9"/>
    </row>
    <row r="37" spans="1:14" ht="26.25" x14ac:dyDescent="0.4">
      <c r="A37" s="7"/>
      <c r="B37" s="3"/>
      <c r="C37" s="122"/>
      <c r="D37" s="93">
        <v>1</v>
      </c>
      <c r="E37" s="166" t="s">
        <v>76</v>
      </c>
      <c r="F37" s="204"/>
      <c r="G37" s="204"/>
      <c r="H37" s="204"/>
      <c r="I37" s="204"/>
      <c r="J37" s="205"/>
      <c r="K37" s="94">
        <v>250</v>
      </c>
      <c r="L37" s="94">
        <f t="shared" ref="L37" si="0">+K37*D37</f>
        <v>250</v>
      </c>
      <c r="M37" s="56"/>
      <c r="N37" s="9"/>
    </row>
    <row r="38" spans="1:14" ht="25.5" x14ac:dyDescent="0.35">
      <c r="A38" s="7"/>
      <c r="B38" s="3"/>
      <c r="C38" s="122"/>
      <c r="D38" s="93"/>
      <c r="E38" s="179"/>
      <c r="F38" s="180"/>
      <c r="G38" s="180"/>
      <c r="H38" s="180"/>
      <c r="I38" s="180"/>
      <c r="J38" s="181"/>
      <c r="K38" s="94"/>
      <c r="L38" s="95"/>
      <c r="M38" s="56"/>
      <c r="N38" s="9"/>
    </row>
    <row r="39" spans="1:14" ht="25.5" x14ac:dyDescent="0.35">
      <c r="A39" s="7"/>
      <c r="B39" s="3"/>
      <c r="C39" s="122"/>
      <c r="D39" s="142"/>
      <c r="E39" s="143"/>
      <c r="F39" s="144"/>
      <c r="G39" s="144"/>
      <c r="H39" s="144"/>
      <c r="I39" s="144"/>
      <c r="J39" s="145"/>
      <c r="K39" s="94"/>
      <c r="L39" s="94"/>
      <c r="M39" s="56"/>
      <c r="N39" s="9"/>
    </row>
    <row r="40" spans="1:14" ht="25.5" x14ac:dyDescent="0.35">
      <c r="A40" s="7"/>
      <c r="B40" s="3"/>
      <c r="C40" s="122"/>
      <c r="D40" s="142"/>
      <c r="E40" s="143"/>
      <c r="F40" s="144"/>
      <c r="G40" s="144"/>
      <c r="H40" s="144"/>
      <c r="I40" s="144"/>
      <c r="J40" s="145"/>
      <c r="K40" s="94"/>
      <c r="L40" s="94"/>
      <c r="M40" s="56"/>
      <c r="N40" s="9"/>
    </row>
    <row r="41" spans="1:14" ht="25.5" x14ac:dyDescent="0.35">
      <c r="A41" s="7"/>
      <c r="B41" s="3"/>
      <c r="C41" s="122"/>
      <c r="D41" s="142"/>
      <c r="E41" s="143"/>
      <c r="F41" s="144"/>
      <c r="G41" s="144"/>
      <c r="H41" s="144"/>
      <c r="I41" s="144"/>
      <c r="J41" s="145"/>
      <c r="K41" s="94"/>
      <c r="L41" s="95"/>
      <c r="M41" s="56"/>
      <c r="N41" s="9"/>
    </row>
    <row r="42" spans="1:14" ht="25.5" x14ac:dyDescent="0.35">
      <c r="A42" s="7"/>
      <c r="B42" s="3"/>
      <c r="C42" s="122"/>
      <c r="D42" s="142"/>
      <c r="E42" s="169"/>
      <c r="F42" s="170"/>
      <c r="G42" s="170"/>
      <c r="H42" s="170"/>
      <c r="I42" s="170"/>
      <c r="J42" s="171"/>
      <c r="K42" s="94"/>
      <c r="L42" s="95"/>
      <c r="M42" s="56"/>
      <c r="N42" s="9"/>
    </row>
    <row r="43" spans="1:14" ht="25.5" x14ac:dyDescent="0.35">
      <c r="A43" s="7"/>
      <c r="B43" s="3"/>
      <c r="C43" s="122"/>
      <c r="D43" s="142"/>
      <c r="E43" s="141"/>
      <c r="F43" s="146"/>
      <c r="G43" s="146"/>
      <c r="H43" s="146"/>
      <c r="I43" s="146"/>
      <c r="J43" s="147"/>
      <c r="K43" s="94"/>
      <c r="L43" s="95"/>
      <c r="M43" s="56"/>
      <c r="N43" s="9"/>
    </row>
    <row r="44" spans="1:14" ht="25.5" x14ac:dyDescent="0.35">
      <c r="A44" s="7"/>
      <c r="B44" s="3"/>
      <c r="C44" s="67"/>
      <c r="D44" s="148"/>
      <c r="E44" s="199"/>
      <c r="F44" s="200"/>
      <c r="G44" s="200"/>
      <c r="H44" s="200"/>
      <c r="I44" s="200"/>
      <c r="J44" s="201"/>
      <c r="K44" s="94"/>
      <c r="L44" s="95"/>
      <c r="M44" s="56"/>
      <c r="N44" s="9"/>
    </row>
    <row r="45" spans="1:14" ht="30" x14ac:dyDescent="0.4">
      <c r="A45" s="7"/>
      <c r="B45" s="3"/>
      <c r="C45" s="108"/>
      <c r="D45" s="82"/>
      <c r="E45" s="82"/>
      <c r="F45" s="82"/>
      <c r="G45" s="82"/>
      <c r="H45" s="82"/>
      <c r="I45" s="76"/>
      <c r="J45" s="102"/>
      <c r="K45" s="120" t="s">
        <v>24</v>
      </c>
      <c r="L45" s="106">
        <f>SUM(L33:L44)</f>
        <v>250</v>
      </c>
      <c r="M45" s="56"/>
      <c r="N45" s="9"/>
    </row>
    <row r="46" spans="1:14" ht="30" x14ac:dyDescent="0.4">
      <c r="A46" s="7"/>
      <c r="B46" s="3"/>
      <c r="C46" s="3"/>
      <c r="D46" s="83"/>
      <c r="E46" s="98" t="s">
        <v>63</v>
      </c>
      <c r="F46" s="82"/>
      <c r="G46" s="82"/>
      <c r="H46" s="82"/>
      <c r="I46" s="76"/>
      <c r="J46" s="102"/>
      <c r="K46" s="117" t="s">
        <v>45</v>
      </c>
      <c r="L46" s="121">
        <v>1</v>
      </c>
      <c r="M46" s="56"/>
      <c r="N46" s="9"/>
    </row>
    <row r="47" spans="1:14" ht="30" x14ac:dyDescent="0.4">
      <c r="A47" s="7"/>
      <c r="B47" s="3"/>
      <c r="C47" s="3"/>
      <c r="D47" s="83"/>
      <c r="E47" s="138" t="s">
        <v>65</v>
      </c>
      <c r="F47" s="82"/>
      <c r="G47" s="82"/>
      <c r="H47" s="82"/>
      <c r="I47" s="77"/>
      <c r="J47" s="103"/>
      <c r="K47" s="118" t="s">
        <v>59</v>
      </c>
      <c r="L47" s="109">
        <f>+L45*19%</f>
        <v>47.5</v>
      </c>
      <c r="M47" s="56"/>
      <c r="N47" s="9"/>
    </row>
    <row r="48" spans="1:14" ht="30" x14ac:dyDescent="0.4">
      <c r="A48" s="7"/>
      <c r="B48" s="3"/>
      <c r="C48" s="3"/>
      <c r="D48" s="84"/>
      <c r="E48" s="98" t="s">
        <v>71</v>
      </c>
      <c r="F48" s="130"/>
      <c r="G48" s="133"/>
      <c r="H48" s="133"/>
      <c r="I48" s="78"/>
      <c r="J48" s="102"/>
      <c r="K48" s="119" t="s">
        <v>26</v>
      </c>
      <c r="L48" s="106">
        <f>L45+L47+L46</f>
        <v>298.5</v>
      </c>
      <c r="M48" s="56"/>
      <c r="N48" s="9"/>
    </row>
    <row r="49" spans="1:14" ht="30" x14ac:dyDescent="0.4">
      <c r="A49" s="7"/>
      <c r="B49" s="3"/>
      <c r="C49" s="3"/>
      <c r="D49" s="84"/>
      <c r="E49" s="98"/>
      <c r="F49" s="85"/>
      <c r="G49" s="84"/>
      <c r="H49" s="82"/>
      <c r="I49" s="78"/>
      <c r="J49" s="102"/>
      <c r="K49" s="104"/>
      <c r="L49" s="128"/>
      <c r="M49" s="56"/>
      <c r="N49" s="9"/>
    </row>
    <row r="50" spans="1:14" ht="30" x14ac:dyDescent="0.4">
      <c r="A50" s="7"/>
      <c r="B50" s="125"/>
      <c r="C50" s="149" t="s">
        <v>78</v>
      </c>
      <c r="D50" s="139"/>
      <c r="E50" s="139"/>
      <c r="F50" s="139"/>
      <c r="G50" s="139"/>
      <c r="H50" s="139"/>
      <c r="I50" s="139"/>
      <c r="J50" s="102"/>
      <c r="K50" s="104"/>
      <c r="L50" s="128"/>
      <c r="M50" s="56"/>
      <c r="N50" s="9"/>
    </row>
    <row r="51" spans="1:14" ht="30" x14ac:dyDescent="0.4">
      <c r="A51" s="7"/>
      <c r="B51" s="178"/>
      <c r="C51" s="178"/>
      <c r="D51" s="178"/>
      <c r="E51" s="178"/>
      <c r="F51" s="178"/>
      <c r="G51" s="178"/>
      <c r="H51" s="178"/>
      <c r="I51" s="79" t="s">
        <v>25</v>
      </c>
      <c r="J51" s="102"/>
      <c r="K51" s="157" t="s">
        <v>60</v>
      </c>
      <c r="L51" s="157"/>
      <c r="M51" s="56"/>
      <c r="N51" s="9"/>
    </row>
    <row r="52" spans="1:14" ht="18.75" x14ac:dyDescent="0.3">
      <c r="A52" s="7"/>
      <c r="B52" s="3"/>
      <c r="C52" s="125"/>
      <c r="D52" s="125"/>
      <c r="E52" s="125"/>
      <c r="F52" s="125"/>
      <c r="G52" s="125"/>
      <c r="H52" s="125"/>
      <c r="I52" s="125"/>
      <c r="J52" s="125"/>
      <c r="K52" s="157"/>
      <c r="L52" s="157"/>
      <c r="M52" s="56"/>
      <c r="N52" s="9"/>
    </row>
    <row r="53" spans="1:14" ht="30" x14ac:dyDescent="0.4">
      <c r="A53" s="7"/>
      <c r="B53" s="208" t="s">
        <v>74</v>
      </c>
      <c r="C53" s="208"/>
      <c r="D53" s="208"/>
      <c r="E53" s="208"/>
      <c r="F53" s="208"/>
      <c r="G53" s="208"/>
      <c r="H53" s="208"/>
      <c r="I53" s="80"/>
      <c r="J53" s="105"/>
      <c r="K53" s="113"/>
      <c r="L53" s="111"/>
      <c r="M53" s="56"/>
      <c r="N53" s="9"/>
    </row>
    <row r="54" spans="1:14" ht="27.75" x14ac:dyDescent="0.4">
      <c r="A54" s="7"/>
      <c r="B54" s="136" t="s">
        <v>75</v>
      </c>
      <c r="C54" s="3"/>
      <c r="D54" s="137"/>
      <c r="E54" s="202"/>
      <c r="F54" s="203"/>
      <c r="G54" s="203"/>
      <c r="H54" s="203"/>
      <c r="I54" s="76"/>
      <c r="J54" s="76"/>
      <c r="K54" s="111"/>
      <c r="L54" s="111"/>
      <c r="M54" s="56"/>
      <c r="N54" s="9"/>
    </row>
    <row r="55" spans="1:14" ht="18" x14ac:dyDescent="0.2">
      <c r="A55" s="7"/>
      <c r="B55" s="3"/>
      <c r="C55" s="3"/>
      <c r="D55" s="20"/>
      <c r="E55" s="206"/>
      <c r="F55" s="207"/>
      <c r="G55" s="207"/>
      <c r="H55" s="207"/>
      <c r="I55" s="76"/>
      <c r="J55" s="111"/>
      <c r="K55" s="111"/>
      <c r="L55" s="111"/>
      <c r="M55" s="56"/>
      <c r="N55" s="9"/>
    </row>
    <row r="56" spans="1:14" ht="18" x14ac:dyDescent="0.2">
      <c r="A56" s="7"/>
      <c r="B56" s="113"/>
      <c r="C56" s="3"/>
      <c r="D56" s="20"/>
      <c r="E56" s="116"/>
      <c r="F56" s="183"/>
      <c r="G56" s="184"/>
      <c r="H56" s="184"/>
      <c r="I56" s="76"/>
      <c r="J56" s="111"/>
      <c r="K56" s="81"/>
      <c r="L56" s="81"/>
      <c r="M56" s="56"/>
      <c r="N56" s="9"/>
    </row>
    <row r="57" spans="1:14" ht="15.75" thickBot="1" x14ac:dyDescent="0.25">
      <c r="B57" s="96"/>
      <c r="C57" s="3"/>
      <c r="D57" s="3"/>
      <c r="E57" s="110"/>
      <c r="F57" s="110"/>
      <c r="G57" s="110"/>
      <c r="H57" s="110"/>
      <c r="I57" s="110"/>
      <c r="J57" s="110"/>
      <c r="K57" s="110"/>
      <c r="L57" s="76"/>
      <c r="M57" s="56"/>
      <c r="N57" s="9"/>
    </row>
    <row r="58" spans="1:14" ht="14.25" thickTop="1" thickBot="1" x14ac:dyDescent="0.25">
      <c r="A58" s="57"/>
      <c r="B58" s="113"/>
      <c r="C58" s="3"/>
      <c r="D58" s="3"/>
      <c r="E58" s="3"/>
      <c r="F58" s="3"/>
      <c r="G58" s="3"/>
      <c r="H58" s="3"/>
      <c r="I58" s="3"/>
      <c r="J58" s="3"/>
      <c r="K58" s="3"/>
      <c r="L58" s="3"/>
      <c r="M58" s="56"/>
      <c r="N58" s="9"/>
    </row>
    <row r="59" spans="1:14" ht="13.5" thickTop="1" x14ac:dyDescent="0.2">
      <c r="A59" s="3"/>
      <c r="B59" s="57"/>
      <c r="C59" s="57"/>
      <c r="D59" s="57"/>
      <c r="E59" s="57"/>
      <c r="F59" s="57"/>
      <c r="G59" s="57"/>
      <c r="H59" s="57"/>
      <c r="I59" s="57"/>
      <c r="J59" s="57"/>
      <c r="K59" s="57"/>
      <c r="L59" s="57"/>
      <c r="M59" s="56"/>
      <c r="N59" s="9"/>
    </row>
    <row r="60" spans="1:14" x14ac:dyDescent="0.2">
      <c r="A60" s="114"/>
      <c r="B60" s="3"/>
      <c r="C60" s="3"/>
      <c r="D60" s="3"/>
      <c r="E60" s="3"/>
      <c r="F60" s="3"/>
      <c r="G60" s="3"/>
      <c r="H60" s="3"/>
      <c r="I60" s="3"/>
      <c r="J60" s="3"/>
      <c r="K60" s="3"/>
      <c r="L60" s="3"/>
      <c r="M60" s="56"/>
      <c r="N60" s="9"/>
    </row>
    <row r="61" spans="1:14" x14ac:dyDescent="0.2">
      <c r="A61" s="3"/>
      <c r="B61" s="114"/>
      <c r="C61" s="114"/>
      <c r="D61" s="114"/>
      <c r="E61" s="114"/>
      <c r="F61" s="114"/>
      <c r="G61" s="114"/>
      <c r="H61" s="114"/>
      <c r="I61" s="114"/>
      <c r="J61" s="114"/>
      <c r="K61" s="114"/>
      <c r="L61" s="114"/>
      <c r="M61" s="129"/>
      <c r="N61" s="131"/>
    </row>
    <row r="62" spans="1:14" ht="12.75" customHeight="1" x14ac:dyDescent="0.2">
      <c r="A62" s="3"/>
      <c r="B62" s="182" t="s">
        <v>62</v>
      </c>
      <c r="C62" s="182"/>
      <c r="D62" s="182"/>
      <c r="E62" s="182"/>
      <c r="F62" s="182"/>
      <c r="G62" s="182"/>
      <c r="H62" s="182"/>
      <c r="I62" s="182"/>
      <c r="J62" s="182"/>
      <c r="K62" s="182"/>
      <c r="L62" s="182"/>
      <c r="M62" s="182"/>
      <c r="N62" s="131"/>
    </row>
    <row r="63" spans="1:14" ht="12.75" customHeight="1" x14ac:dyDescent="0.2">
      <c r="A63" s="113"/>
      <c r="B63" s="182"/>
      <c r="C63" s="182"/>
      <c r="D63" s="182"/>
      <c r="E63" s="182"/>
      <c r="F63" s="182"/>
      <c r="G63" s="182"/>
      <c r="H63" s="182"/>
      <c r="I63" s="182"/>
      <c r="J63" s="182"/>
      <c r="K63" s="182"/>
      <c r="L63" s="182"/>
      <c r="M63" s="182"/>
      <c r="N63" s="129"/>
    </row>
    <row r="64" spans="1:14" ht="12.75" customHeight="1" x14ac:dyDescent="0.2">
      <c r="A64" s="114"/>
      <c r="B64" s="182"/>
      <c r="C64" s="182"/>
      <c r="D64" s="182"/>
      <c r="E64" s="182"/>
      <c r="F64" s="182"/>
      <c r="G64" s="182"/>
      <c r="H64" s="182"/>
      <c r="I64" s="182"/>
      <c r="J64" s="182"/>
      <c r="K64" s="182"/>
      <c r="L64" s="182"/>
      <c r="M64" s="182"/>
      <c r="N64" s="129"/>
    </row>
    <row r="65" spans="1:15" ht="12.75" customHeight="1" x14ac:dyDescent="0.2">
      <c r="A65" s="3"/>
      <c r="B65" s="182"/>
      <c r="C65" s="182"/>
      <c r="D65" s="182"/>
      <c r="E65" s="182"/>
      <c r="F65" s="182"/>
      <c r="G65" s="182"/>
      <c r="H65" s="182"/>
      <c r="I65" s="182"/>
      <c r="J65" s="182"/>
      <c r="K65" s="182"/>
      <c r="L65" s="182"/>
      <c r="M65" s="182"/>
      <c r="N65" s="129"/>
    </row>
    <row r="66" spans="1:15" ht="12.75" customHeight="1" x14ac:dyDescent="0.2">
      <c r="A66" s="3"/>
      <c r="B66" s="182"/>
      <c r="C66" s="182"/>
      <c r="D66" s="182"/>
      <c r="E66" s="182"/>
      <c r="F66" s="182"/>
      <c r="G66" s="182"/>
      <c r="H66" s="182"/>
      <c r="I66" s="182"/>
      <c r="J66" s="182"/>
      <c r="K66" s="182"/>
      <c r="L66" s="182"/>
      <c r="M66" s="182"/>
      <c r="N66" s="113"/>
    </row>
    <row r="67" spans="1:15" ht="13.5" thickBot="1" x14ac:dyDescent="0.25">
      <c r="A67" s="126"/>
      <c r="B67" s="96"/>
      <c r="C67" s="113"/>
      <c r="D67" s="113"/>
      <c r="E67" s="113"/>
      <c r="F67" s="113"/>
      <c r="G67" s="113"/>
      <c r="H67" s="113"/>
      <c r="I67" s="113"/>
      <c r="J67" s="113"/>
      <c r="K67" s="113"/>
      <c r="L67" s="113"/>
      <c r="M67" s="113"/>
      <c r="N67" s="113"/>
    </row>
    <row r="68" spans="1:15" ht="24.95" customHeight="1" thickTop="1" thickBot="1" x14ac:dyDescent="0.25">
      <c r="B68" s="127"/>
      <c r="C68" s="113"/>
      <c r="D68" s="113"/>
      <c r="E68" s="113"/>
      <c r="F68" s="113"/>
      <c r="G68" s="113"/>
      <c r="H68" s="113"/>
      <c r="I68" s="113"/>
      <c r="J68" s="113"/>
      <c r="K68" s="113"/>
      <c r="L68" s="113"/>
      <c r="M68" s="113"/>
      <c r="N68" s="113"/>
      <c r="O68" s="113"/>
    </row>
    <row r="69" spans="1:15" ht="24.95" customHeight="1" thickTop="1" x14ac:dyDescent="0.2"/>
    <row r="70" spans="1:15" ht="12.75" customHeight="1" x14ac:dyDescent="0.2"/>
    <row r="71" spans="1:15" ht="12.75" customHeight="1" x14ac:dyDescent="0.2"/>
    <row r="72" spans="1:15" ht="12.75" customHeight="1" x14ac:dyDescent="0.2"/>
    <row r="73" spans="1:15" ht="12.75" customHeight="1" x14ac:dyDescent="0.2"/>
    <row r="74" spans="1:15" ht="3" customHeight="1" x14ac:dyDescent="0.2"/>
    <row r="75" spans="1:15" ht="12.75" customHeight="1" x14ac:dyDescent="0.2"/>
    <row r="76" spans="1:15" ht="13.5" customHeight="1" x14ac:dyDescent="0.2"/>
    <row r="78" spans="1:15" ht="0.95" customHeight="1" x14ac:dyDescent="0.2"/>
    <row r="79" spans="1:15"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6">
    <mergeCell ref="B62:M66"/>
    <mergeCell ref="F56:H56"/>
    <mergeCell ref="K15:L19"/>
    <mergeCell ref="D23:I23"/>
    <mergeCell ref="F25:G25"/>
    <mergeCell ref="E30:J30"/>
    <mergeCell ref="D26:I26"/>
    <mergeCell ref="D24:I24"/>
    <mergeCell ref="K26:L26"/>
    <mergeCell ref="C18:G19"/>
    <mergeCell ref="E44:J44"/>
    <mergeCell ref="E54:H54"/>
    <mergeCell ref="E34:J34"/>
    <mergeCell ref="E55:H55"/>
    <mergeCell ref="B53:H53"/>
    <mergeCell ref="K51:L52"/>
    <mergeCell ref="J24:L24"/>
    <mergeCell ref="E31:J31"/>
    <mergeCell ref="E36:J36"/>
    <mergeCell ref="E35:J35"/>
    <mergeCell ref="E42:J42"/>
    <mergeCell ref="E32:J32"/>
    <mergeCell ref="E33:J33"/>
    <mergeCell ref="E37:J37"/>
    <mergeCell ref="B51:H51"/>
    <mergeCell ref="E38:J38"/>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4:J56 K51"/>
    <dataValidation type="textLength" errorStyle="warning" allowBlank="1" showErrorMessage="1" errorTitle="Sous-total" error="Les cellules ombrées contiennent des formules et sont calculées automatiquement par Excel. N'y tapez aucune information." promptTitle="Sous-total" sqref="L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46">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60 E61:J61"/>
    <dataValidation type="textLength" errorStyle="warning" allowBlank="1" showErrorMessage="1" errorTitle="T.V.A." error="Les cellules ombrées contiennent des formules et sont calculées automatiquement par Excel. N'y tapez aucune information." promptTitle="T.V.A." sqref="K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48:L50">
      <formula1>0</formula1>
      <formula2>0</formula2>
    </dataValidation>
    <dataValidation type="decimal" allowBlank="1" showErrorMessage="1" errorTitle="Prix unitaire" error="Tapez un nombre dans cette cellule." promptTitle="Prix unitaire" sqref="L39:L40 K31:K44 L34:L3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31:L33 L41:L44 L38">
      <formula1>0</formula1>
      <formula2>0</formula2>
    </dataValidation>
    <dataValidation type="whole" errorStyle="warning" allowBlank="1" showErrorMessage="1" errorTitle="Quantité" error="Tapez un nombre dans cette cellule." promptTitle="Quantité" sqref="D31:D44">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50"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46</xdr:row>
                    <xdr:rowOff>9525</xdr:rowOff>
                  </from>
                  <to>
                    <xdr:col>3</xdr:col>
                    <xdr:colOff>571500</xdr:colOff>
                    <xdr:row>46</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47</xdr:row>
                    <xdr:rowOff>0</xdr:rowOff>
                  </from>
                  <to>
                    <xdr:col>3</xdr:col>
                    <xdr:colOff>552450</xdr:colOff>
                    <xdr:row>47</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3</xdr:col>
                    <xdr:colOff>266700</xdr:colOff>
                    <xdr:row>45</xdr:row>
                    <xdr:rowOff>9525</xdr:rowOff>
                  </from>
                  <to>
                    <xdr:col>3</xdr:col>
                    <xdr:colOff>571500</xdr:colOff>
                    <xdr:row>45</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27</v>
      </c>
    </row>
    <row r="2" spans="1:11" x14ac:dyDescent="0.2">
      <c r="A2" s="68" t="s">
        <v>34</v>
      </c>
      <c r="B2" s="68" t="s">
        <v>28</v>
      </c>
    </row>
    <row r="3" spans="1:11" x14ac:dyDescent="0.2">
      <c r="A3" s="68" t="s">
        <v>35</v>
      </c>
      <c r="B3" s="68" t="s">
        <v>42</v>
      </c>
    </row>
    <row r="4" spans="1:11" x14ac:dyDescent="0.2">
      <c r="A4" s="68" t="s">
        <v>29</v>
      </c>
    </row>
    <row r="5" spans="1:11" x14ac:dyDescent="0.2">
      <c r="A5" s="68" t="s">
        <v>36</v>
      </c>
      <c r="B5" s="68">
        <v>1</v>
      </c>
    </row>
    <row r="6" spans="1:11" x14ac:dyDescent="0.2">
      <c r="A6" s="68">
        <v>1</v>
      </c>
      <c r="B6" s="68" t="s">
        <v>37</v>
      </c>
      <c r="C6" s="68" t="s">
        <v>41</v>
      </c>
      <c r="D6" s="68" t="s">
        <v>38</v>
      </c>
      <c r="E6" s="68">
        <v>10</v>
      </c>
      <c r="G6" s="68">
        <v>-727923968</v>
      </c>
    </row>
    <row r="7" spans="1:11" x14ac:dyDescent="0.2">
      <c r="A7" s="68" t="s">
        <v>39</v>
      </c>
      <c r="B7" s="68" t="s">
        <v>30</v>
      </c>
      <c r="C7" s="68" t="s">
        <v>18</v>
      </c>
      <c r="D7" s="68" t="s">
        <v>3</v>
      </c>
      <c r="E7" s="68" t="s">
        <v>5</v>
      </c>
      <c r="F7" s="68" t="s">
        <v>7</v>
      </c>
      <c r="G7" s="68" t="s">
        <v>8</v>
      </c>
      <c r="H7" s="68" t="s">
        <v>9</v>
      </c>
      <c r="I7" s="68" t="s">
        <v>20</v>
      </c>
      <c r="J7" s="68" t="s">
        <v>31</v>
      </c>
      <c r="K7" s="68" t="s">
        <v>19</v>
      </c>
    </row>
    <row r="8" spans="1:11" x14ac:dyDescent="0.2">
      <c r="A8" s="68" t="s">
        <v>40</v>
      </c>
      <c r="B8" s="69" t="str">
        <f>Facture!$L$11</f>
        <v/>
      </c>
      <c r="C8" s="70">
        <f>Facture!$K$23</f>
        <v>45888</v>
      </c>
      <c r="D8" s="71" t="str">
        <f>Facture!$D$23</f>
        <v xml:space="preserve">TAC TIC </v>
      </c>
      <c r="E8" s="68" t="str">
        <f>Facture!$D$24</f>
        <v>BP-129 CITE ELGHAZELA</v>
      </c>
      <c r="F8" s="68">
        <f>Facture!$D$25</f>
        <v>2088</v>
      </c>
      <c r="G8" s="71" t="str">
        <f>Facture!$F$25</f>
        <v>ARIANA</v>
      </c>
      <c r="H8" s="71" t="str">
        <f>Facture!$I$25</f>
        <v>TN</v>
      </c>
      <c r="I8" s="68" t="str">
        <f>Facture!$D$26</f>
        <v>71856454 FAX 71 857 759</v>
      </c>
      <c r="J8" s="72">
        <f>Facture!$L$48</f>
        <v>298.5</v>
      </c>
      <c r="K8" s="68">
        <f>Facture!$K$25</f>
        <v>0</v>
      </c>
    </row>
    <row r="9" spans="1:11" x14ac:dyDescent="0.2">
      <c r="A9" s="68" t="s">
        <v>29</v>
      </c>
    </row>
    <row r="10" spans="1:11" x14ac:dyDescent="0.2">
      <c r="G10" s="68">
        <v>324499967</v>
      </c>
    </row>
    <row r="14" spans="1:11" x14ac:dyDescent="0.2">
      <c r="G14" s="68">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2025-01-23T15:15:46Z</cp:lastPrinted>
  <dcterms:created xsi:type="dcterms:W3CDTF">1995-05-29T15:50:39Z</dcterms:created>
  <dcterms:modified xsi:type="dcterms:W3CDTF">2025-08-19T09:38:37Z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TAC TIC </vt:lpwstr>
  </property>
  <property fmtid="{D5CDD505-2E9C-101B-9397-08002B2CF9AE}" pid="11" name="Montant de la facture" linkTarget="TOT">
    <vt:r8>298.5</vt:r8>
  </property>
</Properties>
</file>